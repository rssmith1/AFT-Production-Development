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drawings/drawing2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FG\Google Drive\dev\AFT-Production-Development\Monitor\"/>
    </mc:Choice>
  </mc:AlternateContent>
  <bookViews>
    <workbookView xWindow="480" yWindow="1395" windowWidth="13845" windowHeight="6945" tabRatio="596"/>
  </bookViews>
  <sheets>
    <sheet name="Sheet1" sheetId="15" r:id="rId1"/>
    <sheet name="Watchlist" sheetId="13" r:id="rId2"/>
    <sheet name="Config" sheetId="14" r:id="rId3"/>
    <sheet name="Log" sheetId="2" r:id="rId4"/>
    <sheet name="OrderHistory" sheetId="3" r:id="rId5"/>
    <sheet name="Contracts" sheetId="5" r:id="rId6"/>
  </sheets>
  <functionGroups builtInGroupCount="18"/>
  <calcPr calcId="152511"/>
</workbook>
</file>

<file path=xl/calcChain.xml><?xml version="1.0" encoding="utf-8"?>
<calcChain xmlns="http://schemas.openxmlformats.org/spreadsheetml/2006/main">
  <c r="AK125" i="13" l="1"/>
  <c r="AJ125" i="13"/>
  <c r="AI125" i="13"/>
  <c r="AH125" i="13"/>
  <c r="AD125" i="13"/>
  <c r="AB125" i="13"/>
  <c r="K125" i="13"/>
  <c r="H125" i="13"/>
  <c r="AK124" i="13"/>
  <c r="AJ124" i="13"/>
  <c r="AI124" i="13"/>
  <c r="AH124" i="13"/>
  <c r="AD124" i="13"/>
  <c r="AB124" i="13"/>
  <c r="K124" i="13"/>
  <c r="H124" i="13"/>
  <c r="AK123" i="13"/>
  <c r="AJ123" i="13"/>
  <c r="AI123" i="13"/>
  <c r="AH123" i="13"/>
  <c r="AD123" i="13"/>
  <c r="AB123" i="13"/>
  <c r="K123" i="13"/>
  <c r="H123" i="13"/>
  <c r="AK122" i="13"/>
  <c r="AJ122" i="13"/>
  <c r="AI122" i="13"/>
  <c r="AH122" i="13"/>
  <c r="AD122" i="13"/>
  <c r="AB122" i="13"/>
  <c r="K122" i="13"/>
  <c r="H122" i="13"/>
  <c r="AK121" i="13"/>
  <c r="AJ121" i="13"/>
  <c r="AI121" i="13"/>
  <c r="AH121" i="13"/>
  <c r="AD121" i="13"/>
  <c r="AB121" i="13"/>
  <c r="K121" i="13"/>
  <c r="H121" i="13"/>
  <c r="AK120" i="13"/>
  <c r="AJ120" i="13"/>
  <c r="AI120" i="13"/>
  <c r="AH120" i="13"/>
  <c r="AD120" i="13"/>
  <c r="AB120" i="13"/>
  <c r="K120" i="13"/>
  <c r="H120" i="13"/>
  <c r="AK119" i="13"/>
  <c r="AJ119" i="13"/>
  <c r="AI119" i="13"/>
  <c r="AH119" i="13"/>
  <c r="AD119" i="13"/>
  <c r="AB119" i="13"/>
  <c r="K119" i="13"/>
  <c r="H119" i="13"/>
  <c r="AK118" i="13"/>
  <c r="AJ118" i="13"/>
  <c r="AI118" i="13"/>
  <c r="AH118" i="13"/>
  <c r="AD118" i="13"/>
  <c r="AB118" i="13"/>
  <c r="K118" i="13"/>
  <c r="H118" i="13"/>
  <c r="AK117" i="13"/>
  <c r="AJ117" i="13"/>
  <c r="AI117" i="13"/>
  <c r="AH117" i="13"/>
  <c r="AD117" i="13"/>
  <c r="AB117" i="13"/>
  <c r="K117" i="13"/>
  <c r="H117" i="13"/>
  <c r="AK116" i="13"/>
  <c r="AJ116" i="13"/>
  <c r="AI116" i="13"/>
  <c r="AH116" i="13"/>
  <c r="AD116" i="13"/>
  <c r="AB116" i="13"/>
  <c r="K116" i="13"/>
  <c r="H116" i="13"/>
  <c r="AK115" i="13"/>
  <c r="AJ115" i="13"/>
  <c r="AI115" i="13"/>
  <c r="AH115" i="13"/>
  <c r="AD115" i="13"/>
  <c r="AB115" i="13"/>
  <c r="K115" i="13"/>
  <c r="H115" i="13"/>
  <c r="AK114" i="13"/>
  <c r="AJ114" i="13"/>
  <c r="AI114" i="13"/>
  <c r="AH114" i="13"/>
  <c r="AD114" i="13"/>
  <c r="AB114" i="13"/>
  <c r="K114" i="13"/>
  <c r="H114" i="13"/>
  <c r="AK113" i="13"/>
  <c r="AJ113" i="13"/>
  <c r="AI113" i="13"/>
  <c r="AH113" i="13"/>
  <c r="AD113" i="13"/>
  <c r="AB113" i="13"/>
  <c r="K113" i="13"/>
  <c r="H113" i="13"/>
  <c r="AK112" i="13"/>
  <c r="AJ112" i="13"/>
  <c r="AI112" i="13"/>
  <c r="AH112" i="13"/>
  <c r="AD112" i="13"/>
  <c r="AB112" i="13"/>
  <c r="K112" i="13"/>
  <c r="H112" i="13"/>
  <c r="AK111" i="13"/>
  <c r="AJ111" i="13"/>
  <c r="AI111" i="13"/>
  <c r="AH111" i="13"/>
  <c r="AD111" i="13"/>
  <c r="AB111" i="13"/>
  <c r="K111" i="13"/>
  <c r="H111" i="13"/>
  <c r="AK110" i="13"/>
  <c r="AJ110" i="13"/>
  <c r="AI110" i="13"/>
  <c r="AH110" i="13"/>
  <c r="AD110" i="13"/>
  <c r="AB110" i="13"/>
  <c r="K110" i="13"/>
  <c r="H110" i="13"/>
  <c r="AK109" i="13"/>
  <c r="AJ109" i="13"/>
  <c r="AI109" i="13"/>
  <c r="AH109" i="13"/>
  <c r="AD109" i="13"/>
  <c r="AB109" i="13"/>
  <c r="K109" i="13"/>
  <c r="H109" i="13"/>
  <c r="AK108" i="13"/>
  <c r="AJ108" i="13"/>
  <c r="AI108" i="13"/>
  <c r="AH108" i="13"/>
  <c r="AD108" i="13"/>
  <c r="AB108" i="13"/>
  <c r="K108" i="13"/>
  <c r="H108" i="13"/>
  <c r="AK107" i="13"/>
  <c r="AJ107" i="13"/>
  <c r="AI107" i="13"/>
  <c r="AH107" i="13"/>
  <c r="AD107" i="13"/>
  <c r="AB107" i="13"/>
  <c r="K107" i="13"/>
  <c r="H107" i="13"/>
  <c r="AK106" i="13"/>
  <c r="AJ106" i="13"/>
  <c r="AI106" i="13"/>
  <c r="AH106" i="13"/>
  <c r="AD106" i="13"/>
  <c r="AB106" i="13"/>
  <c r="K106" i="13"/>
  <c r="H106" i="13"/>
  <c r="AK105" i="13"/>
  <c r="AJ105" i="13"/>
  <c r="AI105" i="13"/>
  <c r="AH105" i="13"/>
  <c r="AD105" i="13"/>
  <c r="AB105" i="13"/>
  <c r="K105" i="13"/>
  <c r="H105" i="13"/>
  <c r="AK104" i="13"/>
  <c r="AJ104" i="13"/>
  <c r="AI104" i="13"/>
  <c r="AH104" i="13"/>
  <c r="AD104" i="13"/>
  <c r="AB104" i="13"/>
  <c r="K104" i="13"/>
  <c r="H104" i="13"/>
  <c r="AK103" i="13"/>
  <c r="AJ103" i="13"/>
  <c r="AI103" i="13"/>
  <c r="AH103" i="13"/>
  <c r="AD103" i="13"/>
  <c r="AB103" i="13"/>
  <c r="K103" i="13"/>
  <c r="H103" i="13"/>
  <c r="AK102" i="13"/>
  <c r="AJ102" i="13"/>
  <c r="AI102" i="13"/>
  <c r="AH102" i="13"/>
  <c r="AD102" i="13"/>
  <c r="AB102" i="13"/>
  <c r="K102" i="13"/>
  <c r="H102" i="13"/>
  <c r="AK101" i="13"/>
  <c r="AJ101" i="13"/>
  <c r="AI101" i="13"/>
  <c r="AH101" i="13"/>
  <c r="AD101" i="13"/>
  <c r="AB101" i="13"/>
  <c r="K101" i="13"/>
  <c r="H101" i="13"/>
  <c r="AK100" i="13"/>
  <c r="AJ100" i="13"/>
  <c r="AI100" i="13"/>
  <c r="AH100" i="13"/>
  <c r="AD100" i="13"/>
  <c r="AB100" i="13"/>
  <c r="K100" i="13"/>
  <c r="H100" i="13"/>
  <c r="AK99" i="13"/>
  <c r="AJ99" i="13"/>
  <c r="AI99" i="13"/>
  <c r="AH99" i="13"/>
  <c r="AD99" i="13"/>
  <c r="AB99" i="13"/>
  <c r="K99" i="13"/>
  <c r="H99" i="13"/>
  <c r="AK98" i="13"/>
  <c r="AJ98" i="13"/>
  <c r="AI98" i="13"/>
  <c r="AH98" i="13"/>
  <c r="AD98" i="13"/>
  <c r="AB98" i="13"/>
  <c r="K98" i="13"/>
  <c r="H98" i="13"/>
  <c r="AK97" i="13"/>
  <c r="AJ97" i="13"/>
  <c r="AI97" i="13"/>
  <c r="AH97" i="13"/>
  <c r="AD97" i="13"/>
  <c r="AB97" i="13"/>
  <c r="K97" i="13"/>
  <c r="H97" i="13"/>
  <c r="AK96" i="13"/>
  <c r="AJ96" i="13"/>
  <c r="AI96" i="13"/>
  <c r="AH96" i="13"/>
  <c r="AD96" i="13"/>
  <c r="AB96" i="13"/>
  <c r="K96" i="13"/>
  <c r="H96" i="13"/>
  <c r="AK95" i="13"/>
  <c r="AJ95" i="13"/>
  <c r="AI95" i="13"/>
  <c r="AH95" i="13"/>
  <c r="AD95" i="13"/>
  <c r="AB95" i="13"/>
  <c r="K95" i="13"/>
  <c r="H95" i="13"/>
  <c r="AK94" i="13"/>
  <c r="AJ94" i="13"/>
  <c r="AI94" i="13"/>
  <c r="AH94" i="13"/>
  <c r="AD94" i="13"/>
  <c r="AB94" i="13"/>
  <c r="K94" i="13"/>
  <c r="H94" i="13"/>
  <c r="AK93" i="13"/>
  <c r="AJ93" i="13"/>
  <c r="AI93" i="13"/>
  <c r="AH93" i="13"/>
  <c r="AD93" i="13"/>
  <c r="AB93" i="13"/>
  <c r="K93" i="13"/>
  <c r="H93" i="13"/>
  <c r="AK92" i="13"/>
  <c r="AJ92" i="13"/>
  <c r="AI92" i="13"/>
  <c r="AH92" i="13"/>
  <c r="AD92" i="13"/>
  <c r="AB92" i="13"/>
  <c r="K92" i="13"/>
  <c r="H92" i="13"/>
  <c r="AK91" i="13"/>
  <c r="AJ91" i="13"/>
  <c r="AI91" i="13"/>
  <c r="AH91" i="13"/>
  <c r="AD91" i="13"/>
  <c r="AB91" i="13"/>
  <c r="K91" i="13"/>
  <c r="H91" i="13"/>
  <c r="AK90" i="13"/>
  <c r="AJ90" i="13"/>
  <c r="AI90" i="13"/>
  <c r="AH90" i="13"/>
  <c r="AD90" i="13"/>
  <c r="AB90" i="13"/>
  <c r="K90" i="13"/>
  <c r="H90" i="13"/>
  <c r="AK89" i="13"/>
  <c r="AJ89" i="13"/>
  <c r="AI89" i="13"/>
  <c r="AH89" i="13"/>
  <c r="AD89" i="13"/>
  <c r="AB89" i="13"/>
  <c r="K89" i="13"/>
  <c r="H89" i="13"/>
  <c r="AK88" i="13"/>
  <c r="AJ88" i="13"/>
  <c r="AI88" i="13"/>
  <c r="AH88" i="13"/>
  <c r="AD88" i="13"/>
  <c r="AB88" i="13"/>
  <c r="K88" i="13"/>
  <c r="H88" i="13"/>
  <c r="AK87" i="13"/>
  <c r="AJ87" i="13"/>
  <c r="AI87" i="13"/>
  <c r="AH87" i="13"/>
  <c r="AD87" i="13"/>
  <c r="AB87" i="13"/>
  <c r="K87" i="13"/>
  <c r="H87" i="13"/>
  <c r="AK86" i="13"/>
  <c r="AJ86" i="13"/>
  <c r="AI86" i="13"/>
  <c r="AH86" i="13"/>
  <c r="AD86" i="13"/>
  <c r="AB86" i="13"/>
  <c r="K86" i="13"/>
  <c r="H86" i="13"/>
  <c r="AK85" i="13"/>
  <c r="AJ85" i="13"/>
  <c r="AI85" i="13"/>
  <c r="AH85" i="13"/>
  <c r="AD85" i="13"/>
  <c r="AB85" i="13"/>
  <c r="K85" i="13"/>
  <c r="H85" i="13"/>
  <c r="AK84" i="13"/>
  <c r="AJ84" i="13"/>
  <c r="AI84" i="13"/>
  <c r="AH84" i="13"/>
  <c r="AD84" i="13"/>
  <c r="AB84" i="13"/>
  <c r="K84" i="13"/>
  <c r="H84" i="13"/>
  <c r="AK83" i="13"/>
  <c r="AJ83" i="13"/>
  <c r="AI83" i="13"/>
  <c r="AH83" i="13"/>
  <c r="AD83" i="13"/>
  <c r="AB83" i="13"/>
  <c r="K83" i="13"/>
  <c r="H83" i="13"/>
  <c r="AK82" i="13"/>
  <c r="AJ82" i="13"/>
  <c r="AI82" i="13"/>
  <c r="AH82" i="13"/>
  <c r="AD82" i="13"/>
  <c r="AB82" i="13"/>
  <c r="K82" i="13"/>
  <c r="H82" i="13"/>
  <c r="AK81" i="13"/>
  <c r="AJ81" i="13"/>
  <c r="AI81" i="13"/>
  <c r="AH81" i="13"/>
  <c r="AD81" i="13"/>
  <c r="AB81" i="13"/>
  <c r="K81" i="13"/>
  <c r="H81" i="13"/>
  <c r="AK80" i="13"/>
  <c r="AJ80" i="13"/>
  <c r="AI80" i="13"/>
  <c r="AH80" i="13"/>
  <c r="AD80" i="13"/>
  <c r="AB80" i="13"/>
  <c r="K80" i="13"/>
  <c r="H80" i="13"/>
  <c r="AK79" i="13"/>
  <c r="AJ79" i="13"/>
  <c r="AI79" i="13"/>
  <c r="AH79" i="13"/>
  <c r="AD79" i="13"/>
  <c r="AB79" i="13"/>
  <c r="K79" i="13"/>
  <c r="H79" i="13"/>
  <c r="AK78" i="13"/>
  <c r="AJ78" i="13"/>
  <c r="AI78" i="13"/>
  <c r="AH78" i="13"/>
  <c r="AD78" i="13"/>
  <c r="AB78" i="13"/>
  <c r="K78" i="13"/>
  <c r="H78" i="13"/>
  <c r="AK77" i="13"/>
  <c r="AJ77" i="13"/>
  <c r="AI77" i="13"/>
  <c r="AH77" i="13"/>
  <c r="AD77" i="13"/>
  <c r="AB77" i="13"/>
  <c r="K77" i="13"/>
  <c r="H77" i="13"/>
  <c r="AK76" i="13"/>
  <c r="AJ76" i="13"/>
  <c r="AI76" i="13"/>
  <c r="AH76" i="13"/>
  <c r="AD76" i="13"/>
  <c r="AB76" i="13"/>
  <c r="K76" i="13"/>
  <c r="H76" i="13"/>
  <c r="AK75" i="13"/>
  <c r="AJ75" i="13"/>
  <c r="AI75" i="13"/>
  <c r="AH75" i="13"/>
  <c r="AD75" i="13"/>
  <c r="AB75" i="13"/>
  <c r="K75" i="13"/>
  <c r="H75" i="13"/>
  <c r="AK74" i="13"/>
  <c r="AJ74" i="13"/>
  <c r="AI74" i="13"/>
  <c r="AH74" i="13"/>
  <c r="AD74" i="13"/>
  <c r="AB74" i="13"/>
  <c r="K74" i="13"/>
  <c r="H74" i="13"/>
  <c r="AK73" i="13"/>
  <c r="AJ73" i="13"/>
  <c r="AI73" i="13"/>
  <c r="AH73" i="13"/>
  <c r="AD73" i="13"/>
  <c r="AB73" i="13"/>
  <c r="K73" i="13"/>
  <c r="H73" i="13"/>
  <c r="AK72" i="13"/>
  <c r="AJ72" i="13"/>
  <c r="AI72" i="13"/>
  <c r="AH72" i="13"/>
  <c r="AD72" i="13"/>
  <c r="AB72" i="13"/>
  <c r="K72" i="13"/>
  <c r="H72" i="13"/>
  <c r="AK71" i="13"/>
  <c r="AJ71" i="13"/>
  <c r="AI71" i="13"/>
  <c r="AH71" i="13"/>
  <c r="AD71" i="13"/>
  <c r="AB71" i="13"/>
  <c r="K71" i="13"/>
  <c r="H71" i="13"/>
  <c r="AK70" i="13"/>
  <c r="AJ70" i="13"/>
  <c r="AI70" i="13"/>
  <c r="AH70" i="13"/>
  <c r="AD70" i="13"/>
  <c r="AB70" i="13"/>
  <c r="K70" i="13"/>
  <c r="H70" i="13"/>
  <c r="AK69" i="13"/>
  <c r="AJ69" i="13"/>
  <c r="AI69" i="13"/>
  <c r="AH69" i="13"/>
  <c r="AD69" i="13"/>
  <c r="AB69" i="13"/>
  <c r="K69" i="13"/>
  <c r="H69" i="13"/>
  <c r="AK68" i="13"/>
  <c r="AJ68" i="13"/>
  <c r="AI68" i="13"/>
  <c r="AH68" i="13"/>
  <c r="AD68" i="13"/>
  <c r="AB68" i="13"/>
  <c r="K68" i="13"/>
  <c r="H68" i="13"/>
  <c r="AK67" i="13"/>
  <c r="AJ67" i="13"/>
  <c r="AI67" i="13"/>
  <c r="AH67" i="13"/>
  <c r="AD67" i="13"/>
  <c r="AB67" i="13"/>
  <c r="K67" i="13"/>
  <c r="H67" i="13"/>
  <c r="AK66" i="13"/>
  <c r="AJ66" i="13"/>
  <c r="AI66" i="13"/>
  <c r="AH66" i="13"/>
  <c r="AD66" i="13"/>
  <c r="AB66" i="13"/>
  <c r="K66" i="13"/>
  <c r="H66" i="13"/>
  <c r="AK65" i="13"/>
  <c r="AJ65" i="13"/>
  <c r="AI65" i="13"/>
  <c r="AH65" i="13"/>
  <c r="AD65" i="13"/>
  <c r="AB65" i="13"/>
  <c r="K65" i="13"/>
  <c r="H65" i="13"/>
  <c r="AK64" i="13"/>
  <c r="AJ64" i="13"/>
  <c r="AI64" i="13"/>
  <c r="AH64" i="13"/>
  <c r="AD64" i="13"/>
  <c r="AB64" i="13"/>
  <c r="K64" i="13"/>
  <c r="H64" i="13"/>
  <c r="AK63" i="13"/>
  <c r="AJ63" i="13"/>
  <c r="AI63" i="13"/>
  <c r="AH63" i="13"/>
  <c r="AD63" i="13"/>
  <c r="AB63" i="13"/>
  <c r="K63" i="13"/>
  <c r="H63" i="13"/>
  <c r="AK62" i="13"/>
  <c r="AJ62" i="13"/>
  <c r="AI62" i="13"/>
  <c r="AH62" i="13"/>
  <c r="AD62" i="13"/>
  <c r="AB62" i="13"/>
  <c r="K62" i="13"/>
  <c r="H62" i="13"/>
  <c r="AK61" i="13"/>
  <c r="AJ61" i="13"/>
  <c r="AI61" i="13"/>
  <c r="AH61" i="13"/>
  <c r="AD61" i="13"/>
  <c r="AB61" i="13"/>
  <c r="K61" i="13"/>
  <c r="H61" i="13"/>
  <c r="AK60" i="13"/>
  <c r="AJ60" i="13"/>
  <c r="AI60" i="13"/>
  <c r="AH60" i="13"/>
  <c r="AD60" i="13"/>
  <c r="AB60" i="13"/>
  <c r="K60" i="13"/>
  <c r="H60" i="13"/>
  <c r="AK59" i="13"/>
  <c r="AJ59" i="13"/>
  <c r="AI59" i="13"/>
  <c r="AH59" i="13"/>
  <c r="AD59" i="13"/>
  <c r="AB59" i="13"/>
  <c r="K59" i="13"/>
  <c r="H59" i="13"/>
  <c r="AK58" i="13"/>
  <c r="AJ58" i="13"/>
  <c r="AI58" i="13"/>
  <c r="AH58" i="13"/>
  <c r="AD58" i="13"/>
  <c r="AB58" i="13"/>
  <c r="K58" i="13"/>
  <c r="H58" i="13"/>
  <c r="AK57" i="13"/>
  <c r="AJ57" i="13"/>
  <c r="AI57" i="13"/>
  <c r="AH57" i="13"/>
  <c r="AD57" i="13"/>
  <c r="AB57" i="13"/>
  <c r="K57" i="13"/>
  <c r="H57" i="13"/>
  <c r="AK56" i="13"/>
  <c r="AJ56" i="13"/>
  <c r="AI56" i="13"/>
  <c r="AH56" i="13"/>
  <c r="AD56" i="13"/>
  <c r="AB56" i="13"/>
  <c r="K56" i="13"/>
  <c r="H56" i="13"/>
  <c r="AK55" i="13"/>
  <c r="AJ55" i="13"/>
  <c r="AI55" i="13"/>
  <c r="AH55" i="13"/>
  <c r="AD55" i="13"/>
  <c r="AB55" i="13"/>
  <c r="K55" i="13"/>
  <c r="H55" i="13"/>
  <c r="AK54" i="13"/>
  <c r="AJ54" i="13"/>
  <c r="AI54" i="13"/>
  <c r="AH54" i="13"/>
  <c r="AD54" i="13"/>
  <c r="AB54" i="13"/>
  <c r="K54" i="13"/>
  <c r="H54" i="13"/>
  <c r="AK53" i="13"/>
  <c r="AJ53" i="13"/>
  <c r="AI53" i="13"/>
  <c r="AH53" i="13"/>
  <c r="AD53" i="13"/>
  <c r="AB53" i="13"/>
  <c r="K53" i="13"/>
  <c r="H53" i="13"/>
  <c r="AK52" i="13"/>
  <c r="AJ52" i="13"/>
  <c r="AI52" i="13"/>
  <c r="AH52" i="13"/>
  <c r="AD52" i="13"/>
  <c r="AB52" i="13"/>
  <c r="K52" i="13"/>
  <c r="H52" i="13"/>
  <c r="AK51" i="13"/>
  <c r="AJ51" i="13"/>
  <c r="AI51" i="13"/>
  <c r="AH51" i="13"/>
  <c r="AD51" i="13"/>
  <c r="AB51" i="13"/>
  <c r="K51" i="13"/>
  <c r="H51" i="13"/>
  <c r="AK50" i="13"/>
  <c r="AJ50" i="13"/>
  <c r="AI50" i="13"/>
  <c r="AH50" i="13"/>
  <c r="AD50" i="13"/>
  <c r="AB50" i="13"/>
  <c r="K50" i="13"/>
  <c r="H50" i="13"/>
  <c r="AK49" i="13"/>
  <c r="AJ49" i="13"/>
  <c r="AI49" i="13"/>
  <c r="AH49" i="13"/>
  <c r="AD49" i="13"/>
  <c r="AB49" i="13"/>
  <c r="K49" i="13"/>
  <c r="H49" i="13"/>
  <c r="AK48" i="13"/>
  <c r="AJ48" i="13"/>
  <c r="AI48" i="13"/>
  <c r="AH48" i="13"/>
  <c r="AD48" i="13"/>
  <c r="AB48" i="13"/>
  <c r="K48" i="13"/>
  <c r="H48" i="13"/>
  <c r="AK47" i="13"/>
  <c r="AJ47" i="13"/>
  <c r="AI47" i="13"/>
  <c r="AH47" i="13"/>
  <c r="AD47" i="13"/>
  <c r="AB47" i="13"/>
  <c r="K47" i="13"/>
  <c r="H47" i="13"/>
  <c r="AK46" i="13"/>
  <c r="AJ46" i="13"/>
  <c r="AI46" i="13"/>
  <c r="AH46" i="13"/>
  <c r="AD46" i="13"/>
  <c r="AB46" i="13"/>
  <c r="K46" i="13"/>
  <c r="H46" i="13"/>
  <c r="AK45" i="13"/>
  <c r="AJ45" i="13"/>
  <c r="AI45" i="13"/>
  <c r="AH45" i="13"/>
  <c r="AD45" i="13"/>
  <c r="AB45" i="13"/>
  <c r="K45" i="13"/>
  <c r="H45" i="13"/>
  <c r="AK44" i="13"/>
  <c r="AJ44" i="13"/>
  <c r="AI44" i="13"/>
  <c r="AH44" i="13"/>
  <c r="AD44" i="13"/>
  <c r="AB44" i="13"/>
  <c r="K44" i="13"/>
  <c r="H44" i="13"/>
  <c r="AK43" i="13"/>
  <c r="AJ43" i="13"/>
  <c r="AI43" i="13"/>
  <c r="AH43" i="13"/>
  <c r="AD43" i="13"/>
  <c r="AB43" i="13"/>
  <c r="K43" i="13"/>
  <c r="H43" i="13"/>
  <c r="AK42" i="13"/>
  <c r="AJ42" i="13"/>
  <c r="AI42" i="13"/>
  <c r="AH42" i="13"/>
  <c r="AD42" i="13"/>
  <c r="AB42" i="13"/>
  <c r="K42" i="13"/>
  <c r="H42" i="13"/>
  <c r="AK41" i="13"/>
  <c r="AJ41" i="13"/>
  <c r="AI41" i="13"/>
  <c r="AH41" i="13"/>
  <c r="AD41" i="13"/>
  <c r="AB41" i="13"/>
  <c r="K41" i="13"/>
  <c r="H41" i="13"/>
  <c r="AK40" i="13"/>
  <c r="AJ40" i="13"/>
  <c r="AI40" i="13"/>
  <c r="AH40" i="13"/>
  <c r="AD40" i="13"/>
  <c r="AB40" i="13"/>
  <c r="K40" i="13"/>
  <c r="H40" i="13"/>
  <c r="AK39" i="13"/>
  <c r="AJ39" i="13"/>
  <c r="AI39" i="13"/>
  <c r="AH39" i="13"/>
  <c r="AD39" i="13"/>
  <c r="AB39" i="13"/>
  <c r="K39" i="13"/>
  <c r="H39" i="13"/>
  <c r="AK38" i="13"/>
  <c r="AJ38" i="13"/>
  <c r="AI38" i="13"/>
  <c r="AH38" i="13"/>
  <c r="AD38" i="13"/>
  <c r="AB38" i="13"/>
  <c r="K38" i="13"/>
  <c r="H38" i="13"/>
  <c r="AK37" i="13"/>
  <c r="AJ37" i="13"/>
  <c r="AI37" i="13"/>
  <c r="AH37" i="13"/>
  <c r="AD37" i="13"/>
  <c r="AB37" i="13"/>
  <c r="K37" i="13"/>
  <c r="H37" i="13"/>
  <c r="AK36" i="13"/>
  <c r="AJ36" i="13"/>
  <c r="AI36" i="13"/>
  <c r="AH36" i="13"/>
  <c r="AD36" i="13"/>
  <c r="AB36" i="13"/>
  <c r="K36" i="13"/>
  <c r="H36" i="13"/>
  <c r="AK35" i="13"/>
  <c r="AJ35" i="13"/>
  <c r="AI35" i="13"/>
  <c r="AH35" i="13"/>
  <c r="AD35" i="13"/>
  <c r="AB35" i="13"/>
  <c r="K35" i="13"/>
  <c r="H35" i="13"/>
  <c r="AK34" i="13"/>
  <c r="AJ34" i="13"/>
  <c r="AI34" i="13"/>
  <c r="AH34" i="13"/>
  <c r="AD34" i="13"/>
  <c r="AB34" i="13"/>
  <c r="K34" i="13"/>
  <c r="H34" i="13"/>
  <c r="AK33" i="13"/>
  <c r="AJ33" i="13"/>
  <c r="AI33" i="13"/>
  <c r="AH33" i="13"/>
  <c r="AD33" i="13"/>
  <c r="AB33" i="13"/>
  <c r="K33" i="13"/>
  <c r="H33" i="13"/>
  <c r="AK32" i="13"/>
  <c r="AJ32" i="13"/>
  <c r="AI32" i="13"/>
  <c r="AH32" i="13"/>
  <c r="AD32" i="13"/>
  <c r="AB32" i="13"/>
  <c r="K32" i="13"/>
  <c r="H32" i="13"/>
  <c r="AK31" i="13"/>
  <c r="AJ31" i="13"/>
  <c r="AI31" i="13"/>
  <c r="AH31" i="13"/>
  <c r="AD31" i="13"/>
  <c r="AB31" i="13"/>
  <c r="K31" i="13"/>
  <c r="H31" i="13"/>
  <c r="AK30" i="13"/>
  <c r="AJ30" i="13"/>
  <c r="AI30" i="13"/>
  <c r="AH30" i="13"/>
  <c r="AD30" i="13"/>
  <c r="AB30" i="13"/>
  <c r="K30" i="13"/>
  <c r="H30" i="13"/>
  <c r="AK29" i="13"/>
  <c r="AJ29" i="13"/>
  <c r="AI29" i="13"/>
  <c r="AH29" i="13"/>
  <c r="AD29" i="13"/>
  <c r="AB29" i="13"/>
  <c r="K29" i="13"/>
  <c r="H29" i="13"/>
  <c r="AK28" i="13"/>
  <c r="AJ28" i="13"/>
  <c r="AI28" i="13"/>
  <c r="AH28" i="13"/>
  <c r="AD28" i="13"/>
  <c r="AB28" i="13"/>
  <c r="K28" i="13"/>
  <c r="H28" i="13"/>
  <c r="AK27" i="13"/>
  <c r="AJ27" i="13"/>
  <c r="AI27" i="13"/>
  <c r="AH27" i="13"/>
  <c r="AD27" i="13"/>
  <c r="AB27" i="13"/>
  <c r="K27" i="13"/>
  <c r="H27" i="13"/>
  <c r="AK26" i="13"/>
  <c r="AJ26" i="13"/>
  <c r="AI26" i="13"/>
  <c r="AH26" i="13"/>
  <c r="AD26" i="13"/>
  <c r="AB26" i="13"/>
  <c r="K26" i="13"/>
  <c r="H26" i="13"/>
  <c r="AK25" i="13"/>
  <c r="AJ25" i="13"/>
  <c r="AI25" i="13"/>
  <c r="AH25" i="13"/>
  <c r="AD25" i="13"/>
  <c r="AB25" i="13"/>
  <c r="K25" i="13"/>
  <c r="H25" i="13"/>
  <c r="AK24" i="13"/>
  <c r="AJ24" i="13"/>
  <c r="AI24" i="13"/>
  <c r="AH24" i="13"/>
  <c r="AD24" i="13"/>
  <c r="AB24" i="13"/>
  <c r="K24" i="13"/>
  <c r="H24" i="13"/>
  <c r="AK23" i="13"/>
  <c r="AJ23" i="13"/>
  <c r="AI23" i="13"/>
  <c r="AH23" i="13"/>
  <c r="AD23" i="13"/>
  <c r="AB23" i="13"/>
  <c r="K23" i="13"/>
  <c r="H23" i="13"/>
  <c r="AK22" i="13"/>
  <c r="AJ22" i="13"/>
  <c r="AI22" i="13"/>
  <c r="AH22" i="13"/>
  <c r="AD22" i="13"/>
  <c r="AB22" i="13"/>
  <c r="K22" i="13"/>
  <c r="H22" i="13"/>
  <c r="AK21" i="13"/>
  <c r="AJ21" i="13"/>
  <c r="AI21" i="13"/>
  <c r="AH21" i="13"/>
  <c r="AD21" i="13"/>
  <c r="AB21" i="13"/>
  <c r="K21" i="13"/>
  <c r="H21" i="13"/>
  <c r="AK20" i="13"/>
  <c r="AJ20" i="13"/>
  <c r="AI20" i="13"/>
  <c r="AH20" i="13"/>
  <c r="AD20" i="13"/>
  <c r="AB20" i="13"/>
  <c r="K20" i="13"/>
  <c r="H20" i="13"/>
  <c r="AK19" i="13"/>
  <c r="AJ19" i="13"/>
  <c r="AI19" i="13"/>
  <c r="AH19" i="13"/>
  <c r="AD19" i="13"/>
  <c r="AB19" i="13"/>
  <c r="K19" i="13"/>
  <c r="H19" i="13"/>
  <c r="AK18" i="13"/>
  <c r="AJ18" i="13"/>
  <c r="AI18" i="13"/>
  <c r="AH18" i="13"/>
  <c r="AD18" i="13"/>
  <c r="AB18" i="13"/>
  <c r="K18" i="13"/>
  <c r="H18" i="13"/>
  <c r="AK17" i="13"/>
  <c r="AJ17" i="13"/>
  <c r="AI17" i="13"/>
  <c r="AH17" i="13"/>
  <c r="AD17" i="13"/>
  <c r="AB17" i="13"/>
  <c r="K17" i="13"/>
  <c r="H17" i="13"/>
  <c r="AK16" i="13"/>
  <c r="AJ16" i="13"/>
  <c r="AI16" i="13"/>
  <c r="AH16" i="13"/>
  <c r="AD16" i="13"/>
  <c r="AB16" i="13"/>
  <c r="K16" i="13"/>
  <c r="H16" i="13"/>
  <c r="AK15" i="13"/>
  <c r="AJ15" i="13"/>
  <c r="AI15" i="13"/>
  <c r="AH15" i="13"/>
  <c r="AD15" i="13"/>
  <c r="AB15" i="13"/>
  <c r="K15" i="13"/>
  <c r="H15" i="13"/>
  <c r="AK14" i="13"/>
  <c r="AJ14" i="13"/>
  <c r="AI14" i="13"/>
  <c r="AH14" i="13"/>
  <c r="AD14" i="13"/>
  <c r="AB14" i="13"/>
  <c r="K14" i="13"/>
  <c r="H14" i="13"/>
  <c r="AK13" i="13"/>
  <c r="AJ13" i="13"/>
  <c r="AI13" i="13"/>
  <c r="AH13" i="13"/>
  <c r="AD13" i="13"/>
  <c r="AB13" i="13"/>
  <c r="K13" i="13"/>
  <c r="H13" i="13"/>
  <c r="AK12" i="13"/>
  <c r="AJ12" i="13"/>
  <c r="AI12" i="13"/>
  <c r="AH12" i="13"/>
  <c r="AD12" i="13"/>
  <c r="AB12" i="13"/>
  <c r="K12" i="13"/>
  <c r="H12" i="13"/>
  <c r="AK11" i="13"/>
  <c r="AJ11" i="13"/>
  <c r="AI11" i="13"/>
  <c r="AH11" i="13"/>
  <c r="AD11" i="13"/>
  <c r="AB11" i="13"/>
  <c r="K11" i="13"/>
  <c r="H11" i="13"/>
  <c r="AK10" i="13"/>
  <c r="AJ10" i="13"/>
  <c r="AI10" i="13"/>
  <c r="AH10" i="13"/>
  <c r="AD10" i="13"/>
  <c r="AB10" i="13"/>
  <c r="K10" i="13"/>
  <c r="H10" i="13"/>
  <c r="AK9" i="13"/>
  <c r="AJ9" i="13"/>
  <c r="AI9" i="13"/>
  <c r="AH9" i="13"/>
  <c r="AD9" i="13"/>
  <c r="AB9" i="13"/>
  <c r="K9" i="13"/>
  <c r="H9" i="13"/>
  <c r="AK8" i="13"/>
  <c r="AJ8" i="13"/>
  <c r="AI8" i="13"/>
  <c r="AH8" i="13"/>
  <c r="AD8" i="13"/>
  <c r="AB8" i="13"/>
  <c r="K8" i="13"/>
  <c r="H8" i="13"/>
  <c r="AK7" i="13"/>
  <c r="AJ7" i="13"/>
  <c r="AI7" i="13"/>
  <c r="AH7" i="13"/>
  <c r="AD7" i="13"/>
  <c r="AB7" i="13"/>
  <c r="K7" i="13"/>
  <c r="H7" i="13"/>
  <c r="AK6" i="13"/>
  <c r="AJ6" i="13"/>
  <c r="AI6" i="13"/>
  <c r="AH6" i="13"/>
  <c r="AD6" i="13"/>
  <c r="AB6" i="13"/>
  <c r="K6" i="13"/>
  <c r="H6" i="13"/>
  <c r="X91" i="15"/>
  <c r="Y91" i="15" s="1"/>
  <c r="W91" i="15"/>
  <c r="U91" i="15"/>
  <c r="X90" i="15"/>
  <c r="Y90" i="15" s="1"/>
  <c r="W90" i="15"/>
  <c r="U90" i="15"/>
  <c r="X89" i="15"/>
  <c r="Y89" i="15" s="1"/>
  <c r="W89" i="15"/>
  <c r="U89" i="15"/>
  <c r="X88" i="15"/>
  <c r="Y88" i="15" s="1"/>
  <c r="W88" i="15"/>
  <c r="U88" i="15"/>
  <c r="X87" i="15"/>
  <c r="Y87" i="15" s="1"/>
  <c r="W87" i="15"/>
  <c r="U87" i="15"/>
  <c r="X86" i="15"/>
  <c r="Y86" i="15" s="1"/>
  <c r="W86" i="15"/>
  <c r="U86" i="15"/>
  <c r="X85" i="15"/>
  <c r="Y85" i="15" s="1"/>
  <c r="W85" i="15"/>
  <c r="U85" i="15"/>
  <c r="X84" i="15"/>
  <c r="Y84" i="15" s="1"/>
  <c r="W84" i="15"/>
  <c r="U84" i="15"/>
  <c r="X83" i="15"/>
  <c r="Y83" i="15" s="1"/>
  <c r="W83" i="15"/>
  <c r="U83" i="15"/>
  <c r="X82" i="15"/>
  <c r="Y82" i="15" s="1"/>
  <c r="W82" i="15"/>
  <c r="U82" i="15"/>
  <c r="X81" i="15"/>
  <c r="W81" i="15"/>
  <c r="U81" i="15"/>
  <c r="X80" i="15"/>
  <c r="W80" i="15"/>
  <c r="U80" i="15"/>
  <c r="X79" i="15"/>
  <c r="W79" i="15"/>
  <c r="U79" i="15"/>
  <c r="X78" i="15"/>
  <c r="W78" i="15"/>
  <c r="U78" i="15"/>
  <c r="X77" i="15"/>
  <c r="W77" i="15"/>
  <c r="U77" i="15"/>
  <c r="X76" i="15"/>
  <c r="W76" i="15"/>
  <c r="U76" i="15"/>
  <c r="X75" i="15"/>
  <c r="W75" i="15"/>
  <c r="U75" i="15"/>
  <c r="X74" i="15"/>
  <c r="W74" i="15"/>
  <c r="U74" i="15"/>
  <c r="X73" i="15"/>
  <c r="W73" i="15"/>
  <c r="U73" i="15"/>
  <c r="X72" i="15"/>
  <c r="W72" i="15"/>
  <c r="U72" i="15"/>
  <c r="X71" i="15"/>
  <c r="W71" i="15"/>
  <c r="U71" i="15"/>
  <c r="AE37" i="13"/>
  <c r="AE33" i="13"/>
  <c r="AE25" i="13"/>
  <c r="AE119" i="13"/>
  <c r="AE70" i="13"/>
  <c r="AE68" i="13"/>
  <c r="AE101" i="13"/>
  <c r="AE105" i="13"/>
  <c r="AE123" i="13"/>
  <c r="AE91" i="13"/>
  <c r="AE40" i="13"/>
  <c r="AE98" i="13"/>
  <c r="AE20" i="13"/>
  <c r="AE104" i="13"/>
  <c r="AE107" i="13"/>
  <c r="AE92" i="13"/>
  <c r="AE111" i="13"/>
  <c r="AE116" i="13"/>
  <c r="AE23" i="13"/>
  <c r="AE35" i="13"/>
  <c r="AE46" i="13"/>
  <c r="AE14" i="13"/>
  <c r="AE51" i="13"/>
  <c r="AE22" i="13"/>
  <c r="AE28" i="13"/>
  <c r="AE63" i="13"/>
  <c r="AE24" i="13"/>
  <c r="AE78" i="13"/>
  <c r="AE118" i="13"/>
  <c r="AE99" i="13"/>
  <c r="AE39" i="13"/>
  <c r="AE11" i="13"/>
  <c r="AE71" i="13"/>
  <c r="AE19" i="13"/>
  <c r="AE12" i="13"/>
  <c r="AE95" i="13"/>
  <c r="AE121" i="13"/>
  <c r="AE62" i="13"/>
  <c r="AE86" i="13"/>
  <c r="AE13" i="13"/>
  <c r="AE57" i="13"/>
  <c r="AE110" i="13"/>
  <c r="AE89" i="13"/>
  <c r="AE64" i="13"/>
  <c r="AE102" i="13"/>
  <c r="AE87" i="13"/>
  <c r="AE124" i="13"/>
  <c r="AE30" i="13"/>
  <c r="AE82" i="13"/>
  <c r="AE117" i="13"/>
  <c r="AE54" i="13"/>
  <c r="AE10" i="13"/>
  <c r="AE42" i="13"/>
  <c r="AE100" i="13"/>
  <c r="AE15" i="13"/>
  <c r="AE18" i="13"/>
  <c r="AE93" i="13"/>
  <c r="AE77" i="13"/>
  <c r="AE94" i="13"/>
  <c r="AE125" i="13"/>
  <c r="AE120" i="13"/>
  <c r="AE7" i="13"/>
  <c r="AE69" i="13"/>
  <c r="AE108" i="13"/>
  <c r="AE75" i="13"/>
  <c r="AE72" i="13"/>
  <c r="AE81" i="13"/>
  <c r="AE53" i="13"/>
  <c r="AE6" i="13"/>
  <c r="AE31" i="13"/>
  <c r="AE67" i="13"/>
  <c r="AE38" i="13"/>
  <c r="AE58" i="13"/>
  <c r="AE43" i="13"/>
  <c r="AE85" i="13"/>
  <c r="AE103" i="13"/>
  <c r="AE79" i="13"/>
  <c r="AE65" i="13"/>
  <c r="AE48" i="13"/>
  <c r="AE73" i="13"/>
  <c r="AE41" i="13"/>
  <c r="AE50" i="13"/>
  <c r="AE74" i="13"/>
  <c r="AE97" i="13"/>
  <c r="AE45" i="13"/>
  <c r="AE80" i="13"/>
  <c r="AE32" i="13"/>
  <c r="AE47" i="13"/>
  <c r="AE8" i="13"/>
  <c r="AE34" i="13"/>
  <c r="AE83" i="13"/>
  <c r="AE44" i="13"/>
  <c r="AE61" i="13"/>
  <c r="AE88" i="13"/>
  <c r="AE9" i="13"/>
  <c r="AE113" i="13"/>
  <c r="AE16" i="13"/>
  <c r="AE27" i="13"/>
  <c r="AE55" i="13"/>
  <c r="AE122" i="13"/>
  <c r="AE84" i="13"/>
  <c r="AE114" i="13"/>
  <c r="AE56" i="13"/>
  <c r="AE76" i="13"/>
  <c r="AE21" i="13"/>
  <c r="AE66" i="13"/>
  <c r="AE60" i="13"/>
  <c r="AE49" i="13"/>
  <c r="AE90" i="13"/>
  <c r="AE36" i="13"/>
  <c r="AE17" i="13"/>
  <c r="AE96" i="13"/>
  <c r="AE109" i="13"/>
  <c r="AE26" i="13"/>
  <c r="AE29" i="13"/>
  <c r="AE52" i="13"/>
  <c r="AE106" i="13"/>
  <c r="AE115" i="13"/>
  <c r="AE112" i="13"/>
  <c r="AE59" i="13"/>
  <c r="F64" i="15"/>
  <c r="D64" i="15"/>
  <c r="B64" i="15"/>
  <c r="H64" i="15"/>
  <c r="AA87" i="15"/>
  <c r="AA86" i="15"/>
  <c r="AA84" i="15"/>
  <c r="AA91" i="15"/>
  <c r="AA79" i="15"/>
  <c r="AA72" i="15"/>
  <c r="AA88" i="15"/>
  <c r="AA83" i="15"/>
  <c r="AA73" i="15"/>
  <c r="AA81" i="15"/>
  <c r="AA90" i="15"/>
  <c r="AA82" i="15"/>
  <c r="AA76" i="15"/>
  <c r="AA75" i="15"/>
  <c r="AA71" i="15"/>
  <c r="AA78" i="15"/>
  <c r="AA85" i="15"/>
  <c r="AA80" i="15"/>
  <c r="AA77" i="15"/>
  <c r="AA89" i="15"/>
  <c r="AA74" i="15"/>
  <c r="AC7" i="13" l="1"/>
  <c r="AF7" i="13"/>
  <c r="AG7" i="13"/>
  <c r="AC9" i="13"/>
  <c r="AF9" i="13"/>
  <c r="AG9" i="13"/>
  <c r="AF56" i="13"/>
  <c r="AG56" i="13"/>
  <c r="AC56" i="13"/>
  <c r="AG11" i="13"/>
  <c r="AC11" i="13"/>
  <c r="AF11" i="13"/>
  <c r="AG13" i="13"/>
  <c r="AC13" i="13"/>
  <c r="AF13" i="13"/>
  <c r="AG15" i="13"/>
  <c r="AC15" i="13"/>
  <c r="AF15" i="13"/>
  <c r="AF52" i="13"/>
  <c r="AG52" i="13"/>
  <c r="AC52" i="13"/>
  <c r="AC6" i="13"/>
  <c r="AF6" i="13"/>
  <c r="AG6" i="13"/>
  <c r="AF10" i="13"/>
  <c r="AG10" i="13"/>
  <c r="AC10" i="13"/>
  <c r="AF48" i="13"/>
  <c r="AG48" i="13"/>
  <c r="AC48" i="13"/>
  <c r="AF64" i="13"/>
  <c r="AG64" i="13"/>
  <c r="AC64" i="13"/>
  <c r="AG12" i="13"/>
  <c r="AC12" i="13"/>
  <c r="AF12" i="13"/>
  <c r="AG14" i="13"/>
  <c r="AC14" i="13"/>
  <c r="AF14" i="13"/>
  <c r="AG16" i="13"/>
  <c r="AC16" i="13"/>
  <c r="AF16" i="13"/>
  <c r="AF44" i="13"/>
  <c r="AG44" i="13"/>
  <c r="AC44" i="13"/>
  <c r="AF60" i="13"/>
  <c r="AG60" i="13"/>
  <c r="AC60" i="13"/>
  <c r="AC8" i="13"/>
  <c r="AF8" i="13"/>
  <c r="AG8" i="13"/>
  <c r="AF42" i="13"/>
  <c r="AG42" i="13"/>
  <c r="AC42" i="13"/>
  <c r="AF46" i="13"/>
  <c r="AG46" i="13"/>
  <c r="AC46" i="13"/>
  <c r="AF50" i="13"/>
  <c r="AG50" i="13"/>
  <c r="AC50" i="13"/>
  <c r="AF54" i="13"/>
  <c r="AG54" i="13"/>
  <c r="AC54" i="13"/>
  <c r="AF58" i="13"/>
  <c r="AG58" i="13"/>
  <c r="AC58" i="13"/>
  <c r="AF62" i="13"/>
  <c r="AG62" i="13"/>
  <c r="AC62" i="13"/>
  <c r="AF66" i="13"/>
  <c r="AG66" i="13"/>
  <c r="AC66" i="13"/>
  <c r="AF70" i="13"/>
  <c r="AC70" i="13"/>
  <c r="AG70" i="13"/>
  <c r="AF74" i="13"/>
  <c r="AC74" i="13"/>
  <c r="AG74" i="13"/>
  <c r="AF78" i="13"/>
  <c r="AC78" i="13"/>
  <c r="AG78" i="13"/>
  <c r="AG17" i="13"/>
  <c r="AC17" i="13"/>
  <c r="AF17" i="13"/>
  <c r="AG18" i="13"/>
  <c r="AC18" i="13"/>
  <c r="AF18" i="13"/>
  <c r="AG19" i="13"/>
  <c r="AC19" i="13"/>
  <c r="AF19" i="13"/>
  <c r="AG20" i="13"/>
  <c r="AC20" i="13"/>
  <c r="AF20" i="13"/>
  <c r="AG21" i="13"/>
  <c r="AC21" i="13"/>
  <c r="AF21" i="13"/>
  <c r="AG22" i="13"/>
  <c r="AC22" i="13"/>
  <c r="AF22" i="13"/>
  <c r="AG23" i="13"/>
  <c r="AC23" i="13"/>
  <c r="AF23" i="13"/>
  <c r="AG24" i="13"/>
  <c r="AC24" i="13"/>
  <c r="AF24" i="13"/>
  <c r="AG25" i="13"/>
  <c r="AC25" i="13"/>
  <c r="AF25" i="13"/>
  <c r="AG26" i="13"/>
  <c r="AC26" i="13"/>
  <c r="AF26" i="13"/>
  <c r="AG27" i="13"/>
  <c r="AC27" i="13"/>
  <c r="AF27" i="13"/>
  <c r="AG28" i="13"/>
  <c r="AC28" i="13"/>
  <c r="AF28" i="13"/>
  <c r="AG29" i="13"/>
  <c r="AC29" i="13"/>
  <c r="AF29" i="13"/>
  <c r="AG30" i="13"/>
  <c r="AC30" i="13"/>
  <c r="AF30" i="13"/>
  <c r="AG31" i="13"/>
  <c r="AC31" i="13"/>
  <c r="AF31" i="13"/>
  <c r="AG32" i="13"/>
  <c r="AC32" i="13"/>
  <c r="AF32" i="13"/>
  <c r="AG33" i="13"/>
  <c r="AC33" i="13"/>
  <c r="AF33" i="13"/>
  <c r="AG34" i="13"/>
  <c r="AC34" i="13"/>
  <c r="AF34" i="13"/>
  <c r="AG35" i="13"/>
  <c r="AC35" i="13"/>
  <c r="AF35" i="13"/>
  <c r="AG36" i="13"/>
  <c r="AC36" i="13"/>
  <c r="AF36" i="13"/>
  <c r="AG37" i="13"/>
  <c r="AC37" i="13"/>
  <c r="AF37" i="13"/>
  <c r="AG38" i="13"/>
  <c r="AC38" i="13"/>
  <c r="AF38" i="13"/>
  <c r="AG39" i="13"/>
  <c r="AC39" i="13"/>
  <c r="AF39" i="13"/>
  <c r="AG40" i="13"/>
  <c r="AC40" i="13"/>
  <c r="AF40" i="13"/>
  <c r="AF41" i="13"/>
  <c r="AC41" i="13"/>
  <c r="AG41" i="13"/>
  <c r="AF45" i="13"/>
  <c r="AC45" i="13"/>
  <c r="AG45" i="13"/>
  <c r="AF49" i="13"/>
  <c r="AC49" i="13"/>
  <c r="AG49" i="13"/>
  <c r="AF53" i="13"/>
  <c r="AC53" i="13"/>
  <c r="AG53" i="13"/>
  <c r="AF57" i="13"/>
  <c r="AC57" i="13"/>
  <c r="AG57" i="13"/>
  <c r="AF61" i="13"/>
  <c r="AC61" i="13"/>
  <c r="AG61" i="13"/>
  <c r="AF65" i="13"/>
  <c r="AC65" i="13"/>
  <c r="AG65" i="13"/>
  <c r="AF69" i="13"/>
  <c r="AC69" i="13"/>
  <c r="AG69" i="13"/>
  <c r="AF73" i="13"/>
  <c r="AC73" i="13"/>
  <c r="AG73" i="13"/>
  <c r="AF77" i="13"/>
  <c r="AC77" i="13"/>
  <c r="AG77" i="13"/>
  <c r="AF68" i="13"/>
  <c r="AG68" i="13"/>
  <c r="AC68" i="13"/>
  <c r="AF72" i="13"/>
  <c r="AG72" i="13"/>
  <c r="AC72" i="13"/>
  <c r="AF76" i="13"/>
  <c r="AG76" i="13"/>
  <c r="AC76" i="13"/>
  <c r="AF43" i="13"/>
  <c r="AC43" i="13"/>
  <c r="AG43" i="13"/>
  <c r="AF47" i="13"/>
  <c r="AC47" i="13"/>
  <c r="AG47" i="13"/>
  <c r="AF51" i="13"/>
  <c r="AC51" i="13"/>
  <c r="AG51" i="13"/>
  <c r="AF55" i="13"/>
  <c r="AC55" i="13"/>
  <c r="AG55" i="13"/>
  <c r="AF59" i="13"/>
  <c r="AC59" i="13"/>
  <c r="AG59" i="13"/>
  <c r="AF63" i="13"/>
  <c r="AC63" i="13"/>
  <c r="AG63" i="13"/>
  <c r="AF67" i="13"/>
  <c r="AC67" i="13"/>
  <c r="AG67" i="13"/>
  <c r="AF71" i="13"/>
  <c r="AC71" i="13"/>
  <c r="AG71" i="13"/>
  <c r="AF75" i="13"/>
  <c r="AC75" i="13"/>
  <c r="AG75" i="13"/>
  <c r="AF79" i="13"/>
  <c r="AC79" i="13"/>
  <c r="AG79" i="13"/>
  <c r="AF80" i="13"/>
  <c r="AG80" i="13"/>
  <c r="AC80" i="13"/>
  <c r="AF81" i="13"/>
  <c r="AC81" i="13"/>
  <c r="AG81" i="13"/>
  <c r="AF82" i="13"/>
  <c r="AG82" i="13"/>
  <c r="AC82" i="13"/>
  <c r="AF83" i="13"/>
  <c r="AC83" i="13"/>
  <c r="AG83" i="13"/>
  <c r="AF84" i="13"/>
  <c r="AG84" i="13"/>
  <c r="AC84" i="13"/>
  <c r="AF85" i="13"/>
  <c r="AC85" i="13"/>
  <c r="AG85" i="13"/>
  <c r="AF86" i="13"/>
  <c r="AG86" i="13"/>
  <c r="AC86" i="13"/>
  <c r="AF87" i="13"/>
  <c r="AC87" i="13"/>
  <c r="AG87" i="13"/>
  <c r="AF88" i="13"/>
  <c r="AG88" i="13"/>
  <c r="AC88" i="13"/>
  <c r="AF89" i="13"/>
  <c r="AC89" i="13"/>
  <c r="AG89" i="13"/>
  <c r="AF90" i="13"/>
  <c r="AG90" i="13"/>
  <c r="AC90" i="13"/>
  <c r="AF91" i="13"/>
  <c r="AC91" i="13"/>
  <c r="AG91" i="13"/>
  <c r="AF92" i="13"/>
  <c r="AG92" i="13"/>
  <c r="AC92" i="13"/>
  <c r="AF93" i="13"/>
  <c r="AC93" i="13"/>
  <c r="AG93" i="13"/>
  <c r="AF94" i="13"/>
  <c r="AG94" i="13"/>
  <c r="AC94" i="13"/>
  <c r="AF95" i="13"/>
  <c r="AC95" i="13"/>
  <c r="AG95" i="13"/>
  <c r="AF96" i="13"/>
  <c r="AG96" i="13"/>
  <c r="AC96" i="13"/>
  <c r="AF97" i="13"/>
  <c r="AC97" i="13"/>
  <c r="AG97" i="13"/>
  <c r="AF98" i="13"/>
  <c r="AG98" i="13"/>
  <c r="AC98" i="13"/>
  <c r="AF99" i="13"/>
  <c r="AC99" i="13"/>
  <c r="AG99" i="13"/>
  <c r="AF100" i="13"/>
  <c r="AG100" i="13"/>
  <c r="AC100" i="13"/>
  <c r="AF101" i="13"/>
  <c r="AC101" i="13"/>
  <c r="AG101" i="13"/>
  <c r="AF102" i="13"/>
  <c r="AG102" i="13"/>
  <c r="AC102" i="13"/>
  <c r="AF103" i="13"/>
  <c r="AC103" i="13"/>
  <c r="AG103" i="13"/>
  <c r="AF104" i="13"/>
  <c r="AG104" i="13"/>
  <c r="AC104" i="13"/>
  <c r="AF105" i="13"/>
  <c r="AC105" i="13"/>
  <c r="AG105" i="13"/>
  <c r="AF106" i="13"/>
  <c r="AG106" i="13"/>
  <c r="AC106" i="13"/>
  <c r="AF107" i="13"/>
  <c r="AC107" i="13"/>
  <c r="AG107" i="13"/>
  <c r="AF108" i="13"/>
  <c r="AG108" i="13"/>
  <c r="AC108" i="13"/>
  <c r="AF109" i="13"/>
  <c r="AC109" i="13"/>
  <c r="AG109" i="13"/>
  <c r="AF110" i="13"/>
  <c r="AG110" i="13"/>
  <c r="AC110" i="13"/>
  <c r="AF111" i="13"/>
  <c r="AC111" i="13"/>
  <c r="AG111" i="13"/>
  <c r="AF112" i="13"/>
  <c r="AG112" i="13"/>
  <c r="AC112" i="13"/>
  <c r="AF113" i="13"/>
  <c r="AC113" i="13"/>
  <c r="AG113" i="13"/>
  <c r="AF114" i="13"/>
  <c r="AG114" i="13"/>
  <c r="AC114" i="13"/>
  <c r="AF115" i="13"/>
  <c r="AC115" i="13"/>
  <c r="AG115" i="13"/>
  <c r="AF116" i="13"/>
  <c r="AG116" i="13"/>
  <c r="AC116" i="13"/>
  <c r="AF117" i="13"/>
  <c r="AC117" i="13"/>
  <c r="AG117" i="13"/>
  <c r="AF118" i="13"/>
  <c r="AG118" i="13"/>
  <c r="AC118" i="13"/>
  <c r="AF119" i="13"/>
  <c r="AC119" i="13"/>
  <c r="AG119" i="13"/>
  <c r="AF120" i="13"/>
  <c r="AG120" i="13"/>
  <c r="AC120" i="13"/>
  <c r="AF121" i="13"/>
  <c r="AC121" i="13"/>
  <c r="AG121" i="13"/>
  <c r="AF122" i="13"/>
  <c r="AG122" i="13"/>
  <c r="AC122" i="13"/>
  <c r="AF123" i="13"/>
  <c r="AC123" i="13"/>
  <c r="AG123" i="13"/>
  <c r="AF124" i="13"/>
  <c r="AG124" i="13"/>
  <c r="AC124" i="13"/>
  <c r="AF125" i="13"/>
  <c r="AG125" i="13"/>
  <c r="AC125" i="13"/>
  <c r="Y73" i="15"/>
  <c r="Y80" i="15"/>
  <c r="Y71" i="15"/>
  <c r="Y77" i="15"/>
  <c r="Y72" i="15"/>
  <c r="Y75" i="15"/>
  <c r="Y81" i="15"/>
  <c r="Y79" i="15"/>
  <c r="Y76" i="15"/>
  <c r="Y74" i="15"/>
  <c r="Y78" i="15"/>
  <c r="S37" i="15"/>
  <c r="T37" i="15" s="1"/>
  <c r="Q37" i="15"/>
  <c r="R37" i="15"/>
  <c r="Z77" i="15"/>
  <c r="Z87" i="15"/>
  <c r="Z80" i="15"/>
  <c r="Z75" i="15"/>
  <c r="Z91" i="15"/>
  <c r="Z72" i="15"/>
  <c r="Z71" i="15"/>
  <c r="Z84" i="15"/>
  <c r="Z78" i="15"/>
  <c r="Z86" i="15"/>
  <c r="Z79" i="15"/>
  <c r="Z88" i="15"/>
  <c r="Z82" i="15"/>
  <c r="Z73" i="15"/>
  <c r="Z90" i="15"/>
  <c r="Z76" i="15"/>
  <c r="Z89" i="15"/>
  <c r="Z85" i="15"/>
  <c r="Z83" i="15"/>
  <c r="Z81" i="15"/>
  <c r="Z74" i="15"/>
  <c r="AB82" i="15" l="1"/>
  <c r="AC82" i="15" s="1"/>
  <c r="AD82" i="15" s="1"/>
  <c r="AB91" i="15"/>
  <c r="AC91" i="15" s="1"/>
  <c r="AD91" i="15" s="1"/>
  <c r="AB87" i="15"/>
  <c r="AC87" i="15" s="1"/>
  <c r="AD87" i="15" s="1"/>
  <c r="AB81" i="15"/>
  <c r="AC81" i="15" s="1"/>
  <c r="AD81" i="15" s="1"/>
  <c r="AB76" i="15"/>
  <c r="AC76" i="15" s="1"/>
  <c r="AD76" i="15" s="1"/>
  <c r="AB90" i="15"/>
  <c r="AC90" i="15" s="1"/>
  <c r="AD90" i="15" s="1"/>
  <c r="AB88" i="15"/>
  <c r="AC88" i="15" s="1"/>
  <c r="AD88" i="15" s="1"/>
  <c r="AB71" i="15"/>
  <c r="AC71" i="15" s="1"/>
  <c r="AD71" i="15" s="1"/>
  <c r="AB83" i="15"/>
  <c r="AC83" i="15" s="1"/>
  <c r="AD83" i="15" s="1"/>
  <c r="AB89" i="15"/>
  <c r="AC89" i="15" s="1"/>
  <c r="AD89" i="15" s="1"/>
  <c r="AB74" i="15"/>
  <c r="AC74" i="15" s="1"/>
  <c r="AD74" i="15" s="1"/>
  <c r="AB72" i="15"/>
  <c r="AC72" i="15" s="1"/>
  <c r="AD72" i="15" s="1"/>
  <c r="AB86" i="15"/>
  <c r="AC86" i="15" s="1"/>
  <c r="AD86" i="15" s="1"/>
  <c r="AB85" i="15"/>
  <c r="AC85" i="15" s="1"/>
  <c r="AD85" i="15" s="1"/>
  <c r="AB84" i="15"/>
  <c r="AC84" i="15" s="1"/>
  <c r="AD84" i="15" s="1"/>
  <c r="AB77" i="15"/>
  <c r="AC77" i="15" s="1"/>
  <c r="AD77" i="15" s="1"/>
  <c r="AB75" i="15"/>
  <c r="AC75" i="15" s="1"/>
  <c r="AD75" i="15" s="1"/>
  <c r="AB80" i="15"/>
  <c r="AC80" i="15" s="1"/>
  <c r="AD80" i="15" s="1"/>
  <c r="AB78" i="15"/>
  <c r="AC78" i="15" s="1"/>
  <c r="AD78" i="15" s="1"/>
  <c r="AB79" i="15"/>
  <c r="AC79" i="15" s="1"/>
  <c r="AD79" i="15" s="1"/>
  <c r="AB73" i="15"/>
  <c r="AC73" i="15" s="1"/>
  <c r="AD73" i="15" s="1"/>
  <c r="AF4" i="13"/>
  <c r="AG69" i="15" l="1"/>
  <c r="W37" i="15" s="1"/>
  <c r="V37" i="15" s="1"/>
  <c r="R38" i="15"/>
  <c r="S38" i="15"/>
  <c r="R39" i="15" l="1"/>
  <c r="S41" i="15" s="1"/>
  <c r="S39" i="15"/>
  <c r="S42" i="15" s="1"/>
  <c r="R41" i="15"/>
  <c r="R42" i="15"/>
</calcChain>
</file>

<file path=xl/sharedStrings.xml><?xml version="1.0" encoding="utf-8"?>
<sst xmlns="http://schemas.openxmlformats.org/spreadsheetml/2006/main" count="1190" uniqueCount="224">
  <si>
    <t>Symbol</t>
  </si>
  <si>
    <t>Type</t>
  </si>
  <si>
    <t>Expiry</t>
  </si>
  <si>
    <t>Strike</t>
  </si>
  <si>
    <t>P/C</t>
  </si>
  <si>
    <t>Multiplier</t>
  </si>
  <si>
    <t>Exchange</t>
  </si>
  <si>
    <t>Primary Exchange</t>
  </si>
  <si>
    <t>Currency</t>
  </si>
  <si>
    <t>Local Symbol</t>
  </si>
  <si>
    <t>Trading Class</t>
  </si>
  <si>
    <t>Position</t>
  </si>
  <si>
    <t>Status</t>
  </si>
  <si>
    <t>Positions</t>
  </si>
  <si>
    <t>Connectivity</t>
  </si>
  <si>
    <t>GBP</t>
  </si>
  <si>
    <t>USD</t>
  </si>
  <si>
    <t>GLOBEX</t>
  </si>
  <si>
    <t>Bid</t>
  </si>
  <si>
    <t>Last</t>
  </si>
  <si>
    <t>Offer</t>
  </si>
  <si>
    <t>Last Size</t>
  </si>
  <si>
    <t>Bid Size</t>
  </si>
  <si>
    <t>Offer Size</t>
  </si>
  <si>
    <t>FUT</t>
  </si>
  <si>
    <t>6B</t>
  </si>
  <si>
    <t>Contract Description</t>
  </si>
  <si>
    <t>Order Description</t>
  </si>
  <si>
    <t>Order Status</t>
  </si>
  <si>
    <t>Account</t>
  </si>
  <si>
    <t>Prim Exch</t>
  </si>
  <si>
    <t>Con Id</t>
  </si>
  <si>
    <t>Action</t>
  </si>
  <si>
    <t>Quantity</t>
  </si>
  <si>
    <t>Order Type</t>
  </si>
  <si>
    <t>Lmt Price</t>
  </si>
  <si>
    <t>Id</t>
  </si>
  <si>
    <t>Filled</t>
  </si>
  <si>
    <t>Remaining</t>
  </si>
  <si>
    <t>Avg Fill Price</t>
  </si>
  <si>
    <t>Last Fill Price</t>
  </si>
  <si>
    <t>Execution Description</t>
  </si>
  <si>
    <t>OrderId</t>
  </si>
  <si>
    <t>ExecutionId</t>
  </si>
  <si>
    <t>Time</t>
  </si>
  <si>
    <t>Side</t>
  </si>
  <si>
    <t>Cum Qty</t>
  </si>
  <si>
    <t>Price</t>
  </si>
  <si>
    <t>Avg Price</t>
  </si>
  <si>
    <t>PermId</t>
  </si>
  <si>
    <t>Liquidation</t>
  </si>
  <si>
    <t>ClientId</t>
  </si>
  <si>
    <t>OrderRef</t>
  </si>
  <si>
    <t>evRule</t>
  </si>
  <si>
    <t>evMultiplier</t>
  </si>
  <si>
    <t>Aux Price</t>
  </si>
  <si>
    <t>Parent Id</t>
  </si>
  <si>
    <t>Order History</t>
  </si>
  <si>
    <t>FOP</t>
  </si>
  <si>
    <t>P</t>
  </si>
  <si>
    <t>C</t>
  </si>
  <si>
    <t>6BM4 P1605</t>
  </si>
  <si>
    <t>6BM4 P1610</t>
  </si>
  <si>
    <t>6BM4 P1615</t>
  </si>
  <si>
    <t>6BM4 P1640</t>
  </si>
  <si>
    <t>6BM4 C1645</t>
  </si>
  <si>
    <t>6BM4 C1650</t>
  </si>
  <si>
    <t>6BM4 P1645</t>
  </si>
  <si>
    <t>6BM4 P1650</t>
  </si>
  <si>
    <t>6BM4 C1655</t>
  </si>
  <si>
    <t>6BM4 C1660</t>
  </si>
  <si>
    <t>6BM4 P1660</t>
  </si>
  <si>
    <t>6BM4 C1670</t>
  </si>
  <si>
    <t>6BM4</t>
  </si>
  <si>
    <t>6BM4 C1675</t>
  </si>
  <si>
    <t>6BM4 C1680</t>
  </si>
  <si>
    <t>6BM4 P1675</t>
  </si>
  <si>
    <t>contract_id</t>
  </si>
  <si>
    <t>local_symbol</t>
  </si>
  <si>
    <t>currency</t>
  </si>
  <si>
    <t>exchange</t>
  </si>
  <si>
    <t>expiry</t>
  </si>
  <si>
    <t>liquid_hours</t>
  </si>
  <si>
    <t>long_name</t>
  </si>
  <si>
    <t>market_name</t>
  </si>
  <si>
    <t>min_tick</t>
  </si>
  <si>
    <t>multiplier</t>
  </si>
  <si>
    <t>price_magnifier</t>
  </si>
  <si>
    <t>primary_exchange</t>
  </si>
  <si>
    <t>right</t>
  </si>
  <si>
    <t>sec_type</t>
  </si>
  <si>
    <t>strike</t>
  </si>
  <si>
    <t>symbol</t>
  </si>
  <si>
    <t>trading_class</t>
  </si>
  <si>
    <t>trading_hours</t>
  </si>
  <si>
    <t>underlying_contract_id</t>
  </si>
  <si>
    <t>20140421:CLOSED;20140422:0830-1600</t>
  </si>
  <si>
    <t>British pound</t>
  </si>
  <si>
    <t>20140421:CLOSED;20140422:1700-1600</t>
  </si>
  <si>
    <t>Direction</t>
  </si>
  <si>
    <t>A</t>
  </si>
  <si>
    <t>Greeks</t>
  </si>
  <si>
    <t>Implied Vol</t>
  </si>
  <si>
    <t>Delta</t>
  </si>
  <si>
    <t>Gamma</t>
  </si>
  <si>
    <t>Theta</t>
  </si>
  <si>
    <t>Vega</t>
  </si>
  <si>
    <t>Underlying Price</t>
  </si>
  <si>
    <t>Position Greeks</t>
  </si>
  <si>
    <t>Dollar Theta</t>
  </si>
  <si>
    <t>Risk Co-efficient</t>
  </si>
  <si>
    <t>Allowable Portfolio Value Change</t>
  </si>
  <si>
    <t>CalcGamma</t>
  </si>
  <si>
    <t>Potfolio CalcGamma</t>
  </si>
  <si>
    <t xml:space="preserve">Theta/Gamma </t>
  </si>
  <si>
    <t>Ticks of Time Value</t>
  </si>
  <si>
    <t>Position Ticks of time value</t>
  </si>
  <si>
    <t>PositionTimeValue</t>
  </si>
  <si>
    <t>In-MoneyTicks</t>
  </si>
  <si>
    <t>Mid-Market</t>
  </si>
  <si>
    <t>Total Time Value</t>
  </si>
  <si>
    <t>Theoretical Price</t>
  </si>
  <si>
    <t>6B2</t>
  </si>
  <si>
    <t>Totals</t>
  </si>
  <si>
    <t>Host</t>
  </si>
  <si>
    <t>ClientID</t>
  </si>
  <si>
    <t>Log Level</t>
  </si>
  <si>
    <t>Current Time</t>
  </si>
  <si>
    <t>Connection Status</t>
  </si>
  <si>
    <t>Account Name</t>
  </si>
  <si>
    <t>54.171.93.132</t>
  </si>
  <si>
    <t>Ticks to Loss</t>
  </si>
  <si>
    <t>Portfolio Delta at that point</t>
  </si>
  <si>
    <t>REQUIRED STOP LOSS ORDERS</t>
  </si>
  <si>
    <t>Buy Stop</t>
  </si>
  <si>
    <t>Net Liquidation</t>
  </si>
  <si>
    <t>Current Initial</t>
  </si>
  <si>
    <t>Maintenance</t>
  </si>
  <si>
    <t>Available</t>
  </si>
  <si>
    <t>Unrealized</t>
  </si>
  <si>
    <t>Realized</t>
  </si>
  <si>
    <t>Subscription Status</t>
  </si>
  <si>
    <t>Account Ready</t>
  </si>
  <si>
    <t>Account Current Time</t>
  </si>
  <si>
    <t>Sell Stop</t>
  </si>
  <si>
    <t>Downward Tick Bufffer</t>
  </si>
  <si>
    <t>Upward Tick Buffer</t>
  </si>
  <si>
    <t>Order Size</t>
  </si>
  <si>
    <t>Short DI Length</t>
  </si>
  <si>
    <t>Long DI Length</t>
  </si>
  <si>
    <t>Threshold</t>
  </si>
  <si>
    <t>Stop/Reset Level</t>
  </si>
  <si>
    <t>Ticks until Cancel</t>
  </si>
  <si>
    <t>Passive/Aggressivve</t>
  </si>
  <si>
    <t>Hedging Contracts</t>
  </si>
  <si>
    <t>OfferSize</t>
  </si>
  <si>
    <t>Market Price</t>
  </si>
  <si>
    <t>Market Value</t>
  </si>
  <si>
    <t>Avg Cost</t>
  </si>
  <si>
    <t>Unrealized PnL</t>
  </si>
  <si>
    <t>Realzed PnL</t>
  </si>
  <si>
    <t>Closest Stike DOWN</t>
  </si>
  <si>
    <t>Closest Strike UP</t>
  </si>
  <si>
    <t>Current Required Hedge</t>
  </si>
  <si>
    <t>Short MA</t>
  </si>
  <si>
    <t>Long MA</t>
  </si>
  <si>
    <t>Open Orders</t>
  </si>
  <si>
    <t>Pre-Trade commissions and margin information</t>
  </si>
  <si>
    <t>Commission</t>
  </si>
  <si>
    <t>Eq With Loan</t>
  </si>
  <si>
    <t>Init Margin</t>
  </si>
  <si>
    <t>Maint Margin</t>
  </si>
  <si>
    <t>Market price</t>
  </si>
  <si>
    <t>RealizedPNL</t>
  </si>
  <si>
    <t>Executions</t>
  </si>
  <si>
    <t>ROW_EXECUTIONS</t>
  </si>
  <si>
    <t>ROW_EXECUTIONS_LAST</t>
  </si>
  <si>
    <t>PORTF_FIRST_ROW</t>
  </si>
  <si>
    <t>PORTF_LAST_ROW</t>
  </si>
  <si>
    <t>Unrealized PNL</t>
  </si>
  <si>
    <t>6BH5</t>
  </si>
  <si>
    <t>RISK_FREE_RATE</t>
  </si>
  <si>
    <t>ROW_FIRST_OPEN_ORDERS</t>
  </si>
  <si>
    <t>ROW_COUNT_OPEN_ORDERS</t>
  </si>
  <si>
    <t>BUY</t>
  </si>
  <si>
    <t>LMT</t>
  </si>
  <si>
    <t>AutoStopper</t>
  </si>
  <si>
    <t>off-Ticks</t>
  </si>
  <si>
    <t>off-Qty</t>
  </si>
  <si>
    <t>Parameters</t>
  </si>
  <si>
    <t>AUTOSTOP_FIRST_ROW</t>
  </si>
  <si>
    <t>AUTOSTOP_FIRST_COL</t>
  </si>
  <si>
    <t>PreSubmitted</t>
  </si>
  <si>
    <t>SELL</t>
  </si>
  <si>
    <t>Current Position</t>
  </si>
  <si>
    <t>Hedge Shortfall</t>
  </si>
  <si>
    <t>ID</t>
  </si>
  <si>
    <t>Status Message</t>
  </si>
  <si>
    <t>Orders Placed</t>
  </si>
  <si>
    <t>Orders Cancelled</t>
  </si>
  <si>
    <t>Volume</t>
  </si>
  <si>
    <t>Average Order Time</t>
  </si>
  <si>
    <t>ROW_ORDER_STATS</t>
  </si>
  <si>
    <t>ROW_ORDER_STATUS</t>
  </si>
  <si>
    <t xml:space="preserve"> </t>
  </si>
  <si>
    <t>AutoShaper</t>
  </si>
  <si>
    <t>Calls</t>
  </si>
  <si>
    <t>Puts</t>
  </si>
  <si>
    <t>Target Position</t>
  </si>
  <si>
    <t>Acutal Position</t>
  </si>
  <si>
    <t>Actual Position</t>
  </si>
  <si>
    <t>Position Code</t>
  </si>
  <si>
    <t>Target Margin %</t>
  </si>
  <si>
    <t>ROW_HEDGE_INSTRUMENT</t>
  </si>
  <si>
    <t>ROW_ACCOUNT_INFO</t>
  </si>
  <si>
    <t>Not Subscribed</t>
  </si>
  <si>
    <t>TWS Control NOT connected</t>
  </si>
  <si>
    <t>Not Ready</t>
  </si>
  <si>
    <t>Distance to Strike</t>
  </si>
  <si>
    <t>Distance to Trigger</t>
  </si>
  <si>
    <t>Diatance to Strike</t>
  </si>
  <si>
    <t>2015-2-11 11:56:50.151: Main - Initialize - initializing...</t>
  </si>
  <si>
    <t>AUTOSHAPER_FIRST_ROW</t>
  </si>
  <si>
    <t>AUTOSHAPER_FIRST_COL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</si>
</sst>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43" formatCode="_-* #,##0.00_-;\-* #,##0.00_-;_-* &quot;-&quot;??_-;_-@_-"/>
    <numFmt numFmtId="164" formatCode="_(&quot;$&quot;* #,##0.00_);_(&quot;$&quot;* \(#,##0.00\);_(&quot;$&quot;* &quot;-&quot;??_);_(@_)"/>
    <numFmt numFmtId="165" formatCode="0.0000"/>
    <numFmt numFmtId="166" formatCode="0.000000"/>
    <numFmt numFmtId="167" formatCode="0.00000"/>
    <numFmt numFmtId="168" formatCode="_-* #,##0.0000000_-;\-* #,##0.0000000_-;_-* &quot;-&quot;??_-;_-@_-"/>
    <numFmt numFmtId="169" formatCode="0.000"/>
    <numFmt numFmtId="170" formatCode="0.000E+00"/>
    <numFmt numFmtId="171" formatCode="_-[$$-409]* #,##0.00_ ;_-[$$-409]* \-#,##0.00\ ;_-[$$-409]* &quot;-&quot;??_ ;_-@_ "/>
    <numFmt numFmtId="172" formatCode="_-[$$-409]* #,##0.0000_ ;_-[$$-409]* \-#,##0.0000\ ;_-[$$-409]* &quot;-&quot;??_ ;_-@_ "/>
    <numFmt numFmtId="173" formatCode="0.0"/>
    <numFmt numFmtId="174" formatCode="_-[$$-409]* #,##0_ ;_-[$$-409]* \-#,##0\ ;_-[$$-409]* &quot;-&quot;??_ ;_-@_ "/>
    <numFmt numFmtId="175" formatCode="_-* #,##0.0000_-;\-* #,##0.0000_-;_-* &quot;-&quot;??_-;_-@_-"/>
  </numFmts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indexed="9"/>
      <name val="Calibri"/>
      <family val="2"/>
    </font>
    <font>
      <sz val="11"/>
      <name val="Calibri"/>
      <family val="2"/>
    </font>
    <font>
      <sz val="11"/>
      <color indexed="13"/>
      <name val="Calibri"/>
      <family val="2"/>
    </font>
    <font>
      <b/>
      <sz val="11"/>
      <color indexed="9"/>
      <name val="Calibri"/>
      <family val="2"/>
    </font>
    <font>
      <b/>
      <sz val="11"/>
      <color indexed="8"/>
      <name val="Calibri"/>
      <family val="2"/>
    </font>
    <font>
      <b/>
      <sz val="9"/>
      <color indexed="9"/>
      <name val="Calibri"/>
      <family val="2"/>
    </font>
    <font>
      <b/>
      <sz val="12"/>
      <color rgb="FFFFFF00"/>
      <name val="Calibri"/>
      <family val="2"/>
    </font>
    <font>
      <sz val="10"/>
      <name val="Calibri"/>
      <family val="2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6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indexed="6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39997558519241921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ck">
        <color auto="1"/>
      </bottom>
      <diagonal/>
    </border>
  </borders>
  <cellStyleXfs count="4">
    <xf numFmtId="0" fontId="0" fillId="0" borderId="0"/>
    <xf numFmtId="16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37">
    <xf numFmtId="0" fontId="0" fillId="0" borderId="0" xfId="0"/>
    <xf numFmtId="0" fontId="6" fillId="4" borderId="1" xfId="0" applyFont="1" applyFill="1" applyBorder="1" applyAlignment="1">
      <alignment horizontal="center" wrapText="1"/>
    </xf>
    <xf numFmtId="0" fontId="3" fillId="3" borderId="1" xfId="0" applyFont="1" applyFill="1" applyBorder="1"/>
    <xf numFmtId="0" fontId="3" fillId="3" borderId="0" xfId="0" applyFont="1" applyFill="1" applyBorder="1" applyAlignment="1"/>
    <xf numFmtId="0" fontId="0" fillId="3" borderId="5" xfId="0" applyFill="1" applyBorder="1" applyAlignment="1">
      <alignment horizontal="center"/>
    </xf>
    <xf numFmtId="164" fontId="3" fillId="3" borderId="0" xfId="1" applyFont="1" applyFill="1" applyBorder="1" applyAlignment="1"/>
    <xf numFmtId="164" fontId="0" fillId="3" borderId="0" xfId="1" applyFont="1" applyFill="1" applyBorder="1" applyAlignment="1">
      <alignment horizontal="center"/>
    </xf>
    <xf numFmtId="0" fontId="0" fillId="6" borderId="7" xfId="0" quotePrefix="1" applyFill="1" applyBorder="1"/>
    <xf numFmtId="0" fontId="0" fillId="6" borderId="8" xfId="0" applyFill="1" applyBorder="1"/>
    <xf numFmtId="0" fontId="0" fillId="6" borderId="9" xfId="0" applyFill="1" applyBorder="1"/>
    <xf numFmtId="0" fontId="2" fillId="2" borderId="1" xfId="0" applyFont="1" applyFill="1" applyBorder="1" applyAlignment="1">
      <alignment wrapText="1"/>
    </xf>
    <xf numFmtId="0" fontId="0" fillId="0" borderId="0" xfId="0" applyAlignment="1">
      <alignment wrapText="1"/>
    </xf>
    <xf numFmtId="0" fontId="8" fillId="7" borderId="0" xfId="0" applyFont="1" applyFill="1" applyBorder="1" applyAlignment="1"/>
    <xf numFmtId="0" fontId="8" fillId="7" borderId="5" xfId="0" applyFont="1" applyFill="1" applyBorder="1" applyAlignment="1"/>
    <xf numFmtId="0" fontId="6" fillId="4" borderId="1" xfId="0" applyFont="1" applyFill="1" applyBorder="1" applyAlignment="1">
      <alignment horizontal="center"/>
    </xf>
    <xf numFmtId="0" fontId="3" fillId="3" borderId="1" xfId="0" applyFont="1" applyFill="1" applyBorder="1" applyAlignment="1">
      <alignment horizontal="center"/>
    </xf>
    <xf numFmtId="0" fontId="4" fillId="8" borderId="1" xfId="0" applyFont="1" applyFill="1" applyBorder="1"/>
    <xf numFmtId="0" fontId="5" fillId="5" borderId="2" xfId="0" applyFont="1" applyFill="1" applyBorder="1" applyAlignment="1"/>
    <xf numFmtId="0" fontId="9" fillId="3" borderId="1" xfId="0" applyFont="1" applyFill="1" applyBorder="1" applyAlignment="1">
      <alignment wrapText="1"/>
    </xf>
    <xf numFmtId="0" fontId="5" fillId="5" borderId="3" xfId="0" applyFont="1" applyFill="1" applyBorder="1" applyAlignment="1"/>
    <xf numFmtId="0" fontId="4" fillId="8" borderId="1" xfId="0" applyFont="1" applyFill="1" applyBorder="1" applyAlignment="1">
      <alignment horizontal="right"/>
    </xf>
    <xf numFmtId="2" fontId="4" fillId="8" borderId="1" xfId="0" applyNumberFormat="1" applyFont="1" applyFill="1" applyBorder="1"/>
    <xf numFmtId="11" fontId="4" fillId="8" borderId="1" xfId="0" applyNumberFormat="1" applyFont="1" applyFill="1" applyBorder="1" applyAlignment="1">
      <alignment horizontal="right"/>
    </xf>
    <xf numFmtId="0" fontId="0" fillId="0" borderId="3" xfId="0" applyBorder="1" applyAlignment="1"/>
    <xf numFmtId="0" fontId="0" fillId="0" borderId="13" xfId="0" applyBorder="1" applyAlignment="1"/>
    <xf numFmtId="0" fontId="0" fillId="6" borderId="7" xfId="0" applyFill="1" applyBorder="1"/>
    <xf numFmtId="0" fontId="0" fillId="6" borderId="10" xfId="0" applyFill="1" applyBorder="1"/>
    <xf numFmtId="0" fontId="10" fillId="0" borderId="0" xfId="0" applyFont="1"/>
    <xf numFmtId="164" fontId="3" fillId="3" borderId="1" xfId="1" applyFont="1" applyFill="1" applyBorder="1"/>
    <xf numFmtId="165" fontId="0" fillId="0" borderId="0" xfId="0" applyNumberFormat="1"/>
    <xf numFmtId="166" fontId="8" fillId="7" borderId="0" xfId="0" applyNumberFormat="1" applyFont="1" applyFill="1" applyBorder="1" applyAlignment="1"/>
    <xf numFmtId="0" fontId="2" fillId="2" borderId="15" xfId="0" applyFont="1" applyFill="1" applyBorder="1" applyAlignment="1"/>
    <xf numFmtId="0" fontId="12" fillId="0" borderId="0" xfId="0" applyFont="1"/>
    <xf numFmtId="167" fontId="3" fillId="3" borderId="1" xfId="0" applyNumberFormat="1" applyFont="1" applyFill="1" applyBorder="1"/>
    <xf numFmtId="168" fontId="3" fillId="3" borderId="1" xfId="2" applyNumberFormat="1" applyFont="1" applyFill="1" applyBorder="1"/>
    <xf numFmtId="0" fontId="2" fillId="2" borderId="4" xfId="0" applyFont="1" applyFill="1" applyBorder="1" applyAlignment="1"/>
    <xf numFmtId="0" fontId="13" fillId="0" borderId="0" xfId="0" applyFont="1"/>
    <xf numFmtId="0" fontId="14" fillId="0" borderId="0" xfId="0" applyFont="1"/>
    <xf numFmtId="0" fontId="14" fillId="0" borderId="0" xfId="0" applyFont="1" applyAlignment="1">
      <alignment wrapText="1"/>
    </xf>
    <xf numFmtId="0" fontId="15" fillId="0" borderId="0" xfId="0" applyFont="1"/>
    <xf numFmtId="0" fontId="15" fillId="0" borderId="0" xfId="0" applyFont="1" applyAlignment="1">
      <alignment wrapText="1"/>
    </xf>
    <xf numFmtId="167" fontId="0" fillId="0" borderId="0" xfId="0" applyNumberFormat="1"/>
    <xf numFmtId="170" fontId="0" fillId="0" borderId="0" xfId="0" applyNumberFormat="1"/>
    <xf numFmtId="172" fontId="0" fillId="0" borderId="0" xfId="0" applyNumberFormat="1"/>
    <xf numFmtId="172" fontId="14" fillId="0" borderId="0" xfId="0" applyNumberFormat="1" applyFont="1"/>
    <xf numFmtId="0" fontId="12" fillId="0" borderId="0" xfId="0" applyFont="1" applyAlignment="1">
      <alignment wrapText="1"/>
    </xf>
    <xf numFmtId="1" fontId="16" fillId="0" borderId="0" xfId="0" applyNumberFormat="1" applyFont="1" applyAlignment="1">
      <alignment wrapText="1"/>
    </xf>
    <xf numFmtId="0" fontId="2" fillId="2" borderId="1" xfId="0" applyFont="1" applyFill="1" applyBorder="1" applyAlignment="1"/>
    <xf numFmtId="171" fontId="0" fillId="0" borderId="0" xfId="0" applyNumberFormat="1"/>
    <xf numFmtId="173" fontId="0" fillId="0" borderId="0" xfId="0" applyNumberFormat="1"/>
    <xf numFmtId="0" fontId="2" fillId="2" borderId="4" xfId="0" applyFont="1" applyFill="1" applyBorder="1" applyAlignment="1">
      <alignment wrapText="1"/>
    </xf>
    <xf numFmtId="0" fontId="3" fillId="11" borderId="1" xfId="0" applyFont="1" applyFill="1" applyBorder="1"/>
    <xf numFmtId="10" fontId="3" fillId="3" borderId="1" xfId="3" applyNumberFormat="1" applyFont="1" applyFill="1" applyBorder="1"/>
    <xf numFmtId="165" fontId="3" fillId="3" borderId="1" xfId="0" applyNumberFormat="1" applyFont="1" applyFill="1" applyBorder="1"/>
    <xf numFmtId="165" fontId="3" fillId="3" borderId="1" xfId="2" applyNumberFormat="1" applyFont="1" applyFill="1" applyBorder="1"/>
    <xf numFmtId="10" fontId="2" fillId="2" borderId="15" xfId="0" applyNumberFormat="1" applyFont="1" applyFill="1" applyBorder="1" applyAlignment="1"/>
    <xf numFmtId="10" fontId="0" fillId="0" borderId="0" xfId="0" applyNumberFormat="1"/>
    <xf numFmtId="169" fontId="0" fillId="0" borderId="0" xfId="0" applyNumberFormat="1"/>
    <xf numFmtId="43" fontId="0" fillId="0" borderId="0" xfId="2" applyNumberFormat="1" applyFont="1"/>
    <xf numFmtId="43" fontId="2" fillId="2" borderId="4" xfId="2" applyNumberFormat="1" applyFont="1" applyFill="1" applyBorder="1" applyAlignment="1"/>
    <xf numFmtId="0" fontId="5" fillId="5" borderId="2" xfId="0" applyFont="1" applyFill="1" applyBorder="1" applyAlignment="1">
      <alignment horizontal="center"/>
    </xf>
    <xf numFmtId="0" fontId="2" fillId="2" borderId="1" xfId="0" applyFont="1" applyFill="1" applyBorder="1" applyAlignment="1"/>
    <xf numFmtId="0" fontId="0" fillId="3" borderId="4" xfId="0" applyFill="1" applyBorder="1" applyAlignment="1">
      <alignment horizontal="center"/>
    </xf>
    <xf numFmtId="0" fontId="0" fillId="3" borderId="0" xfId="0" applyFill="1" applyBorder="1" applyAlignment="1">
      <alignment horizontal="center"/>
    </xf>
    <xf numFmtId="0" fontId="3" fillId="3" borderId="1" xfId="0" applyFont="1" applyFill="1" applyBorder="1" applyAlignment="1"/>
    <xf numFmtId="0" fontId="2" fillId="2" borderId="6" xfId="0" applyFont="1" applyFill="1" applyBorder="1" applyAlignment="1"/>
    <xf numFmtId="20" fontId="4" fillId="4" borderId="1" xfId="0" applyNumberFormat="1" applyFont="1" applyFill="1" applyBorder="1" applyAlignment="1"/>
    <xf numFmtId="0" fontId="4" fillId="4" borderId="1" xfId="0" applyFont="1" applyFill="1" applyBorder="1" applyAlignment="1"/>
    <xf numFmtId="0" fontId="0" fillId="0" borderId="3" xfId="0" applyBorder="1" applyAlignment="1">
      <alignment horizontal="center"/>
    </xf>
    <xf numFmtId="0" fontId="6" fillId="4" borderId="1" xfId="0" applyFont="1" applyFill="1" applyBorder="1" applyAlignment="1">
      <alignment horizontal="center"/>
    </xf>
    <xf numFmtId="0" fontId="6" fillId="4" borderId="1" xfId="0" applyFont="1" applyFill="1" applyBorder="1" applyAlignment="1">
      <alignment horizontal="center"/>
    </xf>
    <xf numFmtId="0" fontId="7" fillId="2" borderId="0" xfId="0" applyFont="1" applyFill="1" applyBorder="1" applyAlignment="1"/>
    <xf numFmtId="0" fontId="7" fillId="2" borderId="0" xfId="0" applyFont="1" applyFill="1" applyBorder="1" applyAlignment="1"/>
    <xf numFmtId="2" fontId="17" fillId="10" borderId="0" xfId="0" applyNumberFormat="1" applyFont="1" applyFill="1"/>
    <xf numFmtId="2" fontId="8" fillId="7" borderId="0" xfId="0" applyNumberFormat="1" applyFont="1" applyFill="1" applyBorder="1" applyAlignment="1"/>
    <xf numFmtId="173" fontId="8" fillId="7" borderId="0" xfId="0" applyNumberFormat="1" applyFont="1" applyFill="1" applyBorder="1" applyAlignment="1"/>
    <xf numFmtId="1" fontId="8" fillId="7" borderId="0" xfId="0" applyNumberFormat="1" applyFont="1" applyFill="1" applyBorder="1" applyAlignment="1"/>
    <xf numFmtId="174" fontId="8" fillId="7" borderId="0" xfId="0" applyNumberFormat="1" applyFont="1" applyFill="1" applyBorder="1" applyAlignment="1"/>
    <xf numFmtId="1" fontId="17" fillId="10" borderId="0" xfId="0" applyNumberFormat="1" applyFont="1" applyFill="1"/>
    <xf numFmtId="0" fontId="3" fillId="10" borderId="2" xfId="0" applyFont="1" applyFill="1" applyBorder="1" applyAlignment="1"/>
    <xf numFmtId="0" fontId="3" fillId="10" borderId="13" xfId="0" applyFont="1" applyFill="1" applyBorder="1" applyAlignment="1"/>
    <xf numFmtId="0" fontId="3" fillId="10" borderId="1" xfId="0" applyFont="1" applyFill="1" applyBorder="1" applyAlignment="1"/>
    <xf numFmtId="0" fontId="0" fillId="10" borderId="4" xfId="0" applyFill="1" applyBorder="1" applyAlignment="1">
      <alignment horizontal="center"/>
    </xf>
    <xf numFmtId="0" fontId="0" fillId="10" borderId="0" xfId="0" applyFill="1" applyBorder="1" applyAlignment="1">
      <alignment horizontal="center"/>
    </xf>
    <xf numFmtId="165" fontId="8" fillId="7" borderId="0" xfId="0" applyNumberFormat="1" applyFont="1" applyFill="1" applyBorder="1" applyAlignment="1"/>
    <xf numFmtId="175" fontId="0" fillId="0" borderId="0" xfId="2" applyNumberFormat="1" applyFont="1"/>
    <xf numFmtId="1" fontId="0" fillId="0" borderId="0" xfId="0" applyNumberFormat="1"/>
    <xf numFmtId="0" fontId="6" fillId="4" borderId="2" xfId="0" applyFont="1" applyFill="1" applyBorder="1" applyAlignment="1" applyProtection="1">
      <alignment wrapText="1"/>
      <protection locked="0"/>
    </xf>
    <xf numFmtId="0" fontId="6" fillId="4" borderId="3" xfId="0" applyFont="1" applyFill="1" applyBorder="1" applyAlignment="1" applyProtection="1">
      <alignment wrapText="1"/>
      <protection locked="0"/>
    </xf>
    <xf numFmtId="0" fontId="6" fillId="4" borderId="14" xfId="0" applyFont="1" applyFill="1" applyBorder="1" applyAlignment="1" applyProtection="1">
      <alignment horizontal="center" wrapText="1"/>
      <protection locked="0"/>
    </xf>
    <xf numFmtId="0" fontId="6" fillId="4" borderId="1" xfId="0" applyFont="1" applyFill="1" applyBorder="1" applyAlignment="1" applyProtection="1">
      <alignment horizontal="center" wrapText="1"/>
      <protection locked="0"/>
    </xf>
    <xf numFmtId="0" fontId="7" fillId="2" borderId="0" xfId="0" applyFont="1" applyFill="1" applyBorder="1" applyAlignment="1"/>
    <xf numFmtId="0" fontId="7" fillId="2" borderId="0" xfId="0" applyFont="1" applyFill="1" applyBorder="1" applyAlignment="1"/>
    <xf numFmtId="0" fontId="7" fillId="2" borderId="8" xfId="0" applyFont="1" applyFill="1" applyBorder="1" applyAlignment="1">
      <alignment horizontal="center"/>
    </xf>
    <xf numFmtId="0" fontId="7" fillId="2" borderId="8" xfId="0" applyFont="1" applyFill="1" applyBorder="1" applyAlignment="1">
      <alignment horizontal="left" wrapText="1"/>
    </xf>
    <xf numFmtId="9" fontId="17" fillId="10" borderId="0" xfId="3" applyFont="1" applyFill="1"/>
    <xf numFmtId="0" fontId="7" fillId="2" borderId="0" xfId="0" applyFont="1" applyFill="1" applyBorder="1" applyAlignment="1">
      <alignment horizontal="left" wrapText="1"/>
    </xf>
    <xf numFmtId="0" fontId="18" fillId="6" borderId="16" xfId="0" applyFont="1" applyFill="1" applyBorder="1" applyAlignment="1">
      <alignment horizontal="center"/>
    </xf>
    <xf numFmtId="0" fontId="18" fillId="6" borderId="0" xfId="0" applyFont="1" applyFill="1" applyBorder="1" applyAlignment="1">
      <alignment horizontal="center"/>
    </xf>
    <xf numFmtId="0" fontId="2" fillId="6" borderId="11" xfId="0" applyFont="1" applyFill="1" applyBorder="1" applyAlignment="1"/>
    <xf numFmtId="0" fontId="2" fillId="6" borderId="12" xfId="0" applyFont="1" applyFill="1" applyBorder="1" applyAlignment="1"/>
    <xf numFmtId="0" fontId="18" fillId="6" borderId="8" xfId="0" applyFont="1" applyFill="1" applyBorder="1" applyAlignment="1">
      <alignment horizontal="center"/>
    </xf>
    <xf numFmtId="0" fontId="11" fillId="9" borderId="0" xfId="0" applyFont="1" applyFill="1" applyAlignment="1">
      <alignment horizontal="center"/>
    </xf>
    <xf numFmtId="0" fontId="6" fillId="4" borderId="3" xfId="0" applyFont="1" applyFill="1" applyBorder="1" applyAlignment="1" applyProtection="1">
      <alignment horizontal="center" wrapText="1"/>
      <protection locked="0"/>
    </xf>
    <xf numFmtId="0" fontId="6" fillId="4" borderId="13" xfId="0" applyFont="1" applyFill="1" applyBorder="1" applyAlignment="1" applyProtection="1">
      <alignment horizontal="center" wrapText="1"/>
      <protection locked="0"/>
    </xf>
    <xf numFmtId="0" fontId="5" fillId="5" borderId="2" xfId="0" applyFont="1" applyFill="1" applyBorder="1" applyAlignment="1" applyProtection="1">
      <alignment horizontal="center"/>
      <protection locked="0"/>
    </xf>
    <xf numFmtId="0" fontId="5" fillId="5" borderId="3" xfId="0" applyFont="1" applyFill="1" applyBorder="1" applyAlignment="1" applyProtection="1">
      <alignment horizontal="center"/>
      <protection locked="0"/>
    </xf>
    <xf numFmtId="0" fontId="6" fillId="4" borderId="10" xfId="0" applyFont="1" applyFill="1" applyBorder="1" applyAlignment="1">
      <alignment horizontal="center"/>
    </xf>
    <xf numFmtId="0" fontId="6" fillId="4" borderId="11" xfId="0" applyFont="1" applyFill="1" applyBorder="1" applyAlignment="1">
      <alignment horizontal="center"/>
    </xf>
    <xf numFmtId="0" fontId="5" fillId="5" borderId="3" xfId="0" applyFont="1" applyFill="1" applyBorder="1" applyAlignment="1">
      <alignment horizontal="center"/>
    </xf>
    <xf numFmtId="0" fontId="2" fillId="6" borderId="10" xfId="0" applyFont="1" applyFill="1" applyBorder="1" applyAlignment="1"/>
    <xf numFmtId="0" fontId="5" fillId="5" borderId="4" xfId="0" applyFont="1" applyFill="1" applyBorder="1" applyAlignment="1">
      <alignment horizontal="center"/>
    </xf>
    <xf numFmtId="0" fontId="5" fillId="5" borderId="0" xfId="0" applyFont="1" applyFill="1" applyBorder="1" applyAlignment="1">
      <alignment horizontal="center"/>
    </xf>
    <xf numFmtId="0" fontId="7" fillId="2" borderId="8" xfId="0" applyFont="1" applyFill="1" applyBorder="1" applyAlignment="1">
      <alignment horizontal="left"/>
    </xf>
    <xf numFmtId="0" fontId="18" fillId="6" borderId="0" xfId="0" applyFont="1" applyFill="1" applyBorder="1" applyAlignment="1">
      <alignment horizontal="center"/>
    </xf>
    <xf numFmtId="0" fontId="7" fillId="2" borderId="4" xfId="0" applyFont="1" applyFill="1" applyBorder="1" applyAlignment="1"/>
    <xf numFmtId="0" fontId="7" fillId="2" borderId="0" xfId="0" applyFont="1" applyFill="1" applyBorder="1" applyAlignment="1"/>
    <xf numFmtId="0" fontId="0" fillId="3" borderId="7" xfId="0" applyFill="1" applyBorder="1" applyAlignment="1">
      <alignment horizontal="left"/>
    </xf>
    <xf numFmtId="0" fontId="0" fillId="3" borderId="9" xfId="0" applyFill="1" applyBorder="1" applyAlignment="1">
      <alignment horizontal="left"/>
    </xf>
    <xf numFmtId="0" fontId="2" fillId="2" borderId="1" xfId="0" applyFont="1" applyFill="1" applyBorder="1" applyAlignment="1"/>
    <xf numFmtId="0" fontId="3" fillId="3" borderId="1" xfId="0" applyFont="1" applyFill="1" applyBorder="1" applyAlignment="1"/>
    <xf numFmtId="20" fontId="4" fillId="4" borderId="1" xfId="0" applyNumberFormat="1" applyFont="1" applyFill="1" applyBorder="1" applyAlignment="1"/>
    <xf numFmtId="0" fontId="4" fillId="4" borderId="1" xfId="0" applyFont="1" applyFill="1" applyBorder="1" applyAlignment="1"/>
    <xf numFmtId="0" fontId="0" fillId="3" borderId="4" xfId="0" applyFill="1" applyBorder="1" applyAlignment="1">
      <alignment horizontal="center"/>
    </xf>
    <xf numFmtId="0" fontId="0" fillId="3" borderId="0" xfId="0" applyFill="1" applyBorder="1" applyAlignment="1">
      <alignment horizontal="center"/>
    </xf>
    <xf numFmtId="0" fontId="5" fillId="5" borderId="2" xfId="0" applyFont="1" applyFill="1" applyBorder="1" applyAlignment="1">
      <alignment horizontal="center"/>
    </xf>
    <xf numFmtId="0" fontId="3" fillId="10" borderId="1" xfId="0" applyFont="1" applyFill="1" applyBorder="1" applyAlignment="1"/>
    <xf numFmtId="0" fontId="0" fillId="10" borderId="4" xfId="0" applyFill="1" applyBorder="1" applyAlignment="1">
      <alignment horizontal="center"/>
    </xf>
    <xf numFmtId="0" fontId="0" fillId="10" borderId="0" xfId="0" applyFill="1" applyBorder="1" applyAlignment="1">
      <alignment horizontal="center"/>
    </xf>
    <xf numFmtId="0" fontId="2" fillId="2" borderId="6" xfId="0" applyFont="1" applyFill="1" applyBorder="1" applyAlignment="1"/>
    <xf numFmtId="0" fontId="0" fillId="0" borderId="3" xfId="0" applyBorder="1" applyAlignment="1">
      <alignment horizontal="center"/>
    </xf>
    <xf numFmtId="0" fontId="0" fillId="12" borderId="0" xfId="0" applyFill="1" applyAlignment="1">
      <alignment horizontal="center"/>
    </xf>
    <xf numFmtId="0" fontId="6" fillId="4" borderId="2" xfId="0" applyFont="1" applyFill="1" applyBorder="1" applyAlignment="1">
      <alignment horizontal="center"/>
    </xf>
    <xf numFmtId="0" fontId="0" fillId="0" borderId="13" xfId="0" applyBorder="1" applyAlignment="1">
      <alignment horizontal="center"/>
    </xf>
    <xf numFmtId="0" fontId="6" fillId="4" borderId="1" xfId="0" applyFont="1" applyFill="1" applyBorder="1" applyAlignment="1">
      <alignment horizontal="center"/>
    </xf>
    <xf numFmtId="0" fontId="0" fillId="0" borderId="11" xfId="0" applyBorder="1" applyAlignment="1"/>
    <xf numFmtId="0" fontId="18" fillId="6" borderId="16" xfId="0" applyFont="1" applyFill="1" applyBorder="1" applyAlignment="1">
      <alignment horizontal="center"/>
    </xf>
  </cellXfs>
  <cellStyles count="4">
    <cellStyle name="Comma" xfId="2" builtinId="3"/>
    <cellStyle name="Currency" xfId="1" builtinId="4"/>
    <cellStyle name="Normal" xfId="0" builtinId="0"/>
    <cellStyle name="Percent" xfId="3" builtinId="5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0</xdr:row>
          <xdr:rowOff>0</xdr:rowOff>
        </xdr:from>
        <xdr:to>
          <xdr:col>0</xdr:col>
          <xdr:colOff>800100</xdr:colOff>
          <xdr:row>1</xdr:row>
          <xdr:rowOff>114300</xdr:rowOff>
        </xdr:to>
        <xdr:sp macro="" textlink="">
          <xdr:nvSpPr>
            <xdr:cNvPr id="14337" name="cmbConnect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809625</xdr:colOff>
          <xdr:row>0</xdr:row>
          <xdr:rowOff>0</xdr:rowOff>
        </xdr:from>
        <xdr:to>
          <xdr:col>2</xdr:col>
          <xdr:colOff>57150</xdr:colOff>
          <xdr:row>1</xdr:row>
          <xdr:rowOff>114300</xdr:rowOff>
        </xdr:to>
        <xdr:sp macro="" textlink="">
          <xdr:nvSpPr>
            <xdr:cNvPr id="14338" name="cmbSubscribeAccountInfo" hidden="1">
              <a:extLst>
                <a:ext uri="{63B3BB69-23CF-44E3-9099-C40C66FF867C}">
                  <a14:compatExt spid="_x0000_s143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304800</xdr:colOff>
          <xdr:row>0</xdr:row>
          <xdr:rowOff>0</xdr:rowOff>
        </xdr:from>
        <xdr:to>
          <xdr:col>3</xdr:col>
          <xdr:colOff>381000</xdr:colOff>
          <xdr:row>1</xdr:row>
          <xdr:rowOff>114300</xdr:rowOff>
        </xdr:to>
        <xdr:sp macro="" textlink="">
          <xdr:nvSpPr>
            <xdr:cNvPr id="14339" name="cmbSubscribePortfolio" hidden="1">
              <a:extLst>
                <a:ext uri="{63B3BB69-23CF-44E3-9099-C40C66FF867C}">
                  <a14:compatExt spid="_x0000_s143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</xdr:row>
          <xdr:rowOff>0</xdr:rowOff>
        </xdr:from>
        <xdr:to>
          <xdr:col>0</xdr:col>
          <xdr:colOff>1190625</xdr:colOff>
          <xdr:row>3</xdr:row>
          <xdr:rowOff>85725</xdr:rowOff>
        </xdr:to>
        <xdr:sp macro="" textlink="">
          <xdr:nvSpPr>
            <xdr:cNvPr id="14340" name="CommandButton1" hidden="1">
              <a:extLst>
                <a:ext uri="{63B3BB69-23CF-44E3-9099-C40C66FF867C}">
                  <a14:compatExt spid="_x0000_s143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9525</xdr:colOff>
          <xdr:row>19</xdr:row>
          <xdr:rowOff>9525</xdr:rowOff>
        </xdr:from>
        <xdr:to>
          <xdr:col>15</xdr:col>
          <xdr:colOff>590551</xdr:colOff>
          <xdr:row>19</xdr:row>
          <xdr:rowOff>266700</xdr:rowOff>
        </xdr:to>
        <xdr:sp macro="" textlink="">
          <xdr:nvSpPr>
            <xdr:cNvPr id="14341" name="obRebalanceOnStartup" hidden="1">
              <a:extLst>
                <a:ext uri="{63B3BB69-23CF-44E3-9099-C40C66FF867C}">
                  <a14:compatExt spid="_x0000_s143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9525</xdr:colOff>
          <xdr:row>20</xdr:row>
          <xdr:rowOff>76200</xdr:rowOff>
        </xdr:from>
        <xdr:to>
          <xdr:col>15</xdr:col>
          <xdr:colOff>590551</xdr:colOff>
          <xdr:row>21</xdr:row>
          <xdr:rowOff>66675</xdr:rowOff>
        </xdr:to>
        <xdr:sp macro="" textlink="">
          <xdr:nvSpPr>
            <xdr:cNvPr id="14342" name="obNoRebalanceOnStartup" hidden="1">
              <a:extLst>
                <a:ext uri="{63B3BB69-23CF-44E3-9099-C40C66FF867C}">
                  <a14:compatExt spid="_x0000_s143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266700</xdr:colOff>
          <xdr:row>0</xdr:row>
          <xdr:rowOff>9525</xdr:rowOff>
        </xdr:from>
        <xdr:to>
          <xdr:col>4</xdr:col>
          <xdr:colOff>200025</xdr:colOff>
          <xdr:row>1</xdr:row>
          <xdr:rowOff>114300</xdr:rowOff>
        </xdr:to>
        <xdr:sp macro="" textlink="">
          <xdr:nvSpPr>
            <xdr:cNvPr id="14343" name="cmbEnableAutoHedge" hidden="1">
              <a:extLst>
                <a:ext uri="{63B3BB69-23CF-44E3-9099-C40C66FF867C}">
                  <a14:compatExt spid="_x0000_s143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828675</xdr:colOff>
          <xdr:row>0</xdr:row>
          <xdr:rowOff>19050</xdr:rowOff>
        </xdr:from>
        <xdr:to>
          <xdr:col>21</xdr:col>
          <xdr:colOff>1200150</xdr:colOff>
          <xdr:row>1</xdr:row>
          <xdr:rowOff>152400</xdr:rowOff>
        </xdr:to>
        <xdr:sp macro="" textlink="">
          <xdr:nvSpPr>
            <xdr:cNvPr id="14344" name="cmbDumpContracts" hidden="1">
              <a:extLst>
                <a:ext uri="{63B3BB69-23CF-44E3-9099-C40C66FF867C}">
                  <a14:compatExt spid="_x0000_s143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523875</xdr:colOff>
          <xdr:row>13</xdr:row>
          <xdr:rowOff>19050</xdr:rowOff>
        </xdr:from>
        <xdr:to>
          <xdr:col>3</xdr:col>
          <xdr:colOff>257175</xdr:colOff>
          <xdr:row>14</xdr:row>
          <xdr:rowOff>47625</xdr:rowOff>
        </xdr:to>
        <xdr:sp macro="" textlink="">
          <xdr:nvSpPr>
            <xdr:cNvPr id="14345" name="cbPreserveContract" hidden="1">
              <a:extLst>
                <a:ext uri="{63B3BB69-23CF-44E3-9099-C40C66FF867C}">
                  <a14:compatExt spid="_x0000_s143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0</xdr:row>
          <xdr:rowOff>19050</xdr:rowOff>
        </xdr:from>
        <xdr:to>
          <xdr:col>5</xdr:col>
          <xdr:colOff>923925</xdr:colOff>
          <xdr:row>1</xdr:row>
          <xdr:rowOff>114300</xdr:rowOff>
        </xdr:to>
        <xdr:sp macro="" textlink="">
          <xdr:nvSpPr>
            <xdr:cNvPr id="14346" name="cmbEnableAutoStop" hidden="1">
              <a:extLst>
                <a:ext uri="{63B3BB69-23CF-44E3-9099-C40C66FF867C}">
                  <a14:compatExt spid="_x0000_s143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0</xdr:row>
          <xdr:rowOff>57150</xdr:rowOff>
        </xdr:from>
        <xdr:to>
          <xdr:col>5</xdr:col>
          <xdr:colOff>9525</xdr:colOff>
          <xdr:row>2</xdr:row>
          <xdr:rowOff>9525</xdr:rowOff>
        </xdr:to>
        <xdr:sp macro="" textlink="">
          <xdr:nvSpPr>
            <xdr:cNvPr id="13313" name="cmbSubscribeWatchlist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1.emf"/><Relationship Id="rId4" Type="http://schemas.openxmlformats.org/officeDocument/2006/relationships/control" Target="../activeX/activeX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AK1033"/>
  <sheetViews>
    <sheetView tabSelected="1" topLeftCell="A16" zoomScale="65" zoomScaleNormal="65" workbookViewId="0">
      <selection activeCell="M39" sqref="M39"/>
    </sheetView>
  </sheetViews>
  <sheetFormatPr defaultRowHeight="15" x14ac:dyDescent="0.25"/>
  <cols>
    <col min="1" max="1" width="19.28515625" customWidth="1"/>
    <col min="2" max="2" width="9.7109375" customWidth="1"/>
    <col min="3" max="3" width="23.7109375" customWidth="1"/>
    <col min="4" max="4" width="20.42578125" customWidth="1"/>
    <col min="5" max="5" width="16" customWidth="1"/>
    <col min="6" max="6" width="17.7109375" customWidth="1"/>
    <col min="7" max="7" width="15.7109375" customWidth="1"/>
    <col min="8" max="8" width="10.140625" customWidth="1"/>
    <col min="9" max="9" width="16" customWidth="1"/>
    <col min="10" max="10" width="15" customWidth="1"/>
    <col min="11" max="11" width="16.28515625" customWidth="1"/>
    <col min="12" max="12" width="9.28515625" bestFit="1" customWidth="1"/>
    <col min="13" max="13" width="15.7109375" customWidth="1"/>
    <col min="14" max="14" width="17.7109375" customWidth="1"/>
    <col min="15" max="15" width="21" customWidth="1"/>
    <col min="16" max="16" width="15" customWidth="1"/>
    <col min="17" max="17" width="17.28515625" customWidth="1"/>
    <col min="18" max="18" width="17.85546875" customWidth="1"/>
    <col min="19" max="19" width="15.5703125" bestFit="1" customWidth="1"/>
    <col min="20" max="20" width="17.28515625" customWidth="1"/>
    <col min="21" max="21" width="12.5703125" customWidth="1"/>
    <col min="22" max="22" width="20.28515625" bestFit="1" customWidth="1"/>
    <col min="23" max="23" width="19.28515625" bestFit="1" customWidth="1"/>
    <col min="24" max="24" width="11.42578125" customWidth="1"/>
    <col min="25" max="25" width="16.7109375" customWidth="1"/>
    <col min="26" max="26" width="19" customWidth="1"/>
    <col min="27" max="27" width="20.28515625" customWidth="1"/>
    <col min="28" max="28" width="20.7109375" customWidth="1"/>
    <col min="29" max="29" width="18" bestFit="1" customWidth="1"/>
    <col min="30" max="30" width="22.42578125" customWidth="1"/>
    <col min="31" max="31" width="15.140625" customWidth="1"/>
    <col min="32" max="32" width="16.5703125" customWidth="1"/>
    <col min="33" max="33" width="12.5703125" bestFit="1" customWidth="1"/>
    <col min="34" max="34" width="29.85546875" customWidth="1"/>
    <col min="35" max="35" width="14" customWidth="1"/>
    <col min="36" max="36" width="13.28515625" customWidth="1"/>
    <col min="37" max="37" width="13" bestFit="1" customWidth="1"/>
    <col min="38" max="38" width="12.7109375" customWidth="1"/>
    <col min="40" max="40" width="9.7109375" customWidth="1"/>
    <col min="41" max="41" width="13.140625" customWidth="1"/>
    <col min="42" max="42" width="16.42578125" customWidth="1"/>
    <col min="43" max="43" width="18.140625" customWidth="1"/>
  </cols>
  <sheetData>
    <row r="1" spans="1:36" x14ac:dyDescent="0.25">
      <c r="B1" t="s">
        <v>184</v>
      </c>
      <c r="C1">
        <v>3</v>
      </c>
      <c r="D1" t="s">
        <v>185</v>
      </c>
    </row>
    <row r="5" spans="1:36" x14ac:dyDescent="0.25">
      <c r="A5" s="60" t="s">
        <v>14</v>
      </c>
      <c r="B5" s="68"/>
      <c r="C5" s="68"/>
      <c r="D5" s="68"/>
      <c r="E5" s="68"/>
      <c r="F5" s="68"/>
      <c r="G5" s="68"/>
      <c r="H5" s="68"/>
      <c r="I5" s="68"/>
      <c r="J5" s="68"/>
      <c r="K5" s="68"/>
      <c r="L5" s="68"/>
      <c r="M5" s="68"/>
      <c r="N5" s="68"/>
      <c r="AF5" s="36"/>
    </row>
    <row r="6" spans="1:36" x14ac:dyDescent="0.25">
      <c r="A6" s="119" t="s">
        <v>124</v>
      </c>
      <c r="B6" s="119"/>
      <c r="C6" s="119"/>
      <c r="D6" s="119"/>
      <c r="E6" s="119" t="s">
        <v>125</v>
      </c>
      <c r="F6" s="119"/>
      <c r="G6" s="119" t="s">
        <v>126</v>
      </c>
      <c r="H6" s="119"/>
      <c r="I6" s="119" t="s">
        <v>127</v>
      </c>
      <c r="J6" s="119"/>
      <c r="K6" s="119" t="s">
        <v>128</v>
      </c>
      <c r="L6" s="119"/>
      <c r="M6" s="119" t="s">
        <v>129</v>
      </c>
      <c r="N6" s="119"/>
      <c r="O6" s="119"/>
      <c r="P6" s="119"/>
      <c r="Q6" s="119"/>
      <c r="R6" s="119"/>
      <c r="S6" s="119"/>
      <c r="T6" s="119"/>
      <c r="U6" s="61"/>
      <c r="V6" s="61"/>
      <c r="W6" s="61"/>
      <c r="AF6" s="36"/>
    </row>
    <row r="7" spans="1:36" x14ac:dyDescent="0.25">
      <c r="A7" s="120" t="s">
        <v>130</v>
      </c>
      <c r="B7" s="120"/>
      <c r="C7" s="120">
        <v>7497</v>
      </c>
      <c r="D7" s="120"/>
      <c r="E7" s="120">
        <v>7</v>
      </c>
      <c r="F7" s="120"/>
      <c r="G7" s="120">
        <v>5</v>
      </c>
      <c r="H7" s="120"/>
      <c r="I7" s="121">
        <v>0.96388888888888891</v>
      </c>
      <c r="J7" s="122"/>
      <c r="K7" s="117" t="s">
        <v>216</v>
      </c>
      <c r="L7" s="118"/>
      <c r="M7" s="123"/>
      <c r="N7" s="124"/>
      <c r="O7" s="123"/>
      <c r="P7" s="124"/>
      <c r="Q7" s="123"/>
      <c r="R7" s="124"/>
      <c r="S7" s="123"/>
      <c r="T7" s="124"/>
      <c r="U7" s="62"/>
      <c r="V7" s="63"/>
      <c r="W7" s="63"/>
      <c r="AF7" s="36"/>
    </row>
    <row r="11" spans="1:36" ht="23.25" x14ac:dyDescent="0.35">
      <c r="A11" s="17"/>
      <c r="B11" s="19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AB11" s="39"/>
    </row>
    <row r="12" spans="1:36" ht="23.25" x14ac:dyDescent="0.35">
      <c r="A12" s="129" t="s">
        <v>135</v>
      </c>
      <c r="B12" s="129"/>
      <c r="C12" s="129" t="s">
        <v>136</v>
      </c>
      <c r="D12" s="129"/>
      <c r="E12" s="65" t="s">
        <v>137</v>
      </c>
      <c r="F12" s="65"/>
      <c r="G12" s="129" t="s">
        <v>138</v>
      </c>
      <c r="H12" s="129"/>
      <c r="I12" s="129" t="s">
        <v>139</v>
      </c>
      <c r="J12" s="129"/>
      <c r="K12" s="119" t="s">
        <v>140</v>
      </c>
      <c r="L12" s="119"/>
      <c r="M12" s="119" t="s">
        <v>141</v>
      </c>
      <c r="N12" s="119"/>
      <c r="O12" s="61" t="s">
        <v>142</v>
      </c>
      <c r="P12" s="61"/>
      <c r="Q12" s="61" t="s">
        <v>143</v>
      </c>
      <c r="R12" s="61"/>
      <c r="S12" s="61"/>
      <c r="T12" s="61"/>
      <c r="U12" s="61"/>
      <c r="V12" s="61"/>
      <c r="W12" s="61"/>
      <c r="AB12" s="39"/>
    </row>
    <row r="13" spans="1:36" ht="23.25" x14ac:dyDescent="0.35">
      <c r="A13" s="5"/>
      <c r="B13" s="3"/>
      <c r="C13" s="5"/>
      <c r="D13" s="3">
        <v>416708.01</v>
      </c>
      <c r="E13" s="5"/>
      <c r="F13" s="5"/>
      <c r="G13" s="5"/>
      <c r="H13" s="5"/>
      <c r="I13" s="5"/>
      <c r="J13" s="5"/>
      <c r="K13" s="6"/>
      <c r="L13" s="4"/>
      <c r="M13" s="62" t="s">
        <v>215</v>
      </c>
      <c r="N13" s="63"/>
      <c r="O13" s="62" t="s">
        <v>217</v>
      </c>
      <c r="P13" s="63"/>
      <c r="Q13" s="66"/>
      <c r="R13" s="67"/>
      <c r="S13" s="62"/>
      <c r="T13" s="63"/>
      <c r="U13" s="62"/>
      <c r="V13" s="63"/>
      <c r="W13" s="63"/>
      <c r="Y13" s="39"/>
      <c r="Z13" s="39"/>
      <c r="AA13" s="39"/>
      <c r="AB13" s="39"/>
    </row>
    <row r="14" spans="1:36" ht="16.5" customHeight="1" x14ac:dyDescent="0.3">
      <c r="A14" s="17" t="s">
        <v>154</v>
      </c>
      <c r="B14" s="19"/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19"/>
      <c r="V14" s="19"/>
      <c r="W14" s="19"/>
      <c r="Y14" s="37"/>
      <c r="Z14" s="44"/>
      <c r="AA14" s="37"/>
      <c r="AB14" s="37"/>
    </row>
    <row r="15" spans="1:36" s="11" customFormat="1" ht="30.75" x14ac:dyDescent="0.3">
      <c r="A15" s="10" t="s">
        <v>0</v>
      </c>
      <c r="B15" s="10" t="s">
        <v>1</v>
      </c>
      <c r="C15" s="10"/>
      <c r="D15" s="10" t="s">
        <v>5</v>
      </c>
      <c r="E15" s="10"/>
      <c r="F15" s="10" t="s">
        <v>7</v>
      </c>
      <c r="G15" s="10" t="s">
        <v>8</v>
      </c>
      <c r="H15" s="10" t="s">
        <v>9</v>
      </c>
      <c r="I15" s="10" t="s">
        <v>10</v>
      </c>
      <c r="J15" s="10" t="s">
        <v>11</v>
      </c>
      <c r="K15" s="10" t="s">
        <v>19</v>
      </c>
      <c r="L15" s="10" t="s">
        <v>21</v>
      </c>
      <c r="M15" s="10" t="s">
        <v>22</v>
      </c>
      <c r="N15" s="10" t="s">
        <v>18</v>
      </c>
      <c r="O15" s="10" t="s">
        <v>20</v>
      </c>
      <c r="P15" s="10" t="s">
        <v>155</v>
      </c>
      <c r="Q15" s="10"/>
      <c r="R15" s="10" t="s">
        <v>156</v>
      </c>
      <c r="S15" s="10" t="s">
        <v>157</v>
      </c>
      <c r="T15" s="10" t="s">
        <v>158</v>
      </c>
      <c r="U15" s="10" t="s">
        <v>159</v>
      </c>
      <c r="V15" s="10" t="s">
        <v>160</v>
      </c>
      <c r="W15" s="10"/>
      <c r="Y15" s="38"/>
      <c r="Z15" s="38"/>
      <c r="AA15" s="38"/>
      <c r="AB15" s="38"/>
      <c r="AC15"/>
      <c r="AD15"/>
      <c r="AE15"/>
      <c r="AF15"/>
      <c r="AG15"/>
      <c r="AH15"/>
      <c r="AI15"/>
      <c r="AJ15"/>
    </row>
    <row r="16" spans="1:36" ht="18.75" x14ac:dyDescent="0.3">
      <c r="A16" s="64" t="s">
        <v>15</v>
      </c>
      <c r="B16" s="64" t="s">
        <v>24</v>
      </c>
      <c r="C16" s="64">
        <v>20150316</v>
      </c>
      <c r="D16" s="64">
        <v>62500</v>
      </c>
      <c r="E16" s="64"/>
      <c r="F16" s="64" t="s">
        <v>17</v>
      </c>
      <c r="G16" s="64" t="s">
        <v>16</v>
      </c>
      <c r="H16" s="64" t="s">
        <v>180</v>
      </c>
      <c r="I16" s="64" t="s">
        <v>25</v>
      </c>
      <c r="J16" s="64">
        <v>74</v>
      </c>
      <c r="K16" s="64">
        <v>1.5224</v>
      </c>
      <c r="L16" s="64"/>
      <c r="M16" s="64">
        <v>6</v>
      </c>
      <c r="N16" s="64">
        <v>1.5224</v>
      </c>
      <c r="O16" s="64">
        <v>1.5225</v>
      </c>
      <c r="P16" s="64">
        <v>14</v>
      </c>
      <c r="Q16" s="64"/>
      <c r="R16" s="64">
        <v>1.5224499499999999</v>
      </c>
      <c r="S16" s="64">
        <v>7041331.1100000003</v>
      </c>
      <c r="T16" s="64">
        <v>95225.884555199998</v>
      </c>
      <c r="U16" s="64">
        <v>-5384.34</v>
      </c>
      <c r="V16" s="64">
        <v>-9045.27</v>
      </c>
      <c r="W16" s="64"/>
      <c r="Y16" s="37"/>
      <c r="Z16" s="37"/>
      <c r="AA16" s="37"/>
      <c r="AB16" s="37"/>
    </row>
    <row r="17" spans="1:37" ht="23.25" x14ac:dyDescent="0.35">
      <c r="Y17" s="39"/>
      <c r="Z17" s="39"/>
      <c r="AA17" s="39"/>
      <c r="AB17" s="39"/>
    </row>
    <row r="18" spans="1:37" ht="23.25" x14ac:dyDescent="0.35">
      <c r="Y18" s="39"/>
      <c r="Z18" s="39"/>
      <c r="AA18" s="39"/>
      <c r="AB18" s="39"/>
    </row>
    <row r="19" spans="1:37" ht="23.25" x14ac:dyDescent="0.35">
      <c r="A19" s="125"/>
      <c r="B19" s="109"/>
      <c r="C19" s="109"/>
      <c r="D19" s="109"/>
      <c r="E19" s="109"/>
      <c r="F19" s="109"/>
      <c r="G19" s="109"/>
      <c r="H19" s="109"/>
      <c r="I19" s="109"/>
      <c r="J19" s="109"/>
      <c r="K19" s="109"/>
      <c r="L19" s="109"/>
      <c r="M19" s="109"/>
      <c r="N19" s="109"/>
      <c r="O19" s="109"/>
      <c r="P19" s="109"/>
      <c r="Q19" s="109"/>
      <c r="R19" s="109"/>
      <c r="S19" s="109"/>
      <c r="T19" s="109"/>
      <c r="U19" s="109"/>
      <c r="V19" s="109"/>
      <c r="W19" s="109"/>
      <c r="Y19" s="39"/>
      <c r="Z19" s="39"/>
      <c r="AA19" s="39"/>
      <c r="AB19" s="39"/>
    </row>
    <row r="20" spans="1:37" s="11" customFormat="1" ht="46.5" x14ac:dyDescent="0.35">
      <c r="A20" s="10" t="s">
        <v>145</v>
      </c>
      <c r="B20" s="10" t="s">
        <v>146</v>
      </c>
      <c r="C20" s="10"/>
      <c r="D20" s="10"/>
      <c r="E20" s="10" t="s">
        <v>147</v>
      </c>
      <c r="F20" s="10"/>
      <c r="G20" s="10" t="s">
        <v>148</v>
      </c>
      <c r="H20" s="10" t="s">
        <v>149</v>
      </c>
      <c r="I20" s="10" t="s">
        <v>150</v>
      </c>
      <c r="J20" s="10"/>
      <c r="K20" s="10" t="s">
        <v>151</v>
      </c>
      <c r="L20" s="10"/>
      <c r="M20" s="10" t="s">
        <v>152</v>
      </c>
      <c r="N20" s="10" t="s">
        <v>153</v>
      </c>
      <c r="Y20" s="39"/>
      <c r="Z20" s="39"/>
      <c r="AA20" s="39"/>
      <c r="AB20" s="40"/>
      <c r="AC20"/>
      <c r="AD20"/>
      <c r="AE20"/>
      <c r="AF20"/>
      <c r="AG20"/>
      <c r="AH20"/>
      <c r="AI20"/>
      <c r="AJ20"/>
    </row>
    <row r="21" spans="1:37" ht="21" x14ac:dyDescent="0.35">
      <c r="A21" s="78">
        <v>1</v>
      </c>
      <c r="B21" s="78">
        <v>1</v>
      </c>
      <c r="C21" s="79"/>
      <c r="D21" s="80"/>
      <c r="E21" s="126">
        <v>5</v>
      </c>
      <c r="F21" s="126"/>
      <c r="G21" s="81">
        <v>5</v>
      </c>
      <c r="H21" s="81">
        <v>10</v>
      </c>
      <c r="I21" s="81">
        <v>0.2</v>
      </c>
      <c r="J21" s="81"/>
      <c r="K21" s="127">
        <v>8</v>
      </c>
      <c r="L21" s="128"/>
      <c r="M21" s="82">
        <v>1</v>
      </c>
      <c r="N21" s="83" t="s">
        <v>100</v>
      </c>
    </row>
    <row r="23" spans="1:37" ht="18.75" x14ac:dyDescent="0.3">
      <c r="Y23" s="37"/>
      <c r="Z23" s="37"/>
      <c r="AA23" s="37"/>
      <c r="AB23" s="37"/>
    </row>
    <row r="24" spans="1:37" ht="18.75" x14ac:dyDescent="0.3">
      <c r="Y24" s="37"/>
      <c r="Z24" s="37"/>
      <c r="AA24" s="37"/>
      <c r="AB24" s="37"/>
    </row>
    <row r="28" spans="1:37" ht="18.75" x14ac:dyDescent="0.3">
      <c r="C28" s="7"/>
      <c r="D28" s="8"/>
      <c r="E28" s="8"/>
      <c r="F28" s="8"/>
      <c r="G28" s="8"/>
      <c r="H28" s="8"/>
      <c r="I28" s="8"/>
      <c r="J28" s="8"/>
      <c r="K28" s="8"/>
      <c r="L28" s="8"/>
      <c r="M28" s="8"/>
      <c r="N28" s="9"/>
      <c r="O28" s="8"/>
      <c r="P28" s="8"/>
      <c r="Q28" s="8"/>
      <c r="R28" s="9"/>
      <c r="S28" s="8"/>
      <c r="T28" s="9"/>
      <c r="U28" s="8"/>
      <c r="V28" s="9"/>
      <c r="W28" s="25"/>
      <c r="Y28" s="37"/>
      <c r="Z28" s="37"/>
      <c r="AA28" s="37"/>
      <c r="AB28" s="37"/>
      <c r="AC28" s="37"/>
      <c r="AD28" s="37"/>
      <c r="AE28" s="37"/>
    </row>
    <row r="29" spans="1:37" ht="18.75" x14ac:dyDescent="0.3">
      <c r="C29" s="115" t="s">
        <v>161</v>
      </c>
      <c r="D29" s="116"/>
      <c r="E29" s="12"/>
      <c r="F29" s="12"/>
      <c r="G29" s="116" t="s">
        <v>162</v>
      </c>
      <c r="H29" s="116"/>
      <c r="I29" s="12"/>
      <c r="J29" s="12"/>
      <c r="K29" s="116" t="s">
        <v>163</v>
      </c>
      <c r="L29" s="116"/>
      <c r="M29" s="12"/>
      <c r="N29" s="13"/>
      <c r="O29" s="116" t="s">
        <v>164</v>
      </c>
      <c r="P29" s="116"/>
      <c r="Q29" s="30">
        <v>1.5224119629853112</v>
      </c>
      <c r="R29" s="13"/>
      <c r="S29" s="12"/>
      <c r="T29" s="13"/>
      <c r="U29" s="12"/>
      <c r="V29" s="13"/>
      <c r="W29" s="13"/>
      <c r="Y29" s="37"/>
      <c r="Z29" s="37"/>
      <c r="AA29" s="37"/>
      <c r="AB29" s="37"/>
      <c r="AC29" s="37"/>
      <c r="AD29" s="37"/>
      <c r="AE29" s="37"/>
    </row>
    <row r="30" spans="1:37" ht="18.75" x14ac:dyDescent="0.3">
      <c r="C30" s="115" t="s">
        <v>218</v>
      </c>
      <c r="D30" s="116"/>
      <c r="E30" s="12"/>
      <c r="F30" s="12"/>
      <c r="G30" s="116" t="s">
        <v>220</v>
      </c>
      <c r="H30" s="116"/>
      <c r="I30" s="12"/>
      <c r="J30" s="12"/>
      <c r="K30" s="116" t="s">
        <v>194</v>
      </c>
      <c r="L30" s="116"/>
      <c r="M30" s="12"/>
      <c r="N30" s="13"/>
      <c r="O30" s="116" t="s">
        <v>165</v>
      </c>
      <c r="P30" s="116"/>
      <c r="Q30" s="30">
        <v>1.522413175869151</v>
      </c>
      <c r="R30" s="13"/>
      <c r="S30" s="12"/>
      <c r="T30" s="13"/>
      <c r="U30" s="12"/>
      <c r="V30" s="13"/>
      <c r="W30" s="13"/>
      <c r="Y30" s="37"/>
      <c r="Z30" s="37"/>
      <c r="AA30" s="37"/>
      <c r="AB30" s="37"/>
      <c r="AC30" s="37"/>
      <c r="AD30" s="37"/>
      <c r="AE30" s="37"/>
      <c r="AI30" s="42"/>
      <c r="AK30" s="42"/>
    </row>
    <row r="31" spans="1:37" ht="18.75" x14ac:dyDescent="0.3">
      <c r="C31" s="115" t="s">
        <v>219</v>
      </c>
      <c r="D31" s="116"/>
      <c r="E31" s="12"/>
      <c r="F31" s="12"/>
      <c r="G31" s="116" t="s">
        <v>219</v>
      </c>
      <c r="H31" s="116"/>
      <c r="I31" s="12"/>
      <c r="J31" s="12"/>
      <c r="K31" s="116" t="s">
        <v>195</v>
      </c>
      <c r="L31" s="116"/>
      <c r="M31" s="12"/>
      <c r="N31" s="13"/>
      <c r="O31" s="116" t="s">
        <v>99</v>
      </c>
      <c r="P31" s="116"/>
      <c r="Q31" s="12">
        <v>1</v>
      </c>
      <c r="R31" s="13"/>
      <c r="S31" s="12"/>
      <c r="T31" s="13"/>
      <c r="U31" s="12"/>
      <c r="V31" s="13"/>
      <c r="W31" s="13"/>
      <c r="Y31" s="37"/>
      <c r="Z31" s="37"/>
      <c r="AA31" s="37"/>
      <c r="AB31" s="37"/>
      <c r="AC31" s="37"/>
      <c r="AD31" s="37"/>
      <c r="AE31" s="37"/>
      <c r="AI31" s="41"/>
    </row>
    <row r="32" spans="1:37" ht="2.25" customHeight="1" x14ac:dyDescent="0.3">
      <c r="A32" t="s">
        <v>180</v>
      </c>
      <c r="B32" t="s">
        <v>193</v>
      </c>
      <c r="C32" s="110">
        <v>73</v>
      </c>
      <c r="D32" s="99"/>
      <c r="E32" s="99">
        <v>1.5037</v>
      </c>
      <c r="F32" s="99"/>
      <c r="G32" s="99" t="s">
        <v>192</v>
      </c>
      <c r="H32" s="99"/>
      <c r="I32" s="99">
        <v>73</v>
      </c>
      <c r="J32" s="99"/>
      <c r="K32" s="99">
        <v>0</v>
      </c>
      <c r="L32" s="99"/>
      <c r="M32" s="99"/>
      <c r="N32" s="100"/>
      <c r="O32" s="99"/>
      <c r="P32" s="99"/>
      <c r="Q32" s="99"/>
      <c r="R32" s="100"/>
      <c r="S32" s="99"/>
      <c r="T32" s="100"/>
      <c r="U32" s="99"/>
      <c r="V32" s="100"/>
      <c r="W32" s="26"/>
      <c r="Y32" s="37"/>
      <c r="Z32" s="37"/>
      <c r="AA32" s="37"/>
      <c r="AB32" s="37"/>
      <c r="AC32" s="37"/>
      <c r="AD32" s="37"/>
      <c r="AE32" s="37"/>
      <c r="AI32" s="43"/>
    </row>
    <row r="33" spans="2:31" ht="18.75" x14ac:dyDescent="0.3">
      <c r="Y33" s="37"/>
      <c r="Z33" s="37"/>
      <c r="AA33" s="37"/>
      <c r="AB33" s="37"/>
      <c r="AC33" s="37"/>
      <c r="AD33" s="37"/>
      <c r="AE33" s="37"/>
    </row>
    <row r="34" spans="2:31" ht="18.75" customHeight="1" x14ac:dyDescent="0.3">
      <c r="B34" s="114" t="s">
        <v>205</v>
      </c>
      <c r="C34" s="114"/>
      <c r="D34" s="114"/>
      <c r="E34" s="114"/>
      <c r="F34" s="114"/>
      <c r="G34" s="114"/>
      <c r="H34" s="114"/>
      <c r="Q34" s="101" t="s">
        <v>186</v>
      </c>
      <c r="R34" s="101"/>
      <c r="S34" s="101"/>
      <c r="T34" s="101"/>
      <c r="U34" s="101"/>
      <c r="V34" s="101"/>
      <c r="W34" s="101"/>
    </row>
    <row r="35" spans="2:31" s="11" customFormat="1" ht="27.75" customHeight="1" thickBot="1" x14ac:dyDescent="0.35">
      <c r="B35" s="136" t="s">
        <v>206</v>
      </c>
      <c r="C35" s="136"/>
      <c r="D35" s="136"/>
      <c r="E35" s="97"/>
      <c r="F35" s="136" t="s">
        <v>207</v>
      </c>
      <c r="G35" s="136"/>
      <c r="H35" s="136"/>
      <c r="I35"/>
      <c r="Q35" s="71" t="s">
        <v>103</v>
      </c>
      <c r="R35" s="71" t="s">
        <v>104</v>
      </c>
      <c r="S35" s="71" t="s">
        <v>105</v>
      </c>
      <c r="T35" s="71" t="s">
        <v>109</v>
      </c>
      <c r="U35" s="71" t="s">
        <v>110</v>
      </c>
      <c r="V35" s="71" t="s">
        <v>111</v>
      </c>
      <c r="W35" s="71" t="s">
        <v>120</v>
      </c>
      <c r="X35" s="38"/>
      <c r="Y35" s="38"/>
      <c r="AC35" s="38"/>
    </row>
    <row r="36" spans="2:31" s="11" customFormat="1" ht="27.75" customHeight="1" thickTop="1" x14ac:dyDescent="0.35">
      <c r="B36" s="96" t="s">
        <v>212</v>
      </c>
      <c r="C36" s="95">
        <v>0.5</v>
      </c>
      <c r="D36" s="98"/>
      <c r="E36" s="98"/>
      <c r="F36" s="98"/>
      <c r="G36" s="98"/>
      <c r="H36" s="98"/>
      <c r="I36"/>
      <c r="Q36" s="92"/>
      <c r="R36" s="92"/>
      <c r="S36" s="92"/>
      <c r="T36" s="92"/>
      <c r="U36" s="92"/>
      <c r="V36" s="92"/>
      <c r="W36" s="92"/>
      <c r="X36" s="38"/>
      <c r="Y36" s="38"/>
      <c r="AC36" s="38"/>
    </row>
    <row r="37" spans="2:31" s="11" customFormat="1" ht="42" customHeight="1" x14ac:dyDescent="0.4">
      <c r="B37" s="94" t="s">
        <v>208</v>
      </c>
      <c r="C37" s="94" t="s">
        <v>211</v>
      </c>
      <c r="D37" s="94" t="s">
        <v>209</v>
      </c>
      <c r="E37" s="94" t="s">
        <v>3</v>
      </c>
      <c r="F37" s="94" t="s">
        <v>210</v>
      </c>
      <c r="G37" s="94" t="s">
        <v>211</v>
      </c>
      <c r="H37" s="94" t="s">
        <v>208</v>
      </c>
      <c r="Q37" s="75">
        <f>SUM(U71:U91)+J16</f>
        <v>74</v>
      </c>
      <c r="R37" s="76">
        <f>SUM(X71:X91)</f>
        <v>0</v>
      </c>
      <c r="S37" s="74">
        <f>SUM(W71:W91)</f>
        <v>0</v>
      </c>
      <c r="T37" s="76">
        <f>S37*62500</f>
        <v>0</v>
      </c>
      <c r="U37" s="73">
        <v>0.02</v>
      </c>
      <c r="V37" s="77">
        <f>-1*U37*W37</f>
        <v>0</v>
      </c>
      <c r="W37" s="77">
        <f>AG69</f>
        <v>0</v>
      </c>
      <c r="X37" s="46"/>
      <c r="Y37" s="46"/>
      <c r="AC37" s="38"/>
    </row>
    <row r="38" spans="2:31" ht="21" x14ac:dyDescent="0.35">
      <c r="B38" s="78">
        <v>0</v>
      </c>
      <c r="C38" s="93">
        <v>7</v>
      </c>
      <c r="D38" s="76"/>
      <c r="E38" s="76"/>
      <c r="F38" s="76"/>
      <c r="G38" s="93">
        <v>7</v>
      </c>
      <c r="H38" s="78">
        <v>0</v>
      </c>
      <c r="Q38" s="71" t="s">
        <v>131</v>
      </c>
      <c r="R38" s="76" t="e">
        <f>ticksUpToLoss(V37,Q37,R37)</f>
        <v>#NUM!</v>
      </c>
      <c r="S38" s="76" t="e">
        <f>ticksDownToLoss(V37,Q37,R37)</f>
        <v>#NUM!</v>
      </c>
      <c r="T38" s="76"/>
      <c r="U38" s="76"/>
      <c r="V38" s="76"/>
      <c r="W38" s="76"/>
      <c r="X38" s="37"/>
      <c r="Y38" s="37"/>
      <c r="Z38" s="37"/>
      <c r="AA38" s="37"/>
      <c r="AB38" s="37"/>
      <c r="AC38" s="37"/>
    </row>
    <row r="39" spans="2:31" ht="23.25" x14ac:dyDescent="0.35">
      <c r="B39" s="78">
        <v>0</v>
      </c>
      <c r="C39" s="93">
        <v>6</v>
      </c>
      <c r="D39" s="76"/>
      <c r="E39" s="76"/>
      <c r="F39" s="76"/>
      <c r="G39" s="93">
        <v>6</v>
      </c>
      <c r="H39" s="78">
        <v>0</v>
      </c>
      <c r="Q39" s="71" t="s">
        <v>132</v>
      </c>
      <c r="R39" s="76" t="e">
        <f>Q37+R37*(R38*0.0001)</f>
        <v>#NUM!</v>
      </c>
      <c r="S39" s="76" t="e">
        <f>Q37+R37*(S38*0.0001)</f>
        <v>#NUM!</v>
      </c>
      <c r="T39" s="76"/>
      <c r="U39" s="76"/>
      <c r="V39" s="76"/>
      <c r="W39" s="76"/>
      <c r="Y39" s="32"/>
      <c r="Z39" s="32"/>
      <c r="AA39" s="32"/>
      <c r="AB39" s="32"/>
      <c r="AC39" s="45"/>
      <c r="AD39" s="45"/>
      <c r="AE39" s="45"/>
    </row>
    <row r="40" spans="2:31" ht="21" x14ac:dyDescent="0.35">
      <c r="B40" s="78">
        <v>0</v>
      </c>
      <c r="C40" s="93">
        <v>5</v>
      </c>
      <c r="D40" s="76"/>
      <c r="E40" s="76"/>
      <c r="F40" s="76"/>
      <c r="G40" s="93">
        <v>5</v>
      </c>
      <c r="H40" s="78">
        <v>0</v>
      </c>
      <c r="Q40" s="101" t="s">
        <v>133</v>
      </c>
      <c r="R40" s="101"/>
      <c r="S40" s="101"/>
      <c r="T40" s="101" t="s">
        <v>189</v>
      </c>
      <c r="U40" s="101"/>
      <c r="V40" s="101"/>
      <c r="W40" s="101"/>
      <c r="Y40" s="37"/>
      <c r="Z40" s="37"/>
      <c r="AA40" s="37"/>
      <c r="AB40" s="37"/>
      <c r="AC40" s="37"/>
    </row>
    <row r="41" spans="2:31" ht="21" x14ac:dyDescent="0.35">
      <c r="B41" s="78">
        <v>0</v>
      </c>
      <c r="C41" s="93">
        <v>4</v>
      </c>
      <c r="D41" s="76"/>
      <c r="E41" s="76"/>
      <c r="F41" s="76"/>
      <c r="G41" s="93">
        <v>4</v>
      </c>
      <c r="H41" s="78">
        <v>0</v>
      </c>
      <c r="Q41" s="71" t="s">
        <v>134</v>
      </c>
      <c r="R41" s="84" t="e">
        <f>midMarket(N16,O16)+R38/10000</f>
        <v>#NUM!</v>
      </c>
      <c r="S41" s="76" t="e">
        <f>ROUND(-R39,0)</f>
        <v>#NUM!</v>
      </c>
      <c r="T41" s="72" t="s">
        <v>187</v>
      </c>
      <c r="U41" s="78">
        <v>25</v>
      </c>
      <c r="V41" s="84">
        <v>1.532</v>
      </c>
      <c r="W41" s="76">
        <v>28</v>
      </c>
      <c r="Y41" s="37"/>
      <c r="Z41" s="37"/>
      <c r="AA41" s="37"/>
      <c r="AB41" s="37"/>
      <c r="AC41" s="37"/>
    </row>
    <row r="42" spans="2:31" ht="21" x14ac:dyDescent="0.35">
      <c r="B42" s="78">
        <v>0</v>
      </c>
      <c r="C42" s="93">
        <v>3</v>
      </c>
      <c r="D42" s="76"/>
      <c r="E42" s="76"/>
      <c r="F42" s="76"/>
      <c r="G42" s="93">
        <v>3</v>
      </c>
      <c r="H42" s="78">
        <v>0</v>
      </c>
      <c r="Q42" s="71" t="s">
        <v>144</v>
      </c>
      <c r="R42" s="84" t="e">
        <f>midMarket(N16,O16)+S38/10000</f>
        <v>#NUM!</v>
      </c>
      <c r="S42" s="76" t="e">
        <f>ROUND(-S39,0)</f>
        <v>#NUM!</v>
      </c>
      <c r="T42" s="72" t="s">
        <v>188</v>
      </c>
      <c r="U42" s="78">
        <v>2</v>
      </c>
      <c r="V42" s="84">
        <v>1.5217000000000001</v>
      </c>
      <c r="W42" s="76">
        <v>28</v>
      </c>
      <c r="X42" s="37"/>
      <c r="Y42" s="37"/>
      <c r="Z42" s="37"/>
      <c r="AA42" s="37"/>
      <c r="AB42" s="37"/>
      <c r="AC42" s="37"/>
    </row>
    <row r="43" spans="2:31" ht="21" x14ac:dyDescent="0.35">
      <c r="B43" s="78">
        <v>7</v>
      </c>
      <c r="C43" s="93">
        <v>2</v>
      </c>
      <c r="D43" s="76"/>
      <c r="E43" s="76"/>
      <c r="F43" s="76"/>
      <c r="G43" s="93">
        <v>2</v>
      </c>
      <c r="H43" s="78">
        <v>8</v>
      </c>
    </row>
    <row r="44" spans="2:31" ht="21" x14ac:dyDescent="0.35">
      <c r="B44" s="78">
        <v>5</v>
      </c>
      <c r="C44" s="93">
        <v>1</v>
      </c>
      <c r="D44" s="76"/>
      <c r="E44" s="76"/>
      <c r="F44" s="76"/>
      <c r="G44" s="93">
        <v>1</v>
      </c>
      <c r="H44" s="78">
        <v>6</v>
      </c>
      <c r="P44" t="s">
        <v>204</v>
      </c>
    </row>
    <row r="45" spans="2:31" ht="21" x14ac:dyDescent="0.35">
      <c r="B45" s="78">
        <v>1</v>
      </c>
      <c r="C45" s="93">
        <v>0</v>
      </c>
      <c r="D45" s="76"/>
      <c r="E45" s="76"/>
      <c r="F45" s="76"/>
      <c r="G45" s="93">
        <v>0</v>
      </c>
      <c r="H45" s="78">
        <v>2</v>
      </c>
    </row>
    <row r="46" spans="2:31" ht="21" x14ac:dyDescent="0.35">
      <c r="B46" s="78">
        <v>3</v>
      </c>
      <c r="C46" s="93">
        <v>-1</v>
      </c>
      <c r="D46" s="76"/>
      <c r="E46" s="76"/>
      <c r="F46" s="76"/>
      <c r="G46" s="93">
        <v>-1</v>
      </c>
      <c r="H46" s="78">
        <v>4</v>
      </c>
    </row>
    <row r="47" spans="2:31" ht="21" x14ac:dyDescent="0.35">
      <c r="B47" s="78">
        <v>0</v>
      </c>
      <c r="C47" s="93">
        <v>-2</v>
      </c>
      <c r="D47" s="76"/>
      <c r="E47" s="76"/>
      <c r="F47" s="76"/>
      <c r="G47" s="93">
        <v>-2</v>
      </c>
      <c r="H47" s="78">
        <v>0</v>
      </c>
    </row>
    <row r="48" spans="2:31" ht="21" x14ac:dyDescent="0.35">
      <c r="B48" s="78">
        <v>0</v>
      </c>
      <c r="C48" s="93">
        <v>-3</v>
      </c>
      <c r="D48" s="76"/>
      <c r="E48" s="76"/>
      <c r="F48" s="76"/>
      <c r="G48" s="93">
        <v>-3</v>
      </c>
      <c r="H48" s="78">
        <v>0</v>
      </c>
    </row>
    <row r="49" spans="1:15" s="11" customFormat="1" ht="26.25" customHeight="1" x14ac:dyDescent="0.35">
      <c r="B49" s="78">
        <v>0</v>
      </c>
      <c r="C49" s="93">
        <v>-4</v>
      </c>
      <c r="D49" s="76"/>
      <c r="E49" s="76"/>
      <c r="F49" s="76"/>
      <c r="G49" s="93">
        <v>-4</v>
      </c>
      <c r="H49" s="78">
        <v>0</v>
      </c>
    </row>
    <row r="50" spans="1:15" ht="21" x14ac:dyDescent="0.35">
      <c r="B50" s="78">
        <v>0</v>
      </c>
      <c r="C50" s="93">
        <v>-5</v>
      </c>
      <c r="D50" s="76"/>
      <c r="E50" s="76"/>
      <c r="F50" s="76"/>
      <c r="G50" s="93">
        <v>-5</v>
      </c>
      <c r="H50" s="78">
        <v>0</v>
      </c>
    </row>
    <row r="51" spans="1:15" ht="21" x14ac:dyDescent="0.35">
      <c r="B51" s="78">
        <v>0</v>
      </c>
      <c r="C51" s="93">
        <v>-6</v>
      </c>
      <c r="D51" s="76"/>
      <c r="E51" s="76"/>
      <c r="F51" s="76"/>
      <c r="G51" s="93">
        <v>-6</v>
      </c>
      <c r="H51" s="78">
        <v>0</v>
      </c>
    </row>
    <row r="52" spans="1:15" ht="21" x14ac:dyDescent="0.35">
      <c r="B52" s="78">
        <v>0</v>
      </c>
      <c r="C52" s="93">
        <v>-7</v>
      </c>
      <c r="D52" s="76"/>
      <c r="E52" s="76"/>
      <c r="F52" s="76"/>
      <c r="G52" s="93">
        <v>-7</v>
      </c>
      <c r="H52" s="78">
        <v>0</v>
      </c>
    </row>
    <row r="56" spans="1:15" x14ac:dyDescent="0.25">
      <c r="A56" s="105" t="s">
        <v>166</v>
      </c>
      <c r="B56" s="106"/>
      <c r="C56" s="106"/>
      <c r="D56" s="106"/>
      <c r="E56" s="106"/>
      <c r="F56" s="106"/>
      <c r="G56" s="106"/>
      <c r="H56" s="106"/>
      <c r="I56" s="106"/>
      <c r="J56" s="106"/>
      <c r="K56" s="106"/>
      <c r="L56" s="106"/>
      <c r="M56" s="106"/>
      <c r="N56" s="106"/>
      <c r="O56" s="106"/>
    </row>
    <row r="57" spans="1:15" x14ac:dyDescent="0.25">
      <c r="A57" s="87" t="s">
        <v>26</v>
      </c>
      <c r="B57" s="103" t="s">
        <v>27</v>
      </c>
      <c r="C57" s="103"/>
      <c r="D57" s="103"/>
      <c r="E57" s="103"/>
      <c r="F57" s="88"/>
      <c r="G57" s="103" t="s">
        <v>28</v>
      </c>
      <c r="H57" s="103"/>
      <c r="I57" s="103"/>
      <c r="J57" s="103"/>
      <c r="K57" s="103"/>
      <c r="L57" s="88"/>
      <c r="M57" s="103" t="s">
        <v>167</v>
      </c>
      <c r="N57" s="103"/>
      <c r="O57" s="104"/>
    </row>
    <row r="58" spans="1:15" ht="30" x14ac:dyDescent="0.25">
      <c r="A58" s="89" t="s">
        <v>0</v>
      </c>
      <c r="B58" s="90" t="s">
        <v>32</v>
      </c>
      <c r="C58" s="90" t="s">
        <v>33</v>
      </c>
      <c r="D58" s="90" t="s">
        <v>34</v>
      </c>
      <c r="E58" s="90" t="s">
        <v>47</v>
      </c>
      <c r="F58" s="90" t="s">
        <v>196</v>
      </c>
      <c r="G58" s="90" t="s">
        <v>12</v>
      </c>
      <c r="H58" s="90" t="s">
        <v>37</v>
      </c>
      <c r="I58" s="90" t="s">
        <v>38</v>
      </c>
      <c r="J58" s="90" t="s">
        <v>39</v>
      </c>
      <c r="K58" s="90" t="s">
        <v>40</v>
      </c>
      <c r="L58" s="90" t="s">
        <v>168</v>
      </c>
      <c r="M58" s="90" t="s">
        <v>169</v>
      </c>
      <c r="N58" s="90" t="s">
        <v>170</v>
      </c>
      <c r="O58" s="90" t="s">
        <v>171</v>
      </c>
    </row>
    <row r="59" spans="1:15" x14ac:dyDescent="0.25">
      <c r="A59" s="2"/>
      <c r="B59" s="16"/>
      <c r="C59" s="16"/>
      <c r="D59" s="16"/>
      <c r="E59" s="16"/>
      <c r="F59" s="2"/>
      <c r="G59" s="18"/>
      <c r="H59" s="2"/>
      <c r="I59" s="2"/>
      <c r="J59" s="2"/>
      <c r="K59" s="2"/>
      <c r="L59" s="2"/>
      <c r="M59" s="2"/>
      <c r="N59" s="2"/>
      <c r="O59" s="2"/>
    </row>
    <row r="60" spans="1:15" x14ac:dyDescent="0.25">
      <c r="A60" s="2"/>
      <c r="B60" s="16"/>
      <c r="C60" s="16"/>
      <c r="D60" s="16"/>
      <c r="E60" s="16"/>
      <c r="F60" s="2"/>
      <c r="G60" s="18"/>
      <c r="H60" s="2"/>
      <c r="I60" s="2"/>
      <c r="J60" s="2"/>
      <c r="K60" s="2"/>
      <c r="L60" s="2"/>
      <c r="M60" s="2"/>
      <c r="N60" s="2"/>
      <c r="O60" s="2"/>
    </row>
    <row r="61" spans="1:15" x14ac:dyDescent="0.25">
      <c r="A61" s="2"/>
      <c r="B61" s="16"/>
      <c r="C61" s="16"/>
      <c r="D61" s="16"/>
      <c r="E61" s="16"/>
      <c r="F61" s="2"/>
      <c r="G61" s="18"/>
      <c r="H61" s="2"/>
      <c r="I61" s="2"/>
      <c r="J61" s="2"/>
      <c r="K61" s="2"/>
      <c r="L61" s="2"/>
      <c r="M61" s="2"/>
      <c r="N61" s="2"/>
      <c r="O61" s="2"/>
    </row>
    <row r="62" spans="1:15" x14ac:dyDescent="0.25">
      <c r="A62" s="2"/>
      <c r="B62" s="16"/>
      <c r="C62" s="16"/>
      <c r="D62" s="16"/>
      <c r="E62" s="16"/>
      <c r="F62" s="2"/>
      <c r="G62" s="18"/>
      <c r="H62" s="2"/>
      <c r="I62" s="2"/>
      <c r="J62" s="2"/>
      <c r="K62" s="2"/>
      <c r="L62" s="2"/>
      <c r="M62" s="2"/>
      <c r="N62" s="2"/>
      <c r="O62" s="2"/>
    </row>
    <row r="63" spans="1:15" x14ac:dyDescent="0.25">
      <c r="A63" s="2"/>
      <c r="B63" s="16"/>
      <c r="C63" s="16"/>
      <c r="D63" s="16"/>
      <c r="E63" s="16"/>
      <c r="F63" s="2"/>
      <c r="G63" s="18"/>
      <c r="H63" s="2"/>
      <c r="I63" s="2"/>
      <c r="J63" s="2"/>
      <c r="K63" s="2"/>
      <c r="L63" s="2"/>
      <c r="M63" s="2"/>
      <c r="N63" s="2"/>
      <c r="O63" s="2"/>
    </row>
    <row r="64" spans="1:15" ht="15.75" x14ac:dyDescent="0.25">
      <c r="A64" s="91" t="s">
        <v>198</v>
      </c>
      <c r="B64" s="76">
        <f>ticksUpToLoss(F63,A63,B63)</f>
        <v>0</v>
      </c>
      <c r="C64" s="91" t="s">
        <v>199</v>
      </c>
      <c r="D64" s="76">
        <f>ticksUpToLoss(H63,C63,D63)</f>
        <v>0</v>
      </c>
      <c r="E64" s="91" t="s">
        <v>174</v>
      </c>
      <c r="F64" s="76">
        <f>ticksUpToLoss(J63,E63,F63)</f>
        <v>0</v>
      </c>
      <c r="G64" s="91" t="s">
        <v>200</v>
      </c>
      <c r="H64" s="76">
        <f>ticksUpToLoss(L63,G63,H63)</f>
        <v>0</v>
      </c>
      <c r="I64" s="113" t="s">
        <v>201</v>
      </c>
      <c r="J64" s="113"/>
      <c r="K64" s="76"/>
      <c r="L64" s="76"/>
      <c r="M64" s="76"/>
      <c r="N64" s="76"/>
      <c r="O64" s="76"/>
    </row>
    <row r="65" spans="1:33" ht="15.75" x14ac:dyDescent="0.25">
      <c r="A65" s="91" t="s">
        <v>197</v>
      </c>
      <c r="B65" s="76"/>
      <c r="C65" s="76"/>
      <c r="D65" s="76"/>
      <c r="E65" s="76"/>
      <c r="F65" s="76"/>
      <c r="G65" s="76"/>
      <c r="H65" s="76"/>
      <c r="I65" s="76"/>
      <c r="J65" s="76"/>
      <c r="K65" s="76"/>
      <c r="L65" s="76"/>
      <c r="M65" s="76"/>
      <c r="N65" s="76"/>
      <c r="O65" s="76"/>
    </row>
    <row r="69" spans="1:33" x14ac:dyDescent="0.25">
      <c r="A69" s="109" t="s">
        <v>13</v>
      </c>
      <c r="B69" s="109"/>
      <c r="C69" s="109"/>
      <c r="D69" s="109"/>
      <c r="E69" s="109"/>
      <c r="F69" s="109"/>
      <c r="G69" s="109"/>
      <c r="H69" s="109"/>
      <c r="I69" s="109"/>
      <c r="J69" s="109"/>
      <c r="K69" s="109"/>
      <c r="L69" s="109"/>
      <c r="M69" s="109"/>
      <c r="N69" s="102" t="s">
        <v>101</v>
      </c>
      <c r="O69" s="102"/>
      <c r="P69" s="102"/>
      <c r="Q69" s="102"/>
      <c r="R69" s="102"/>
      <c r="S69" s="102"/>
      <c r="T69" s="102" t="s">
        <v>108</v>
      </c>
      <c r="U69" s="102"/>
      <c r="V69" s="102"/>
      <c r="W69" s="102"/>
      <c r="AG69" s="48">
        <f>SUM(AD71:AD91)</f>
        <v>0</v>
      </c>
    </row>
    <row r="70" spans="1:33" ht="30" x14ac:dyDescent="0.25">
      <c r="A70" s="1" t="s">
        <v>9</v>
      </c>
      <c r="B70" s="1" t="s">
        <v>11</v>
      </c>
      <c r="C70" s="1" t="s">
        <v>172</v>
      </c>
      <c r="D70" s="1" t="s">
        <v>157</v>
      </c>
      <c r="E70" s="1" t="s">
        <v>158</v>
      </c>
      <c r="F70" s="1" t="s">
        <v>179</v>
      </c>
      <c r="G70" s="1" t="s">
        <v>173</v>
      </c>
      <c r="H70" s="61" t="s">
        <v>19</v>
      </c>
      <c r="I70" s="61" t="s">
        <v>21</v>
      </c>
      <c r="J70" s="61" t="s">
        <v>22</v>
      </c>
      <c r="K70" s="61" t="s">
        <v>18</v>
      </c>
      <c r="L70" s="61" t="s">
        <v>20</v>
      </c>
      <c r="M70" s="61" t="s">
        <v>23</v>
      </c>
      <c r="N70" s="31" t="s">
        <v>102</v>
      </c>
      <c r="O70" s="31" t="s">
        <v>103</v>
      </c>
      <c r="P70" s="31" t="s">
        <v>104</v>
      </c>
      <c r="Q70" s="31" t="s">
        <v>105</v>
      </c>
      <c r="R70" s="31" t="s">
        <v>106</v>
      </c>
      <c r="S70" s="31" t="s">
        <v>107</v>
      </c>
      <c r="T70" s="35" t="s">
        <v>112</v>
      </c>
      <c r="U70" s="31" t="s">
        <v>103</v>
      </c>
      <c r="V70" s="31" t="s">
        <v>104</v>
      </c>
      <c r="W70" s="31" t="s">
        <v>105</v>
      </c>
      <c r="X70" s="35" t="s">
        <v>113</v>
      </c>
      <c r="Y70" s="35" t="s">
        <v>114</v>
      </c>
      <c r="Z70" s="35" t="s">
        <v>119</v>
      </c>
      <c r="AA70" s="50" t="s">
        <v>118</v>
      </c>
      <c r="AB70" s="50" t="s">
        <v>115</v>
      </c>
      <c r="AC70" s="50" t="s">
        <v>116</v>
      </c>
      <c r="AD70" s="50" t="s">
        <v>117</v>
      </c>
    </row>
    <row r="71" spans="1:33" x14ac:dyDescent="0.25">
      <c r="A71" s="2"/>
      <c r="B71" s="2"/>
      <c r="C71" s="2"/>
      <c r="D71" s="2"/>
      <c r="E71" s="2"/>
      <c r="F71" s="28"/>
      <c r="G71" s="2"/>
      <c r="H71" s="2"/>
      <c r="I71" s="2"/>
      <c r="J71" s="2"/>
      <c r="K71" s="2"/>
      <c r="L71" s="2"/>
      <c r="M71" s="2"/>
      <c r="N71" s="2"/>
      <c r="O71" s="2"/>
      <c r="P71" s="2"/>
      <c r="Q71" s="33"/>
      <c r="R71" s="2"/>
      <c r="S71" s="2"/>
      <c r="T71" s="2"/>
      <c r="U71" s="2">
        <f t="shared" ref="U71:U91" si="0">O71*B71</f>
        <v>0</v>
      </c>
      <c r="V71" s="2">
        <v>1.5804</v>
      </c>
      <c r="W71" s="2">
        <f t="shared" ref="W71:W91" si="1">Q71*B71</f>
        <v>0</v>
      </c>
      <c r="X71">
        <f>IF(ISERR(T71),0,T71*B71)</f>
        <v>0</v>
      </c>
      <c r="Y71">
        <f t="shared" ref="Y71:Y91" si="2">IF(X71 = 0,0,(W71*-10000)/X71)</f>
        <v>0</v>
      </c>
      <c r="Z71" s="85">
        <f>midMarket(K71,L71) +AA71/10000</f>
        <v>0</v>
      </c>
      <c r="AA71">
        <f>IF(rightFromSymbol(A71)="C",MAX(0,$N$16-strikeFromSymbol(A71)),MAX(0,strikeFromSymbol(A71)-$N$16))*10000</f>
        <v>0</v>
      </c>
      <c r="AB71" s="86">
        <f>MAX(0,Z71-AA71) * 10000</f>
        <v>0</v>
      </c>
      <c r="AC71" s="49">
        <f t="shared" ref="AC71:AC91" si="3">-AB71*B71</f>
        <v>0</v>
      </c>
      <c r="AD71" s="48">
        <f t="shared" ref="AD71:AD79" si="4">MAX(0,AC71*6.25)</f>
        <v>0</v>
      </c>
    </row>
    <row r="72" spans="1:33" x14ac:dyDescent="0.25">
      <c r="A72" s="2"/>
      <c r="B72" s="2"/>
      <c r="C72" s="2"/>
      <c r="D72" s="2"/>
      <c r="E72" s="2"/>
      <c r="F72" s="28"/>
      <c r="G72" s="2"/>
      <c r="H72" s="2"/>
      <c r="I72" s="2"/>
      <c r="J72" s="2"/>
      <c r="K72" s="2"/>
      <c r="L72" s="2"/>
      <c r="M72" s="2"/>
      <c r="N72" s="2"/>
      <c r="O72" s="2"/>
      <c r="P72" s="2"/>
      <c r="Q72" s="33"/>
      <c r="R72" s="2"/>
      <c r="S72" s="2"/>
      <c r="T72" s="2"/>
      <c r="U72" s="2">
        <f t="shared" si="0"/>
        <v>0</v>
      </c>
      <c r="V72" s="2">
        <v>1.5804</v>
      </c>
      <c r="W72" s="2">
        <f t="shared" si="1"/>
        <v>0</v>
      </c>
      <c r="X72">
        <f t="shared" ref="X72:X91" si="5">IF(ISERR(T72),0,T72*B72)</f>
        <v>0</v>
      </c>
      <c r="Y72">
        <f t="shared" si="2"/>
        <v>0</v>
      </c>
      <c r="Z72" s="85">
        <f>midMarket(K72,L72) +AA72/10000</f>
        <v>0</v>
      </c>
      <c r="AA72">
        <f>IF(rightFromSymbol(A72)="C",MAX(0,$N$16-strikeFromSymbol(A72)),MAX(0,strikeFromSymbol(A72)-$N$16))*10000</f>
        <v>0</v>
      </c>
      <c r="AB72" s="86">
        <f t="shared" ref="AB72:AB91" si="6">MAX(0,Z72-AA72) * 10000</f>
        <v>0</v>
      </c>
      <c r="AC72" s="49">
        <f t="shared" si="3"/>
        <v>0</v>
      </c>
      <c r="AD72" s="48">
        <f t="shared" si="4"/>
        <v>0</v>
      </c>
    </row>
    <row r="73" spans="1:33" x14ac:dyDescent="0.25">
      <c r="A73" s="2"/>
      <c r="B73" s="2"/>
      <c r="C73" s="2"/>
      <c r="D73" s="2"/>
      <c r="E73" s="2"/>
      <c r="F73" s="28"/>
      <c r="G73" s="2"/>
      <c r="H73" s="2"/>
      <c r="I73" s="2"/>
      <c r="J73" s="2"/>
      <c r="K73" s="2"/>
      <c r="L73" s="2"/>
      <c r="M73" s="2"/>
      <c r="N73" s="2"/>
      <c r="O73" s="2"/>
      <c r="P73" s="2"/>
      <c r="Q73" s="33"/>
      <c r="R73" s="2"/>
      <c r="S73" s="2"/>
      <c r="T73" s="2"/>
      <c r="U73" s="2">
        <f t="shared" si="0"/>
        <v>0</v>
      </c>
      <c r="V73" s="2">
        <v>1.5804</v>
      </c>
      <c r="W73" s="2">
        <f t="shared" si="1"/>
        <v>0</v>
      </c>
      <c r="X73">
        <f t="shared" si="5"/>
        <v>0</v>
      </c>
      <c r="Y73">
        <f t="shared" si="2"/>
        <v>0</v>
      </c>
      <c r="Z73" s="85">
        <f>midMarket(K73,L73) +AA73/10000</f>
        <v>0</v>
      </c>
      <c r="AA73">
        <f>IF(rightFromSymbol(A73)="C",MAX(0,$N$16-strikeFromSymbol(A73)),MAX(0,strikeFromSymbol(A73)-$N$16))*10000</f>
        <v>0</v>
      </c>
      <c r="AB73" s="86">
        <f t="shared" si="6"/>
        <v>0</v>
      </c>
      <c r="AC73" s="49">
        <f t="shared" si="3"/>
        <v>0</v>
      </c>
      <c r="AD73" s="48">
        <f t="shared" si="4"/>
        <v>0</v>
      </c>
    </row>
    <row r="74" spans="1:33" x14ac:dyDescent="0.25">
      <c r="A74" s="2"/>
      <c r="B74" s="2"/>
      <c r="C74" s="2"/>
      <c r="D74" s="2"/>
      <c r="E74" s="2"/>
      <c r="F74" s="28"/>
      <c r="G74" s="2"/>
      <c r="H74" s="2"/>
      <c r="I74" s="2"/>
      <c r="J74" s="2"/>
      <c r="K74" s="2"/>
      <c r="L74" s="2"/>
      <c r="M74" s="2"/>
      <c r="N74" s="2"/>
      <c r="O74" s="2"/>
      <c r="P74" s="2"/>
      <c r="Q74" s="33"/>
      <c r="R74" s="2"/>
      <c r="S74" s="2"/>
      <c r="T74" s="2"/>
      <c r="U74" s="2">
        <f t="shared" si="0"/>
        <v>0</v>
      </c>
      <c r="V74" s="2">
        <v>1.5804</v>
      </c>
      <c r="W74" s="2">
        <f t="shared" si="1"/>
        <v>0</v>
      </c>
      <c r="X74">
        <f t="shared" si="5"/>
        <v>0</v>
      </c>
      <c r="Y74">
        <f t="shared" si="2"/>
        <v>0</v>
      </c>
      <c r="Z74" s="85">
        <f t="shared" ref="Z74:Z91" si="7">midMarket(K74,L74) +AA74/10000</f>
        <v>0</v>
      </c>
      <c r="AA74">
        <f>IF(rightFromSymbol(A74)="C",MAX(0,$N$16-strikeFromSymbol(A74)),MAX(0,strikeFromSymbol(A74)-$N$16))*10000</f>
        <v>0</v>
      </c>
      <c r="AB74" s="86">
        <f t="shared" si="6"/>
        <v>0</v>
      </c>
      <c r="AC74" s="49">
        <f t="shared" si="3"/>
        <v>0</v>
      </c>
      <c r="AD74" s="48">
        <f t="shared" si="4"/>
        <v>0</v>
      </c>
    </row>
    <row r="75" spans="1:33" x14ac:dyDescent="0.25">
      <c r="A75" s="2"/>
      <c r="B75" s="2"/>
      <c r="C75" s="2"/>
      <c r="D75" s="2"/>
      <c r="E75" s="2"/>
      <c r="F75" s="28"/>
      <c r="G75" s="2"/>
      <c r="H75" s="2"/>
      <c r="I75" s="2"/>
      <c r="J75" s="2"/>
      <c r="K75" s="2"/>
      <c r="L75" s="2"/>
      <c r="M75" s="2"/>
      <c r="N75" s="2"/>
      <c r="O75" s="2"/>
      <c r="P75" s="34"/>
      <c r="Q75" s="33"/>
      <c r="R75" s="2"/>
      <c r="S75" s="2"/>
      <c r="T75" s="2"/>
      <c r="U75" s="2">
        <f t="shared" si="0"/>
        <v>0</v>
      </c>
      <c r="V75" s="2">
        <v>1.5804</v>
      </c>
      <c r="W75" s="2">
        <f t="shared" si="1"/>
        <v>0</v>
      </c>
      <c r="X75">
        <f t="shared" si="5"/>
        <v>0</v>
      </c>
      <c r="Y75">
        <f t="shared" si="2"/>
        <v>0</v>
      </c>
      <c r="Z75" s="85">
        <f t="shared" si="7"/>
        <v>0</v>
      </c>
      <c r="AA75">
        <f>IF(rightFromSymbol(A75)="C",MAX(0,$N$16-strikeFromSymbol(A75)),MAX(0,strikeFromSymbol(A75)-$N$16))*10000</f>
        <v>0</v>
      </c>
      <c r="AB75" s="86">
        <f t="shared" si="6"/>
        <v>0</v>
      </c>
      <c r="AC75" s="49">
        <f t="shared" si="3"/>
        <v>0</v>
      </c>
      <c r="AD75" s="48">
        <f t="shared" si="4"/>
        <v>0</v>
      </c>
    </row>
    <row r="76" spans="1:33" x14ac:dyDescent="0.25">
      <c r="A76" s="2"/>
      <c r="B76" s="2"/>
      <c r="C76" s="2"/>
      <c r="D76" s="2"/>
      <c r="E76" s="2"/>
      <c r="F76" s="28"/>
      <c r="G76" s="2"/>
      <c r="H76" s="2"/>
      <c r="I76" s="2"/>
      <c r="J76" s="2"/>
      <c r="K76" s="2"/>
      <c r="L76" s="2"/>
      <c r="M76" s="2"/>
      <c r="N76" s="2"/>
      <c r="O76" s="2"/>
      <c r="P76" s="2"/>
      <c r="Q76" s="33"/>
      <c r="R76" s="2"/>
      <c r="S76" s="2"/>
      <c r="T76" s="2"/>
      <c r="U76" s="2">
        <f t="shared" si="0"/>
        <v>0</v>
      </c>
      <c r="V76" s="2">
        <v>1.5804</v>
      </c>
      <c r="W76" s="2">
        <f t="shared" si="1"/>
        <v>0</v>
      </c>
      <c r="X76">
        <f t="shared" si="5"/>
        <v>0</v>
      </c>
      <c r="Y76">
        <f t="shared" si="2"/>
        <v>0</v>
      </c>
      <c r="Z76" s="85">
        <f t="shared" si="7"/>
        <v>0</v>
      </c>
      <c r="AA76">
        <f>IF(rightFromSymbol(A76)="C",MAX(0,$N$16-strikeFromSymbol(A76)),MAX(0,strikeFromSymbol(A76)-$N$16))*10000</f>
        <v>0</v>
      </c>
      <c r="AB76" s="86">
        <f t="shared" si="6"/>
        <v>0</v>
      </c>
      <c r="AC76" s="49">
        <f t="shared" si="3"/>
        <v>0</v>
      </c>
      <c r="AD76" s="48">
        <f t="shared" si="4"/>
        <v>0</v>
      </c>
    </row>
    <row r="77" spans="1:33" x14ac:dyDescent="0.25">
      <c r="A77" s="2"/>
      <c r="B77" s="2"/>
      <c r="C77" s="2"/>
      <c r="D77" s="2"/>
      <c r="E77" s="2"/>
      <c r="F77" s="28"/>
      <c r="G77" s="2"/>
      <c r="H77" s="2"/>
      <c r="I77" s="2"/>
      <c r="J77" s="2"/>
      <c r="K77" s="2"/>
      <c r="L77" s="2"/>
      <c r="M77" s="2"/>
      <c r="N77" s="2"/>
      <c r="O77" s="2"/>
      <c r="P77" s="2"/>
      <c r="Q77" s="33"/>
      <c r="R77" s="2"/>
      <c r="S77" s="2"/>
      <c r="T77" s="2"/>
      <c r="U77" s="2">
        <f t="shared" si="0"/>
        <v>0</v>
      </c>
      <c r="V77" s="2">
        <v>1.5804</v>
      </c>
      <c r="W77" s="2">
        <f t="shared" si="1"/>
        <v>0</v>
      </c>
      <c r="X77">
        <f t="shared" si="5"/>
        <v>0</v>
      </c>
      <c r="Y77">
        <f t="shared" si="2"/>
        <v>0</v>
      </c>
      <c r="Z77" s="85">
        <f t="shared" si="7"/>
        <v>0</v>
      </c>
      <c r="AA77">
        <f>IF(rightFromSymbol(A77)="C",MAX(0,$N$16-strikeFromSymbol(A77)),MAX(0,strikeFromSymbol(A77)-$N$16))*10000</f>
        <v>0</v>
      </c>
      <c r="AB77" s="86">
        <f t="shared" si="6"/>
        <v>0</v>
      </c>
      <c r="AC77" s="49">
        <f t="shared" si="3"/>
        <v>0</v>
      </c>
      <c r="AD77" s="48">
        <f t="shared" si="4"/>
        <v>0</v>
      </c>
    </row>
    <row r="78" spans="1:33" x14ac:dyDescent="0.25">
      <c r="A78" s="2"/>
      <c r="B78" s="2"/>
      <c r="C78" s="2"/>
      <c r="D78" s="2"/>
      <c r="E78" s="2"/>
      <c r="F78" s="28"/>
      <c r="G78" s="2"/>
      <c r="H78" s="2"/>
      <c r="I78" s="2"/>
      <c r="J78" s="2"/>
      <c r="K78" s="2"/>
      <c r="L78" s="2"/>
      <c r="M78" s="2"/>
      <c r="N78" s="2"/>
      <c r="O78" s="2"/>
      <c r="P78" s="2"/>
      <c r="Q78" s="33"/>
      <c r="R78" s="2"/>
      <c r="S78" s="2"/>
      <c r="T78" s="2"/>
      <c r="U78" s="2">
        <f t="shared" si="0"/>
        <v>0</v>
      </c>
      <c r="V78" s="2">
        <v>1.5804</v>
      </c>
      <c r="W78" s="2">
        <f t="shared" si="1"/>
        <v>0</v>
      </c>
      <c r="X78">
        <f t="shared" si="5"/>
        <v>0</v>
      </c>
      <c r="Y78">
        <f t="shared" si="2"/>
        <v>0</v>
      </c>
      <c r="Z78" s="85">
        <f t="shared" si="7"/>
        <v>0</v>
      </c>
      <c r="AA78">
        <f>IF(rightFromSymbol(A78)="C",MAX(0,$N$16-strikeFromSymbol(A78)),MAX(0,strikeFromSymbol(A78)-$N$16))*10000</f>
        <v>0</v>
      </c>
      <c r="AB78" s="86">
        <f t="shared" si="6"/>
        <v>0</v>
      </c>
      <c r="AC78" s="49">
        <f t="shared" si="3"/>
        <v>0</v>
      </c>
      <c r="AD78" s="48">
        <f t="shared" si="4"/>
        <v>0</v>
      </c>
    </row>
    <row r="79" spans="1:33" x14ac:dyDescent="0.25">
      <c r="A79" s="2"/>
      <c r="B79" s="2"/>
      <c r="C79" s="2"/>
      <c r="D79" s="2"/>
      <c r="E79" s="2"/>
      <c r="F79" s="28"/>
      <c r="G79" s="2"/>
      <c r="H79" s="2"/>
      <c r="I79" s="2"/>
      <c r="J79" s="2"/>
      <c r="K79" s="2"/>
      <c r="L79" s="2"/>
      <c r="M79" s="2"/>
      <c r="N79" s="2"/>
      <c r="O79" s="2"/>
      <c r="P79" s="2"/>
      <c r="Q79" s="33"/>
      <c r="R79" s="2"/>
      <c r="S79" s="2"/>
      <c r="T79" s="2"/>
      <c r="U79" s="2">
        <f t="shared" si="0"/>
        <v>0</v>
      </c>
      <c r="V79" s="2">
        <v>1.5804</v>
      </c>
      <c r="W79" s="2">
        <f t="shared" si="1"/>
        <v>0</v>
      </c>
      <c r="X79">
        <f t="shared" si="5"/>
        <v>0</v>
      </c>
      <c r="Y79">
        <f t="shared" si="2"/>
        <v>0</v>
      </c>
      <c r="Z79" s="85">
        <f t="shared" si="7"/>
        <v>0</v>
      </c>
      <c r="AA79">
        <f>IF(rightFromSymbol(A79)="C",MAX(0,$N$16-strikeFromSymbol(A79)),MAX(0,strikeFromSymbol(A79)-$N$16))*10000</f>
        <v>0</v>
      </c>
      <c r="AB79" s="86">
        <f t="shared" si="6"/>
        <v>0</v>
      </c>
      <c r="AC79" s="49">
        <f t="shared" si="3"/>
        <v>0</v>
      </c>
      <c r="AD79" s="48">
        <f t="shared" si="4"/>
        <v>0</v>
      </c>
    </row>
    <row r="80" spans="1:33" x14ac:dyDescent="0.25">
      <c r="A80" s="2"/>
      <c r="B80" s="2"/>
      <c r="C80" s="2"/>
      <c r="D80" s="2"/>
      <c r="E80" s="2"/>
      <c r="F80" s="28"/>
      <c r="G80" s="2"/>
      <c r="H80" s="2"/>
      <c r="I80" s="2"/>
      <c r="J80" s="2"/>
      <c r="K80" s="2"/>
      <c r="L80" s="2"/>
      <c r="M80" s="2"/>
      <c r="N80" s="2"/>
      <c r="O80" s="2"/>
      <c r="P80" s="2"/>
      <c r="Q80" s="33"/>
      <c r="R80" s="2"/>
      <c r="S80" s="2"/>
      <c r="T80" s="2"/>
      <c r="U80" s="2">
        <f t="shared" si="0"/>
        <v>0</v>
      </c>
      <c r="V80" s="2">
        <v>1.5804</v>
      </c>
      <c r="W80" s="2">
        <f t="shared" si="1"/>
        <v>0</v>
      </c>
      <c r="X80">
        <f t="shared" si="5"/>
        <v>0</v>
      </c>
      <c r="Y80">
        <f t="shared" si="2"/>
        <v>0</v>
      </c>
      <c r="Z80" s="85">
        <f t="shared" si="7"/>
        <v>0</v>
      </c>
      <c r="AA80">
        <f>IF(rightFromSymbol(A80)="C",MAX(0,$N$16-strikeFromSymbol(A80)),MAX(0,strikeFromSymbol(A80)-$N$16))*10000</f>
        <v>0</v>
      </c>
      <c r="AB80" s="86">
        <f t="shared" si="6"/>
        <v>0</v>
      </c>
      <c r="AC80" s="49">
        <f t="shared" si="3"/>
        <v>0</v>
      </c>
      <c r="AD80" s="48">
        <f>MAX(0,AC80*6.25)</f>
        <v>0</v>
      </c>
    </row>
    <row r="81" spans="1:30" x14ac:dyDescent="0.25">
      <c r="A81" s="2"/>
      <c r="B81" s="2"/>
      <c r="C81" s="2"/>
      <c r="D81" s="2"/>
      <c r="E81" s="2"/>
      <c r="F81" s="28"/>
      <c r="G81" s="2"/>
      <c r="H81" s="2"/>
      <c r="I81" s="2"/>
      <c r="J81" s="2"/>
      <c r="K81" s="2"/>
      <c r="L81" s="2"/>
      <c r="M81" s="2"/>
      <c r="N81" s="2"/>
      <c r="O81" s="2"/>
      <c r="P81" s="2"/>
      <c r="Q81" s="33"/>
      <c r="R81" s="2"/>
      <c r="S81" s="2"/>
      <c r="T81" s="2"/>
      <c r="U81" s="2">
        <f t="shared" si="0"/>
        <v>0</v>
      </c>
      <c r="V81" s="2">
        <v>1.5804</v>
      </c>
      <c r="W81" s="2">
        <f t="shared" si="1"/>
        <v>0</v>
      </c>
      <c r="X81">
        <f t="shared" si="5"/>
        <v>0</v>
      </c>
      <c r="Y81">
        <f t="shared" si="2"/>
        <v>0</v>
      </c>
      <c r="Z81" s="85">
        <f t="shared" si="7"/>
        <v>0</v>
      </c>
      <c r="AA81">
        <f>IF(rightFromSymbol(A81)="C",MAX(0,$N$16-strikeFromSymbol(A81)),MAX(0,strikeFromSymbol(A81)-$N$16))*10000</f>
        <v>0</v>
      </c>
      <c r="AB81" s="86">
        <f t="shared" si="6"/>
        <v>0</v>
      </c>
      <c r="AC81" s="49">
        <f t="shared" si="3"/>
        <v>0</v>
      </c>
      <c r="AD81" s="48">
        <f t="shared" ref="AD81:AD91" si="8">MAX(0,AC81*6.25)</f>
        <v>0</v>
      </c>
    </row>
    <row r="82" spans="1:30" x14ac:dyDescent="0.25">
      <c r="A82" s="2"/>
      <c r="B82" s="2"/>
      <c r="C82" s="2"/>
      <c r="D82" s="2"/>
      <c r="E82" s="2"/>
      <c r="F82" s="28"/>
      <c r="G82" s="2"/>
      <c r="H82" s="2"/>
      <c r="I82" s="2"/>
      <c r="J82" s="2"/>
      <c r="K82" s="2"/>
      <c r="L82" s="2"/>
      <c r="M82" s="2"/>
      <c r="N82" s="2"/>
      <c r="O82" s="2"/>
      <c r="P82" s="2"/>
      <c r="Q82" s="33"/>
      <c r="R82" s="2"/>
      <c r="S82" s="2"/>
      <c r="T82" s="2"/>
      <c r="U82" s="2">
        <f t="shared" si="0"/>
        <v>0</v>
      </c>
      <c r="V82" s="2"/>
      <c r="W82" s="2">
        <f t="shared" si="1"/>
        <v>0</v>
      </c>
      <c r="X82">
        <f t="shared" si="5"/>
        <v>0</v>
      </c>
      <c r="Y82">
        <f t="shared" si="2"/>
        <v>0</v>
      </c>
      <c r="Z82" s="85">
        <f t="shared" si="7"/>
        <v>0</v>
      </c>
      <c r="AA82">
        <f>IF(rightFromSymbol(A82)="C",MAX(0,$N$16-strikeFromSymbol(A82)),MAX(0,strikeFromSymbol(A82)-$N$16))*10000</f>
        <v>0</v>
      </c>
      <c r="AB82" s="86">
        <f t="shared" si="6"/>
        <v>0</v>
      </c>
      <c r="AC82" s="49">
        <f t="shared" si="3"/>
        <v>0</v>
      </c>
      <c r="AD82" s="48">
        <f t="shared" si="8"/>
        <v>0</v>
      </c>
    </row>
    <row r="83" spans="1:30" x14ac:dyDescent="0.25">
      <c r="A83" s="2"/>
      <c r="B83" s="2"/>
      <c r="C83" s="2"/>
      <c r="D83" s="2"/>
      <c r="E83" s="2"/>
      <c r="F83" s="28"/>
      <c r="G83" s="2"/>
      <c r="H83" s="2"/>
      <c r="I83" s="2"/>
      <c r="J83" s="2"/>
      <c r="K83" s="2"/>
      <c r="L83" s="2"/>
      <c r="M83" s="2"/>
      <c r="N83" s="2"/>
      <c r="O83" s="2"/>
      <c r="P83" s="2"/>
      <c r="Q83" s="33"/>
      <c r="R83" s="2"/>
      <c r="S83" s="2"/>
      <c r="T83" s="2"/>
      <c r="U83" s="2">
        <f t="shared" si="0"/>
        <v>0</v>
      </c>
      <c r="V83" s="2"/>
      <c r="W83" s="2">
        <f t="shared" si="1"/>
        <v>0</v>
      </c>
      <c r="X83">
        <f t="shared" si="5"/>
        <v>0</v>
      </c>
      <c r="Y83">
        <f t="shared" si="2"/>
        <v>0</v>
      </c>
      <c r="Z83" s="85">
        <f t="shared" si="7"/>
        <v>0</v>
      </c>
      <c r="AA83">
        <f>IF(rightFromSymbol(A83)="C",MAX(0,$N$16-strikeFromSymbol(A83)),MAX(0,strikeFromSymbol(A83)-$N$16))*10000</f>
        <v>0</v>
      </c>
      <c r="AB83" s="86">
        <f t="shared" si="6"/>
        <v>0</v>
      </c>
      <c r="AC83" s="49">
        <f t="shared" si="3"/>
        <v>0</v>
      </c>
      <c r="AD83" s="48">
        <f t="shared" si="8"/>
        <v>0</v>
      </c>
    </row>
    <row r="84" spans="1:30" x14ac:dyDescent="0.25">
      <c r="A84" s="2"/>
      <c r="B84" s="2"/>
      <c r="C84" s="2"/>
      <c r="D84" s="2"/>
      <c r="E84" s="2"/>
      <c r="F84" s="28"/>
      <c r="G84" s="2"/>
      <c r="H84" s="2"/>
      <c r="I84" s="2"/>
      <c r="J84" s="2"/>
      <c r="K84" s="2"/>
      <c r="L84" s="2"/>
      <c r="M84" s="2"/>
      <c r="N84" s="2"/>
      <c r="O84" s="2"/>
      <c r="P84" s="2"/>
      <c r="Q84" s="33"/>
      <c r="R84" s="2"/>
      <c r="S84" s="2"/>
      <c r="T84" s="2"/>
      <c r="U84" s="2">
        <f t="shared" si="0"/>
        <v>0</v>
      </c>
      <c r="V84" s="2"/>
      <c r="W84" s="2">
        <f t="shared" si="1"/>
        <v>0</v>
      </c>
      <c r="X84">
        <f t="shared" si="5"/>
        <v>0</v>
      </c>
      <c r="Y84">
        <f t="shared" si="2"/>
        <v>0</v>
      </c>
      <c r="Z84" s="85">
        <f t="shared" si="7"/>
        <v>0</v>
      </c>
      <c r="AA84">
        <f>IF(rightFromSymbol(A84)="C",MAX(0,$N$16-strikeFromSymbol(A84)),MAX(0,strikeFromSymbol(A84)-$N$16))*10000</f>
        <v>0</v>
      </c>
      <c r="AB84" s="86">
        <f t="shared" si="6"/>
        <v>0</v>
      </c>
      <c r="AC84" s="49">
        <f t="shared" si="3"/>
        <v>0</v>
      </c>
      <c r="AD84" s="48">
        <f t="shared" si="8"/>
        <v>0</v>
      </c>
    </row>
    <row r="85" spans="1:30" x14ac:dyDescent="0.25">
      <c r="A85" s="2"/>
      <c r="B85" s="2"/>
      <c r="C85" s="2"/>
      <c r="D85" s="2"/>
      <c r="E85" s="2"/>
      <c r="F85" s="28"/>
      <c r="G85" s="2"/>
      <c r="H85" s="2"/>
      <c r="I85" s="2"/>
      <c r="J85" s="2"/>
      <c r="K85" s="2"/>
      <c r="L85" s="2"/>
      <c r="M85" s="2"/>
      <c r="N85" s="2"/>
      <c r="O85" s="2"/>
      <c r="P85" s="2"/>
      <c r="Q85" s="33"/>
      <c r="R85" s="2"/>
      <c r="S85" s="2"/>
      <c r="T85" s="2"/>
      <c r="U85" s="2">
        <f t="shared" si="0"/>
        <v>0</v>
      </c>
      <c r="V85" s="2"/>
      <c r="W85" s="2">
        <f t="shared" si="1"/>
        <v>0</v>
      </c>
      <c r="X85">
        <f t="shared" si="5"/>
        <v>0</v>
      </c>
      <c r="Y85">
        <f t="shared" si="2"/>
        <v>0</v>
      </c>
      <c r="Z85" s="85">
        <f t="shared" si="7"/>
        <v>0</v>
      </c>
      <c r="AA85">
        <f>IF(rightFromSymbol(A85)="C",MAX(0,$N$16-strikeFromSymbol(A85)),MAX(0,strikeFromSymbol(A85)-$N$16))*10000</f>
        <v>0</v>
      </c>
      <c r="AB85" s="86">
        <f t="shared" si="6"/>
        <v>0</v>
      </c>
      <c r="AC85" s="49">
        <f t="shared" si="3"/>
        <v>0</v>
      </c>
      <c r="AD85" s="48">
        <f t="shared" si="8"/>
        <v>0</v>
      </c>
    </row>
    <row r="86" spans="1:30" x14ac:dyDescent="0.25">
      <c r="A86" s="2"/>
      <c r="B86" s="2"/>
      <c r="C86" s="2"/>
      <c r="D86" s="2"/>
      <c r="E86" s="2"/>
      <c r="F86" s="28"/>
      <c r="G86" s="2"/>
      <c r="H86" s="2"/>
      <c r="I86" s="2"/>
      <c r="J86" s="2"/>
      <c r="K86" s="2"/>
      <c r="L86" s="2"/>
      <c r="M86" s="2"/>
      <c r="N86" s="2"/>
      <c r="O86" s="2"/>
      <c r="P86" s="2"/>
      <c r="Q86" s="33"/>
      <c r="R86" s="2"/>
      <c r="S86" s="2"/>
      <c r="T86" s="2"/>
      <c r="U86" s="2">
        <f t="shared" si="0"/>
        <v>0</v>
      </c>
      <c r="V86" s="2"/>
      <c r="W86" s="2">
        <f t="shared" si="1"/>
        <v>0</v>
      </c>
      <c r="X86">
        <f t="shared" si="5"/>
        <v>0</v>
      </c>
      <c r="Y86">
        <f t="shared" si="2"/>
        <v>0</v>
      </c>
      <c r="Z86" s="85">
        <f t="shared" si="7"/>
        <v>0</v>
      </c>
      <c r="AA86">
        <f>IF(rightFromSymbol(A86)="C",MAX(0,$N$16-strikeFromSymbol(A86)),MAX(0,strikeFromSymbol(A86)-$N$16))*10000</f>
        <v>0</v>
      </c>
      <c r="AB86" s="86">
        <f t="shared" si="6"/>
        <v>0</v>
      </c>
      <c r="AC86" s="49">
        <f t="shared" si="3"/>
        <v>0</v>
      </c>
      <c r="AD86" s="48">
        <f t="shared" si="8"/>
        <v>0</v>
      </c>
    </row>
    <row r="87" spans="1:30" x14ac:dyDescent="0.25">
      <c r="A87" s="2"/>
      <c r="B87" s="2"/>
      <c r="C87" s="2"/>
      <c r="D87" s="2"/>
      <c r="E87" s="2"/>
      <c r="F87" s="28"/>
      <c r="G87" s="2"/>
      <c r="H87" s="2"/>
      <c r="I87" s="2"/>
      <c r="J87" s="2"/>
      <c r="K87" s="2"/>
      <c r="L87" s="2"/>
      <c r="M87" s="2"/>
      <c r="N87" s="2"/>
      <c r="O87" s="2"/>
      <c r="P87" s="2"/>
      <c r="Q87" s="33"/>
      <c r="R87" s="2"/>
      <c r="S87" s="2"/>
      <c r="T87" s="2"/>
      <c r="U87" s="2">
        <f t="shared" si="0"/>
        <v>0</v>
      </c>
      <c r="V87" s="2"/>
      <c r="W87" s="2">
        <f t="shared" si="1"/>
        <v>0</v>
      </c>
      <c r="X87">
        <f t="shared" si="5"/>
        <v>0</v>
      </c>
      <c r="Y87">
        <f t="shared" si="2"/>
        <v>0</v>
      </c>
      <c r="Z87" s="85">
        <f t="shared" si="7"/>
        <v>0</v>
      </c>
      <c r="AA87">
        <f>IF(rightFromSymbol(A87)="C",MAX(0,$N$16-strikeFromSymbol(A87)),MAX(0,strikeFromSymbol(A87)-$N$16))*10000</f>
        <v>0</v>
      </c>
      <c r="AB87" s="86">
        <f t="shared" si="6"/>
        <v>0</v>
      </c>
      <c r="AC87" s="49">
        <f t="shared" si="3"/>
        <v>0</v>
      </c>
      <c r="AD87" s="48">
        <f t="shared" si="8"/>
        <v>0</v>
      </c>
    </row>
    <row r="88" spans="1:30" x14ac:dyDescent="0.25">
      <c r="A88" s="2"/>
      <c r="B88" s="2"/>
      <c r="C88" s="2"/>
      <c r="D88" s="2"/>
      <c r="E88" s="2"/>
      <c r="F88" s="28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>
        <f t="shared" si="0"/>
        <v>0</v>
      </c>
      <c r="V88" s="2"/>
      <c r="W88" s="2">
        <f t="shared" si="1"/>
        <v>0</v>
      </c>
      <c r="X88">
        <f t="shared" si="5"/>
        <v>0</v>
      </c>
      <c r="Y88">
        <f t="shared" si="2"/>
        <v>0</v>
      </c>
      <c r="Z88" s="85">
        <f t="shared" si="7"/>
        <v>0</v>
      </c>
      <c r="AA88">
        <f>IF(rightFromSymbol(A88)="C",MAX(0,$N$16-strikeFromSymbol(A88)),MAX(0,strikeFromSymbol(A88)-$N$16))*10000</f>
        <v>0</v>
      </c>
      <c r="AB88" s="86">
        <f t="shared" si="6"/>
        <v>0</v>
      </c>
      <c r="AC88" s="49">
        <f t="shared" si="3"/>
        <v>0</v>
      </c>
      <c r="AD88" s="48">
        <f t="shared" si="8"/>
        <v>0</v>
      </c>
    </row>
    <row r="89" spans="1:30" x14ac:dyDescent="0.25">
      <c r="A89" s="2"/>
      <c r="B89" s="2"/>
      <c r="C89" s="2"/>
      <c r="D89" s="2"/>
      <c r="E89" s="2"/>
      <c r="F89" s="28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>
        <f t="shared" si="0"/>
        <v>0</v>
      </c>
      <c r="V89" s="2"/>
      <c r="W89" s="2">
        <f t="shared" si="1"/>
        <v>0</v>
      </c>
      <c r="X89">
        <f t="shared" si="5"/>
        <v>0</v>
      </c>
      <c r="Y89">
        <f t="shared" si="2"/>
        <v>0</v>
      </c>
      <c r="Z89" s="85">
        <f t="shared" si="7"/>
        <v>0</v>
      </c>
      <c r="AA89">
        <f>IF(rightFromSymbol(A89)="C",MAX(0,$N$16-strikeFromSymbol(A89)),MAX(0,strikeFromSymbol(A89)-$N$16))*10000</f>
        <v>0</v>
      </c>
      <c r="AB89" s="86">
        <f t="shared" si="6"/>
        <v>0</v>
      </c>
      <c r="AC89" s="49">
        <f t="shared" si="3"/>
        <v>0</v>
      </c>
      <c r="AD89" s="48">
        <f t="shared" si="8"/>
        <v>0</v>
      </c>
    </row>
    <row r="90" spans="1:30" x14ac:dyDescent="0.25">
      <c r="A90" s="2"/>
      <c r="B90" s="2"/>
      <c r="C90" s="2"/>
      <c r="D90" s="2"/>
      <c r="E90" s="2"/>
      <c r="F90" s="28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>
        <f t="shared" si="0"/>
        <v>0</v>
      </c>
      <c r="V90" s="2"/>
      <c r="W90" s="2">
        <f t="shared" si="1"/>
        <v>0</v>
      </c>
      <c r="X90">
        <f t="shared" si="5"/>
        <v>0</v>
      </c>
      <c r="Y90">
        <f t="shared" si="2"/>
        <v>0</v>
      </c>
      <c r="Z90" s="85">
        <f t="shared" si="7"/>
        <v>0</v>
      </c>
      <c r="AA90">
        <f>IF(rightFromSymbol(A90)="C",MAX(0,$N$16-strikeFromSymbol(A90)),MAX(0,strikeFromSymbol(A90)-$N$16))*10000</f>
        <v>0</v>
      </c>
      <c r="AB90" s="86">
        <f t="shared" si="6"/>
        <v>0</v>
      </c>
      <c r="AC90" s="49">
        <f t="shared" si="3"/>
        <v>0</v>
      </c>
      <c r="AD90" s="48">
        <f t="shared" si="8"/>
        <v>0</v>
      </c>
    </row>
    <row r="91" spans="1:30" x14ac:dyDescent="0.25">
      <c r="A91" s="2"/>
      <c r="B91" s="2"/>
      <c r="C91" s="2"/>
      <c r="D91" s="2"/>
      <c r="E91" s="2"/>
      <c r="F91" s="28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>
        <f t="shared" si="0"/>
        <v>0</v>
      </c>
      <c r="V91" s="2"/>
      <c r="W91" s="2">
        <f t="shared" si="1"/>
        <v>0</v>
      </c>
      <c r="X91">
        <f t="shared" si="5"/>
        <v>0</v>
      </c>
      <c r="Y91">
        <f t="shared" si="2"/>
        <v>0</v>
      </c>
      <c r="Z91" s="85">
        <f t="shared" si="7"/>
        <v>0</v>
      </c>
      <c r="AA91">
        <f>IF(rightFromSymbol(A91)="C",MAX(0,$N$16-strikeFromSymbol(A91)),MAX(0,strikeFromSymbol(A91)-$N$16))*10000</f>
        <v>0</v>
      </c>
      <c r="AB91" s="86">
        <f t="shared" si="6"/>
        <v>0</v>
      </c>
      <c r="AC91" s="49">
        <f t="shared" si="3"/>
        <v>0</v>
      </c>
      <c r="AD91" s="48">
        <f t="shared" si="8"/>
        <v>0</v>
      </c>
    </row>
    <row r="97" spans="1:13" x14ac:dyDescent="0.25">
      <c r="A97" s="111" t="s">
        <v>174</v>
      </c>
      <c r="B97" s="112"/>
      <c r="C97" s="112"/>
      <c r="D97" s="112"/>
      <c r="E97" s="112"/>
      <c r="F97" s="112"/>
      <c r="G97" s="112"/>
      <c r="H97" s="112"/>
      <c r="I97" s="112"/>
      <c r="J97" s="112"/>
      <c r="K97" s="112"/>
      <c r="L97" s="112"/>
      <c r="M97" s="112"/>
    </row>
    <row r="98" spans="1:13" x14ac:dyDescent="0.25">
      <c r="A98" s="107" t="s">
        <v>41</v>
      </c>
      <c r="B98" s="108"/>
      <c r="C98" s="108"/>
      <c r="D98" s="108"/>
      <c r="E98" s="108"/>
      <c r="F98" s="108"/>
      <c r="G98" s="108"/>
      <c r="H98" s="108"/>
      <c r="I98" s="108"/>
      <c r="J98" s="108"/>
      <c r="K98" s="108"/>
      <c r="L98" s="108"/>
      <c r="M98" s="108"/>
    </row>
    <row r="99" spans="1:13" x14ac:dyDescent="0.25">
      <c r="A99" s="70" t="s">
        <v>9</v>
      </c>
      <c r="B99" s="69" t="s">
        <v>42</v>
      </c>
      <c r="C99" s="69" t="s">
        <v>43</v>
      </c>
      <c r="D99" s="69" t="s">
        <v>44</v>
      </c>
      <c r="E99" s="69" t="s">
        <v>45</v>
      </c>
      <c r="F99" s="69" t="s">
        <v>33</v>
      </c>
      <c r="G99" s="69" t="s">
        <v>46</v>
      </c>
      <c r="H99" s="69" t="s">
        <v>47</v>
      </c>
      <c r="I99" s="69" t="s">
        <v>48</v>
      </c>
      <c r="J99" s="69" t="s">
        <v>49</v>
      </c>
      <c r="K99" s="69" t="s">
        <v>50</v>
      </c>
      <c r="L99" s="69" t="s">
        <v>51</v>
      </c>
      <c r="M99" s="69" t="s">
        <v>52</v>
      </c>
    </row>
    <row r="100" spans="1:13" x14ac:dyDescent="0.25">
      <c r="A100" s="2"/>
      <c r="B100" s="16"/>
      <c r="C100" s="20"/>
      <c r="D100" s="16"/>
      <c r="E100" s="16"/>
      <c r="F100" s="16"/>
      <c r="G100" s="16"/>
      <c r="H100" s="16"/>
      <c r="I100" s="16"/>
      <c r="J100" s="16"/>
      <c r="K100" s="16"/>
      <c r="L100" s="16"/>
      <c r="M100" s="16"/>
    </row>
    <row r="101" spans="1:13" x14ac:dyDescent="0.25">
      <c r="A101" s="2"/>
      <c r="B101" s="16"/>
      <c r="C101" s="20"/>
      <c r="D101" s="16"/>
      <c r="E101" s="16"/>
      <c r="F101" s="16"/>
      <c r="G101" s="16"/>
      <c r="H101" s="16"/>
      <c r="I101" s="16"/>
      <c r="J101" s="16"/>
      <c r="K101" s="16"/>
      <c r="L101" s="16"/>
      <c r="M101" s="16"/>
    </row>
    <row r="102" spans="1:13" x14ac:dyDescent="0.25">
      <c r="A102" s="2"/>
      <c r="B102" s="16"/>
      <c r="C102" s="20"/>
      <c r="D102" s="16"/>
      <c r="E102" s="16"/>
      <c r="F102" s="16"/>
      <c r="G102" s="16"/>
      <c r="H102" s="16"/>
      <c r="I102" s="16"/>
      <c r="J102" s="16"/>
      <c r="K102" s="16"/>
      <c r="L102" s="16"/>
      <c r="M102" s="16"/>
    </row>
    <row r="103" spans="1:13" x14ac:dyDescent="0.25">
      <c r="A103" s="2"/>
      <c r="B103" s="16"/>
      <c r="C103" s="20"/>
      <c r="D103" s="16"/>
      <c r="E103" s="16"/>
      <c r="F103" s="16"/>
      <c r="G103" s="16"/>
      <c r="H103" s="16"/>
      <c r="I103" s="16"/>
      <c r="J103" s="16"/>
      <c r="K103" s="16"/>
      <c r="L103" s="16"/>
      <c r="M103" s="16"/>
    </row>
    <row r="104" spans="1:13" x14ac:dyDescent="0.25">
      <c r="A104" s="2"/>
      <c r="B104" s="16"/>
      <c r="C104" s="22"/>
      <c r="D104" s="16"/>
      <c r="E104" s="16"/>
      <c r="F104" s="16"/>
      <c r="G104" s="16"/>
      <c r="H104" s="16"/>
      <c r="I104" s="16"/>
      <c r="J104" s="16"/>
      <c r="K104" s="16"/>
      <c r="L104" s="16"/>
      <c r="M104" s="16"/>
    </row>
    <row r="105" spans="1:13" x14ac:dyDescent="0.25">
      <c r="A105" s="2"/>
      <c r="B105" s="16"/>
      <c r="C105" s="22"/>
      <c r="D105" s="16"/>
      <c r="E105" s="16"/>
      <c r="F105" s="16"/>
      <c r="G105" s="16"/>
      <c r="H105" s="16"/>
      <c r="I105" s="16"/>
      <c r="J105" s="16"/>
      <c r="K105" s="16"/>
      <c r="L105" s="16"/>
      <c r="M105" s="16"/>
    </row>
    <row r="106" spans="1:13" x14ac:dyDescent="0.25">
      <c r="A106" s="2"/>
      <c r="B106" s="16"/>
      <c r="C106" s="22"/>
      <c r="D106" s="16"/>
      <c r="E106" s="16"/>
      <c r="F106" s="16"/>
      <c r="G106" s="16"/>
      <c r="H106" s="16"/>
      <c r="I106" s="16"/>
      <c r="J106" s="16"/>
      <c r="K106" s="16"/>
      <c r="L106" s="16"/>
      <c r="M106" s="16"/>
    </row>
    <row r="107" spans="1:13" x14ac:dyDescent="0.25">
      <c r="A107" s="2"/>
      <c r="B107" s="16"/>
      <c r="C107" s="20"/>
      <c r="D107" s="16"/>
      <c r="E107" s="16"/>
      <c r="F107" s="16"/>
      <c r="G107" s="16"/>
      <c r="H107" s="16"/>
      <c r="I107" s="16"/>
      <c r="J107" s="16"/>
      <c r="K107" s="16"/>
      <c r="L107" s="16"/>
      <c r="M107" s="16"/>
    </row>
    <row r="108" spans="1:13" x14ac:dyDescent="0.25">
      <c r="A108" s="2"/>
      <c r="B108" s="16"/>
      <c r="C108" s="22"/>
      <c r="D108" s="16"/>
      <c r="E108" s="16"/>
      <c r="F108" s="16"/>
      <c r="G108" s="16"/>
      <c r="H108" s="16"/>
      <c r="I108" s="16"/>
      <c r="J108" s="16"/>
      <c r="K108" s="16"/>
      <c r="L108" s="16"/>
      <c r="M108" s="16"/>
    </row>
    <row r="109" spans="1:13" x14ac:dyDescent="0.25">
      <c r="A109" s="2"/>
      <c r="B109" s="16"/>
      <c r="C109" s="20"/>
      <c r="D109" s="16"/>
      <c r="E109" s="16"/>
      <c r="F109" s="16"/>
      <c r="G109" s="16"/>
      <c r="H109" s="16"/>
      <c r="I109" s="16"/>
      <c r="J109" s="16"/>
      <c r="K109" s="16"/>
      <c r="L109" s="16"/>
      <c r="M109" s="16"/>
    </row>
    <row r="110" spans="1:13" x14ac:dyDescent="0.25">
      <c r="A110" s="2"/>
      <c r="B110" s="16"/>
      <c r="C110" s="22"/>
      <c r="D110" s="16"/>
      <c r="E110" s="16"/>
      <c r="F110" s="16"/>
      <c r="G110" s="16"/>
      <c r="H110" s="16"/>
      <c r="I110" s="16"/>
      <c r="J110" s="16"/>
      <c r="K110" s="16"/>
      <c r="L110" s="16"/>
      <c r="M110" s="16"/>
    </row>
    <row r="111" spans="1:13" x14ac:dyDescent="0.25">
      <c r="A111" s="2"/>
      <c r="B111" s="16"/>
      <c r="C111" s="20"/>
      <c r="D111" s="16"/>
      <c r="E111" s="16"/>
      <c r="F111" s="16"/>
      <c r="G111" s="16"/>
      <c r="H111" s="16"/>
      <c r="I111" s="16"/>
      <c r="J111" s="16"/>
      <c r="K111" s="16"/>
      <c r="L111" s="16"/>
      <c r="M111" s="16"/>
    </row>
    <row r="112" spans="1:13" x14ac:dyDescent="0.25">
      <c r="A112" s="2"/>
      <c r="B112" s="16"/>
      <c r="C112" s="22"/>
      <c r="D112" s="16"/>
      <c r="E112" s="16"/>
      <c r="F112" s="16"/>
      <c r="G112" s="16"/>
      <c r="H112" s="16"/>
      <c r="I112" s="16"/>
      <c r="J112" s="16"/>
      <c r="K112" s="16"/>
      <c r="L112" s="16"/>
      <c r="M112" s="16"/>
    </row>
    <row r="113" spans="1:13" x14ac:dyDescent="0.25">
      <c r="A113" s="2"/>
      <c r="B113" s="16"/>
      <c r="C113" s="20"/>
      <c r="D113" s="16"/>
      <c r="E113" s="16"/>
      <c r="F113" s="16"/>
      <c r="G113" s="16"/>
      <c r="H113" s="16"/>
      <c r="I113" s="16"/>
      <c r="J113" s="16"/>
      <c r="K113" s="16"/>
      <c r="L113" s="16"/>
      <c r="M113" s="16"/>
    </row>
    <row r="114" spans="1:13" x14ac:dyDescent="0.25">
      <c r="A114" s="2"/>
      <c r="B114" s="16"/>
      <c r="C114" s="22"/>
      <c r="D114" s="16"/>
      <c r="E114" s="16"/>
      <c r="F114" s="16"/>
      <c r="G114" s="16"/>
      <c r="H114" s="16"/>
      <c r="I114" s="16"/>
      <c r="J114" s="16"/>
      <c r="K114" s="16"/>
      <c r="L114" s="16"/>
      <c r="M114" s="16"/>
    </row>
    <row r="115" spans="1:13" x14ac:dyDescent="0.25">
      <c r="A115" s="2"/>
      <c r="B115" s="16"/>
      <c r="C115" s="22"/>
      <c r="D115" s="16"/>
      <c r="E115" s="16"/>
      <c r="F115" s="16"/>
      <c r="G115" s="16"/>
      <c r="H115" s="16"/>
      <c r="I115" s="16"/>
      <c r="J115" s="16"/>
      <c r="K115" s="16"/>
      <c r="L115" s="16"/>
      <c r="M115" s="16"/>
    </row>
    <row r="116" spans="1:13" x14ac:dyDescent="0.25">
      <c r="A116" s="2"/>
      <c r="B116" s="16"/>
      <c r="C116" s="22"/>
      <c r="D116" s="16"/>
      <c r="E116" s="16"/>
      <c r="F116" s="16"/>
      <c r="G116" s="16"/>
      <c r="H116" s="16"/>
      <c r="I116" s="16"/>
      <c r="J116" s="16"/>
      <c r="K116" s="16"/>
      <c r="L116" s="16"/>
      <c r="M116" s="16"/>
    </row>
    <row r="117" spans="1:13" x14ac:dyDescent="0.25">
      <c r="A117" s="2"/>
      <c r="B117" s="16"/>
      <c r="C117" s="20"/>
      <c r="D117" s="16"/>
      <c r="E117" s="16"/>
      <c r="F117" s="16"/>
      <c r="G117" s="16"/>
      <c r="H117" s="16"/>
      <c r="I117" s="16"/>
      <c r="J117" s="16"/>
      <c r="K117" s="16"/>
      <c r="L117" s="16"/>
      <c r="M117" s="16"/>
    </row>
    <row r="118" spans="1:13" x14ac:dyDescent="0.25">
      <c r="A118" s="2"/>
      <c r="B118" s="16"/>
      <c r="C118" s="20"/>
      <c r="D118" s="16"/>
      <c r="E118" s="16"/>
      <c r="F118" s="16"/>
      <c r="G118" s="16"/>
      <c r="H118" s="16"/>
      <c r="I118" s="16"/>
      <c r="J118" s="16"/>
      <c r="K118" s="16"/>
      <c r="L118" s="16"/>
      <c r="M118" s="16"/>
    </row>
    <row r="119" spans="1:13" x14ac:dyDescent="0.25">
      <c r="A119" s="2"/>
      <c r="B119" s="16"/>
      <c r="C119" s="20"/>
      <c r="D119" s="16"/>
      <c r="E119" s="16"/>
      <c r="F119" s="16"/>
      <c r="G119" s="16"/>
      <c r="H119" s="16"/>
      <c r="I119" s="16"/>
      <c r="J119" s="16"/>
      <c r="K119" s="16"/>
      <c r="L119" s="16"/>
      <c r="M119" s="16"/>
    </row>
    <row r="120" spans="1:13" x14ac:dyDescent="0.25">
      <c r="A120" s="2"/>
      <c r="B120" s="16"/>
      <c r="C120" s="20"/>
      <c r="D120" s="16"/>
      <c r="E120" s="16"/>
      <c r="F120" s="16"/>
      <c r="G120" s="16"/>
      <c r="H120" s="16"/>
      <c r="I120" s="16"/>
      <c r="J120" s="16"/>
      <c r="K120" s="16"/>
      <c r="L120" s="16"/>
      <c r="M120" s="16"/>
    </row>
    <row r="121" spans="1:13" x14ac:dyDescent="0.25">
      <c r="A121" s="2"/>
      <c r="B121" s="16"/>
      <c r="C121" s="22"/>
      <c r="D121" s="16"/>
      <c r="E121" s="16"/>
      <c r="F121" s="16"/>
      <c r="G121" s="16"/>
      <c r="H121" s="16"/>
      <c r="I121" s="16"/>
      <c r="J121" s="16"/>
      <c r="K121" s="16"/>
      <c r="L121" s="16"/>
      <c r="M121" s="16"/>
    </row>
    <row r="122" spans="1:13" x14ac:dyDescent="0.25">
      <c r="A122" s="2"/>
      <c r="B122" s="16"/>
      <c r="C122" s="22"/>
      <c r="D122" s="16"/>
      <c r="E122" s="16"/>
      <c r="F122" s="16"/>
      <c r="G122" s="16"/>
      <c r="H122" s="16"/>
      <c r="I122" s="16"/>
      <c r="J122" s="16"/>
      <c r="K122" s="16"/>
      <c r="L122" s="16"/>
      <c r="M122" s="16"/>
    </row>
    <row r="123" spans="1:13" x14ac:dyDescent="0.25">
      <c r="A123" s="2"/>
      <c r="B123" s="16"/>
      <c r="C123" s="22"/>
      <c r="D123" s="16"/>
      <c r="E123" s="16"/>
      <c r="F123" s="16"/>
      <c r="G123" s="16"/>
      <c r="H123" s="16"/>
      <c r="I123" s="16"/>
      <c r="J123" s="16"/>
      <c r="K123" s="16"/>
      <c r="L123" s="16"/>
      <c r="M123" s="16"/>
    </row>
    <row r="124" spans="1:13" x14ac:dyDescent="0.25">
      <c r="A124" s="2"/>
      <c r="B124" s="16"/>
      <c r="C124" s="22"/>
      <c r="D124" s="16"/>
      <c r="E124" s="16"/>
      <c r="F124" s="16"/>
      <c r="G124" s="16"/>
      <c r="H124" s="16"/>
      <c r="I124" s="16"/>
      <c r="J124" s="16"/>
      <c r="K124" s="16"/>
      <c r="L124" s="16"/>
      <c r="M124" s="16"/>
    </row>
    <row r="125" spans="1:13" x14ac:dyDescent="0.25">
      <c r="A125" s="2"/>
      <c r="B125" s="16"/>
      <c r="C125" s="22"/>
      <c r="D125" s="16"/>
      <c r="E125" s="16"/>
      <c r="F125" s="16"/>
      <c r="G125" s="16"/>
      <c r="H125" s="16"/>
      <c r="I125" s="16"/>
      <c r="J125" s="16"/>
      <c r="K125" s="16"/>
      <c r="L125" s="16"/>
      <c r="M125" s="16"/>
    </row>
    <row r="126" spans="1:13" x14ac:dyDescent="0.25">
      <c r="A126" s="2"/>
      <c r="B126" s="16"/>
      <c r="C126" s="22"/>
      <c r="D126" s="16"/>
      <c r="E126" s="16"/>
      <c r="F126" s="16"/>
      <c r="G126" s="16"/>
      <c r="H126" s="16"/>
      <c r="I126" s="16"/>
      <c r="J126" s="16"/>
      <c r="K126" s="16"/>
      <c r="L126" s="16"/>
      <c r="M126" s="16"/>
    </row>
    <row r="127" spans="1:13" x14ac:dyDescent="0.25">
      <c r="A127" s="2"/>
      <c r="B127" s="16"/>
      <c r="C127" s="20"/>
      <c r="D127" s="16"/>
      <c r="E127" s="16"/>
      <c r="F127" s="16"/>
      <c r="G127" s="16"/>
      <c r="H127" s="16"/>
      <c r="I127" s="16"/>
      <c r="J127" s="16"/>
      <c r="K127" s="16"/>
      <c r="L127" s="16"/>
      <c r="M127" s="16"/>
    </row>
    <row r="128" spans="1:13" x14ac:dyDescent="0.25">
      <c r="A128" s="2"/>
      <c r="B128" s="16"/>
      <c r="C128" s="20"/>
      <c r="D128" s="16"/>
      <c r="E128" s="16"/>
      <c r="F128" s="16"/>
      <c r="G128" s="16"/>
      <c r="H128" s="16"/>
      <c r="I128" s="16"/>
      <c r="J128" s="16"/>
      <c r="K128" s="16"/>
      <c r="L128" s="16"/>
      <c r="M128" s="16"/>
    </row>
    <row r="129" spans="1:13" x14ac:dyDescent="0.25">
      <c r="A129" s="2"/>
      <c r="B129" s="16"/>
      <c r="C129" s="22"/>
      <c r="D129" s="16"/>
      <c r="E129" s="16"/>
      <c r="F129" s="16"/>
      <c r="G129" s="16"/>
      <c r="H129" s="16"/>
      <c r="I129" s="16"/>
      <c r="J129" s="16"/>
      <c r="K129" s="16"/>
      <c r="L129" s="16"/>
      <c r="M129" s="16"/>
    </row>
    <row r="130" spans="1:13" x14ac:dyDescent="0.25">
      <c r="A130" s="2"/>
      <c r="B130" s="16"/>
      <c r="C130" s="20"/>
      <c r="D130" s="16"/>
      <c r="E130" s="16"/>
      <c r="F130" s="16"/>
      <c r="G130" s="16"/>
      <c r="H130" s="16"/>
      <c r="I130" s="16"/>
      <c r="J130" s="16"/>
      <c r="K130" s="16"/>
      <c r="L130" s="16"/>
      <c r="M130" s="16"/>
    </row>
    <row r="131" spans="1:13" x14ac:dyDescent="0.25">
      <c r="A131" s="2"/>
      <c r="B131" s="16"/>
      <c r="C131" s="22"/>
      <c r="D131" s="16"/>
      <c r="E131" s="16"/>
      <c r="F131" s="16"/>
      <c r="G131" s="16"/>
      <c r="H131" s="16"/>
      <c r="I131" s="16"/>
      <c r="J131" s="16"/>
      <c r="K131" s="16"/>
      <c r="L131" s="16"/>
      <c r="M131" s="16"/>
    </row>
    <row r="132" spans="1:13" x14ac:dyDescent="0.25">
      <c r="A132" s="2"/>
      <c r="B132" s="16"/>
      <c r="C132" s="22"/>
      <c r="D132" s="16"/>
      <c r="E132" s="16"/>
      <c r="F132" s="16"/>
      <c r="G132" s="16"/>
      <c r="H132" s="16"/>
      <c r="I132" s="16"/>
      <c r="J132" s="16"/>
      <c r="K132" s="16"/>
      <c r="L132" s="16"/>
      <c r="M132" s="16"/>
    </row>
    <row r="133" spans="1:13" x14ac:dyDescent="0.25">
      <c r="A133" s="2"/>
      <c r="B133" s="16"/>
      <c r="C133" s="22"/>
      <c r="D133" s="16"/>
      <c r="E133" s="16"/>
      <c r="F133" s="16"/>
      <c r="G133" s="16"/>
      <c r="H133" s="16"/>
      <c r="I133" s="16"/>
      <c r="J133" s="16"/>
      <c r="K133" s="16"/>
      <c r="L133" s="16"/>
      <c r="M133" s="16"/>
    </row>
    <row r="134" spans="1:13" x14ac:dyDescent="0.25">
      <c r="A134" s="2"/>
      <c r="B134" s="16"/>
      <c r="C134" s="22"/>
      <c r="D134" s="16"/>
      <c r="E134" s="16"/>
      <c r="F134" s="16"/>
      <c r="G134" s="16"/>
      <c r="H134" s="16"/>
      <c r="I134" s="16"/>
      <c r="J134" s="16"/>
      <c r="K134" s="16"/>
      <c r="L134" s="16"/>
      <c r="M134" s="16"/>
    </row>
    <row r="135" spans="1:13" x14ac:dyDescent="0.25">
      <c r="A135" s="2"/>
      <c r="B135" s="16"/>
      <c r="C135" s="22"/>
      <c r="D135" s="16"/>
      <c r="E135" s="16"/>
      <c r="F135" s="16"/>
      <c r="G135" s="16"/>
      <c r="H135" s="16"/>
      <c r="I135" s="16"/>
      <c r="J135" s="16"/>
      <c r="K135" s="16"/>
      <c r="L135" s="16"/>
      <c r="M135" s="16"/>
    </row>
    <row r="136" spans="1:13" x14ac:dyDescent="0.25">
      <c r="A136" s="2"/>
      <c r="B136" s="16"/>
      <c r="C136" s="22"/>
      <c r="D136" s="16"/>
      <c r="E136" s="16"/>
      <c r="F136" s="16"/>
      <c r="G136" s="16"/>
      <c r="H136" s="16"/>
      <c r="I136" s="16"/>
      <c r="J136" s="16"/>
      <c r="K136" s="16"/>
      <c r="L136" s="16"/>
      <c r="M136" s="16"/>
    </row>
    <row r="137" spans="1:13" x14ac:dyDescent="0.25">
      <c r="A137" s="2"/>
      <c r="B137" s="16"/>
      <c r="C137" s="22"/>
      <c r="D137" s="16"/>
      <c r="E137" s="16"/>
      <c r="F137" s="16"/>
      <c r="G137" s="16"/>
      <c r="H137" s="16"/>
      <c r="I137" s="16"/>
      <c r="J137" s="16"/>
      <c r="K137" s="16"/>
      <c r="L137" s="16"/>
      <c r="M137" s="16"/>
    </row>
    <row r="138" spans="1:13" x14ac:dyDescent="0.25">
      <c r="A138" s="2"/>
      <c r="B138" s="16"/>
      <c r="C138" s="22"/>
      <c r="D138" s="16"/>
      <c r="E138" s="16"/>
      <c r="F138" s="16"/>
      <c r="G138" s="16"/>
      <c r="H138" s="16"/>
      <c r="I138" s="16"/>
      <c r="J138" s="16"/>
      <c r="K138" s="16"/>
      <c r="L138" s="16"/>
      <c r="M138" s="16"/>
    </row>
    <row r="139" spans="1:13" x14ac:dyDescent="0.25">
      <c r="A139" s="2"/>
      <c r="B139" s="16"/>
      <c r="C139" s="22"/>
      <c r="D139" s="16"/>
      <c r="E139" s="16"/>
      <c r="F139" s="16"/>
      <c r="G139" s="16"/>
      <c r="H139" s="16"/>
      <c r="I139" s="16"/>
      <c r="J139" s="16"/>
      <c r="K139" s="16"/>
      <c r="L139" s="16"/>
      <c r="M139" s="16"/>
    </row>
    <row r="140" spans="1:13" x14ac:dyDescent="0.25">
      <c r="A140" s="2"/>
      <c r="B140" s="16"/>
      <c r="C140" s="22"/>
      <c r="D140" s="16"/>
      <c r="E140" s="16"/>
      <c r="F140" s="16"/>
      <c r="G140" s="16"/>
      <c r="H140" s="16"/>
      <c r="I140" s="16"/>
      <c r="J140" s="16"/>
      <c r="K140" s="16"/>
      <c r="L140" s="16"/>
      <c r="M140" s="16"/>
    </row>
    <row r="141" spans="1:13" x14ac:dyDescent="0.25">
      <c r="A141" s="2"/>
      <c r="B141" s="16"/>
      <c r="C141" s="22"/>
      <c r="D141" s="16"/>
      <c r="E141" s="16"/>
      <c r="F141" s="16"/>
      <c r="G141" s="16"/>
      <c r="H141" s="16"/>
      <c r="I141" s="16"/>
      <c r="J141" s="16"/>
      <c r="K141" s="16"/>
      <c r="L141" s="16"/>
      <c r="M141" s="16"/>
    </row>
    <row r="142" spans="1:13" x14ac:dyDescent="0.25">
      <c r="A142" s="2"/>
      <c r="B142" s="16"/>
      <c r="C142" s="22"/>
      <c r="D142" s="16"/>
      <c r="E142" s="16"/>
      <c r="F142" s="16"/>
      <c r="G142" s="16"/>
      <c r="H142" s="16"/>
      <c r="I142" s="16"/>
      <c r="J142" s="16"/>
      <c r="K142" s="16"/>
      <c r="L142" s="16"/>
      <c r="M142" s="16"/>
    </row>
    <row r="143" spans="1:13" x14ac:dyDescent="0.25">
      <c r="A143" s="2"/>
      <c r="B143" s="16"/>
      <c r="C143" s="22"/>
      <c r="D143" s="16"/>
      <c r="E143" s="16"/>
      <c r="F143" s="16"/>
      <c r="G143" s="16"/>
      <c r="H143" s="16"/>
      <c r="I143" s="16"/>
      <c r="J143" s="16"/>
      <c r="K143" s="16"/>
      <c r="L143" s="16"/>
      <c r="M143" s="16"/>
    </row>
    <row r="144" spans="1:13" x14ac:dyDescent="0.25">
      <c r="A144" s="2"/>
      <c r="B144" s="16"/>
      <c r="C144" s="22"/>
      <c r="D144" s="16"/>
      <c r="E144" s="16"/>
      <c r="F144" s="16"/>
      <c r="G144" s="16"/>
      <c r="H144" s="16"/>
      <c r="I144" s="16"/>
      <c r="J144" s="16"/>
      <c r="K144" s="16"/>
      <c r="L144" s="16"/>
      <c r="M144" s="16"/>
    </row>
    <row r="145" spans="1:13" x14ac:dyDescent="0.25">
      <c r="A145" s="2"/>
      <c r="B145" s="16"/>
      <c r="C145" s="22"/>
      <c r="D145" s="16"/>
      <c r="E145" s="16"/>
      <c r="F145" s="16"/>
      <c r="G145" s="16"/>
      <c r="H145" s="16"/>
      <c r="I145" s="16"/>
      <c r="J145" s="16"/>
      <c r="K145" s="16"/>
      <c r="L145" s="16"/>
      <c r="M145" s="16"/>
    </row>
    <row r="146" spans="1:13" x14ac:dyDescent="0.25">
      <c r="A146" s="2"/>
      <c r="B146" s="16"/>
      <c r="C146" s="22"/>
      <c r="D146" s="16"/>
      <c r="E146" s="16"/>
      <c r="F146" s="16"/>
      <c r="G146" s="16"/>
      <c r="H146" s="16"/>
      <c r="I146" s="16"/>
      <c r="J146" s="16"/>
      <c r="K146" s="16"/>
      <c r="L146" s="16"/>
      <c r="M146" s="16"/>
    </row>
    <row r="147" spans="1:13" x14ac:dyDescent="0.25">
      <c r="A147" s="2"/>
      <c r="B147" s="16"/>
      <c r="C147" s="22"/>
      <c r="D147" s="16"/>
      <c r="E147" s="16"/>
      <c r="F147" s="16"/>
      <c r="G147" s="16"/>
      <c r="H147" s="16"/>
      <c r="I147" s="16"/>
      <c r="J147" s="16"/>
      <c r="K147" s="16"/>
      <c r="L147" s="16"/>
      <c r="M147" s="16"/>
    </row>
    <row r="148" spans="1:13" x14ac:dyDescent="0.25">
      <c r="A148" s="2"/>
      <c r="B148" s="16"/>
      <c r="C148" s="22"/>
      <c r="D148" s="16"/>
      <c r="E148" s="16"/>
      <c r="F148" s="16"/>
      <c r="G148" s="16"/>
      <c r="H148" s="16"/>
      <c r="I148" s="16"/>
      <c r="J148" s="16"/>
      <c r="K148" s="16"/>
      <c r="L148" s="16"/>
      <c r="M148" s="16"/>
    </row>
    <row r="149" spans="1:13" x14ac:dyDescent="0.25">
      <c r="A149" s="2"/>
      <c r="B149" s="16"/>
      <c r="C149" s="22"/>
      <c r="D149" s="16"/>
      <c r="E149" s="16"/>
      <c r="F149" s="16"/>
      <c r="G149" s="16"/>
      <c r="H149" s="16"/>
      <c r="I149" s="16"/>
      <c r="J149" s="16"/>
      <c r="K149" s="16"/>
      <c r="L149" s="16"/>
      <c r="M149" s="16"/>
    </row>
    <row r="150" spans="1:13" x14ac:dyDescent="0.25">
      <c r="A150" s="2"/>
      <c r="B150" s="16"/>
      <c r="C150" s="22"/>
      <c r="D150" s="16"/>
      <c r="E150" s="16"/>
      <c r="F150" s="16"/>
      <c r="G150" s="16"/>
      <c r="H150" s="16"/>
      <c r="I150" s="16"/>
      <c r="J150" s="16"/>
      <c r="K150" s="16"/>
      <c r="L150" s="16"/>
      <c r="M150" s="16"/>
    </row>
    <row r="151" spans="1:13" x14ac:dyDescent="0.25">
      <c r="A151" s="2"/>
      <c r="B151" s="16"/>
      <c r="C151" s="22"/>
      <c r="D151" s="16"/>
      <c r="E151" s="16"/>
      <c r="F151" s="16"/>
      <c r="G151" s="16"/>
      <c r="H151" s="16"/>
      <c r="I151" s="16"/>
      <c r="J151" s="16"/>
      <c r="K151" s="16"/>
      <c r="L151" s="16"/>
      <c r="M151" s="16"/>
    </row>
    <row r="152" spans="1:13" x14ac:dyDescent="0.25">
      <c r="A152" s="2"/>
      <c r="B152" s="16"/>
      <c r="C152" s="22"/>
      <c r="D152" s="16"/>
      <c r="E152" s="16"/>
      <c r="F152" s="16"/>
      <c r="G152" s="16"/>
      <c r="H152" s="16"/>
      <c r="I152" s="16"/>
      <c r="J152" s="16"/>
      <c r="K152" s="16"/>
      <c r="L152" s="16"/>
      <c r="M152" s="16"/>
    </row>
    <row r="153" spans="1:13" x14ac:dyDescent="0.25">
      <c r="A153" s="2"/>
      <c r="B153" s="16"/>
      <c r="C153" s="22"/>
      <c r="D153" s="16"/>
      <c r="E153" s="16"/>
      <c r="F153" s="16"/>
      <c r="G153" s="16"/>
      <c r="H153" s="16"/>
      <c r="I153" s="16"/>
      <c r="J153" s="16"/>
      <c r="K153" s="16"/>
      <c r="L153" s="16"/>
      <c r="M153" s="16"/>
    </row>
    <row r="154" spans="1:13" x14ac:dyDescent="0.25">
      <c r="A154" s="2"/>
      <c r="B154" s="16"/>
      <c r="C154" s="22"/>
      <c r="D154" s="16"/>
      <c r="E154" s="16"/>
      <c r="F154" s="16"/>
      <c r="G154" s="16"/>
      <c r="H154" s="16"/>
      <c r="I154" s="16"/>
      <c r="J154" s="16"/>
      <c r="K154" s="16"/>
      <c r="L154" s="16"/>
      <c r="M154" s="16"/>
    </row>
    <row r="155" spans="1:13" x14ac:dyDescent="0.25">
      <c r="A155" s="2"/>
      <c r="B155" s="16"/>
      <c r="C155" s="22"/>
      <c r="D155" s="16"/>
      <c r="E155" s="16"/>
      <c r="F155" s="16"/>
      <c r="G155" s="16"/>
      <c r="H155" s="16"/>
      <c r="I155" s="16"/>
      <c r="J155" s="16"/>
      <c r="K155" s="16"/>
      <c r="L155" s="16"/>
      <c r="M155" s="16"/>
    </row>
    <row r="156" spans="1:13" x14ac:dyDescent="0.25">
      <c r="A156" s="2"/>
      <c r="B156" s="16"/>
      <c r="C156" s="22"/>
      <c r="D156" s="16"/>
      <c r="E156" s="16"/>
      <c r="F156" s="16"/>
      <c r="G156" s="16"/>
      <c r="H156" s="16"/>
      <c r="I156" s="16"/>
      <c r="J156" s="16"/>
      <c r="K156" s="16"/>
      <c r="L156" s="16"/>
      <c r="M156" s="16"/>
    </row>
    <row r="157" spans="1:13" x14ac:dyDescent="0.25">
      <c r="A157" s="2"/>
      <c r="B157" s="16"/>
      <c r="C157" s="22"/>
      <c r="D157" s="16"/>
      <c r="E157" s="16"/>
      <c r="F157" s="16"/>
      <c r="G157" s="16"/>
      <c r="H157" s="16"/>
      <c r="I157" s="16"/>
      <c r="J157" s="16"/>
      <c r="K157" s="16"/>
      <c r="L157" s="16"/>
      <c r="M157" s="16"/>
    </row>
    <row r="158" spans="1:13" x14ac:dyDescent="0.25">
      <c r="A158" s="2"/>
      <c r="B158" s="16"/>
      <c r="C158" s="22"/>
      <c r="D158" s="16"/>
      <c r="E158" s="16"/>
      <c r="F158" s="16"/>
      <c r="G158" s="16"/>
      <c r="H158" s="16"/>
      <c r="I158" s="16"/>
      <c r="J158" s="16"/>
      <c r="K158" s="16"/>
      <c r="L158" s="16"/>
      <c r="M158" s="16"/>
    </row>
    <row r="159" spans="1:13" x14ac:dyDescent="0.25">
      <c r="A159" s="2"/>
      <c r="B159" s="16"/>
      <c r="C159" s="22"/>
      <c r="D159" s="16"/>
      <c r="E159" s="16"/>
      <c r="F159" s="16"/>
      <c r="G159" s="16"/>
      <c r="H159" s="16"/>
      <c r="I159" s="16"/>
      <c r="J159" s="16"/>
      <c r="K159" s="16"/>
      <c r="L159" s="16"/>
      <c r="M159" s="16"/>
    </row>
    <row r="160" spans="1:13" x14ac:dyDescent="0.25">
      <c r="A160" s="2"/>
      <c r="B160" s="16"/>
      <c r="C160" s="22"/>
      <c r="D160" s="16"/>
      <c r="E160" s="21"/>
      <c r="F160" s="16"/>
      <c r="G160" s="16"/>
      <c r="H160" s="16"/>
      <c r="I160" s="16"/>
      <c r="J160" s="16"/>
      <c r="K160" s="16"/>
      <c r="L160" s="16"/>
      <c r="M160" s="16"/>
    </row>
    <row r="161" spans="1:13" x14ac:dyDescent="0.25">
      <c r="A161" s="2"/>
      <c r="B161" s="16"/>
      <c r="C161" s="22"/>
      <c r="D161" s="16"/>
      <c r="E161" s="21"/>
      <c r="F161" s="16"/>
      <c r="G161" s="16"/>
      <c r="H161" s="16"/>
      <c r="I161" s="16"/>
      <c r="J161" s="16"/>
      <c r="K161" s="16"/>
      <c r="L161" s="16"/>
      <c r="M161" s="16"/>
    </row>
    <row r="162" spans="1:13" x14ac:dyDescent="0.25">
      <c r="A162" s="2"/>
      <c r="B162" s="16"/>
      <c r="C162" s="22"/>
      <c r="D162" s="16"/>
      <c r="E162" s="21"/>
      <c r="F162" s="16"/>
      <c r="G162" s="16"/>
      <c r="H162" s="16"/>
      <c r="I162" s="16"/>
      <c r="J162" s="16"/>
      <c r="K162" s="16"/>
      <c r="L162" s="16"/>
      <c r="M162" s="16"/>
    </row>
    <row r="163" spans="1:13" x14ac:dyDescent="0.25">
      <c r="A163" s="2"/>
      <c r="B163" s="16"/>
      <c r="C163" s="22"/>
      <c r="D163" s="16"/>
      <c r="E163" s="21"/>
      <c r="F163" s="16"/>
      <c r="G163" s="16"/>
      <c r="H163" s="16"/>
      <c r="I163" s="16"/>
      <c r="J163" s="16"/>
      <c r="K163" s="16"/>
      <c r="L163" s="16"/>
      <c r="M163" s="16"/>
    </row>
    <row r="164" spans="1:13" x14ac:dyDescent="0.25">
      <c r="A164" s="2"/>
      <c r="B164" s="16"/>
      <c r="C164" s="22"/>
      <c r="D164" s="16"/>
      <c r="E164" s="21"/>
      <c r="F164" s="16"/>
      <c r="G164" s="16"/>
      <c r="H164" s="16"/>
      <c r="I164" s="16"/>
      <c r="J164" s="16"/>
      <c r="K164" s="16"/>
      <c r="L164" s="16"/>
      <c r="M164" s="16"/>
    </row>
    <row r="165" spans="1:13" x14ac:dyDescent="0.25">
      <c r="A165" s="2"/>
      <c r="B165" s="16"/>
      <c r="C165" s="22"/>
      <c r="D165" s="16"/>
      <c r="E165" s="21"/>
      <c r="F165" s="16"/>
      <c r="G165" s="16"/>
      <c r="H165" s="16"/>
      <c r="I165" s="16"/>
      <c r="J165" s="16"/>
      <c r="K165" s="16"/>
      <c r="L165" s="16"/>
      <c r="M165" s="16"/>
    </row>
    <row r="166" spans="1:13" x14ac:dyDescent="0.25">
      <c r="A166" s="2"/>
      <c r="B166" s="16"/>
      <c r="C166" s="22"/>
      <c r="D166" s="16"/>
      <c r="E166" s="21"/>
      <c r="F166" s="16"/>
      <c r="G166" s="16"/>
      <c r="H166" s="16"/>
      <c r="I166" s="16"/>
      <c r="J166" s="16"/>
      <c r="K166" s="16"/>
      <c r="L166" s="16"/>
      <c r="M166" s="16"/>
    </row>
    <row r="167" spans="1:13" x14ac:dyDescent="0.25">
      <c r="A167" s="2"/>
      <c r="B167" s="16"/>
      <c r="C167" s="22"/>
      <c r="D167" s="16"/>
      <c r="E167" s="21"/>
      <c r="F167" s="16"/>
      <c r="G167" s="16"/>
      <c r="H167" s="16"/>
      <c r="I167" s="16"/>
      <c r="J167" s="16"/>
      <c r="K167" s="16"/>
      <c r="L167" s="16"/>
      <c r="M167" s="16"/>
    </row>
    <row r="168" spans="1:13" x14ac:dyDescent="0.25">
      <c r="A168" s="2"/>
      <c r="B168" s="16"/>
      <c r="C168" s="22"/>
      <c r="D168" s="16"/>
      <c r="E168" s="21"/>
      <c r="F168" s="16"/>
      <c r="G168" s="16"/>
      <c r="H168" s="16"/>
      <c r="I168" s="16"/>
      <c r="J168" s="16"/>
      <c r="K168" s="16"/>
      <c r="L168" s="16"/>
      <c r="M168" s="16"/>
    </row>
    <row r="169" spans="1:13" x14ac:dyDescent="0.25">
      <c r="A169" s="2"/>
      <c r="B169" s="16"/>
      <c r="C169" s="22"/>
      <c r="D169" s="16"/>
      <c r="E169" s="21"/>
      <c r="F169" s="16"/>
      <c r="G169" s="16"/>
      <c r="H169" s="16"/>
      <c r="I169" s="16"/>
      <c r="J169" s="16"/>
      <c r="K169" s="16"/>
      <c r="L169" s="16"/>
      <c r="M169" s="16"/>
    </row>
    <row r="170" spans="1:13" x14ac:dyDescent="0.25">
      <c r="A170" s="2"/>
      <c r="B170" s="16"/>
      <c r="C170" s="22"/>
      <c r="D170" s="16"/>
      <c r="E170" s="21"/>
      <c r="F170" s="16"/>
      <c r="G170" s="16"/>
      <c r="H170" s="16"/>
      <c r="I170" s="16"/>
      <c r="J170" s="16"/>
      <c r="K170" s="16"/>
      <c r="L170" s="16"/>
      <c r="M170" s="16"/>
    </row>
    <row r="171" spans="1:13" x14ac:dyDescent="0.25">
      <c r="A171" s="2"/>
      <c r="B171" s="16"/>
      <c r="C171" s="22"/>
      <c r="D171" s="16"/>
      <c r="E171" s="21"/>
      <c r="F171" s="16"/>
      <c r="G171" s="16"/>
      <c r="H171" s="16"/>
      <c r="I171" s="16"/>
      <c r="J171" s="16"/>
      <c r="K171" s="16"/>
      <c r="L171" s="16"/>
      <c r="M171" s="16"/>
    </row>
    <row r="172" spans="1:13" x14ac:dyDescent="0.25">
      <c r="A172" s="2"/>
      <c r="B172" s="16"/>
      <c r="C172" s="22"/>
      <c r="D172" s="16"/>
      <c r="E172" s="21"/>
      <c r="F172" s="16"/>
      <c r="G172" s="16"/>
      <c r="H172" s="16"/>
      <c r="I172" s="16"/>
      <c r="J172" s="16"/>
      <c r="K172" s="16"/>
      <c r="L172" s="16"/>
      <c r="M172" s="16"/>
    </row>
    <row r="173" spans="1:13" x14ac:dyDescent="0.25">
      <c r="A173" s="2"/>
      <c r="B173" s="16"/>
      <c r="C173" s="22"/>
      <c r="D173" s="16"/>
      <c r="E173" s="21"/>
      <c r="F173" s="16"/>
      <c r="G173" s="16"/>
      <c r="H173" s="16"/>
      <c r="I173" s="16"/>
      <c r="J173" s="16"/>
      <c r="K173" s="16"/>
      <c r="L173" s="16"/>
      <c r="M173" s="16"/>
    </row>
    <row r="174" spans="1:13" x14ac:dyDescent="0.25">
      <c r="A174" s="2"/>
      <c r="B174" s="16"/>
      <c r="C174" s="22"/>
      <c r="D174" s="16"/>
      <c r="E174" s="21"/>
      <c r="F174" s="16"/>
      <c r="G174" s="16"/>
      <c r="H174" s="16"/>
      <c r="I174" s="16"/>
      <c r="J174" s="16"/>
      <c r="K174" s="16"/>
      <c r="L174" s="16"/>
      <c r="M174" s="16"/>
    </row>
    <row r="175" spans="1:13" x14ac:dyDescent="0.25">
      <c r="A175" s="2"/>
      <c r="B175" s="16"/>
      <c r="C175" s="22"/>
      <c r="D175" s="16"/>
      <c r="E175" s="21"/>
      <c r="F175" s="16"/>
      <c r="G175" s="16"/>
      <c r="H175" s="16"/>
      <c r="I175" s="16"/>
      <c r="J175" s="16"/>
      <c r="K175" s="16"/>
      <c r="L175" s="16"/>
      <c r="M175" s="16"/>
    </row>
    <row r="176" spans="1:13" x14ac:dyDescent="0.25">
      <c r="A176" s="2"/>
      <c r="B176" s="16"/>
      <c r="C176" s="22"/>
      <c r="D176" s="16"/>
      <c r="E176" s="21"/>
      <c r="F176" s="16"/>
      <c r="G176" s="16"/>
      <c r="H176" s="16"/>
      <c r="I176" s="16"/>
      <c r="J176" s="16"/>
      <c r="K176" s="16"/>
      <c r="L176" s="16"/>
      <c r="M176" s="16"/>
    </row>
    <row r="177" spans="1:13" x14ac:dyDescent="0.25">
      <c r="A177" s="2"/>
      <c r="B177" s="16"/>
      <c r="C177" s="22"/>
      <c r="D177" s="16"/>
      <c r="E177" s="21"/>
      <c r="F177" s="16"/>
      <c r="G177" s="16"/>
      <c r="H177" s="16"/>
      <c r="I177" s="16"/>
      <c r="J177" s="16"/>
      <c r="K177" s="16"/>
      <c r="L177" s="16"/>
      <c r="M177" s="16"/>
    </row>
    <row r="178" spans="1:13" x14ac:dyDescent="0.25">
      <c r="A178" s="2"/>
      <c r="B178" s="16"/>
      <c r="C178" s="22"/>
      <c r="D178" s="16"/>
      <c r="E178" s="21"/>
      <c r="F178" s="16"/>
      <c r="G178" s="16"/>
      <c r="H178" s="16"/>
      <c r="I178" s="16"/>
      <c r="J178" s="16"/>
      <c r="K178" s="16"/>
      <c r="L178" s="16"/>
      <c r="M178" s="16"/>
    </row>
    <row r="179" spans="1:13" x14ac:dyDescent="0.25">
      <c r="A179" s="2"/>
      <c r="B179" s="16"/>
      <c r="C179" s="22"/>
      <c r="D179" s="16"/>
      <c r="E179" s="21"/>
      <c r="F179" s="16"/>
      <c r="G179" s="16"/>
      <c r="H179" s="16"/>
      <c r="I179" s="16"/>
      <c r="J179" s="16"/>
      <c r="K179" s="16"/>
      <c r="L179" s="16"/>
      <c r="M179" s="16"/>
    </row>
    <row r="180" spans="1:13" x14ac:dyDescent="0.25">
      <c r="A180" s="2"/>
      <c r="B180" s="16"/>
      <c r="C180" s="22"/>
      <c r="D180" s="16"/>
      <c r="E180" s="21"/>
      <c r="F180" s="16"/>
      <c r="G180" s="16"/>
      <c r="H180" s="16"/>
      <c r="I180" s="16"/>
      <c r="J180" s="16"/>
      <c r="K180" s="16"/>
      <c r="L180" s="16"/>
      <c r="M180" s="16"/>
    </row>
    <row r="181" spans="1:13" x14ac:dyDescent="0.25">
      <c r="A181" s="2"/>
      <c r="B181" s="16"/>
      <c r="C181" s="22"/>
      <c r="D181" s="16"/>
      <c r="E181" s="21"/>
      <c r="F181" s="16"/>
      <c r="G181" s="16"/>
      <c r="H181" s="16"/>
      <c r="I181" s="16"/>
      <c r="J181" s="16"/>
      <c r="K181" s="16"/>
      <c r="L181" s="16"/>
      <c r="M181" s="16"/>
    </row>
    <row r="182" spans="1:13" x14ac:dyDescent="0.25">
      <c r="A182" s="2"/>
      <c r="B182" s="16"/>
      <c r="C182" s="22"/>
      <c r="D182" s="16"/>
      <c r="E182" s="21"/>
      <c r="F182" s="16"/>
      <c r="G182" s="16"/>
      <c r="H182" s="16"/>
      <c r="I182" s="16"/>
      <c r="J182" s="16"/>
      <c r="K182" s="16"/>
      <c r="L182" s="16"/>
      <c r="M182" s="16"/>
    </row>
    <row r="183" spans="1:13" x14ac:dyDescent="0.25">
      <c r="A183" s="2"/>
      <c r="B183" s="16"/>
      <c r="C183" s="22"/>
      <c r="D183" s="16"/>
      <c r="E183" s="21"/>
      <c r="F183" s="16"/>
      <c r="G183" s="16"/>
      <c r="H183" s="16"/>
      <c r="I183" s="16"/>
      <c r="J183" s="16"/>
      <c r="K183" s="16"/>
      <c r="L183" s="16"/>
      <c r="M183" s="16"/>
    </row>
    <row r="184" spans="1:13" x14ac:dyDescent="0.25">
      <c r="A184" s="2"/>
      <c r="B184" s="16"/>
      <c r="C184" s="22"/>
      <c r="D184" s="16"/>
      <c r="E184" s="21"/>
      <c r="F184" s="16"/>
      <c r="G184" s="16"/>
      <c r="H184" s="16"/>
      <c r="I184" s="16"/>
      <c r="J184" s="16"/>
      <c r="K184" s="16"/>
      <c r="L184" s="16"/>
      <c r="M184" s="16"/>
    </row>
    <row r="185" spans="1:13" x14ac:dyDescent="0.25">
      <c r="A185" s="2"/>
      <c r="B185" s="16"/>
      <c r="C185" s="22"/>
      <c r="D185" s="16"/>
      <c r="E185" s="21"/>
      <c r="F185" s="16"/>
      <c r="G185" s="16"/>
      <c r="H185" s="16"/>
      <c r="I185" s="16"/>
      <c r="J185" s="16"/>
      <c r="K185" s="16"/>
      <c r="L185" s="16"/>
      <c r="M185" s="16"/>
    </row>
    <row r="186" spans="1:13" x14ac:dyDescent="0.25">
      <c r="A186" s="2"/>
      <c r="B186" s="16"/>
      <c r="C186" s="22"/>
      <c r="D186" s="16"/>
      <c r="E186" s="21"/>
      <c r="F186" s="16"/>
      <c r="G186" s="16"/>
      <c r="H186" s="16"/>
      <c r="I186" s="16"/>
      <c r="J186" s="16"/>
      <c r="K186" s="16"/>
      <c r="L186" s="16"/>
      <c r="M186" s="16"/>
    </row>
    <row r="187" spans="1:13" x14ac:dyDescent="0.25">
      <c r="A187" s="2"/>
      <c r="B187" s="16"/>
      <c r="C187" s="22"/>
      <c r="D187" s="16"/>
      <c r="E187" s="21"/>
      <c r="F187" s="16"/>
      <c r="G187" s="16"/>
      <c r="H187" s="16"/>
      <c r="I187" s="16"/>
      <c r="J187" s="16"/>
      <c r="K187" s="16"/>
      <c r="L187" s="16"/>
      <c r="M187" s="16"/>
    </row>
    <row r="188" spans="1:13" x14ac:dyDescent="0.25">
      <c r="A188" s="2"/>
      <c r="B188" s="16"/>
      <c r="C188" s="22"/>
      <c r="D188" s="16"/>
      <c r="E188" s="21"/>
      <c r="F188" s="16"/>
      <c r="G188" s="16"/>
      <c r="H188" s="16"/>
      <c r="I188" s="16"/>
      <c r="J188" s="16"/>
      <c r="K188" s="16"/>
      <c r="L188" s="16"/>
      <c r="M188" s="16"/>
    </row>
    <row r="189" spans="1:13" x14ac:dyDescent="0.25">
      <c r="A189" s="2"/>
      <c r="B189" s="16"/>
      <c r="C189" s="22"/>
      <c r="D189" s="16"/>
      <c r="E189" s="21"/>
      <c r="F189" s="16"/>
      <c r="G189" s="16"/>
      <c r="H189" s="16"/>
      <c r="I189" s="16"/>
      <c r="J189" s="16"/>
      <c r="K189" s="16"/>
      <c r="L189" s="16"/>
      <c r="M189" s="16"/>
    </row>
    <row r="190" spans="1:13" x14ac:dyDescent="0.25">
      <c r="A190" s="2"/>
      <c r="B190" s="16"/>
      <c r="C190" s="22"/>
      <c r="D190" s="16"/>
      <c r="E190" s="21"/>
      <c r="F190" s="16"/>
      <c r="G190" s="16"/>
      <c r="H190" s="16"/>
      <c r="I190" s="16"/>
      <c r="J190" s="16"/>
      <c r="K190" s="16"/>
      <c r="L190" s="16"/>
      <c r="M190" s="16"/>
    </row>
    <row r="191" spans="1:13" x14ac:dyDescent="0.25">
      <c r="A191" s="2"/>
      <c r="B191" s="16"/>
      <c r="C191" s="22"/>
      <c r="D191" s="16"/>
      <c r="E191" s="21"/>
      <c r="F191" s="16"/>
      <c r="G191" s="16"/>
      <c r="H191" s="16"/>
      <c r="I191" s="16"/>
      <c r="J191" s="16"/>
      <c r="K191" s="16"/>
      <c r="L191" s="16"/>
      <c r="M191" s="16"/>
    </row>
    <row r="192" spans="1:13" x14ac:dyDescent="0.25">
      <c r="A192" s="2"/>
      <c r="B192" s="16"/>
      <c r="C192" s="22"/>
      <c r="D192" s="16"/>
      <c r="E192" s="21"/>
      <c r="F192" s="16"/>
      <c r="G192" s="16"/>
      <c r="H192" s="16"/>
      <c r="I192" s="16"/>
      <c r="J192" s="16"/>
      <c r="K192" s="16"/>
      <c r="L192" s="16"/>
      <c r="M192" s="16"/>
    </row>
    <row r="193" spans="1:13" x14ac:dyDescent="0.25">
      <c r="A193" s="2"/>
      <c r="B193" s="16"/>
      <c r="C193" s="22"/>
      <c r="D193" s="16"/>
      <c r="E193" s="21"/>
      <c r="F193" s="16"/>
      <c r="G193" s="16"/>
      <c r="H193" s="16"/>
      <c r="I193" s="16"/>
      <c r="J193" s="16"/>
      <c r="K193" s="16"/>
      <c r="L193" s="16"/>
      <c r="M193" s="16"/>
    </row>
    <row r="194" spans="1:13" x14ac:dyDescent="0.25">
      <c r="A194" s="2"/>
      <c r="B194" s="16"/>
      <c r="C194" s="22"/>
      <c r="D194" s="16"/>
      <c r="E194" s="21"/>
      <c r="F194" s="16"/>
      <c r="G194" s="16"/>
      <c r="H194" s="16"/>
      <c r="I194" s="16"/>
      <c r="J194" s="16"/>
      <c r="K194" s="16"/>
      <c r="L194" s="16"/>
      <c r="M194" s="16"/>
    </row>
    <row r="195" spans="1:13" x14ac:dyDescent="0.25">
      <c r="A195" s="2"/>
      <c r="B195" s="16"/>
      <c r="C195" s="22"/>
      <c r="D195" s="16"/>
      <c r="E195" s="21"/>
      <c r="F195" s="16"/>
      <c r="G195" s="16"/>
      <c r="H195" s="16"/>
      <c r="I195" s="16"/>
      <c r="J195" s="16"/>
      <c r="K195" s="16"/>
      <c r="L195" s="16"/>
      <c r="M195" s="16"/>
    </row>
    <row r="196" spans="1:13" x14ac:dyDescent="0.25">
      <c r="A196" s="2"/>
      <c r="B196" s="16"/>
      <c r="C196" s="22"/>
      <c r="D196" s="16"/>
      <c r="E196" s="21"/>
      <c r="F196" s="16"/>
      <c r="G196" s="16"/>
      <c r="H196" s="16"/>
      <c r="I196" s="16"/>
      <c r="J196" s="16"/>
      <c r="K196" s="16"/>
      <c r="L196" s="16"/>
      <c r="M196" s="16"/>
    </row>
    <row r="197" spans="1:13" x14ac:dyDescent="0.25">
      <c r="A197" s="2"/>
      <c r="B197" s="16"/>
      <c r="C197" s="22"/>
      <c r="D197" s="16"/>
      <c r="E197" s="21"/>
      <c r="F197" s="16"/>
      <c r="G197" s="16"/>
      <c r="H197" s="16"/>
      <c r="I197" s="16"/>
      <c r="J197" s="16"/>
      <c r="K197" s="16"/>
      <c r="L197" s="16"/>
      <c r="M197" s="16"/>
    </row>
    <row r="198" spans="1:13" x14ac:dyDescent="0.25">
      <c r="A198" s="2"/>
      <c r="B198" s="16"/>
      <c r="C198" s="22"/>
      <c r="D198" s="16"/>
      <c r="E198" s="21"/>
      <c r="F198" s="16"/>
      <c r="G198" s="16"/>
      <c r="H198" s="16"/>
      <c r="I198" s="16"/>
      <c r="J198" s="16"/>
      <c r="K198" s="16"/>
      <c r="L198" s="16"/>
      <c r="M198" s="16"/>
    </row>
    <row r="199" spans="1:13" x14ac:dyDescent="0.25">
      <c r="A199" s="2"/>
      <c r="B199" s="16"/>
      <c r="C199" s="22"/>
      <c r="D199" s="16"/>
      <c r="E199" s="21"/>
      <c r="F199" s="16"/>
      <c r="G199" s="16"/>
      <c r="H199" s="16"/>
      <c r="I199" s="16"/>
      <c r="J199" s="16"/>
      <c r="K199" s="16"/>
      <c r="L199" s="16"/>
      <c r="M199" s="16"/>
    </row>
    <row r="200" spans="1:13" x14ac:dyDescent="0.25">
      <c r="A200" s="2"/>
      <c r="B200" s="16"/>
      <c r="C200" s="22"/>
      <c r="D200" s="16"/>
      <c r="E200" s="21"/>
      <c r="F200" s="16"/>
      <c r="G200" s="16"/>
      <c r="H200" s="16"/>
      <c r="I200" s="16"/>
      <c r="J200" s="16"/>
      <c r="K200" s="16"/>
      <c r="L200" s="16"/>
      <c r="M200" s="16"/>
    </row>
    <row r="201" spans="1:13" x14ac:dyDescent="0.25">
      <c r="A201" s="2"/>
      <c r="B201" s="16"/>
      <c r="C201" s="22"/>
      <c r="D201" s="16"/>
      <c r="E201" s="21"/>
      <c r="F201" s="16"/>
      <c r="G201" s="16"/>
      <c r="H201" s="16"/>
      <c r="I201" s="16"/>
      <c r="J201" s="16"/>
      <c r="K201" s="16"/>
      <c r="L201" s="16"/>
      <c r="M201" s="16"/>
    </row>
    <row r="202" spans="1:13" x14ac:dyDescent="0.25">
      <c r="A202" s="2"/>
      <c r="B202" s="16"/>
      <c r="C202" s="22"/>
      <c r="D202" s="16"/>
      <c r="E202" s="21"/>
      <c r="F202" s="16"/>
      <c r="G202" s="16"/>
      <c r="H202" s="16"/>
      <c r="I202" s="16"/>
      <c r="J202" s="16"/>
      <c r="K202" s="16"/>
      <c r="L202" s="16"/>
      <c r="M202" s="16"/>
    </row>
    <row r="203" spans="1:13" x14ac:dyDescent="0.25">
      <c r="A203" s="2"/>
      <c r="B203" s="16"/>
      <c r="C203" s="22"/>
      <c r="D203" s="16"/>
      <c r="E203" s="21"/>
      <c r="F203" s="16"/>
      <c r="G203" s="16"/>
      <c r="H203" s="16"/>
      <c r="I203" s="16"/>
      <c r="J203" s="16"/>
      <c r="K203" s="16"/>
      <c r="L203" s="16"/>
      <c r="M203" s="16"/>
    </row>
    <row r="204" spans="1:13" x14ac:dyDescent="0.25">
      <c r="A204" s="2"/>
      <c r="B204" s="16"/>
      <c r="C204" s="22"/>
      <c r="D204" s="16"/>
      <c r="E204" s="21"/>
      <c r="F204" s="16"/>
      <c r="G204" s="16"/>
      <c r="H204" s="16"/>
      <c r="I204" s="16"/>
      <c r="J204" s="16"/>
      <c r="K204" s="16"/>
      <c r="L204" s="16"/>
      <c r="M204" s="16"/>
    </row>
    <row r="205" spans="1:13" x14ac:dyDescent="0.25">
      <c r="A205" s="2"/>
      <c r="B205" s="16"/>
      <c r="C205" s="22"/>
      <c r="D205" s="16"/>
      <c r="E205" s="21"/>
      <c r="F205" s="16"/>
      <c r="G205" s="16"/>
      <c r="H205" s="16"/>
      <c r="I205" s="16"/>
      <c r="J205" s="16"/>
      <c r="K205" s="16"/>
      <c r="L205" s="16"/>
      <c r="M205" s="16"/>
    </row>
    <row r="206" spans="1:13" x14ac:dyDescent="0.25">
      <c r="A206" s="2"/>
      <c r="B206" s="16"/>
      <c r="C206" s="22"/>
      <c r="D206" s="16"/>
      <c r="E206" s="21"/>
      <c r="F206" s="16"/>
      <c r="G206" s="16"/>
      <c r="H206" s="16"/>
      <c r="I206" s="16"/>
      <c r="J206" s="16"/>
      <c r="K206" s="16"/>
      <c r="L206" s="16"/>
      <c r="M206" s="16"/>
    </row>
    <row r="207" spans="1:13" x14ac:dyDescent="0.25">
      <c r="A207" s="2"/>
      <c r="B207" s="16"/>
      <c r="C207" s="22"/>
      <c r="D207" s="16"/>
      <c r="E207" s="21"/>
      <c r="F207" s="16"/>
      <c r="G207" s="16"/>
      <c r="H207" s="16"/>
      <c r="I207" s="16"/>
      <c r="J207" s="16"/>
      <c r="K207" s="16"/>
      <c r="L207" s="16"/>
      <c r="M207" s="16"/>
    </row>
    <row r="208" spans="1:13" x14ac:dyDescent="0.25">
      <c r="A208" s="2"/>
      <c r="B208" s="16"/>
      <c r="C208" s="22"/>
      <c r="D208" s="16"/>
      <c r="E208" s="21"/>
      <c r="F208" s="16"/>
      <c r="G208" s="16"/>
      <c r="H208" s="16"/>
      <c r="I208" s="16"/>
      <c r="J208" s="16"/>
      <c r="K208" s="16"/>
      <c r="L208" s="16"/>
      <c r="M208" s="16"/>
    </row>
    <row r="209" spans="1:13" x14ac:dyDescent="0.25">
      <c r="A209" s="2"/>
      <c r="B209" s="16"/>
      <c r="C209" s="22"/>
      <c r="D209" s="16"/>
      <c r="E209" s="21"/>
      <c r="F209" s="16"/>
      <c r="G209" s="16"/>
      <c r="H209" s="16"/>
      <c r="I209" s="16"/>
      <c r="J209" s="16"/>
      <c r="K209" s="16"/>
      <c r="L209" s="16"/>
      <c r="M209" s="16"/>
    </row>
    <row r="210" spans="1:13" x14ac:dyDescent="0.25">
      <c r="A210" s="2"/>
      <c r="B210" s="16"/>
      <c r="C210" s="22"/>
      <c r="D210" s="16"/>
      <c r="E210" s="21"/>
      <c r="F210" s="16"/>
      <c r="G210" s="16"/>
      <c r="H210" s="16"/>
      <c r="I210" s="16"/>
      <c r="J210" s="16"/>
      <c r="K210" s="16"/>
      <c r="L210" s="16"/>
      <c r="M210" s="16"/>
    </row>
    <row r="211" spans="1:13" x14ac:dyDescent="0.25">
      <c r="A211" s="2"/>
      <c r="B211" s="16"/>
      <c r="C211" s="22"/>
      <c r="D211" s="16"/>
      <c r="E211" s="21"/>
      <c r="F211" s="16"/>
      <c r="G211" s="16"/>
      <c r="H211" s="16"/>
      <c r="I211" s="16"/>
      <c r="J211" s="16"/>
      <c r="K211" s="16"/>
      <c r="L211" s="16"/>
      <c r="M211" s="16"/>
    </row>
    <row r="212" spans="1:13" x14ac:dyDescent="0.25">
      <c r="A212" s="2"/>
      <c r="B212" s="16"/>
      <c r="C212" s="22"/>
      <c r="D212" s="16"/>
      <c r="E212" s="21"/>
      <c r="F212" s="16"/>
      <c r="G212" s="16"/>
      <c r="H212" s="16"/>
      <c r="I212" s="16"/>
      <c r="J212" s="16"/>
      <c r="K212" s="16"/>
      <c r="L212" s="16"/>
      <c r="M212" s="16"/>
    </row>
    <row r="213" spans="1:13" x14ac:dyDescent="0.25">
      <c r="A213" s="2"/>
      <c r="B213" s="16"/>
      <c r="C213" s="22"/>
      <c r="D213" s="16"/>
      <c r="E213" s="21"/>
      <c r="F213" s="16"/>
      <c r="G213" s="16"/>
      <c r="H213" s="16"/>
      <c r="I213" s="16"/>
      <c r="J213" s="16"/>
      <c r="K213" s="16"/>
      <c r="L213" s="16"/>
      <c r="M213" s="16"/>
    </row>
    <row r="214" spans="1:13" x14ac:dyDescent="0.25">
      <c r="A214" s="2"/>
      <c r="B214" s="16"/>
      <c r="C214" s="22"/>
      <c r="D214" s="16"/>
      <c r="E214" s="21"/>
      <c r="F214" s="16"/>
      <c r="G214" s="16"/>
      <c r="H214" s="16"/>
      <c r="I214" s="16"/>
      <c r="J214" s="16"/>
      <c r="K214" s="16"/>
      <c r="L214" s="16"/>
      <c r="M214" s="16"/>
    </row>
    <row r="215" spans="1:13" x14ac:dyDescent="0.25">
      <c r="A215" s="2"/>
      <c r="B215" s="16"/>
      <c r="C215" s="22"/>
      <c r="D215" s="16"/>
      <c r="E215" s="21"/>
      <c r="F215" s="16"/>
      <c r="G215" s="16"/>
      <c r="H215" s="16"/>
      <c r="I215" s="16"/>
      <c r="J215" s="16"/>
      <c r="K215" s="16"/>
      <c r="L215" s="16"/>
      <c r="M215" s="16"/>
    </row>
    <row r="216" spans="1:13" x14ac:dyDescent="0.25">
      <c r="A216" s="2"/>
      <c r="B216" s="16"/>
      <c r="C216" s="22"/>
      <c r="D216" s="16"/>
      <c r="E216" s="21"/>
      <c r="F216" s="16"/>
      <c r="G216" s="16"/>
      <c r="H216" s="16"/>
      <c r="I216" s="16"/>
      <c r="J216" s="16"/>
      <c r="K216" s="16"/>
      <c r="L216" s="16"/>
      <c r="M216" s="16"/>
    </row>
    <row r="217" spans="1:13" x14ac:dyDescent="0.25">
      <c r="A217" s="2"/>
      <c r="B217" s="16"/>
      <c r="C217" s="22"/>
      <c r="D217" s="16"/>
      <c r="E217" s="21"/>
      <c r="F217" s="16"/>
      <c r="G217" s="16"/>
      <c r="H217" s="16"/>
      <c r="I217" s="16"/>
      <c r="J217" s="16"/>
      <c r="K217" s="16"/>
      <c r="L217" s="16"/>
      <c r="M217" s="16"/>
    </row>
    <row r="218" spans="1:13" x14ac:dyDescent="0.25">
      <c r="A218" s="2"/>
      <c r="B218" s="16"/>
      <c r="C218" s="22"/>
      <c r="D218" s="16"/>
      <c r="E218" s="21"/>
      <c r="F218" s="16"/>
      <c r="G218" s="16"/>
      <c r="H218" s="16"/>
      <c r="I218" s="16"/>
      <c r="J218" s="16"/>
      <c r="K218" s="16"/>
      <c r="L218" s="16"/>
      <c r="M218" s="16"/>
    </row>
    <row r="219" spans="1:13" x14ac:dyDescent="0.25">
      <c r="A219" s="2"/>
      <c r="B219" s="16"/>
      <c r="C219" s="22"/>
      <c r="D219" s="16"/>
      <c r="E219" s="21"/>
      <c r="F219" s="16"/>
      <c r="G219" s="16"/>
      <c r="H219" s="16"/>
      <c r="I219" s="16"/>
      <c r="J219" s="16"/>
      <c r="K219" s="16"/>
      <c r="L219" s="16"/>
      <c r="M219" s="16"/>
    </row>
    <row r="220" spans="1:13" x14ac:dyDescent="0.25">
      <c r="A220" s="2"/>
      <c r="B220" s="16"/>
      <c r="C220" s="22"/>
      <c r="D220" s="16"/>
      <c r="E220" s="21"/>
      <c r="F220" s="16"/>
      <c r="G220" s="16"/>
      <c r="H220" s="16"/>
      <c r="I220" s="16"/>
      <c r="J220" s="16"/>
      <c r="K220" s="16"/>
      <c r="L220" s="16"/>
      <c r="M220" s="16"/>
    </row>
    <row r="221" spans="1:13" x14ac:dyDescent="0.25">
      <c r="A221" s="2"/>
      <c r="B221" s="16"/>
      <c r="C221" s="22"/>
      <c r="D221" s="16"/>
      <c r="E221" s="21"/>
      <c r="F221" s="16"/>
      <c r="G221" s="16"/>
      <c r="H221" s="16"/>
      <c r="I221" s="16"/>
      <c r="J221" s="16"/>
      <c r="K221" s="16"/>
      <c r="L221" s="16"/>
      <c r="M221" s="16"/>
    </row>
    <row r="222" spans="1:13" x14ac:dyDescent="0.25">
      <c r="A222" s="2"/>
      <c r="B222" s="16"/>
      <c r="C222" s="22"/>
      <c r="D222" s="16"/>
      <c r="E222" s="21"/>
      <c r="F222" s="16"/>
      <c r="G222" s="16"/>
      <c r="H222" s="16"/>
      <c r="I222" s="16"/>
      <c r="J222" s="16"/>
      <c r="K222" s="16"/>
      <c r="L222" s="16"/>
      <c r="M222" s="16"/>
    </row>
    <row r="223" spans="1:13" x14ac:dyDescent="0.25">
      <c r="A223" s="2"/>
      <c r="B223" s="16"/>
      <c r="C223" s="22"/>
      <c r="D223" s="16"/>
      <c r="E223" s="21"/>
      <c r="F223" s="16"/>
      <c r="G223" s="16"/>
      <c r="H223" s="16"/>
      <c r="I223" s="16"/>
      <c r="J223" s="16"/>
      <c r="K223" s="16"/>
      <c r="L223" s="16"/>
      <c r="M223" s="16"/>
    </row>
    <row r="224" spans="1:13" x14ac:dyDescent="0.25">
      <c r="A224" s="2"/>
      <c r="B224" s="16"/>
      <c r="C224" s="22"/>
      <c r="D224" s="16"/>
      <c r="E224" s="21"/>
      <c r="F224" s="16"/>
      <c r="G224" s="16"/>
      <c r="H224" s="16"/>
      <c r="I224" s="16"/>
      <c r="J224" s="16"/>
      <c r="K224" s="16"/>
      <c r="L224" s="16"/>
      <c r="M224" s="16"/>
    </row>
    <row r="225" spans="1:13" x14ac:dyDescent="0.25">
      <c r="A225" s="2"/>
      <c r="B225" s="16"/>
      <c r="C225" s="22"/>
      <c r="D225" s="16"/>
      <c r="E225" s="21"/>
      <c r="F225" s="16"/>
      <c r="G225" s="16"/>
      <c r="H225" s="16"/>
      <c r="I225" s="16"/>
      <c r="J225" s="16"/>
      <c r="K225" s="16"/>
      <c r="L225" s="16"/>
      <c r="M225" s="16"/>
    </row>
    <row r="226" spans="1:13" x14ac:dyDescent="0.25">
      <c r="A226" s="2"/>
      <c r="B226" s="16"/>
      <c r="C226" s="22"/>
      <c r="D226" s="16"/>
      <c r="E226" s="21"/>
      <c r="F226" s="16"/>
      <c r="G226" s="16"/>
      <c r="H226" s="16"/>
      <c r="I226" s="16"/>
      <c r="J226" s="16"/>
      <c r="K226" s="16"/>
      <c r="L226" s="16"/>
      <c r="M226" s="16"/>
    </row>
    <row r="227" spans="1:13" x14ac:dyDescent="0.25">
      <c r="A227" s="2"/>
      <c r="B227" s="16"/>
      <c r="C227" s="22"/>
      <c r="D227" s="16"/>
      <c r="E227" s="21"/>
      <c r="F227" s="16"/>
      <c r="G227" s="16"/>
      <c r="H227" s="16"/>
      <c r="I227" s="16"/>
      <c r="J227" s="16"/>
      <c r="K227" s="16"/>
      <c r="L227" s="16"/>
      <c r="M227" s="16"/>
    </row>
    <row r="228" spans="1:13" x14ac:dyDescent="0.25">
      <c r="A228" s="2"/>
      <c r="B228" s="16"/>
      <c r="C228" s="22"/>
      <c r="D228" s="16"/>
      <c r="E228" s="21"/>
      <c r="F228" s="16"/>
      <c r="G228" s="16"/>
      <c r="H228" s="16"/>
      <c r="I228" s="16"/>
      <c r="J228" s="16"/>
      <c r="K228" s="16"/>
      <c r="L228" s="16"/>
      <c r="M228" s="16"/>
    </row>
    <row r="229" spans="1:13" x14ac:dyDescent="0.25">
      <c r="A229" s="2"/>
      <c r="B229" s="16"/>
      <c r="C229" s="22"/>
      <c r="D229" s="16"/>
      <c r="E229" s="21"/>
      <c r="F229" s="16"/>
      <c r="G229" s="16"/>
      <c r="H229" s="16"/>
      <c r="I229" s="16"/>
      <c r="J229" s="16"/>
      <c r="K229" s="16"/>
      <c r="L229" s="16"/>
      <c r="M229" s="16"/>
    </row>
    <row r="230" spans="1:13" x14ac:dyDescent="0.25">
      <c r="A230" s="2"/>
      <c r="B230" s="16"/>
      <c r="C230" s="22"/>
      <c r="D230" s="16"/>
      <c r="E230" s="21"/>
      <c r="F230" s="16"/>
      <c r="G230" s="16"/>
      <c r="H230" s="16"/>
      <c r="I230" s="16"/>
      <c r="J230" s="16"/>
      <c r="K230" s="16"/>
      <c r="L230" s="16"/>
      <c r="M230" s="16"/>
    </row>
    <row r="231" spans="1:13" x14ac:dyDescent="0.25">
      <c r="A231" s="2"/>
      <c r="B231" s="16"/>
      <c r="C231" s="22"/>
      <c r="D231" s="16"/>
      <c r="E231" s="21"/>
      <c r="F231" s="16"/>
      <c r="G231" s="16"/>
      <c r="H231" s="16"/>
      <c r="I231" s="16"/>
      <c r="J231" s="16"/>
      <c r="K231" s="16"/>
      <c r="L231" s="16"/>
      <c r="M231" s="16"/>
    </row>
    <row r="232" spans="1:13" x14ac:dyDescent="0.25">
      <c r="A232" s="2"/>
      <c r="B232" s="16"/>
      <c r="C232" s="22"/>
      <c r="D232" s="16"/>
      <c r="E232" s="21"/>
      <c r="F232" s="16"/>
      <c r="G232" s="16"/>
      <c r="H232" s="16"/>
      <c r="I232" s="16"/>
      <c r="J232" s="16"/>
      <c r="K232" s="16"/>
      <c r="L232" s="16"/>
      <c r="M232" s="16"/>
    </row>
    <row r="233" spans="1:13" x14ac:dyDescent="0.25">
      <c r="A233" s="2"/>
      <c r="B233" s="16"/>
      <c r="C233" s="22"/>
      <c r="D233" s="16"/>
      <c r="E233" s="21"/>
      <c r="F233" s="16"/>
      <c r="G233" s="16"/>
      <c r="H233" s="16"/>
      <c r="I233" s="16"/>
      <c r="J233" s="16"/>
      <c r="K233" s="16"/>
      <c r="L233" s="16"/>
      <c r="M233" s="16"/>
    </row>
    <row r="234" spans="1:13" x14ac:dyDescent="0.25">
      <c r="A234" s="2"/>
      <c r="B234" s="16"/>
      <c r="C234" s="22"/>
      <c r="D234" s="16"/>
      <c r="E234" s="21"/>
      <c r="F234" s="16"/>
      <c r="G234" s="16"/>
      <c r="H234" s="16"/>
      <c r="I234" s="16"/>
      <c r="J234" s="16"/>
      <c r="K234" s="16"/>
      <c r="L234" s="16"/>
      <c r="M234" s="16"/>
    </row>
    <row r="235" spans="1:13" x14ac:dyDescent="0.25">
      <c r="A235" s="2"/>
      <c r="B235" s="16"/>
      <c r="C235" s="22"/>
      <c r="D235" s="16"/>
      <c r="E235" s="21"/>
      <c r="F235" s="16"/>
      <c r="G235" s="16"/>
      <c r="H235" s="16"/>
      <c r="I235" s="16"/>
      <c r="J235" s="16"/>
      <c r="K235" s="16"/>
      <c r="L235" s="16"/>
      <c r="M235" s="16"/>
    </row>
    <row r="236" spans="1:13" x14ac:dyDescent="0.25">
      <c r="A236" s="2"/>
      <c r="B236" s="16"/>
      <c r="C236" s="22"/>
      <c r="D236" s="16"/>
      <c r="E236" s="21"/>
      <c r="F236" s="16"/>
      <c r="G236" s="16"/>
      <c r="H236" s="16"/>
      <c r="I236" s="16"/>
      <c r="J236" s="16"/>
      <c r="K236" s="16"/>
      <c r="L236" s="16"/>
      <c r="M236" s="16"/>
    </row>
    <row r="237" spans="1:13" x14ac:dyDescent="0.25">
      <c r="A237" s="2"/>
      <c r="B237" s="16"/>
      <c r="C237" s="22"/>
      <c r="D237" s="16"/>
      <c r="E237" s="21"/>
      <c r="F237" s="16"/>
      <c r="G237" s="16"/>
      <c r="H237" s="16"/>
      <c r="I237" s="16"/>
      <c r="J237" s="16"/>
      <c r="K237" s="16"/>
      <c r="L237" s="16"/>
      <c r="M237" s="16"/>
    </row>
    <row r="238" spans="1:13" x14ac:dyDescent="0.25">
      <c r="A238" s="2"/>
      <c r="B238" s="16"/>
      <c r="C238" s="22"/>
      <c r="D238" s="16"/>
      <c r="E238" s="21"/>
      <c r="F238" s="16"/>
      <c r="G238" s="16"/>
      <c r="H238" s="16"/>
      <c r="I238" s="16"/>
      <c r="J238" s="16"/>
      <c r="K238" s="16"/>
      <c r="L238" s="16"/>
      <c r="M238" s="16"/>
    </row>
    <row r="239" spans="1:13" x14ac:dyDescent="0.25">
      <c r="A239" s="2"/>
      <c r="B239" s="16"/>
      <c r="C239" s="22"/>
      <c r="D239" s="16"/>
      <c r="E239" s="21"/>
      <c r="F239" s="16"/>
      <c r="G239" s="16"/>
      <c r="H239" s="16"/>
      <c r="I239" s="16"/>
      <c r="J239" s="16"/>
      <c r="K239" s="16"/>
      <c r="L239" s="16"/>
      <c r="M239" s="16"/>
    </row>
    <row r="240" spans="1:13" x14ac:dyDescent="0.25">
      <c r="A240" s="2"/>
      <c r="B240" s="16"/>
      <c r="C240" s="22"/>
      <c r="D240" s="16"/>
      <c r="E240" s="21"/>
      <c r="F240" s="16"/>
      <c r="G240" s="16"/>
      <c r="H240" s="16"/>
      <c r="I240" s="16"/>
      <c r="J240" s="16"/>
      <c r="K240" s="16"/>
      <c r="L240" s="16"/>
      <c r="M240" s="16"/>
    </row>
    <row r="241" spans="1:13" x14ac:dyDescent="0.25">
      <c r="A241" s="2"/>
      <c r="B241" s="16"/>
      <c r="C241" s="22"/>
      <c r="D241" s="16"/>
      <c r="E241" s="21"/>
      <c r="F241" s="16"/>
      <c r="G241" s="16"/>
      <c r="H241" s="16"/>
      <c r="I241" s="16"/>
      <c r="J241" s="16"/>
      <c r="K241" s="16"/>
      <c r="L241" s="16"/>
      <c r="M241" s="16"/>
    </row>
    <row r="242" spans="1:13" x14ac:dyDescent="0.25">
      <c r="A242" s="2"/>
      <c r="B242" s="16"/>
      <c r="C242" s="22"/>
      <c r="D242" s="16"/>
      <c r="E242" s="21"/>
      <c r="F242" s="16"/>
      <c r="G242" s="16"/>
      <c r="H242" s="16"/>
      <c r="I242" s="16"/>
      <c r="J242" s="16"/>
      <c r="K242" s="16"/>
      <c r="L242" s="16"/>
      <c r="M242" s="16"/>
    </row>
    <row r="243" spans="1:13" x14ac:dyDescent="0.25">
      <c r="A243" s="2"/>
      <c r="B243" s="16"/>
      <c r="C243" s="22"/>
      <c r="D243" s="16"/>
      <c r="E243" s="21"/>
      <c r="F243" s="16"/>
      <c r="G243" s="16"/>
      <c r="H243" s="16"/>
      <c r="I243" s="16"/>
      <c r="J243" s="16"/>
      <c r="K243" s="16"/>
      <c r="L243" s="16"/>
      <c r="M243" s="16"/>
    </row>
    <row r="244" spans="1:13" x14ac:dyDescent="0.25">
      <c r="A244" s="2"/>
      <c r="B244" s="16"/>
      <c r="C244" s="22"/>
      <c r="D244" s="16"/>
      <c r="E244" s="21"/>
      <c r="F244" s="16"/>
      <c r="G244" s="16"/>
      <c r="H244" s="16"/>
      <c r="I244" s="16"/>
      <c r="J244" s="16"/>
      <c r="K244" s="16"/>
      <c r="L244" s="16"/>
      <c r="M244" s="16"/>
    </row>
    <row r="245" spans="1:13" x14ac:dyDescent="0.25">
      <c r="A245" s="2"/>
      <c r="B245" s="16"/>
      <c r="C245" s="22"/>
      <c r="D245" s="16"/>
      <c r="E245" s="21"/>
      <c r="F245" s="16"/>
      <c r="G245" s="16"/>
      <c r="H245" s="16"/>
      <c r="I245" s="16"/>
      <c r="J245" s="16"/>
      <c r="K245" s="16"/>
      <c r="L245" s="16"/>
      <c r="M245" s="16"/>
    </row>
    <row r="246" spans="1:13" x14ac:dyDescent="0.25">
      <c r="A246" s="2"/>
      <c r="B246" s="16"/>
      <c r="C246" s="22"/>
      <c r="D246" s="16"/>
      <c r="E246" s="21"/>
      <c r="F246" s="16"/>
      <c r="G246" s="16"/>
      <c r="H246" s="16"/>
      <c r="I246" s="16"/>
      <c r="J246" s="16"/>
      <c r="K246" s="16"/>
      <c r="L246" s="16"/>
      <c r="M246" s="16"/>
    </row>
    <row r="247" spans="1:13" x14ac:dyDescent="0.25">
      <c r="A247" s="2"/>
      <c r="B247" s="16"/>
      <c r="C247" s="22"/>
      <c r="D247" s="16"/>
      <c r="E247" s="21"/>
      <c r="F247" s="16"/>
      <c r="G247" s="16"/>
      <c r="H247" s="16"/>
      <c r="I247" s="16"/>
      <c r="J247" s="16"/>
      <c r="K247" s="16"/>
      <c r="L247" s="16"/>
      <c r="M247" s="16"/>
    </row>
    <row r="248" spans="1:13" x14ac:dyDescent="0.25">
      <c r="A248" s="2"/>
      <c r="B248" s="16"/>
      <c r="C248" s="22"/>
      <c r="D248" s="16"/>
      <c r="E248" s="21"/>
      <c r="F248" s="16"/>
      <c r="G248" s="16"/>
      <c r="H248" s="16"/>
      <c r="I248" s="16"/>
      <c r="J248" s="16"/>
      <c r="K248" s="16"/>
      <c r="L248" s="16"/>
      <c r="M248" s="16"/>
    </row>
    <row r="249" spans="1:13" x14ac:dyDescent="0.25">
      <c r="A249" s="2"/>
      <c r="B249" s="16"/>
      <c r="C249" s="22"/>
      <c r="D249" s="16"/>
      <c r="E249" s="21"/>
      <c r="F249" s="16"/>
      <c r="G249" s="16"/>
      <c r="H249" s="16"/>
      <c r="I249" s="16"/>
      <c r="J249" s="16"/>
      <c r="K249" s="16"/>
      <c r="L249" s="16"/>
      <c r="M249" s="16"/>
    </row>
    <row r="250" spans="1:13" x14ac:dyDescent="0.25">
      <c r="A250" s="2"/>
      <c r="B250" s="16"/>
      <c r="C250" s="22"/>
      <c r="D250" s="16"/>
      <c r="E250" s="21"/>
      <c r="F250" s="16"/>
      <c r="G250" s="16"/>
      <c r="H250" s="16"/>
      <c r="I250" s="16"/>
      <c r="J250" s="16"/>
      <c r="K250" s="16"/>
      <c r="L250" s="16"/>
      <c r="M250" s="16"/>
    </row>
    <row r="251" spans="1:13" x14ac:dyDescent="0.25">
      <c r="A251" s="2"/>
      <c r="B251" s="16"/>
      <c r="C251" s="22"/>
      <c r="D251" s="16"/>
      <c r="E251" s="21"/>
      <c r="F251" s="16"/>
      <c r="G251" s="16"/>
      <c r="H251" s="16"/>
      <c r="I251" s="16"/>
      <c r="J251" s="16"/>
      <c r="K251" s="16"/>
      <c r="L251" s="16"/>
      <c r="M251" s="16"/>
    </row>
    <row r="252" spans="1:13" x14ac:dyDescent="0.25">
      <c r="A252" s="2"/>
      <c r="B252" s="16"/>
      <c r="C252" s="22"/>
      <c r="D252" s="16"/>
      <c r="E252" s="21"/>
      <c r="F252" s="16"/>
      <c r="G252" s="16"/>
      <c r="H252" s="16"/>
      <c r="I252" s="16"/>
      <c r="J252" s="16"/>
      <c r="K252" s="16"/>
      <c r="L252" s="16"/>
      <c r="M252" s="16"/>
    </row>
    <row r="253" spans="1:13" x14ac:dyDescent="0.25">
      <c r="A253" s="2"/>
      <c r="B253" s="16"/>
      <c r="C253" s="22"/>
      <c r="D253" s="16"/>
      <c r="E253" s="21"/>
      <c r="F253" s="16"/>
      <c r="G253" s="16"/>
      <c r="H253" s="16"/>
      <c r="I253" s="16"/>
      <c r="J253" s="16"/>
      <c r="K253" s="16"/>
      <c r="L253" s="16"/>
      <c r="M253" s="16"/>
    </row>
    <row r="254" spans="1:13" x14ac:dyDescent="0.25">
      <c r="A254" s="2"/>
      <c r="B254" s="16"/>
      <c r="C254" s="22"/>
      <c r="D254" s="16"/>
      <c r="E254" s="21"/>
      <c r="F254" s="16"/>
      <c r="G254" s="16"/>
      <c r="H254" s="16"/>
      <c r="I254" s="16"/>
      <c r="J254" s="16"/>
      <c r="K254" s="16"/>
      <c r="L254" s="16"/>
      <c r="M254" s="16"/>
    </row>
    <row r="255" spans="1:13" x14ac:dyDescent="0.25">
      <c r="A255" s="2"/>
      <c r="B255" s="16"/>
      <c r="C255" s="22"/>
      <c r="D255" s="16"/>
      <c r="E255" s="21"/>
      <c r="F255" s="16"/>
      <c r="G255" s="16"/>
      <c r="H255" s="16"/>
      <c r="I255" s="16"/>
      <c r="J255" s="16"/>
      <c r="K255" s="16"/>
      <c r="L255" s="16"/>
      <c r="M255" s="16"/>
    </row>
    <row r="256" spans="1:13" x14ac:dyDescent="0.25">
      <c r="A256" s="2"/>
      <c r="B256" s="16"/>
      <c r="C256" s="22"/>
      <c r="D256" s="16"/>
      <c r="E256" s="21"/>
      <c r="F256" s="16"/>
      <c r="G256" s="16"/>
      <c r="H256" s="16"/>
      <c r="I256" s="16"/>
      <c r="J256" s="16"/>
      <c r="K256" s="16"/>
      <c r="L256" s="16"/>
      <c r="M256" s="16"/>
    </row>
    <row r="257" spans="1:13" x14ac:dyDescent="0.25">
      <c r="A257" s="2"/>
      <c r="B257" s="16"/>
      <c r="C257" s="22"/>
      <c r="D257" s="16"/>
      <c r="E257" s="21"/>
      <c r="F257" s="16"/>
      <c r="G257" s="16"/>
      <c r="H257" s="16"/>
      <c r="I257" s="16"/>
      <c r="J257" s="16"/>
      <c r="K257" s="16"/>
      <c r="L257" s="16"/>
      <c r="M257" s="16"/>
    </row>
    <row r="258" spans="1:13" x14ac:dyDescent="0.25">
      <c r="A258" s="2"/>
      <c r="B258" s="16"/>
      <c r="C258" s="22"/>
      <c r="D258" s="16"/>
      <c r="E258" s="21"/>
      <c r="F258" s="16"/>
      <c r="G258" s="16"/>
      <c r="H258" s="16"/>
      <c r="I258" s="16"/>
      <c r="J258" s="16"/>
      <c r="K258" s="16"/>
      <c r="L258" s="16"/>
      <c r="M258" s="16"/>
    </row>
    <row r="259" spans="1:13" x14ac:dyDescent="0.25">
      <c r="A259" s="2"/>
      <c r="B259" s="16"/>
      <c r="C259" s="22"/>
      <c r="D259" s="16"/>
      <c r="E259" s="21"/>
      <c r="F259" s="16"/>
      <c r="G259" s="16"/>
      <c r="H259" s="16"/>
      <c r="I259" s="16"/>
      <c r="J259" s="16"/>
      <c r="K259" s="16"/>
      <c r="L259" s="16"/>
      <c r="M259" s="16"/>
    </row>
    <row r="260" spans="1:13" x14ac:dyDescent="0.25">
      <c r="A260" s="2"/>
      <c r="B260" s="16"/>
      <c r="C260" s="22"/>
      <c r="D260" s="16"/>
      <c r="E260" s="21"/>
      <c r="F260" s="16"/>
      <c r="G260" s="16"/>
      <c r="H260" s="16"/>
      <c r="I260" s="16"/>
      <c r="J260" s="16"/>
      <c r="K260" s="16"/>
      <c r="L260" s="16"/>
      <c r="M260" s="16"/>
    </row>
    <row r="261" spans="1:13" x14ac:dyDescent="0.25">
      <c r="A261" s="2"/>
      <c r="B261" s="16"/>
      <c r="C261" s="22"/>
      <c r="D261" s="16"/>
      <c r="E261" s="21"/>
      <c r="F261" s="16"/>
      <c r="G261" s="16"/>
      <c r="H261" s="16"/>
      <c r="I261" s="16"/>
      <c r="J261" s="16"/>
      <c r="K261" s="16"/>
      <c r="L261" s="16"/>
      <c r="M261" s="16"/>
    </row>
    <row r="262" spans="1:13" x14ac:dyDescent="0.25">
      <c r="A262" s="2"/>
      <c r="B262" s="16"/>
      <c r="C262" s="22"/>
      <c r="D262" s="16"/>
      <c r="E262" s="21"/>
      <c r="F262" s="16"/>
      <c r="G262" s="16"/>
      <c r="H262" s="16"/>
      <c r="I262" s="16"/>
      <c r="J262" s="16"/>
      <c r="K262" s="16"/>
      <c r="L262" s="16"/>
      <c r="M262" s="16"/>
    </row>
    <row r="263" spans="1:13" x14ac:dyDescent="0.25">
      <c r="A263" s="2"/>
      <c r="B263" s="16"/>
      <c r="C263" s="22"/>
      <c r="D263" s="16"/>
      <c r="E263" s="21"/>
      <c r="F263" s="16"/>
      <c r="G263" s="16"/>
      <c r="H263" s="16"/>
      <c r="I263" s="16"/>
      <c r="J263" s="16"/>
      <c r="K263" s="16"/>
      <c r="L263" s="16"/>
      <c r="M263" s="16"/>
    </row>
    <row r="264" spans="1:13" x14ac:dyDescent="0.25">
      <c r="A264" s="2"/>
      <c r="B264" s="16"/>
      <c r="C264" s="22"/>
      <c r="D264" s="16"/>
      <c r="E264" s="21"/>
      <c r="F264" s="16"/>
      <c r="G264" s="16"/>
      <c r="H264" s="16"/>
      <c r="I264" s="16"/>
      <c r="J264" s="16"/>
      <c r="K264" s="16"/>
      <c r="L264" s="16"/>
      <c r="M264" s="16"/>
    </row>
    <row r="265" spans="1:13" x14ac:dyDescent="0.25">
      <c r="A265" s="2"/>
      <c r="B265" s="16"/>
      <c r="C265" s="22"/>
      <c r="D265" s="16"/>
      <c r="E265" s="21"/>
      <c r="F265" s="16"/>
      <c r="G265" s="16"/>
      <c r="H265" s="16"/>
      <c r="I265" s="16"/>
      <c r="J265" s="16"/>
      <c r="K265" s="16"/>
      <c r="L265" s="16"/>
      <c r="M265" s="16"/>
    </row>
    <row r="266" spans="1:13" x14ac:dyDescent="0.25">
      <c r="A266" s="2"/>
      <c r="B266" s="16"/>
      <c r="C266" s="22"/>
      <c r="D266" s="16"/>
      <c r="E266" s="21"/>
      <c r="F266" s="16"/>
      <c r="G266" s="16"/>
      <c r="H266" s="16"/>
      <c r="I266" s="16"/>
      <c r="J266" s="16"/>
      <c r="K266" s="16"/>
      <c r="L266" s="16"/>
      <c r="M266" s="16"/>
    </row>
    <row r="267" spans="1:13" x14ac:dyDescent="0.25">
      <c r="A267" s="2"/>
      <c r="B267" s="16"/>
      <c r="C267" s="22"/>
      <c r="D267" s="16"/>
      <c r="E267" s="21"/>
      <c r="F267" s="16"/>
      <c r="G267" s="16"/>
      <c r="H267" s="16"/>
      <c r="I267" s="16"/>
      <c r="J267" s="16"/>
      <c r="K267" s="16"/>
      <c r="L267" s="16"/>
      <c r="M267" s="16"/>
    </row>
    <row r="268" spans="1:13" x14ac:dyDescent="0.25">
      <c r="A268" s="2"/>
      <c r="B268" s="16"/>
      <c r="C268" s="22"/>
      <c r="D268" s="16"/>
      <c r="E268" s="21"/>
      <c r="F268" s="16"/>
      <c r="G268" s="16"/>
      <c r="H268" s="16"/>
      <c r="I268" s="16"/>
      <c r="J268" s="16"/>
      <c r="K268" s="16"/>
      <c r="L268" s="16"/>
      <c r="M268" s="16"/>
    </row>
    <row r="269" spans="1:13" x14ac:dyDescent="0.25">
      <c r="A269" s="2"/>
      <c r="B269" s="16"/>
      <c r="C269" s="22"/>
      <c r="D269" s="16"/>
      <c r="E269" s="21"/>
      <c r="F269" s="16"/>
      <c r="G269" s="16"/>
      <c r="H269" s="16"/>
      <c r="I269" s="16"/>
      <c r="J269" s="16"/>
      <c r="K269" s="16"/>
      <c r="L269" s="16"/>
      <c r="M269" s="16"/>
    </row>
    <row r="270" spans="1:13" x14ac:dyDescent="0.25">
      <c r="A270" s="2"/>
      <c r="B270" s="16"/>
      <c r="C270" s="22"/>
      <c r="D270" s="16"/>
      <c r="E270" s="21"/>
      <c r="F270" s="16"/>
      <c r="G270" s="16"/>
      <c r="H270" s="16"/>
      <c r="I270" s="16"/>
      <c r="J270" s="16"/>
      <c r="K270" s="16"/>
      <c r="L270" s="16"/>
      <c r="M270" s="16"/>
    </row>
    <row r="271" spans="1:13" x14ac:dyDescent="0.25">
      <c r="A271" s="2"/>
      <c r="B271" s="16"/>
      <c r="C271" s="22"/>
      <c r="D271" s="16"/>
      <c r="E271" s="21"/>
      <c r="F271" s="16"/>
      <c r="G271" s="16"/>
      <c r="H271" s="16"/>
      <c r="I271" s="16"/>
      <c r="J271" s="16"/>
      <c r="K271" s="16"/>
      <c r="L271" s="16"/>
      <c r="M271" s="16"/>
    </row>
    <row r="272" spans="1:13" x14ac:dyDescent="0.25">
      <c r="A272" s="2"/>
      <c r="B272" s="16"/>
      <c r="C272" s="22"/>
      <c r="D272" s="16"/>
      <c r="E272" s="21"/>
      <c r="F272" s="16"/>
      <c r="G272" s="16"/>
      <c r="H272" s="16"/>
      <c r="I272" s="16"/>
      <c r="J272" s="16"/>
      <c r="K272" s="16"/>
      <c r="L272" s="16"/>
      <c r="M272" s="16"/>
    </row>
    <row r="273" spans="1:13" x14ac:dyDescent="0.25">
      <c r="A273" s="2"/>
      <c r="B273" s="16"/>
      <c r="C273" s="22"/>
      <c r="D273" s="16"/>
      <c r="E273" s="21"/>
      <c r="F273" s="16"/>
      <c r="G273" s="16"/>
      <c r="H273" s="16"/>
      <c r="I273" s="16"/>
      <c r="J273" s="16"/>
      <c r="K273" s="16"/>
      <c r="L273" s="16"/>
      <c r="M273" s="16"/>
    </row>
    <row r="274" spans="1:13" x14ac:dyDescent="0.25">
      <c r="A274" s="2"/>
      <c r="B274" s="16"/>
      <c r="C274" s="22"/>
      <c r="D274" s="16"/>
      <c r="E274" s="21"/>
      <c r="F274" s="16"/>
      <c r="G274" s="16"/>
      <c r="H274" s="16"/>
      <c r="I274" s="16"/>
      <c r="J274" s="16"/>
      <c r="K274" s="16"/>
      <c r="L274" s="16"/>
      <c r="M274" s="16"/>
    </row>
    <row r="275" spans="1:13" x14ac:dyDescent="0.25">
      <c r="A275" s="2"/>
      <c r="B275" s="16"/>
      <c r="C275" s="22"/>
      <c r="D275" s="16"/>
      <c r="E275" s="21"/>
      <c r="F275" s="16"/>
      <c r="G275" s="16"/>
      <c r="H275" s="16"/>
      <c r="I275" s="16"/>
      <c r="J275" s="16"/>
      <c r="K275" s="16"/>
      <c r="L275" s="16"/>
      <c r="M275" s="16"/>
    </row>
    <row r="276" spans="1:13" x14ac:dyDescent="0.25">
      <c r="A276" s="2"/>
      <c r="B276" s="16"/>
      <c r="C276" s="22"/>
      <c r="D276" s="16"/>
      <c r="E276" s="21"/>
      <c r="F276" s="16"/>
      <c r="G276" s="16"/>
      <c r="H276" s="16"/>
      <c r="I276" s="16"/>
      <c r="J276" s="16"/>
      <c r="K276" s="16"/>
      <c r="L276" s="16"/>
      <c r="M276" s="16"/>
    </row>
    <row r="277" spans="1:13" x14ac:dyDescent="0.25">
      <c r="A277" s="2"/>
      <c r="B277" s="16"/>
      <c r="C277" s="22"/>
      <c r="D277" s="16"/>
      <c r="E277" s="21"/>
      <c r="F277" s="16"/>
      <c r="G277" s="16"/>
      <c r="H277" s="16"/>
      <c r="I277" s="16"/>
      <c r="J277" s="16"/>
      <c r="K277" s="16"/>
      <c r="L277" s="16"/>
      <c r="M277" s="16"/>
    </row>
    <row r="278" spans="1:13" x14ac:dyDescent="0.25">
      <c r="A278" s="2"/>
      <c r="B278" s="16"/>
      <c r="C278" s="22"/>
      <c r="D278" s="16"/>
      <c r="E278" s="21"/>
      <c r="F278" s="16"/>
      <c r="G278" s="16"/>
      <c r="H278" s="16"/>
      <c r="I278" s="16"/>
      <c r="J278" s="16"/>
      <c r="K278" s="16"/>
      <c r="L278" s="16"/>
      <c r="M278" s="16"/>
    </row>
    <row r="279" spans="1:13" x14ac:dyDescent="0.25">
      <c r="A279" s="2"/>
      <c r="B279" s="16"/>
      <c r="C279" s="22"/>
      <c r="D279" s="16"/>
      <c r="E279" s="21"/>
      <c r="F279" s="16"/>
      <c r="G279" s="16"/>
      <c r="H279" s="16"/>
      <c r="I279" s="16"/>
      <c r="J279" s="16"/>
      <c r="K279" s="16"/>
      <c r="L279" s="16"/>
      <c r="M279" s="16"/>
    </row>
    <row r="280" spans="1:13" x14ac:dyDescent="0.25">
      <c r="A280" s="2"/>
      <c r="B280" s="16"/>
      <c r="C280" s="22"/>
      <c r="D280" s="16"/>
      <c r="E280" s="21"/>
      <c r="F280" s="16"/>
      <c r="G280" s="16"/>
      <c r="H280" s="16"/>
      <c r="I280" s="16"/>
      <c r="J280" s="16"/>
      <c r="K280" s="16"/>
      <c r="L280" s="16"/>
      <c r="M280" s="16"/>
    </row>
    <row r="281" spans="1:13" x14ac:dyDescent="0.25">
      <c r="A281" s="2"/>
      <c r="B281" s="16"/>
      <c r="C281" s="22"/>
      <c r="D281" s="16"/>
      <c r="E281" s="21"/>
      <c r="F281" s="16"/>
      <c r="G281" s="16"/>
      <c r="H281" s="16"/>
      <c r="I281" s="16"/>
      <c r="J281" s="16"/>
      <c r="K281" s="16"/>
      <c r="L281" s="16"/>
      <c r="M281" s="16"/>
    </row>
    <row r="282" spans="1:13" x14ac:dyDescent="0.25">
      <c r="A282" s="2"/>
      <c r="B282" s="16"/>
      <c r="C282" s="22"/>
      <c r="D282" s="16"/>
      <c r="E282" s="21"/>
      <c r="F282" s="16"/>
      <c r="G282" s="16"/>
      <c r="H282" s="16"/>
      <c r="I282" s="16"/>
      <c r="J282" s="16"/>
      <c r="K282" s="16"/>
      <c r="L282" s="16"/>
      <c r="M282" s="16"/>
    </row>
    <row r="283" spans="1:13" x14ac:dyDescent="0.25">
      <c r="A283" s="2"/>
      <c r="B283" s="16"/>
      <c r="C283" s="22"/>
      <c r="D283" s="16"/>
      <c r="E283" s="21"/>
      <c r="F283" s="16"/>
      <c r="G283" s="16"/>
      <c r="H283" s="16"/>
      <c r="I283" s="16"/>
      <c r="J283" s="16"/>
      <c r="K283" s="16"/>
      <c r="L283" s="16"/>
      <c r="M283" s="16"/>
    </row>
    <row r="284" spans="1:13" x14ac:dyDescent="0.25">
      <c r="A284" s="2"/>
      <c r="B284" s="16"/>
      <c r="C284" s="22"/>
      <c r="D284" s="16"/>
      <c r="E284" s="21"/>
      <c r="F284" s="16"/>
      <c r="G284" s="16"/>
      <c r="H284" s="16"/>
      <c r="I284" s="16"/>
      <c r="J284" s="16"/>
      <c r="K284" s="16"/>
      <c r="L284" s="16"/>
      <c r="M284" s="16"/>
    </row>
    <row r="285" spans="1:13" x14ac:dyDescent="0.25">
      <c r="A285" s="2"/>
      <c r="B285" s="16"/>
      <c r="C285" s="22"/>
      <c r="D285" s="16"/>
      <c r="E285" s="21"/>
      <c r="F285" s="16"/>
      <c r="G285" s="16"/>
      <c r="H285" s="16"/>
      <c r="I285" s="16"/>
      <c r="J285" s="16"/>
      <c r="K285" s="16"/>
      <c r="L285" s="16"/>
      <c r="M285" s="16"/>
    </row>
    <row r="286" spans="1:13" x14ac:dyDescent="0.25">
      <c r="A286" s="2"/>
      <c r="B286" s="16"/>
      <c r="C286" s="22"/>
      <c r="D286" s="16"/>
      <c r="E286" s="21"/>
      <c r="F286" s="16"/>
      <c r="G286" s="16"/>
      <c r="H286" s="16"/>
      <c r="I286" s="16"/>
      <c r="J286" s="16"/>
      <c r="K286" s="16"/>
      <c r="L286" s="16"/>
      <c r="M286" s="16"/>
    </row>
    <row r="287" spans="1:13" x14ac:dyDescent="0.25">
      <c r="A287" s="2"/>
      <c r="B287" s="16"/>
      <c r="C287" s="22"/>
      <c r="D287" s="16"/>
      <c r="E287" s="21"/>
      <c r="F287" s="16"/>
      <c r="G287" s="16"/>
      <c r="H287" s="16"/>
      <c r="I287" s="16"/>
      <c r="J287" s="16"/>
      <c r="K287" s="16"/>
      <c r="L287" s="16"/>
      <c r="M287" s="16"/>
    </row>
    <row r="288" spans="1:13" x14ac:dyDescent="0.25">
      <c r="A288" s="2"/>
      <c r="B288" s="16"/>
      <c r="C288" s="22"/>
      <c r="D288" s="16"/>
      <c r="E288" s="21"/>
      <c r="F288" s="16"/>
      <c r="G288" s="16"/>
      <c r="H288" s="16"/>
      <c r="I288" s="16"/>
      <c r="J288" s="16"/>
      <c r="K288" s="16"/>
      <c r="L288" s="16"/>
      <c r="M288" s="16"/>
    </row>
    <row r="289" spans="1:13" x14ac:dyDescent="0.25">
      <c r="A289" s="2"/>
      <c r="B289" s="16"/>
      <c r="C289" s="22"/>
      <c r="D289" s="16"/>
      <c r="E289" s="21"/>
      <c r="F289" s="16"/>
      <c r="G289" s="16"/>
      <c r="H289" s="16"/>
      <c r="I289" s="16"/>
      <c r="J289" s="16"/>
      <c r="K289" s="16"/>
      <c r="L289" s="16"/>
      <c r="M289" s="16"/>
    </row>
    <row r="290" spans="1:13" x14ac:dyDescent="0.25">
      <c r="A290" s="2"/>
      <c r="B290" s="16"/>
      <c r="C290" s="22"/>
      <c r="D290" s="16"/>
      <c r="E290" s="21"/>
      <c r="F290" s="16"/>
      <c r="G290" s="16"/>
      <c r="H290" s="16"/>
      <c r="I290" s="16"/>
      <c r="J290" s="16"/>
      <c r="K290" s="16"/>
      <c r="L290" s="16"/>
      <c r="M290" s="16"/>
    </row>
    <row r="291" spans="1:13" x14ac:dyDescent="0.25">
      <c r="A291" s="2"/>
      <c r="B291" s="16"/>
      <c r="C291" s="22"/>
      <c r="D291" s="16"/>
      <c r="E291" s="21"/>
      <c r="F291" s="16"/>
      <c r="G291" s="16"/>
      <c r="H291" s="16"/>
      <c r="I291" s="16"/>
      <c r="J291" s="16"/>
      <c r="K291" s="16"/>
      <c r="L291" s="16"/>
      <c r="M291" s="16"/>
    </row>
    <row r="292" spans="1:13" x14ac:dyDescent="0.25">
      <c r="A292" s="2"/>
      <c r="B292" s="16"/>
      <c r="C292" s="22"/>
      <c r="D292" s="16"/>
      <c r="E292" s="21"/>
      <c r="F292" s="16"/>
      <c r="G292" s="16"/>
      <c r="H292" s="16"/>
      <c r="I292" s="16"/>
      <c r="J292" s="16"/>
      <c r="K292" s="16"/>
      <c r="L292" s="16"/>
      <c r="M292" s="16"/>
    </row>
    <row r="293" spans="1:13" x14ac:dyDescent="0.25">
      <c r="A293" s="2"/>
      <c r="B293" s="16"/>
      <c r="C293" s="22"/>
      <c r="D293" s="16"/>
      <c r="E293" s="21"/>
      <c r="F293" s="16"/>
      <c r="G293" s="16"/>
      <c r="H293" s="16"/>
      <c r="I293" s="16"/>
      <c r="J293" s="16"/>
      <c r="K293" s="16"/>
      <c r="L293" s="16"/>
      <c r="M293" s="16"/>
    </row>
    <row r="294" spans="1:13" x14ac:dyDescent="0.25">
      <c r="A294" s="2"/>
      <c r="B294" s="16"/>
      <c r="C294" s="22"/>
      <c r="D294" s="16"/>
      <c r="E294" s="21"/>
      <c r="F294" s="16"/>
      <c r="G294" s="16"/>
      <c r="H294" s="16"/>
      <c r="I294" s="16"/>
      <c r="J294" s="16"/>
      <c r="K294" s="16"/>
      <c r="L294" s="16"/>
      <c r="M294" s="16"/>
    </row>
    <row r="295" spans="1:13" x14ac:dyDescent="0.25">
      <c r="A295" s="2"/>
      <c r="B295" s="16"/>
      <c r="C295" s="22"/>
      <c r="D295" s="16"/>
      <c r="E295" s="21"/>
      <c r="F295" s="16"/>
      <c r="G295" s="16"/>
      <c r="H295" s="16"/>
      <c r="I295" s="16"/>
      <c r="J295" s="16"/>
      <c r="K295" s="16"/>
      <c r="L295" s="16"/>
      <c r="M295" s="16"/>
    </row>
    <row r="296" spans="1:13" x14ac:dyDescent="0.25">
      <c r="A296" s="2"/>
      <c r="B296" s="16"/>
      <c r="C296" s="22"/>
      <c r="D296" s="16"/>
      <c r="E296" s="21"/>
      <c r="F296" s="16"/>
      <c r="G296" s="16"/>
      <c r="H296" s="16"/>
      <c r="I296" s="16"/>
      <c r="J296" s="16"/>
      <c r="K296" s="16"/>
      <c r="L296" s="16"/>
      <c r="M296" s="16"/>
    </row>
    <row r="297" spans="1:13" x14ac:dyDescent="0.25">
      <c r="A297" s="2"/>
      <c r="B297" s="16"/>
      <c r="C297" s="22"/>
      <c r="D297" s="16"/>
      <c r="E297" s="21"/>
      <c r="F297" s="16"/>
      <c r="G297" s="16"/>
      <c r="H297" s="16"/>
      <c r="I297" s="16"/>
      <c r="J297" s="16"/>
      <c r="K297" s="16"/>
      <c r="L297" s="16"/>
      <c r="M297" s="16"/>
    </row>
    <row r="298" spans="1:13" x14ac:dyDescent="0.25">
      <c r="A298" s="2"/>
      <c r="B298" s="16"/>
      <c r="C298" s="22"/>
      <c r="D298" s="16"/>
      <c r="E298" s="21"/>
      <c r="F298" s="16"/>
      <c r="G298" s="16"/>
      <c r="H298" s="16"/>
      <c r="I298" s="16"/>
      <c r="J298" s="16"/>
      <c r="K298" s="16"/>
      <c r="L298" s="16"/>
      <c r="M298" s="16"/>
    </row>
    <row r="299" spans="1:13" x14ac:dyDescent="0.25">
      <c r="A299" s="2"/>
      <c r="B299" s="16"/>
      <c r="C299" s="22"/>
      <c r="D299" s="16"/>
      <c r="E299" s="21"/>
      <c r="F299" s="16"/>
      <c r="G299" s="16"/>
      <c r="H299" s="16"/>
      <c r="I299" s="16"/>
      <c r="J299" s="16"/>
      <c r="K299" s="16"/>
      <c r="L299" s="16"/>
      <c r="M299" s="16"/>
    </row>
    <row r="300" spans="1:13" x14ac:dyDescent="0.25">
      <c r="A300" s="2"/>
      <c r="B300" s="16"/>
      <c r="C300" s="22"/>
      <c r="D300" s="16"/>
      <c r="E300" s="21"/>
      <c r="F300" s="16"/>
      <c r="G300" s="16"/>
      <c r="H300" s="16"/>
      <c r="I300" s="16"/>
      <c r="J300" s="16"/>
      <c r="K300" s="16"/>
      <c r="L300" s="16"/>
      <c r="M300" s="16"/>
    </row>
    <row r="301" spans="1:13" x14ac:dyDescent="0.25">
      <c r="A301" s="2"/>
      <c r="B301" s="16"/>
      <c r="C301" s="22"/>
      <c r="D301" s="16"/>
      <c r="E301" s="21"/>
      <c r="F301" s="16"/>
      <c r="G301" s="16"/>
      <c r="H301" s="16"/>
      <c r="I301" s="16"/>
      <c r="J301" s="16"/>
      <c r="K301" s="16"/>
      <c r="L301" s="16"/>
      <c r="M301" s="16"/>
    </row>
    <row r="302" spans="1:13" x14ac:dyDescent="0.25">
      <c r="A302" s="2"/>
      <c r="B302" s="16"/>
      <c r="C302" s="22"/>
      <c r="D302" s="16"/>
      <c r="E302" s="21"/>
      <c r="F302" s="16"/>
      <c r="G302" s="16"/>
      <c r="H302" s="16"/>
      <c r="I302" s="16"/>
      <c r="J302" s="16"/>
      <c r="K302" s="16"/>
      <c r="L302" s="16"/>
      <c r="M302" s="16"/>
    </row>
    <row r="303" spans="1:13" x14ac:dyDescent="0.25">
      <c r="A303" s="2"/>
      <c r="B303" s="16"/>
      <c r="C303" s="22"/>
      <c r="D303" s="16"/>
      <c r="E303" s="21"/>
      <c r="F303" s="16"/>
      <c r="G303" s="16"/>
      <c r="H303" s="16"/>
      <c r="I303" s="16"/>
      <c r="J303" s="16"/>
      <c r="K303" s="16"/>
      <c r="L303" s="16"/>
      <c r="M303" s="16"/>
    </row>
    <row r="304" spans="1:13" x14ac:dyDescent="0.25">
      <c r="A304" s="2"/>
      <c r="B304" s="16"/>
      <c r="C304" s="22"/>
      <c r="D304" s="16"/>
      <c r="E304" s="21"/>
      <c r="F304" s="16"/>
      <c r="G304" s="16"/>
      <c r="H304" s="16"/>
      <c r="I304" s="16"/>
      <c r="J304" s="16"/>
      <c r="K304" s="16"/>
      <c r="L304" s="16"/>
      <c r="M304" s="16"/>
    </row>
    <row r="305" spans="1:13" x14ac:dyDescent="0.25">
      <c r="A305" s="2"/>
      <c r="B305" s="16"/>
      <c r="C305" s="22"/>
      <c r="D305" s="16"/>
      <c r="E305" s="21"/>
      <c r="F305" s="16"/>
      <c r="G305" s="16"/>
      <c r="H305" s="16"/>
      <c r="I305" s="16"/>
      <c r="J305" s="16"/>
      <c r="K305" s="16"/>
      <c r="L305" s="16"/>
      <c r="M305" s="16"/>
    </row>
    <row r="306" spans="1:13" x14ac:dyDescent="0.25">
      <c r="A306" s="2"/>
      <c r="B306" s="16"/>
      <c r="C306" s="22"/>
      <c r="D306" s="16"/>
      <c r="E306" s="21"/>
      <c r="F306" s="16"/>
      <c r="G306" s="16"/>
      <c r="H306" s="16"/>
      <c r="I306" s="16"/>
      <c r="J306" s="16"/>
      <c r="K306" s="16"/>
      <c r="L306" s="16"/>
      <c r="M306" s="16"/>
    </row>
    <row r="307" spans="1:13" x14ac:dyDescent="0.25">
      <c r="A307" s="2"/>
      <c r="B307" s="16"/>
      <c r="C307" s="22"/>
      <c r="D307" s="16"/>
      <c r="E307" s="21"/>
      <c r="F307" s="16"/>
      <c r="G307" s="16"/>
      <c r="H307" s="16"/>
      <c r="I307" s="16"/>
      <c r="J307" s="16"/>
      <c r="K307" s="16"/>
      <c r="L307" s="16"/>
      <c r="M307" s="16"/>
    </row>
    <row r="308" spans="1:13" x14ac:dyDescent="0.25">
      <c r="A308" s="2"/>
      <c r="B308" s="16"/>
      <c r="C308" s="22"/>
      <c r="D308" s="16"/>
      <c r="E308" s="21"/>
      <c r="F308" s="16"/>
      <c r="G308" s="16"/>
      <c r="H308" s="16"/>
      <c r="I308" s="16"/>
      <c r="J308" s="16"/>
      <c r="K308" s="16"/>
      <c r="L308" s="16"/>
      <c r="M308" s="16"/>
    </row>
    <row r="309" spans="1:13" x14ac:dyDescent="0.25">
      <c r="A309" s="2"/>
      <c r="B309" s="16"/>
      <c r="C309" s="22"/>
      <c r="D309" s="16"/>
      <c r="E309" s="21"/>
      <c r="F309" s="16"/>
      <c r="G309" s="16"/>
      <c r="H309" s="16"/>
      <c r="I309" s="16"/>
      <c r="J309" s="16"/>
      <c r="K309" s="16"/>
      <c r="L309" s="16"/>
      <c r="M309" s="16"/>
    </row>
    <row r="310" spans="1:13" x14ac:dyDescent="0.25">
      <c r="A310" s="2"/>
      <c r="B310" s="16"/>
      <c r="C310" s="22"/>
      <c r="D310" s="16"/>
      <c r="E310" s="21"/>
      <c r="F310" s="16"/>
      <c r="G310" s="16"/>
      <c r="H310" s="16"/>
      <c r="I310" s="16"/>
      <c r="J310" s="16"/>
      <c r="K310" s="16"/>
      <c r="L310" s="16"/>
      <c r="M310" s="16"/>
    </row>
    <row r="311" spans="1:13" x14ac:dyDescent="0.25">
      <c r="A311" s="2"/>
      <c r="B311" s="16"/>
      <c r="C311" s="22"/>
      <c r="D311" s="16"/>
      <c r="E311" s="21"/>
      <c r="F311" s="16"/>
      <c r="G311" s="16"/>
      <c r="H311" s="16"/>
      <c r="I311" s="16"/>
      <c r="J311" s="16"/>
      <c r="K311" s="16"/>
      <c r="L311" s="16"/>
      <c r="M311" s="16"/>
    </row>
    <row r="312" spans="1:13" x14ac:dyDescent="0.25">
      <c r="A312" s="2"/>
      <c r="B312" s="16"/>
      <c r="C312" s="22"/>
      <c r="D312" s="16"/>
      <c r="E312" s="21"/>
      <c r="F312" s="16"/>
      <c r="G312" s="16"/>
      <c r="H312" s="16"/>
      <c r="I312" s="16"/>
      <c r="J312" s="16"/>
      <c r="K312" s="16"/>
      <c r="L312" s="16"/>
      <c r="M312" s="16"/>
    </row>
    <row r="313" spans="1:13" x14ac:dyDescent="0.25">
      <c r="A313" s="2"/>
      <c r="B313" s="16"/>
      <c r="C313" s="22"/>
      <c r="D313" s="16"/>
      <c r="E313" s="21"/>
      <c r="F313" s="16"/>
      <c r="G313" s="16"/>
      <c r="H313" s="16"/>
      <c r="I313" s="16"/>
      <c r="J313" s="16"/>
      <c r="K313" s="16"/>
      <c r="L313" s="16"/>
      <c r="M313" s="16"/>
    </row>
    <row r="314" spans="1:13" x14ac:dyDescent="0.25">
      <c r="A314" s="2"/>
      <c r="B314" s="16"/>
      <c r="C314" s="22"/>
      <c r="D314" s="16"/>
      <c r="E314" s="21"/>
      <c r="F314" s="16"/>
      <c r="G314" s="16"/>
      <c r="H314" s="16"/>
      <c r="I314" s="16"/>
      <c r="J314" s="16"/>
      <c r="K314" s="16"/>
      <c r="L314" s="16"/>
      <c r="M314" s="16"/>
    </row>
    <row r="315" spans="1:13" x14ac:dyDescent="0.25">
      <c r="A315" s="2"/>
      <c r="B315" s="16"/>
      <c r="C315" s="22"/>
      <c r="D315" s="16"/>
      <c r="E315" s="21"/>
      <c r="F315" s="16"/>
      <c r="G315" s="16"/>
      <c r="H315" s="16"/>
      <c r="I315" s="16"/>
      <c r="J315" s="16"/>
      <c r="K315" s="16"/>
      <c r="L315" s="16"/>
      <c r="M315" s="16"/>
    </row>
    <row r="316" spans="1:13" x14ac:dyDescent="0.25">
      <c r="A316" s="2"/>
      <c r="B316" s="16"/>
      <c r="C316" s="22"/>
      <c r="D316" s="16"/>
      <c r="E316" s="21"/>
      <c r="F316" s="16"/>
      <c r="G316" s="16"/>
      <c r="H316" s="16"/>
      <c r="I316" s="16"/>
      <c r="J316" s="16"/>
      <c r="K316" s="16"/>
      <c r="L316" s="16"/>
      <c r="M316" s="16"/>
    </row>
    <row r="317" spans="1:13" x14ac:dyDescent="0.25">
      <c r="A317" s="2"/>
      <c r="B317" s="16"/>
      <c r="C317" s="22"/>
      <c r="D317" s="16"/>
      <c r="E317" s="21"/>
      <c r="F317" s="16"/>
      <c r="G317" s="16"/>
      <c r="H317" s="16"/>
      <c r="I317" s="16"/>
      <c r="J317" s="16"/>
      <c r="K317" s="16"/>
      <c r="L317" s="16"/>
      <c r="M317" s="16"/>
    </row>
    <row r="318" spans="1:13" x14ac:dyDescent="0.25">
      <c r="A318" s="2"/>
      <c r="B318" s="16"/>
      <c r="C318" s="22"/>
      <c r="D318" s="16"/>
      <c r="E318" s="21"/>
      <c r="F318" s="16"/>
      <c r="G318" s="16"/>
      <c r="H318" s="16"/>
      <c r="I318" s="16"/>
      <c r="J318" s="16"/>
      <c r="K318" s="16"/>
      <c r="L318" s="16"/>
      <c r="M318" s="16"/>
    </row>
    <row r="319" spans="1:13" x14ac:dyDescent="0.25">
      <c r="A319" s="2"/>
      <c r="B319" s="16"/>
      <c r="C319" s="22"/>
      <c r="D319" s="16"/>
      <c r="E319" s="21"/>
      <c r="F319" s="16"/>
      <c r="G319" s="16"/>
      <c r="H319" s="16"/>
      <c r="I319" s="16"/>
      <c r="J319" s="16"/>
      <c r="K319" s="16"/>
      <c r="L319" s="16"/>
      <c r="M319" s="16"/>
    </row>
    <row r="320" spans="1:13" x14ac:dyDescent="0.25">
      <c r="A320" s="2"/>
      <c r="B320" s="16"/>
      <c r="C320" s="22"/>
      <c r="D320" s="16"/>
      <c r="E320" s="21"/>
      <c r="F320" s="16"/>
      <c r="G320" s="16"/>
      <c r="H320" s="16"/>
      <c r="I320" s="16"/>
      <c r="J320" s="16"/>
      <c r="K320" s="16"/>
      <c r="L320" s="16"/>
      <c r="M320" s="16"/>
    </row>
    <row r="321" spans="1:13" x14ac:dyDescent="0.25">
      <c r="A321" s="2"/>
      <c r="B321" s="16"/>
      <c r="C321" s="22"/>
      <c r="D321" s="16"/>
      <c r="E321" s="21"/>
      <c r="F321" s="16"/>
      <c r="G321" s="16"/>
      <c r="H321" s="16"/>
      <c r="I321" s="16"/>
      <c r="J321" s="16"/>
      <c r="K321" s="16"/>
      <c r="L321" s="16"/>
      <c r="M321" s="16"/>
    </row>
    <row r="322" spans="1:13" x14ac:dyDescent="0.25">
      <c r="A322" s="2"/>
      <c r="B322" s="16"/>
      <c r="C322" s="22"/>
      <c r="D322" s="16"/>
      <c r="E322" s="21"/>
      <c r="F322" s="16"/>
      <c r="G322" s="16"/>
      <c r="H322" s="16"/>
      <c r="I322" s="16"/>
      <c r="J322" s="16"/>
      <c r="K322" s="16"/>
      <c r="L322" s="16"/>
      <c r="M322" s="16"/>
    </row>
    <row r="323" spans="1:13" x14ac:dyDescent="0.25">
      <c r="A323" s="2"/>
      <c r="B323" s="16"/>
      <c r="C323" s="22"/>
      <c r="D323" s="16"/>
      <c r="E323" s="21"/>
      <c r="F323" s="16"/>
      <c r="G323" s="16"/>
      <c r="H323" s="16"/>
      <c r="I323" s="16"/>
      <c r="J323" s="16"/>
      <c r="K323" s="16"/>
      <c r="L323" s="16"/>
      <c r="M323" s="16"/>
    </row>
    <row r="324" spans="1:13" x14ac:dyDescent="0.25">
      <c r="A324" s="2"/>
      <c r="B324" s="16"/>
      <c r="C324" s="22"/>
      <c r="D324" s="16"/>
      <c r="E324" s="21"/>
      <c r="F324" s="16"/>
      <c r="G324" s="16"/>
      <c r="H324" s="16"/>
      <c r="I324" s="16"/>
      <c r="J324" s="16"/>
      <c r="K324" s="16"/>
      <c r="L324" s="16"/>
      <c r="M324" s="16"/>
    </row>
    <row r="325" spans="1:13" x14ac:dyDescent="0.25">
      <c r="A325" s="2"/>
      <c r="B325" s="16"/>
      <c r="C325" s="22"/>
      <c r="D325" s="16"/>
      <c r="E325" s="21"/>
      <c r="F325" s="16"/>
      <c r="G325" s="16"/>
      <c r="H325" s="16"/>
      <c r="I325" s="16"/>
      <c r="J325" s="16"/>
      <c r="K325" s="16"/>
      <c r="L325" s="16"/>
      <c r="M325" s="16"/>
    </row>
    <row r="326" spans="1:13" x14ac:dyDescent="0.25">
      <c r="A326" s="2"/>
      <c r="B326" s="16"/>
      <c r="C326" s="22"/>
      <c r="D326" s="16"/>
      <c r="E326" s="21"/>
      <c r="F326" s="16"/>
      <c r="G326" s="16"/>
      <c r="H326" s="16"/>
      <c r="I326" s="16"/>
      <c r="J326" s="16"/>
      <c r="K326" s="16"/>
      <c r="L326" s="16"/>
      <c r="M326" s="16"/>
    </row>
    <row r="327" spans="1:13" x14ac:dyDescent="0.25">
      <c r="A327" s="2"/>
      <c r="B327" s="16"/>
      <c r="C327" s="22"/>
      <c r="D327" s="16"/>
      <c r="E327" s="21"/>
      <c r="F327" s="16"/>
      <c r="G327" s="16"/>
      <c r="H327" s="16"/>
      <c r="I327" s="16"/>
      <c r="J327" s="16"/>
      <c r="K327" s="16"/>
      <c r="L327" s="16"/>
      <c r="M327" s="16"/>
    </row>
    <row r="328" spans="1:13" x14ac:dyDescent="0.25">
      <c r="A328" s="2"/>
      <c r="B328" s="16"/>
      <c r="C328" s="22"/>
      <c r="D328" s="16"/>
      <c r="E328" s="21"/>
      <c r="F328" s="16"/>
      <c r="G328" s="16"/>
      <c r="H328" s="16"/>
      <c r="I328" s="16"/>
      <c r="J328" s="16"/>
      <c r="K328" s="16"/>
      <c r="L328" s="16"/>
      <c r="M328" s="16"/>
    </row>
    <row r="329" spans="1:13" x14ac:dyDescent="0.25">
      <c r="A329" s="2"/>
      <c r="B329" s="16"/>
      <c r="C329" s="22"/>
      <c r="D329" s="16"/>
      <c r="E329" s="21"/>
      <c r="F329" s="16"/>
      <c r="G329" s="16"/>
      <c r="H329" s="16"/>
      <c r="I329" s="16"/>
      <c r="J329" s="16"/>
      <c r="K329" s="16"/>
      <c r="L329" s="16"/>
      <c r="M329" s="16"/>
    </row>
    <row r="330" spans="1:13" x14ac:dyDescent="0.25">
      <c r="A330" s="2"/>
      <c r="B330" s="16"/>
      <c r="C330" s="22"/>
      <c r="D330" s="16"/>
      <c r="E330" s="21"/>
      <c r="F330" s="16"/>
      <c r="G330" s="16"/>
      <c r="H330" s="16"/>
      <c r="I330" s="16"/>
      <c r="J330" s="16"/>
      <c r="K330" s="16"/>
      <c r="L330" s="16"/>
      <c r="M330" s="16"/>
    </row>
    <row r="331" spans="1:13" x14ac:dyDescent="0.25">
      <c r="A331" s="2"/>
      <c r="B331" s="16"/>
      <c r="C331" s="22"/>
      <c r="D331" s="16"/>
      <c r="E331" s="21"/>
      <c r="F331" s="16"/>
      <c r="G331" s="16"/>
      <c r="H331" s="16"/>
      <c r="I331" s="16"/>
      <c r="J331" s="16"/>
      <c r="K331" s="16"/>
      <c r="L331" s="16"/>
      <c r="M331" s="16"/>
    </row>
    <row r="332" spans="1:13" x14ac:dyDescent="0.25">
      <c r="A332" s="2"/>
      <c r="B332" s="16"/>
      <c r="C332" s="22"/>
      <c r="D332" s="16"/>
      <c r="E332" s="21"/>
      <c r="F332" s="16"/>
      <c r="G332" s="16"/>
      <c r="H332" s="16"/>
      <c r="I332" s="16"/>
      <c r="J332" s="16"/>
      <c r="K332" s="16"/>
      <c r="L332" s="16"/>
      <c r="M332" s="16"/>
    </row>
    <row r="333" spans="1:13" x14ac:dyDescent="0.25">
      <c r="A333" s="2"/>
      <c r="B333" s="16"/>
      <c r="C333" s="22"/>
      <c r="D333" s="16"/>
      <c r="E333" s="21"/>
      <c r="F333" s="16"/>
      <c r="G333" s="16"/>
      <c r="H333" s="16"/>
      <c r="I333" s="16"/>
      <c r="J333" s="16"/>
      <c r="K333" s="16"/>
      <c r="L333" s="16"/>
      <c r="M333" s="16"/>
    </row>
    <row r="334" spans="1:13" x14ac:dyDescent="0.25">
      <c r="A334" s="2"/>
      <c r="B334" s="16"/>
      <c r="C334" s="22"/>
      <c r="D334" s="16"/>
      <c r="E334" s="21"/>
      <c r="F334" s="16"/>
      <c r="G334" s="16"/>
      <c r="H334" s="16"/>
      <c r="I334" s="16"/>
      <c r="J334" s="16"/>
      <c r="K334" s="16"/>
      <c r="L334" s="16"/>
      <c r="M334" s="16"/>
    </row>
    <row r="335" spans="1:13" x14ac:dyDescent="0.25">
      <c r="A335" s="2"/>
      <c r="B335" s="16"/>
      <c r="C335" s="22"/>
      <c r="D335" s="16"/>
      <c r="E335" s="21"/>
      <c r="F335" s="16"/>
      <c r="G335" s="16"/>
      <c r="H335" s="16"/>
      <c r="I335" s="16"/>
      <c r="J335" s="16"/>
      <c r="K335" s="16"/>
      <c r="L335" s="16"/>
      <c r="M335" s="16"/>
    </row>
    <row r="336" spans="1:13" x14ac:dyDescent="0.25">
      <c r="A336" s="2"/>
      <c r="B336" s="16"/>
      <c r="C336" s="22"/>
      <c r="D336" s="16"/>
      <c r="E336" s="21"/>
      <c r="F336" s="16"/>
      <c r="G336" s="16"/>
      <c r="H336" s="16"/>
      <c r="I336" s="16"/>
      <c r="J336" s="16"/>
      <c r="K336" s="16"/>
      <c r="L336" s="16"/>
      <c r="M336" s="16"/>
    </row>
    <row r="337" spans="1:13" x14ac:dyDescent="0.25">
      <c r="A337" s="2"/>
      <c r="B337" s="16"/>
      <c r="C337" s="22"/>
      <c r="D337" s="16"/>
      <c r="E337" s="21"/>
      <c r="F337" s="16"/>
      <c r="G337" s="16"/>
      <c r="H337" s="16"/>
      <c r="I337" s="16"/>
      <c r="J337" s="16"/>
      <c r="K337" s="16"/>
      <c r="L337" s="16"/>
      <c r="M337" s="16"/>
    </row>
    <row r="338" spans="1:13" x14ac:dyDescent="0.25">
      <c r="A338" s="2"/>
      <c r="B338" s="16"/>
      <c r="C338" s="22"/>
      <c r="D338" s="16"/>
      <c r="E338" s="21"/>
      <c r="F338" s="16"/>
      <c r="G338" s="16"/>
      <c r="H338" s="16"/>
      <c r="I338" s="16"/>
      <c r="J338" s="16"/>
      <c r="K338" s="16"/>
      <c r="L338" s="16"/>
      <c r="M338" s="16"/>
    </row>
    <row r="339" spans="1:13" x14ac:dyDescent="0.25">
      <c r="A339" s="2"/>
      <c r="B339" s="16"/>
      <c r="C339" s="22"/>
      <c r="D339" s="16"/>
      <c r="E339" s="21"/>
      <c r="F339" s="16"/>
      <c r="G339" s="16"/>
      <c r="H339" s="16"/>
      <c r="I339" s="16"/>
      <c r="J339" s="16"/>
      <c r="K339" s="16"/>
      <c r="L339" s="16"/>
      <c r="M339" s="16"/>
    </row>
    <row r="340" spans="1:13" x14ac:dyDescent="0.25">
      <c r="A340" s="2"/>
      <c r="B340" s="16"/>
      <c r="C340" s="22"/>
      <c r="D340" s="16"/>
      <c r="E340" s="21"/>
      <c r="F340" s="16"/>
      <c r="G340" s="16"/>
      <c r="H340" s="16"/>
      <c r="I340" s="16"/>
      <c r="J340" s="16"/>
      <c r="K340" s="16"/>
      <c r="L340" s="16"/>
      <c r="M340" s="16"/>
    </row>
    <row r="341" spans="1:13" x14ac:dyDescent="0.25">
      <c r="A341" s="2"/>
      <c r="B341" s="16"/>
      <c r="C341" s="22"/>
      <c r="D341" s="16"/>
      <c r="E341" s="21"/>
      <c r="F341" s="16"/>
      <c r="G341" s="16"/>
      <c r="H341" s="16"/>
      <c r="I341" s="16"/>
      <c r="J341" s="16"/>
      <c r="K341" s="16"/>
      <c r="L341" s="16"/>
      <c r="M341" s="16"/>
    </row>
    <row r="342" spans="1:13" x14ac:dyDescent="0.25">
      <c r="A342" s="2"/>
      <c r="B342" s="16"/>
      <c r="C342" s="22"/>
      <c r="D342" s="16"/>
      <c r="E342" s="21"/>
      <c r="F342" s="16"/>
      <c r="G342" s="16"/>
      <c r="H342" s="16"/>
      <c r="I342" s="16"/>
      <c r="J342" s="16"/>
      <c r="K342" s="16"/>
      <c r="L342" s="16"/>
      <c r="M342" s="16"/>
    </row>
    <row r="343" spans="1:13" x14ac:dyDescent="0.25">
      <c r="A343" s="2"/>
      <c r="B343" s="16"/>
      <c r="C343" s="22"/>
      <c r="D343" s="16"/>
      <c r="E343" s="21"/>
      <c r="F343" s="16"/>
      <c r="G343" s="16"/>
      <c r="H343" s="16"/>
      <c r="I343" s="16"/>
      <c r="J343" s="16"/>
      <c r="K343" s="16"/>
      <c r="L343" s="16"/>
      <c r="M343" s="16"/>
    </row>
    <row r="344" spans="1:13" x14ac:dyDescent="0.25">
      <c r="A344" s="2"/>
      <c r="B344" s="16"/>
      <c r="C344" s="22"/>
      <c r="D344" s="16"/>
      <c r="E344" s="21"/>
      <c r="F344" s="16"/>
      <c r="G344" s="16"/>
      <c r="H344" s="16"/>
      <c r="I344" s="16"/>
      <c r="J344" s="16"/>
      <c r="K344" s="16"/>
      <c r="L344" s="16"/>
      <c r="M344" s="16"/>
    </row>
    <row r="345" spans="1:13" x14ac:dyDescent="0.25">
      <c r="A345" s="2"/>
      <c r="B345" s="16"/>
      <c r="C345" s="22"/>
      <c r="D345" s="16"/>
      <c r="E345" s="21"/>
      <c r="F345" s="16"/>
      <c r="G345" s="16"/>
      <c r="H345" s="16"/>
      <c r="I345" s="16"/>
      <c r="J345" s="16"/>
      <c r="K345" s="16"/>
      <c r="L345" s="16"/>
      <c r="M345" s="16"/>
    </row>
    <row r="346" spans="1:13" x14ac:dyDescent="0.25">
      <c r="A346" s="2"/>
      <c r="B346" s="16"/>
      <c r="C346" s="22"/>
      <c r="D346" s="16"/>
      <c r="E346" s="21"/>
      <c r="F346" s="16"/>
      <c r="G346" s="16"/>
      <c r="H346" s="16"/>
      <c r="I346" s="16"/>
      <c r="J346" s="16"/>
      <c r="K346" s="16"/>
      <c r="L346" s="16"/>
      <c r="M346" s="16"/>
    </row>
    <row r="347" spans="1:13" x14ac:dyDescent="0.25">
      <c r="A347" s="2"/>
      <c r="B347" s="16"/>
      <c r="C347" s="22"/>
      <c r="D347" s="16"/>
      <c r="E347" s="21"/>
      <c r="F347" s="16"/>
      <c r="G347" s="16"/>
      <c r="H347" s="16"/>
      <c r="I347" s="16"/>
      <c r="J347" s="16"/>
      <c r="K347" s="16"/>
      <c r="L347" s="16"/>
      <c r="M347" s="16"/>
    </row>
    <row r="348" spans="1:13" x14ac:dyDescent="0.25">
      <c r="A348" s="2"/>
      <c r="B348" s="16"/>
      <c r="C348" s="22"/>
      <c r="D348" s="16"/>
      <c r="E348" s="21"/>
      <c r="F348" s="16"/>
      <c r="G348" s="16"/>
      <c r="H348" s="16"/>
      <c r="I348" s="16"/>
      <c r="J348" s="16"/>
      <c r="K348" s="16"/>
      <c r="L348" s="16"/>
      <c r="M348" s="16"/>
    </row>
    <row r="349" spans="1:13" x14ac:dyDescent="0.25">
      <c r="A349" s="2"/>
      <c r="B349" s="16"/>
      <c r="C349" s="22"/>
      <c r="D349" s="16"/>
      <c r="E349" s="21"/>
      <c r="F349" s="16"/>
      <c r="G349" s="16"/>
      <c r="H349" s="16"/>
      <c r="I349" s="16"/>
      <c r="J349" s="16"/>
      <c r="K349" s="16"/>
      <c r="L349" s="16"/>
      <c r="M349" s="16"/>
    </row>
    <row r="350" spans="1:13" x14ac:dyDescent="0.25">
      <c r="A350" s="2"/>
      <c r="B350" s="16"/>
      <c r="C350" s="22"/>
      <c r="D350" s="16"/>
      <c r="E350" s="21"/>
      <c r="F350" s="16"/>
      <c r="G350" s="16"/>
      <c r="H350" s="16"/>
      <c r="I350" s="16"/>
      <c r="J350" s="16"/>
      <c r="K350" s="16"/>
      <c r="L350" s="16"/>
      <c r="M350" s="16"/>
    </row>
    <row r="351" spans="1:13" x14ac:dyDescent="0.25">
      <c r="A351" s="2"/>
      <c r="B351" s="16"/>
      <c r="C351" s="22"/>
      <c r="D351" s="16"/>
      <c r="E351" s="21"/>
      <c r="F351" s="16"/>
      <c r="G351" s="16"/>
      <c r="H351" s="16"/>
      <c r="I351" s="16"/>
      <c r="J351" s="16"/>
      <c r="K351" s="16"/>
      <c r="L351" s="16"/>
      <c r="M351" s="16"/>
    </row>
    <row r="352" spans="1:13" x14ac:dyDescent="0.25">
      <c r="A352" s="2"/>
      <c r="B352" s="16"/>
      <c r="C352" s="22"/>
      <c r="D352" s="16"/>
      <c r="E352" s="21"/>
      <c r="F352" s="16"/>
      <c r="G352" s="16"/>
      <c r="H352" s="16"/>
      <c r="I352" s="16"/>
      <c r="J352" s="16"/>
      <c r="K352" s="16"/>
      <c r="L352" s="16"/>
      <c r="M352" s="16"/>
    </row>
    <row r="353" spans="1:13" x14ac:dyDescent="0.25">
      <c r="A353" s="2"/>
      <c r="B353" s="16"/>
      <c r="C353" s="22"/>
      <c r="D353" s="16"/>
      <c r="E353" s="21"/>
      <c r="F353" s="16"/>
      <c r="G353" s="16"/>
      <c r="H353" s="16"/>
      <c r="I353" s="16"/>
      <c r="J353" s="16"/>
      <c r="K353" s="16"/>
      <c r="L353" s="16"/>
      <c r="M353" s="16"/>
    </row>
    <row r="354" spans="1:13" x14ac:dyDescent="0.25">
      <c r="A354" s="2"/>
      <c r="B354" s="16"/>
      <c r="C354" s="22"/>
      <c r="D354" s="16"/>
      <c r="E354" s="21"/>
      <c r="F354" s="16"/>
      <c r="G354" s="16"/>
      <c r="H354" s="16"/>
      <c r="I354" s="16"/>
      <c r="J354" s="16"/>
      <c r="K354" s="16"/>
      <c r="L354" s="16"/>
      <c r="M354" s="16"/>
    </row>
    <row r="355" spans="1:13" x14ac:dyDescent="0.25">
      <c r="A355" s="2"/>
      <c r="B355" s="16"/>
      <c r="C355" s="22"/>
      <c r="D355" s="16"/>
      <c r="E355" s="21"/>
      <c r="F355" s="16"/>
      <c r="G355" s="16"/>
      <c r="H355" s="16"/>
      <c r="I355" s="16"/>
      <c r="J355" s="16"/>
      <c r="K355" s="16"/>
      <c r="L355" s="16"/>
      <c r="M355" s="16"/>
    </row>
    <row r="356" spans="1:13" x14ac:dyDescent="0.25">
      <c r="A356" s="2"/>
      <c r="B356" s="16"/>
      <c r="C356" s="22"/>
      <c r="D356" s="16"/>
      <c r="E356" s="21"/>
      <c r="F356" s="16"/>
      <c r="G356" s="16"/>
      <c r="H356" s="16"/>
      <c r="I356" s="16"/>
      <c r="J356" s="16"/>
      <c r="K356" s="16"/>
      <c r="L356" s="16"/>
      <c r="M356" s="16"/>
    </row>
    <row r="357" spans="1:13" x14ac:dyDescent="0.25">
      <c r="A357" s="2"/>
      <c r="B357" s="16"/>
      <c r="C357" s="22"/>
      <c r="D357" s="16"/>
      <c r="E357" s="21"/>
      <c r="F357" s="16"/>
      <c r="G357" s="16"/>
      <c r="H357" s="16"/>
      <c r="I357" s="16"/>
      <c r="J357" s="16"/>
      <c r="K357" s="16"/>
      <c r="L357" s="16"/>
      <c r="M357" s="16"/>
    </row>
    <row r="358" spans="1:13" x14ac:dyDescent="0.25">
      <c r="A358" s="2"/>
      <c r="B358" s="16"/>
      <c r="C358" s="22"/>
      <c r="D358" s="16"/>
      <c r="E358" s="21"/>
      <c r="F358" s="16"/>
      <c r="G358" s="16"/>
      <c r="H358" s="16"/>
      <c r="I358" s="16"/>
      <c r="J358" s="16"/>
      <c r="K358" s="16"/>
      <c r="L358" s="16"/>
      <c r="M358" s="16"/>
    </row>
    <row r="359" spans="1:13" x14ac:dyDescent="0.25">
      <c r="A359" s="2"/>
      <c r="B359" s="16"/>
      <c r="C359" s="22"/>
      <c r="D359" s="16"/>
      <c r="E359" s="21"/>
      <c r="F359" s="16"/>
      <c r="G359" s="16"/>
      <c r="H359" s="16"/>
      <c r="I359" s="16"/>
      <c r="J359" s="16"/>
      <c r="K359" s="16"/>
      <c r="L359" s="16"/>
      <c r="M359" s="16"/>
    </row>
    <row r="360" spans="1:13" x14ac:dyDescent="0.25">
      <c r="A360" s="2"/>
      <c r="B360" s="16"/>
      <c r="C360" s="22"/>
      <c r="D360" s="16"/>
      <c r="E360" s="21"/>
      <c r="F360" s="16"/>
      <c r="G360" s="16"/>
      <c r="H360" s="16"/>
      <c r="I360" s="16"/>
      <c r="J360" s="16"/>
      <c r="K360" s="16"/>
      <c r="L360" s="16"/>
      <c r="M360" s="16"/>
    </row>
    <row r="361" spans="1:13" x14ac:dyDescent="0.25">
      <c r="A361" s="2"/>
      <c r="B361" s="16"/>
      <c r="C361" s="22"/>
      <c r="D361" s="16"/>
      <c r="E361" s="21"/>
      <c r="F361" s="16"/>
      <c r="G361" s="16"/>
      <c r="H361" s="16"/>
      <c r="I361" s="16"/>
      <c r="J361" s="16"/>
      <c r="K361" s="16"/>
      <c r="L361" s="16"/>
      <c r="M361" s="16"/>
    </row>
    <row r="362" spans="1:13" x14ac:dyDescent="0.25">
      <c r="A362" s="2"/>
      <c r="B362" s="16"/>
      <c r="C362" s="22"/>
      <c r="D362" s="16"/>
      <c r="E362" s="21"/>
      <c r="F362" s="16"/>
      <c r="G362" s="16"/>
      <c r="H362" s="16"/>
      <c r="I362" s="16"/>
      <c r="J362" s="16"/>
      <c r="K362" s="16"/>
      <c r="L362" s="16"/>
      <c r="M362" s="16"/>
    </row>
    <row r="363" spans="1:13" x14ac:dyDescent="0.25">
      <c r="A363" s="2"/>
      <c r="B363" s="16"/>
      <c r="C363" s="22"/>
      <c r="D363" s="16"/>
      <c r="E363" s="21"/>
      <c r="F363" s="16"/>
      <c r="G363" s="16"/>
      <c r="H363" s="16"/>
      <c r="I363" s="16"/>
      <c r="J363" s="16"/>
      <c r="K363" s="16"/>
      <c r="L363" s="16"/>
      <c r="M363" s="16"/>
    </row>
    <row r="364" spans="1:13" x14ac:dyDescent="0.25">
      <c r="A364" s="2"/>
      <c r="B364" s="16"/>
      <c r="C364" s="22"/>
      <c r="D364" s="16"/>
      <c r="E364" s="21"/>
      <c r="F364" s="16"/>
      <c r="G364" s="16"/>
      <c r="H364" s="16"/>
      <c r="I364" s="16"/>
      <c r="J364" s="16"/>
      <c r="K364" s="16"/>
      <c r="L364" s="16"/>
      <c r="M364" s="16"/>
    </row>
    <row r="365" spans="1:13" x14ac:dyDescent="0.25">
      <c r="A365" s="2"/>
      <c r="B365" s="16"/>
      <c r="C365" s="22"/>
      <c r="D365" s="16"/>
      <c r="E365" s="21"/>
      <c r="F365" s="16"/>
      <c r="G365" s="16"/>
      <c r="H365" s="16"/>
      <c r="I365" s="16"/>
      <c r="J365" s="16"/>
      <c r="K365" s="16"/>
      <c r="L365" s="16"/>
      <c r="M365" s="16"/>
    </row>
    <row r="366" spans="1:13" x14ac:dyDescent="0.25">
      <c r="A366" s="2"/>
      <c r="B366" s="16"/>
      <c r="C366" s="22"/>
      <c r="D366" s="16"/>
      <c r="E366" s="21"/>
      <c r="F366" s="16"/>
      <c r="G366" s="16"/>
      <c r="H366" s="16"/>
      <c r="I366" s="16"/>
      <c r="J366" s="16"/>
      <c r="K366" s="16"/>
      <c r="L366" s="16"/>
      <c r="M366" s="16"/>
    </row>
    <row r="367" spans="1:13" x14ac:dyDescent="0.25">
      <c r="A367" s="2"/>
      <c r="B367" s="16"/>
      <c r="C367" s="22"/>
      <c r="D367" s="16"/>
      <c r="E367" s="21"/>
      <c r="F367" s="16"/>
      <c r="G367" s="16"/>
      <c r="H367" s="16"/>
      <c r="I367" s="16"/>
      <c r="J367" s="16"/>
      <c r="K367" s="16"/>
      <c r="L367" s="16"/>
      <c r="M367" s="16"/>
    </row>
    <row r="368" spans="1:13" x14ac:dyDescent="0.25">
      <c r="A368" s="2"/>
      <c r="B368" s="16"/>
      <c r="C368" s="22"/>
      <c r="D368" s="16"/>
      <c r="E368" s="21"/>
      <c r="F368" s="16"/>
      <c r="G368" s="16"/>
      <c r="H368" s="16"/>
      <c r="I368" s="16"/>
      <c r="J368" s="16"/>
      <c r="K368" s="16"/>
      <c r="L368" s="16"/>
      <c r="M368" s="16"/>
    </row>
    <row r="369" spans="1:13" x14ac:dyDescent="0.25">
      <c r="A369" s="2"/>
      <c r="B369" s="16"/>
      <c r="C369" s="22"/>
      <c r="D369" s="16"/>
      <c r="E369" s="21"/>
      <c r="F369" s="16"/>
      <c r="G369" s="16"/>
      <c r="H369" s="16"/>
      <c r="I369" s="16"/>
      <c r="J369" s="16"/>
      <c r="K369" s="16"/>
      <c r="L369" s="16"/>
      <c r="M369" s="16"/>
    </row>
    <row r="370" spans="1:13" x14ac:dyDescent="0.25">
      <c r="A370" s="2"/>
      <c r="B370" s="16"/>
      <c r="C370" s="22"/>
      <c r="D370" s="16"/>
      <c r="E370" s="21"/>
      <c r="F370" s="16"/>
      <c r="G370" s="16"/>
      <c r="H370" s="16"/>
      <c r="I370" s="16"/>
      <c r="J370" s="16"/>
      <c r="K370" s="16"/>
      <c r="L370" s="16"/>
      <c r="M370" s="16"/>
    </row>
    <row r="371" spans="1:13" x14ac:dyDescent="0.25">
      <c r="A371" s="2"/>
      <c r="B371" s="16"/>
      <c r="C371" s="22"/>
      <c r="D371" s="16"/>
      <c r="E371" s="21"/>
      <c r="F371" s="16"/>
      <c r="G371" s="16"/>
      <c r="H371" s="16"/>
      <c r="I371" s="16"/>
      <c r="J371" s="16"/>
      <c r="K371" s="16"/>
      <c r="L371" s="16"/>
      <c r="M371" s="16"/>
    </row>
    <row r="372" spans="1:13" x14ac:dyDescent="0.25">
      <c r="A372" s="2"/>
      <c r="B372" s="16"/>
      <c r="C372" s="22"/>
      <c r="D372" s="16"/>
      <c r="E372" s="21"/>
      <c r="F372" s="16"/>
      <c r="G372" s="16"/>
      <c r="H372" s="16"/>
      <c r="I372" s="16"/>
      <c r="J372" s="16"/>
      <c r="K372" s="16"/>
      <c r="L372" s="16"/>
      <c r="M372" s="16"/>
    </row>
    <row r="373" spans="1:13" x14ac:dyDescent="0.25">
      <c r="A373" s="2"/>
      <c r="B373" s="16"/>
      <c r="C373" s="22"/>
      <c r="D373" s="16"/>
      <c r="E373" s="21"/>
      <c r="F373" s="16"/>
      <c r="G373" s="16"/>
      <c r="H373" s="16"/>
      <c r="I373" s="16"/>
      <c r="J373" s="16"/>
      <c r="K373" s="16"/>
      <c r="L373" s="16"/>
      <c r="M373" s="16"/>
    </row>
    <row r="374" spans="1:13" x14ac:dyDescent="0.25">
      <c r="A374" s="2"/>
      <c r="B374" s="16"/>
      <c r="C374" s="22"/>
      <c r="D374" s="16"/>
      <c r="E374" s="21"/>
      <c r="F374" s="16"/>
      <c r="G374" s="16"/>
      <c r="H374" s="16"/>
      <c r="I374" s="16"/>
      <c r="J374" s="16"/>
      <c r="K374" s="16"/>
      <c r="L374" s="16"/>
      <c r="M374" s="16"/>
    </row>
    <row r="375" spans="1:13" x14ac:dyDescent="0.25">
      <c r="A375" s="2"/>
      <c r="B375" s="16"/>
      <c r="C375" s="22"/>
      <c r="D375" s="16"/>
      <c r="E375" s="21"/>
      <c r="F375" s="16"/>
      <c r="G375" s="16"/>
      <c r="H375" s="16"/>
      <c r="I375" s="16"/>
      <c r="J375" s="16"/>
      <c r="K375" s="16"/>
      <c r="L375" s="16"/>
      <c r="M375" s="16"/>
    </row>
    <row r="376" spans="1:13" x14ac:dyDescent="0.25">
      <c r="A376" s="2"/>
      <c r="B376" s="16"/>
      <c r="C376" s="22"/>
      <c r="D376" s="16"/>
      <c r="E376" s="21"/>
      <c r="F376" s="16"/>
      <c r="G376" s="16"/>
      <c r="H376" s="16"/>
      <c r="I376" s="16"/>
      <c r="J376" s="16"/>
      <c r="K376" s="16"/>
      <c r="L376" s="16"/>
      <c r="M376" s="16"/>
    </row>
    <row r="377" spans="1:13" x14ac:dyDescent="0.25">
      <c r="A377" s="2"/>
      <c r="B377" s="16"/>
      <c r="C377" s="22"/>
      <c r="D377" s="16"/>
      <c r="E377" s="21"/>
      <c r="F377" s="16"/>
      <c r="G377" s="16"/>
      <c r="H377" s="16"/>
      <c r="I377" s="16"/>
      <c r="J377" s="16"/>
      <c r="K377" s="16"/>
      <c r="L377" s="16"/>
      <c r="M377" s="16"/>
    </row>
    <row r="378" spans="1:13" x14ac:dyDescent="0.25">
      <c r="A378" s="2"/>
      <c r="B378" s="16"/>
      <c r="C378" s="22"/>
      <c r="D378" s="16"/>
      <c r="E378" s="21"/>
      <c r="F378" s="16"/>
      <c r="G378" s="16"/>
      <c r="H378" s="16"/>
      <c r="I378" s="16"/>
      <c r="J378" s="16"/>
      <c r="K378" s="16"/>
      <c r="L378" s="16"/>
      <c r="M378" s="16"/>
    </row>
    <row r="379" spans="1:13" x14ac:dyDescent="0.25">
      <c r="A379" s="2"/>
      <c r="B379" s="16"/>
      <c r="C379" s="22"/>
      <c r="D379" s="16"/>
      <c r="E379" s="21"/>
      <c r="F379" s="16"/>
      <c r="G379" s="16"/>
      <c r="H379" s="16"/>
      <c r="I379" s="16"/>
      <c r="J379" s="16"/>
      <c r="K379" s="16"/>
      <c r="L379" s="16"/>
      <c r="M379" s="16"/>
    </row>
    <row r="380" spans="1:13" x14ac:dyDescent="0.25">
      <c r="A380" s="2"/>
      <c r="B380" s="16"/>
      <c r="C380" s="22"/>
      <c r="D380" s="16"/>
      <c r="E380" s="21"/>
      <c r="F380" s="16"/>
      <c r="G380" s="16"/>
      <c r="H380" s="16"/>
      <c r="I380" s="16"/>
      <c r="J380" s="16"/>
      <c r="K380" s="16"/>
      <c r="L380" s="16"/>
      <c r="M380" s="16"/>
    </row>
    <row r="381" spans="1:13" x14ac:dyDescent="0.25">
      <c r="A381" s="2"/>
      <c r="B381" s="16"/>
      <c r="C381" s="22"/>
      <c r="D381" s="16"/>
      <c r="E381" s="21"/>
      <c r="F381" s="16"/>
      <c r="G381" s="16"/>
      <c r="H381" s="16"/>
      <c r="I381" s="16"/>
      <c r="J381" s="16"/>
      <c r="K381" s="16"/>
      <c r="L381" s="16"/>
      <c r="M381" s="16"/>
    </row>
    <row r="382" spans="1:13" x14ac:dyDescent="0.25">
      <c r="A382" s="2"/>
      <c r="B382" s="16"/>
      <c r="C382" s="22"/>
      <c r="D382" s="16"/>
      <c r="E382" s="21"/>
      <c r="F382" s="16"/>
      <c r="G382" s="16"/>
      <c r="H382" s="16"/>
      <c r="I382" s="16"/>
      <c r="J382" s="16"/>
      <c r="K382" s="16"/>
      <c r="L382" s="16"/>
      <c r="M382" s="16"/>
    </row>
    <row r="383" spans="1:13" x14ac:dyDescent="0.25">
      <c r="A383" s="2"/>
      <c r="B383" s="16"/>
      <c r="C383" s="22"/>
      <c r="D383" s="16"/>
      <c r="E383" s="21"/>
      <c r="F383" s="16"/>
      <c r="G383" s="16"/>
      <c r="H383" s="16"/>
      <c r="I383" s="16"/>
      <c r="J383" s="16"/>
      <c r="K383" s="16"/>
      <c r="L383" s="16"/>
      <c r="M383" s="16"/>
    </row>
    <row r="384" spans="1:13" x14ac:dyDescent="0.25">
      <c r="A384" s="2"/>
      <c r="B384" s="16"/>
      <c r="C384" s="22"/>
      <c r="D384" s="16"/>
      <c r="E384" s="21"/>
      <c r="F384" s="16"/>
      <c r="G384" s="16"/>
      <c r="H384" s="16"/>
      <c r="I384" s="16"/>
      <c r="J384" s="16"/>
      <c r="K384" s="16"/>
      <c r="L384" s="16"/>
      <c r="M384" s="16"/>
    </row>
    <row r="385" spans="1:13" x14ac:dyDescent="0.25">
      <c r="A385" s="2"/>
      <c r="B385" s="16"/>
      <c r="C385" s="22"/>
      <c r="D385" s="16"/>
      <c r="E385" s="21"/>
      <c r="F385" s="16"/>
      <c r="G385" s="16"/>
      <c r="H385" s="16"/>
      <c r="I385" s="16"/>
      <c r="J385" s="16"/>
      <c r="K385" s="16"/>
      <c r="L385" s="16"/>
      <c r="M385" s="16"/>
    </row>
    <row r="386" spans="1:13" x14ac:dyDescent="0.25">
      <c r="A386" s="2"/>
      <c r="B386" s="16"/>
      <c r="C386" s="22"/>
      <c r="D386" s="16"/>
      <c r="E386" s="21"/>
      <c r="F386" s="16"/>
      <c r="G386" s="16"/>
      <c r="H386" s="16"/>
      <c r="I386" s="16"/>
      <c r="J386" s="16"/>
      <c r="K386" s="16"/>
      <c r="L386" s="16"/>
      <c r="M386" s="16"/>
    </row>
    <row r="387" spans="1:13" x14ac:dyDescent="0.25">
      <c r="A387" s="2"/>
      <c r="B387" s="16"/>
      <c r="C387" s="22"/>
      <c r="D387" s="16"/>
      <c r="E387" s="21"/>
      <c r="F387" s="16"/>
      <c r="G387" s="16"/>
      <c r="H387" s="16"/>
      <c r="I387" s="16"/>
      <c r="J387" s="16"/>
      <c r="K387" s="16"/>
      <c r="L387" s="16"/>
      <c r="M387" s="16"/>
    </row>
    <row r="388" spans="1:13" x14ac:dyDescent="0.25">
      <c r="A388" s="2"/>
      <c r="B388" s="16"/>
      <c r="C388" s="22"/>
      <c r="D388" s="16"/>
      <c r="E388" s="21"/>
      <c r="F388" s="16"/>
      <c r="G388" s="16"/>
      <c r="H388" s="16"/>
      <c r="I388" s="16"/>
      <c r="J388" s="16"/>
      <c r="K388" s="16"/>
      <c r="L388" s="16"/>
      <c r="M388" s="16"/>
    </row>
    <row r="389" spans="1:13" x14ac:dyDescent="0.25">
      <c r="A389" s="2"/>
      <c r="B389" s="16"/>
      <c r="C389" s="22"/>
      <c r="D389" s="16"/>
      <c r="E389" s="21"/>
      <c r="F389" s="16"/>
      <c r="G389" s="16"/>
      <c r="H389" s="16"/>
      <c r="I389" s="16"/>
      <c r="J389" s="16"/>
      <c r="K389" s="16"/>
      <c r="L389" s="16"/>
      <c r="M389" s="16"/>
    </row>
    <row r="390" spans="1:13" x14ac:dyDescent="0.25">
      <c r="A390" s="2"/>
      <c r="B390" s="16"/>
      <c r="C390" s="22"/>
      <c r="D390" s="16"/>
      <c r="E390" s="21"/>
      <c r="F390" s="16"/>
      <c r="G390" s="16"/>
      <c r="H390" s="16"/>
      <c r="I390" s="16"/>
      <c r="J390" s="16"/>
      <c r="K390" s="16"/>
      <c r="L390" s="16"/>
      <c r="M390" s="16"/>
    </row>
    <row r="391" spans="1:13" x14ac:dyDescent="0.25">
      <c r="A391" s="2"/>
      <c r="B391" s="16"/>
      <c r="C391" s="22"/>
      <c r="D391" s="16"/>
      <c r="E391" s="21"/>
      <c r="F391" s="16"/>
      <c r="G391" s="16"/>
      <c r="H391" s="16"/>
      <c r="I391" s="16"/>
      <c r="J391" s="16"/>
      <c r="K391" s="16"/>
      <c r="L391" s="16"/>
      <c r="M391" s="16"/>
    </row>
    <row r="392" spans="1:13" x14ac:dyDescent="0.25">
      <c r="A392" s="2"/>
      <c r="B392" s="16"/>
      <c r="C392" s="22"/>
      <c r="D392" s="16"/>
      <c r="E392" s="21"/>
      <c r="F392" s="16"/>
      <c r="G392" s="16"/>
      <c r="H392" s="16"/>
      <c r="I392" s="16"/>
      <c r="J392" s="16"/>
      <c r="K392" s="16"/>
      <c r="L392" s="16"/>
      <c r="M392" s="16"/>
    </row>
    <row r="393" spans="1:13" x14ac:dyDescent="0.25">
      <c r="A393" s="2"/>
      <c r="B393" s="16"/>
      <c r="C393" s="22"/>
      <c r="D393" s="16"/>
      <c r="E393" s="21"/>
      <c r="F393" s="16"/>
      <c r="G393" s="16"/>
      <c r="H393" s="16"/>
      <c r="I393" s="16"/>
      <c r="J393" s="16"/>
      <c r="K393" s="16"/>
      <c r="L393" s="16"/>
      <c r="M393" s="16"/>
    </row>
    <row r="394" spans="1:13" x14ac:dyDescent="0.25">
      <c r="A394" s="2"/>
      <c r="B394" s="16"/>
      <c r="C394" s="22"/>
      <c r="D394" s="16"/>
      <c r="E394" s="21"/>
      <c r="F394" s="16"/>
      <c r="G394" s="16"/>
      <c r="H394" s="16"/>
      <c r="I394" s="16"/>
      <c r="J394" s="16"/>
      <c r="K394" s="16"/>
      <c r="L394" s="16"/>
      <c r="M394" s="16"/>
    </row>
    <row r="395" spans="1:13" x14ac:dyDescent="0.25">
      <c r="A395" s="2"/>
      <c r="B395" s="16"/>
      <c r="C395" s="22"/>
      <c r="D395" s="16"/>
      <c r="E395" s="21"/>
      <c r="F395" s="16"/>
      <c r="G395" s="16"/>
      <c r="H395" s="16"/>
      <c r="I395" s="16"/>
      <c r="J395" s="16"/>
      <c r="K395" s="16"/>
      <c r="L395" s="16"/>
      <c r="M395" s="16"/>
    </row>
    <row r="396" spans="1:13" x14ac:dyDescent="0.25">
      <c r="A396" s="2"/>
      <c r="B396" s="16"/>
      <c r="C396" s="22"/>
      <c r="D396" s="16"/>
      <c r="E396" s="21"/>
      <c r="F396" s="16"/>
      <c r="G396" s="16"/>
      <c r="H396" s="16"/>
      <c r="I396" s="16"/>
      <c r="J396" s="16"/>
      <c r="K396" s="16"/>
      <c r="L396" s="16"/>
      <c r="M396" s="16"/>
    </row>
    <row r="397" spans="1:13" x14ac:dyDescent="0.25">
      <c r="A397" s="2"/>
      <c r="B397" s="16"/>
      <c r="C397" s="22"/>
      <c r="D397" s="16"/>
      <c r="E397" s="21"/>
      <c r="F397" s="16"/>
      <c r="G397" s="16"/>
      <c r="H397" s="16"/>
      <c r="I397" s="16"/>
      <c r="J397" s="16"/>
      <c r="K397" s="16"/>
      <c r="L397" s="16"/>
      <c r="M397" s="16"/>
    </row>
    <row r="398" spans="1:13" x14ac:dyDescent="0.25">
      <c r="A398" s="2"/>
      <c r="B398" s="16"/>
      <c r="C398" s="22"/>
      <c r="D398" s="16"/>
      <c r="E398" s="21"/>
      <c r="F398" s="16"/>
      <c r="G398" s="16"/>
      <c r="H398" s="16"/>
      <c r="I398" s="16"/>
      <c r="J398" s="16"/>
      <c r="K398" s="16"/>
      <c r="L398" s="16"/>
      <c r="M398" s="16"/>
    </row>
    <row r="399" spans="1:13" x14ac:dyDescent="0.25">
      <c r="A399" s="2"/>
      <c r="B399" s="16"/>
      <c r="C399" s="22"/>
      <c r="D399" s="16"/>
      <c r="E399" s="21"/>
      <c r="F399" s="16"/>
      <c r="G399" s="16"/>
      <c r="H399" s="16"/>
      <c r="I399" s="16"/>
      <c r="J399" s="16"/>
      <c r="K399" s="16"/>
      <c r="L399" s="16"/>
      <c r="M399" s="16"/>
    </row>
    <row r="400" spans="1:13" x14ac:dyDescent="0.25">
      <c r="A400" s="2"/>
      <c r="B400" s="16"/>
      <c r="C400" s="22"/>
      <c r="D400" s="16"/>
      <c r="E400" s="21"/>
      <c r="F400" s="16"/>
      <c r="G400" s="16"/>
      <c r="H400" s="16"/>
      <c r="I400" s="16"/>
      <c r="J400" s="16"/>
      <c r="K400" s="16"/>
      <c r="L400" s="16"/>
      <c r="M400" s="16"/>
    </row>
    <row r="401" spans="1:13" x14ac:dyDescent="0.25">
      <c r="A401" s="2"/>
      <c r="B401" s="16"/>
      <c r="C401" s="22"/>
      <c r="D401" s="16"/>
      <c r="E401" s="21"/>
      <c r="F401" s="16"/>
      <c r="G401" s="16"/>
      <c r="H401" s="16"/>
      <c r="I401" s="16"/>
      <c r="J401" s="16"/>
      <c r="K401" s="16"/>
      <c r="L401" s="16"/>
      <c r="M401" s="16"/>
    </row>
    <row r="402" spans="1:13" x14ac:dyDescent="0.25">
      <c r="A402" s="2"/>
      <c r="B402" s="16"/>
      <c r="C402" s="22"/>
      <c r="D402" s="16"/>
      <c r="E402" s="21"/>
      <c r="F402" s="16"/>
      <c r="G402" s="16"/>
      <c r="H402" s="16"/>
      <c r="I402" s="16"/>
      <c r="J402" s="16"/>
      <c r="K402" s="16"/>
      <c r="L402" s="16"/>
      <c r="M402" s="16"/>
    </row>
    <row r="403" spans="1:13" x14ac:dyDescent="0.25">
      <c r="A403" s="2"/>
      <c r="B403" s="16"/>
      <c r="C403" s="22"/>
      <c r="D403" s="16"/>
      <c r="E403" s="21"/>
      <c r="F403" s="16"/>
      <c r="G403" s="16"/>
      <c r="H403" s="16"/>
      <c r="I403" s="16"/>
      <c r="J403" s="16"/>
      <c r="K403" s="16"/>
      <c r="L403" s="16"/>
      <c r="M403" s="16"/>
    </row>
    <row r="404" spans="1:13" x14ac:dyDescent="0.25">
      <c r="A404" s="2"/>
      <c r="B404" s="16"/>
      <c r="C404" s="22"/>
      <c r="D404" s="16"/>
      <c r="E404" s="21"/>
      <c r="F404" s="16"/>
      <c r="G404" s="16"/>
      <c r="H404" s="16"/>
      <c r="I404" s="16"/>
      <c r="J404" s="16"/>
      <c r="K404" s="16"/>
      <c r="L404" s="16"/>
      <c r="M404" s="16"/>
    </row>
    <row r="405" spans="1:13" x14ac:dyDescent="0.25">
      <c r="A405" s="2"/>
      <c r="B405" s="16"/>
      <c r="C405" s="22"/>
      <c r="D405" s="16"/>
      <c r="E405" s="21"/>
      <c r="F405" s="16"/>
      <c r="G405" s="16"/>
      <c r="H405" s="16"/>
      <c r="I405" s="16"/>
      <c r="J405" s="16"/>
      <c r="K405" s="16"/>
      <c r="L405" s="16"/>
      <c r="M405" s="16"/>
    </row>
    <row r="406" spans="1:13" x14ac:dyDescent="0.25">
      <c r="A406" s="2"/>
      <c r="B406" s="16"/>
      <c r="C406" s="22"/>
      <c r="D406" s="16"/>
      <c r="E406" s="21"/>
      <c r="F406" s="16"/>
      <c r="G406" s="16"/>
      <c r="H406" s="16"/>
      <c r="I406" s="16"/>
      <c r="J406" s="16"/>
      <c r="K406" s="16"/>
      <c r="L406" s="16"/>
      <c r="M406" s="16"/>
    </row>
    <row r="407" spans="1:13" x14ac:dyDescent="0.25">
      <c r="A407" s="2"/>
      <c r="B407" s="16"/>
      <c r="C407" s="22"/>
      <c r="D407" s="16"/>
      <c r="E407" s="21"/>
      <c r="F407" s="16"/>
      <c r="G407" s="16"/>
      <c r="H407" s="16"/>
      <c r="I407" s="16"/>
      <c r="J407" s="16"/>
      <c r="K407" s="16"/>
      <c r="L407" s="16"/>
      <c r="M407" s="16"/>
    </row>
    <row r="408" spans="1:13" x14ac:dyDescent="0.25">
      <c r="A408" s="2"/>
      <c r="B408" s="16"/>
      <c r="C408" s="22"/>
      <c r="D408" s="16"/>
      <c r="E408" s="21"/>
      <c r="F408" s="16"/>
      <c r="G408" s="16"/>
      <c r="H408" s="16"/>
      <c r="I408" s="16"/>
      <c r="J408" s="16"/>
      <c r="K408" s="16"/>
      <c r="L408" s="16"/>
      <c r="M408" s="16"/>
    </row>
    <row r="409" spans="1:13" x14ac:dyDescent="0.25">
      <c r="A409" s="2"/>
      <c r="B409" s="16"/>
      <c r="C409" s="22"/>
      <c r="D409" s="16"/>
      <c r="E409" s="21"/>
      <c r="F409" s="16"/>
      <c r="G409" s="16"/>
      <c r="H409" s="16"/>
      <c r="I409" s="16"/>
      <c r="J409" s="16"/>
      <c r="K409" s="16"/>
      <c r="L409" s="16"/>
      <c r="M409" s="16"/>
    </row>
    <row r="410" spans="1:13" x14ac:dyDescent="0.25">
      <c r="A410" s="2"/>
      <c r="B410" s="16"/>
      <c r="C410" s="22"/>
      <c r="D410" s="16"/>
      <c r="E410" s="21"/>
      <c r="F410" s="16"/>
      <c r="G410" s="16"/>
      <c r="H410" s="16"/>
      <c r="I410" s="16"/>
      <c r="J410" s="16"/>
      <c r="K410" s="16"/>
      <c r="L410" s="16"/>
      <c r="M410" s="16"/>
    </row>
    <row r="411" spans="1:13" x14ac:dyDescent="0.25">
      <c r="A411" s="2"/>
      <c r="B411" s="16"/>
      <c r="C411" s="22"/>
      <c r="D411" s="16"/>
      <c r="E411" s="21"/>
      <c r="F411" s="16"/>
      <c r="G411" s="16"/>
      <c r="H411" s="16"/>
      <c r="I411" s="16"/>
      <c r="J411" s="16"/>
      <c r="K411" s="16"/>
      <c r="L411" s="16"/>
      <c r="M411" s="16"/>
    </row>
    <row r="412" spans="1:13" x14ac:dyDescent="0.25">
      <c r="A412" s="2"/>
      <c r="B412" s="16"/>
      <c r="C412" s="22"/>
      <c r="D412" s="16"/>
      <c r="E412" s="21"/>
      <c r="F412" s="16"/>
      <c r="G412" s="16"/>
      <c r="H412" s="16"/>
      <c r="I412" s="16"/>
      <c r="J412" s="16"/>
      <c r="K412" s="16"/>
      <c r="L412" s="16"/>
      <c r="M412" s="16"/>
    </row>
    <row r="413" spans="1:13" x14ac:dyDescent="0.25">
      <c r="A413" s="2"/>
      <c r="B413" s="16"/>
      <c r="C413" s="22"/>
      <c r="D413" s="16"/>
      <c r="E413" s="21"/>
      <c r="F413" s="16"/>
      <c r="G413" s="16"/>
      <c r="H413" s="16"/>
      <c r="I413" s="16"/>
      <c r="J413" s="16"/>
      <c r="K413" s="16"/>
      <c r="L413" s="16"/>
      <c r="M413" s="16"/>
    </row>
    <row r="414" spans="1:13" x14ac:dyDescent="0.25">
      <c r="A414" s="2"/>
      <c r="B414" s="16"/>
      <c r="C414" s="22"/>
      <c r="D414" s="16"/>
      <c r="E414" s="21"/>
      <c r="F414" s="16"/>
      <c r="G414" s="16"/>
      <c r="H414" s="16"/>
      <c r="I414" s="16"/>
      <c r="J414" s="16"/>
      <c r="K414" s="16"/>
      <c r="L414" s="16"/>
      <c r="M414" s="16"/>
    </row>
    <row r="415" spans="1:13" x14ac:dyDescent="0.25">
      <c r="A415" s="2"/>
      <c r="B415" s="16"/>
      <c r="C415" s="22"/>
      <c r="D415" s="16"/>
      <c r="E415" s="21"/>
      <c r="F415" s="16"/>
      <c r="G415" s="16"/>
      <c r="H415" s="16"/>
      <c r="I415" s="16"/>
      <c r="J415" s="16"/>
      <c r="K415" s="16"/>
      <c r="L415" s="16"/>
      <c r="M415" s="16"/>
    </row>
    <row r="416" spans="1:13" x14ac:dyDescent="0.25">
      <c r="A416" s="2"/>
      <c r="B416" s="16"/>
      <c r="C416" s="22"/>
      <c r="D416" s="16"/>
      <c r="E416" s="21"/>
      <c r="F416" s="16"/>
      <c r="G416" s="16"/>
      <c r="H416" s="16"/>
      <c r="I416" s="16"/>
      <c r="J416" s="16"/>
      <c r="K416" s="16"/>
      <c r="L416" s="16"/>
      <c r="M416" s="16"/>
    </row>
    <row r="417" spans="1:13" x14ac:dyDescent="0.25">
      <c r="A417" s="2"/>
      <c r="B417" s="16"/>
      <c r="C417" s="22"/>
      <c r="D417" s="16"/>
      <c r="E417" s="21"/>
      <c r="F417" s="16"/>
      <c r="G417" s="16"/>
      <c r="H417" s="16"/>
      <c r="I417" s="16"/>
      <c r="J417" s="16"/>
      <c r="K417" s="16"/>
      <c r="L417" s="16"/>
      <c r="M417" s="16"/>
    </row>
    <row r="418" spans="1:13" x14ac:dyDescent="0.25">
      <c r="A418" s="2"/>
      <c r="B418" s="16"/>
      <c r="C418" s="22"/>
      <c r="D418" s="16"/>
      <c r="E418" s="21"/>
      <c r="F418" s="16"/>
      <c r="G418" s="16"/>
      <c r="H418" s="16"/>
      <c r="I418" s="16"/>
      <c r="J418" s="16"/>
      <c r="K418" s="16"/>
      <c r="L418" s="16"/>
      <c r="M418" s="16"/>
    </row>
    <row r="419" spans="1:13" x14ac:dyDescent="0.25">
      <c r="A419" s="2"/>
      <c r="B419" s="16"/>
      <c r="C419" s="22"/>
      <c r="D419" s="16"/>
      <c r="E419" s="21"/>
      <c r="F419" s="16"/>
      <c r="G419" s="16"/>
      <c r="H419" s="16"/>
      <c r="I419" s="16"/>
      <c r="J419" s="16"/>
      <c r="K419" s="16"/>
      <c r="L419" s="16"/>
      <c r="M419" s="16"/>
    </row>
    <row r="420" spans="1:13" x14ac:dyDescent="0.25">
      <c r="A420" s="2"/>
      <c r="B420" s="16"/>
      <c r="C420" s="22"/>
      <c r="D420" s="16"/>
      <c r="E420" s="21"/>
      <c r="F420" s="16"/>
      <c r="G420" s="16"/>
      <c r="H420" s="16"/>
      <c r="I420" s="16"/>
      <c r="J420" s="16"/>
      <c r="K420" s="16"/>
      <c r="L420" s="16"/>
      <c r="M420" s="16"/>
    </row>
    <row r="421" spans="1:13" x14ac:dyDescent="0.25">
      <c r="A421" s="2"/>
      <c r="B421" s="16"/>
      <c r="C421" s="22"/>
      <c r="D421" s="16"/>
      <c r="E421" s="21"/>
      <c r="F421" s="16"/>
      <c r="G421" s="16"/>
      <c r="H421" s="16"/>
      <c r="I421" s="16"/>
      <c r="J421" s="16"/>
      <c r="K421" s="16"/>
      <c r="L421" s="16"/>
      <c r="M421" s="16"/>
    </row>
    <row r="422" spans="1:13" x14ac:dyDescent="0.25">
      <c r="A422" s="2"/>
      <c r="B422" s="16"/>
      <c r="C422" s="22"/>
      <c r="D422" s="16"/>
      <c r="E422" s="21"/>
      <c r="F422" s="16"/>
      <c r="G422" s="16"/>
      <c r="H422" s="16"/>
      <c r="I422" s="16"/>
      <c r="J422" s="16"/>
      <c r="K422" s="16"/>
      <c r="L422" s="16"/>
      <c r="M422" s="16"/>
    </row>
    <row r="423" spans="1:13" x14ac:dyDescent="0.25">
      <c r="A423" s="2"/>
      <c r="B423" s="16"/>
      <c r="C423" s="22"/>
      <c r="D423" s="16"/>
      <c r="E423" s="21"/>
      <c r="F423" s="16"/>
      <c r="G423" s="16"/>
      <c r="H423" s="16"/>
      <c r="I423" s="16"/>
      <c r="J423" s="16"/>
      <c r="K423" s="16"/>
      <c r="L423" s="16"/>
      <c r="M423" s="16"/>
    </row>
    <row r="424" spans="1:13" x14ac:dyDescent="0.25">
      <c r="A424" s="2"/>
      <c r="B424" s="16"/>
      <c r="C424" s="22"/>
      <c r="D424" s="16"/>
      <c r="E424" s="21"/>
      <c r="F424" s="16"/>
      <c r="G424" s="16"/>
      <c r="H424" s="16"/>
      <c r="I424" s="16"/>
      <c r="J424" s="16"/>
      <c r="K424" s="16"/>
      <c r="L424" s="16"/>
      <c r="M424" s="16"/>
    </row>
    <row r="425" spans="1:13" x14ac:dyDescent="0.25">
      <c r="A425" s="2"/>
      <c r="B425" s="16"/>
      <c r="C425" s="22"/>
      <c r="D425" s="16"/>
      <c r="E425" s="21"/>
      <c r="F425" s="16"/>
      <c r="G425" s="16"/>
      <c r="H425" s="16"/>
      <c r="I425" s="16"/>
      <c r="J425" s="16"/>
      <c r="K425" s="16"/>
      <c r="L425" s="16"/>
      <c r="M425" s="16"/>
    </row>
    <row r="426" spans="1:13" x14ac:dyDescent="0.25">
      <c r="A426" s="2"/>
      <c r="B426" s="16"/>
      <c r="C426" s="22"/>
      <c r="D426" s="16"/>
      <c r="E426" s="21"/>
      <c r="F426" s="16"/>
      <c r="G426" s="16"/>
      <c r="H426" s="16"/>
      <c r="I426" s="16"/>
      <c r="J426" s="16"/>
      <c r="K426" s="16"/>
      <c r="L426" s="16"/>
      <c r="M426" s="16"/>
    </row>
    <row r="427" spans="1:13" x14ac:dyDescent="0.25">
      <c r="A427" s="2"/>
      <c r="B427" s="16"/>
      <c r="C427" s="22"/>
      <c r="D427" s="16"/>
      <c r="E427" s="21"/>
      <c r="F427" s="16"/>
      <c r="G427" s="16"/>
      <c r="H427" s="16"/>
      <c r="I427" s="16"/>
      <c r="J427" s="16"/>
      <c r="K427" s="16"/>
      <c r="L427" s="16"/>
      <c r="M427" s="16"/>
    </row>
    <row r="428" spans="1:13" x14ac:dyDescent="0.25">
      <c r="A428" s="2"/>
      <c r="B428" s="16"/>
      <c r="C428" s="22"/>
      <c r="D428" s="16"/>
      <c r="E428" s="21"/>
      <c r="F428" s="16"/>
      <c r="G428" s="16"/>
      <c r="H428" s="16"/>
      <c r="I428" s="16"/>
      <c r="J428" s="16"/>
      <c r="K428" s="16"/>
      <c r="L428" s="16"/>
      <c r="M428" s="16"/>
    </row>
    <row r="429" spans="1:13" x14ac:dyDescent="0.25">
      <c r="A429" s="2"/>
      <c r="B429" s="16"/>
      <c r="C429" s="22"/>
      <c r="D429" s="16"/>
      <c r="E429" s="21"/>
      <c r="F429" s="16"/>
      <c r="G429" s="16"/>
      <c r="H429" s="16"/>
      <c r="I429" s="16"/>
      <c r="J429" s="16"/>
      <c r="K429" s="16"/>
      <c r="L429" s="16"/>
      <c r="M429" s="16"/>
    </row>
    <row r="430" spans="1:13" x14ac:dyDescent="0.25">
      <c r="A430" s="2"/>
      <c r="B430" s="16"/>
      <c r="C430" s="22"/>
      <c r="D430" s="16"/>
      <c r="E430" s="21"/>
      <c r="F430" s="16"/>
      <c r="G430" s="16"/>
      <c r="H430" s="16"/>
      <c r="I430" s="16"/>
      <c r="J430" s="16"/>
      <c r="K430" s="16"/>
      <c r="L430" s="16"/>
      <c r="M430" s="16"/>
    </row>
    <row r="431" spans="1:13" x14ac:dyDescent="0.25">
      <c r="A431" s="2"/>
      <c r="B431" s="16"/>
      <c r="C431" s="22"/>
      <c r="D431" s="16"/>
      <c r="E431" s="21"/>
      <c r="F431" s="16"/>
      <c r="G431" s="16"/>
      <c r="H431" s="16"/>
      <c r="I431" s="16"/>
      <c r="J431" s="16"/>
      <c r="K431" s="16"/>
      <c r="L431" s="16"/>
      <c r="M431" s="16"/>
    </row>
    <row r="432" spans="1:13" x14ac:dyDescent="0.25">
      <c r="A432" s="2"/>
      <c r="B432" s="16"/>
      <c r="C432" s="22"/>
      <c r="D432" s="16"/>
      <c r="E432" s="21"/>
      <c r="F432" s="16"/>
      <c r="G432" s="16"/>
      <c r="H432" s="16"/>
      <c r="I432" s="16"/>
      <c r="J432" s="16"/>
      <c r="K432" s="16"/>
      <c r="L432" s="16"/>
      <c r="M432" s="16"/>
    </row>
    <row r="433" spans="1:13" x14ac:dyDescent="0.25">
      <c r="A433" s="2"/>
      <c r="B433" s="16"/>
      <c r="C433" s="22"/>
      <c r="D433" s="16"/>
      <c r="E433" s="21"/>
      <c r="F433" s="16"/>
      <c r="G433" s="16"/>
      <c r="H433" s="16"/>
      <c r="I433" s="16"/>
      <c r="J433" s="16"/>
      <c r="K433" s="16"/>
      <c r="L433" s="16"/>
      <c r="M433" s="16"/>
    </row>
    <row r="434" spans="1:13" x14ac:dyDescent="0.25">
      <c r="A434" s="2"/>
      <c r="B434" s="16"/>
      <c r="C434" s="22"/>
      <c r="D434" s="16"/>
      <c r="E434" s="21"/>
      <c r="F434" s="16"/>
      <c r="G434" s="16"/>
      <c r="H434" s="16"/>
      <c r="I434" s="16"/>
      <c r="J434" s="16"/>
      <c r="K434" s="16"/>
      <c r="L434" s="16"/>
      <c r="M434" s="16"/>
    </row>
    <row r="435" spans="1:13" x14ac:dyDescent="0.25">
      <c r="A435" s="2"/>
      <c r="B435" s="16"/>
      <c r="C435" s="22"/>
      <c r="D435" s="16"/>
      <c r="E435" s="21"/>
      <c r="F435" s="16"/>
      <c r="G435" s="16"/>
      <c r="H435" s="16"/>
      <c r="I435" s="16"/>
      <c r="J435" s="16"/>
      <c r="K435" s="16"/>
      <c r="L435" s="16"/>
      <c r="M435" s="16"/>
    </row>
    <row r="436" spans="1:13" x14ac:dyDescent="0.25">
      <c r="A436" s="2"/>
      <c r="B436" s="16"/>
      <c r="C436" s="22"/>
      <c r="D436" s="16"/>
      <c r="E436" s="21"/>
      <c r="F436" s="16"/>
      <c r="G436" s="16"/>
      <c r="H436" s="16"/>
      <c r="I436" s="16"/>
      <c r="J436" s="16"/>
      <c r="K436" s="16"/>
      <c r="L436" s="16"/>
      <c r="M436" s="16"/>
    </row>
    <row r="437" spans="1:13" x14ac:dyDescent="0.25">
      <c r="A437" s="2"/>
      <c r="B437" s="16"/>
      <c r="C437" s="22"/>
      <c r="D437" s="16"/>
      <c r="E437" s="21"/>
      <c r="F437" s="16"/>
      <c r="G437" s="16"/>
      <c r="H437" s="16"/>
      <c r="I437" s="16"/>
      <c r="J437" s="16"/>
      <c r="K437" s="16"/>
      <c r="L437" s="16"/>
      <c r="M437" s="16"/>
    </row>
    <row r="438" spans="1:13" x14ac:dyDescent="0.25">
      <c r="A438" s="2"/>
      <c r="B438" s="16"/>
      <c r="C438" s="22"/>
      <c r="D438" s="16"/>
      <c r="E438" s="21"/>
      <c r="F438" s="16"/>
      <c r="G438" s="16"/>
      <c r="H438" s="16"/>
      <c r="I438" s="16"/>
      <c r="J438" s="16"/>
      <c r="K438" s="16"/>
      <c r="L438" s="16"/>
      <c r="M438" s="16"/>
    </row>
    <row r="439" spans="1:13" x14ac:dyDescent="0.25">
      <c r="A439" s="2"/>
      <c r="B439" s="16"/>
      <c r="C439" s="22"/>
      <c r="D439" s="16"/>
      <c r="E439" s="21"/>
      <c r="F439" s="16"/>
      <c r="G439" s="16"/>
      <c r="H439" s="16"/>
      <c r="I439" s="16"/>
      <c r="J439" s="16"/>
      <c r="K439" s="16"/>
      <c r="L439" s="16"/>
      <c r="M439" s="16"/>
    </row>
    <row r="440" spans="1:13" x14ac:dyDescent="0.25">
      <c r="A440" s="2"/>
      <c r="B440" s="16"/>
      <c r="C440" s="22"/>
      <c r="D440" s="16"/>
      <c r="E440" s="21"/>
      <c r="F440" s="16"/>
      <c r="G440" s="16"/>
      <c r="H440" s="16"/>
      <c r="I440" s="16"/>
      <c r="J440" s="16"/>
      <c r="K440" s="16"/>
      <c r="L440" s="16"/>
      <c r="M440" s="16"/>
    </row>
    <row r="441" spans="1:13" x14ac:dyDescent="0.25">
      <c r="A441" s="2"/>
      <c r="B441" s="16"/>
      <c r="C441" s="22"/>
      <c r="D441" s="16"/>
      <c r="E441" s="21"/>
      <c r="F441" s="16"/>
      <c r="G441" s="16"/>
      <c r="H441" s="16"/>
      <c r="I441" s="16"/>
      <c r="J441" s="16"/>
      <c r="K441" s="16"/>
      <c r="L441" s="16"/>
      <c r="M441" s="16"/>
    </row>
    <row r="442" spans="1:13" x14ac:dyDescent="0.25">
      <c r="A442" s="2"/>
      <c r="B442" s="16"/>
      <c r="C442" s="22"/>
      <c r="D442" s="16"/>
      <c r="E442" s="21"/>
      <c r="F442" s="16"/>
      <c r="G442" s="16"/>
      <c r="H442" s="16"/>
      <c r="I442" s="16"/>
      <c r="J442" s="16"/>
      <c r="K442" s="16"/>
      <c r="L442" s="16"/>
      <c r="M442" s="16"/>
    </row>
    <row r="443" spans="1:13" x14ac:dyDescent="0.25">
      <c r="A443" s="2"/>
      <c r="B443" s="16"/>
      <c r="C443" s="22"/>
      <c r="D443" s="16"/>
      <c r="E443" s="21"/>
      <c r="F443" s="16"/>
      <c r="G443" s="16"/>
      <c r="H443" s="16"/>
      <c r="I443" s="16"/>
      <c r="J443" s="16"/>
      <c r="K443" s="16"/>
      <c r="L443" s="16"/>
      <c r="M443" s="16"/>
    </row>
    <row r="444" spans="1:13" x14ac:dyDescent="0.25">
      <c r="A444" s="2"/>
      <c r="B444" s="16"/>
      <c r="C444" s="22"/>
      <c r="D444" s="16"/>
      <c r="E444" s="21"/>
      <c r="F444" s="16"/>
      <c r="G444" s="16"/>
      <c r="H444" s="16"/>
      <c r="I444" s="16"/>
      <c r="J444" s="16"/>
      <c r="K444" s="16"/>
      <c r="L444" s="16"/>
      <c r="M444" s="16"/>
    </row>
    <row r="445" spans="1:13" x14ac:dyDescent="0.25">
      <c r="A445" s="2"/>
      <c r="B445" s="16"/>
      <c r="C445" s="22"/>
      <c r="D445" s="16"/>
      <c r="E445" s="21"/>
      <c r="F445" s="16"/>
      <c r="G445" s="16"/>
      <c r="H445" s="16"/>
      <c r="I445" s="16"/>
      <c r="J445" s="16"/>
      <c r="K445" s="16"/>
      <c r="L445" s="16"/>
      <c r="M445" s="16"/>
    </row>
    <row r="446" spans="1:13" x14ac:dyDescent="0.25">
      <c r="A446" s="2"/>
      <c r="B446" s="16"/>
      <c r="C446" s="22"/>
      <c r="D446" s="16"/>
      <c r="E446" s="21"/>
      <c r="F446" s="16"/>
      <c r="G446" s="16"/>
      <c r="H446" s="16"/>
      <c r="I446" s="16"/>
      <c r="J446" s="16"/>
      <c r="K446" s="16"/>
      <c r="L446" s="16"/>
      <c r="M446" s="16"/>
    </row>
    <row r="447" spans="1:13" x14ac:dyDescent="0.25">
      <c r="A447" s="2"/>
      <c r="B447" s="16"/>
      <c r="C447" s="22"/>
      <c r="D447" s="16"/>
      <c r="E447" s="21"/>
      <c r="F447" s="16"/>
      <c r="G447" s="16"/>
      <c r="H447" s="16"/>
      <c r="I447" s="16"/>
      <c r="J447" s="16"/>
      <c r="K447" s="16"/>
      <c r="L447" s="16"/>
      <c r="M447" s="16"/>
    </row>
    <row r="448" spans="1:13" x14ac:dyDescent="0.25">
      <c r="A448" s="2"/>
      <c r="B448" s="16"/>
      <c r="C448" s="22"/>
      <c r="D448" s="16"/>
      <c r="E448" s="21"/>
      <c r="F448" s="16"/>
      <c r="G448" s="16"/>
      <c r="H448" s="16"/>
      <c r="I448" s="16"/>
      <c r="J448" s="16"/>
      <c r="K448" s="16"/>
      <c r="L448" s="16"/>
      <c r="M448" s="16"/>
    </row>
    <row r="449" spans="1:13" x14ac:dyDescent="0.25">
      <c r="A449" s="2"/>
      <c r="B449" s="16"/>
      <c r="C449" s="22"/>
      <c r="D449" s="16"/>
      <c r="E449" s="21"/>
      <c r="F449" s="16"/>
      <c r="G449" s="16"/>
      <c r="H449" s="16"/>
      <c r="I449" s="16"/>
      <c r="J449" s="16"/>
      <c r="K449" s="16"/>
      <c r="L449" s="16"/>
      <c r="M449" s="16"/>
    </row>
    <row r="450" spans="1:13" x14ac:dyDescent="0.25">
      <c r="A450" s="2"/>
      <c r="B450" s="16"/>
      <c r="C450" s="22"/>
      <c r="D450" s="16"/>
      <c r="E450" s="21"/>
      <c r="F450" s="16"/>
      <c r="G450" s="16"/>
      <c r="H450" s="16"/>
      <c r="I450" s="16"/>
      <c r="J450" s="16"/>
      <c r="K450" s="16"/>
      <c r="L450" s="16"/>
      <c r="M450" s="16"/>
    </row>
    <row r="451" spans="1:13" x14ac:dyDescent="0.25">
      <c r="A451" s="2"/>
      <c r="B451" s="16"/>
      <c r="C451" s="22"/>
      <c r="D451" s="16"/>
      <c r="E451" s="21"/>
      <c r="F451" s="16"/>
      <c r="G451" s="16"/>
      <c r="H451" s="16"/>
      <c r="I451" s="16"/>
      <c r="J451" s="16"/>
      <c r="K451" s="16"/>
      <c r="L451" s="16"/>
      <c r="M451" s="16"/>
    </row>
    <row r="452" spans="1:13" x14ac:dyDescent="0.25">
      <c r="A452" s="2"/>
      <c r="B452" s="16"/>
      <c r="C452" s="22"/>
      <c r="D452" s="16"/>
      <c r="E452" s="21"/>
      <c r="F452" s="16"/>
      <c r="G452" s="16"/>
      <c r="H452" s="16"/>
      <c r="I452" s="16"/>
      <c r="J452" s="16"/>
      <c r="K452" s="16"/>
      <c r="L452" s="16"/>
      <c r="M452" s="16"/>
    </row>
    <row r="453" spans="1:13" x14ac:dyDescent="0.25">
      <c r="A453" s="2"/>
      <c r="B453" s="16"/>
      <c r="C453" s="22"/>
      <c r="D453" s="16"/>
      <c r="E453" s="21"/>
      <c r="F453" s="16"/>
      <c r="G453" s="16"/>
      <c r="H453" s="16"/>
      <c r="I453" s="16"/>
      <c r="J453" s="16"/>
      <c r="K453" s="16"/>
      <c r="L453" s="16"/>
      <c r="M453" s="16"/>
    </row>
    <row r="454" spans="1:13" x14ac:dyDescent="0.25">
      <c r="A454" s="2"/>
      <c r="B454" s="16"/>
      <c r="C454" s="22"/>
      <c r="D454" s="16"/>
      <c r="E454" s="21"/>
      <c r="F454" s="16"/>
      <c r="G454" s="16"/>
      <c r="H454" s="16"/>
      <c r="I454" s="16"/>
      <c r="J454" s="16"/>
      <c r="K454" s="16"/>
      <c r="L454" s="16"/>
      <c r="M454" s="16"/>
    </row>
    <row r="455" spans="1:13" x14ac:dyDescent="0.25">
      <c r="A455" s="2"/>
      <c r="B455" s="16"/>
      <c r="C455" s="22"/>
      <c r="D455" s="16"/>
      <c r="E455" s="21"/>
      <c r="F455" s="16"/>
      <c r="G455" s="16"/>
      <c r="H455" s="16"/>
      <c r="I455" s="16"/>
      <c r="J455" s="16"/>
      <c r="K455" s="16"/>
      <c r="L455" s="16"/>
      <c r="M455" s="16"/>
    </row>
    <row r="456" spans="1:13" x14ac:dyDescent="0.25">
      <c r="A456" s="2"/>
      <c r="B456" s="16"/>
      <c r="C456" s="22"/>
      <c r="D456" s="16"/>
      <c r="E456" s="21"/>
      <c r="F456" s="16"/>
      <c r="G456" s="16"/>
      <c r="H456" s="16"/>
      <c r="I456" s="16"/>
      <c r="J456" s="16"/>
      <c r="K456" s="16"/>
      <c r="L456" s="16"/>
      <c r="M456" s="16"/>
    </row>
    <row r="457" spans="1:13" x14ac:dyDescent="0.25">
      <c r="A457" s="2"/>
      <c r="B457" s="16"/>
      <c r="C457" s="22"/>
      <c r="D457" s="16"/>
      <c r="E457" s="21"/>
      <c r="F457" s="16"/>
      <c r="G457" s="16"/>
      <c r="H457" s="16"/>
      <c r="I457" s="16"/>
      <c r="J457" s="16"/>
      <c r="K457" s="16"/>
      <c r="L457" s="16"/>
      <c r="M457" s="16"/>
    </row>
    <row r="458" spans="1:13" x14ac:dyDescent="0.25">
      <c r="A458" s="2"/>
      <c r="B458" s="16"/>
      <c r="C458" s="22"/>
      <c r="D458" s="16"/>
      <c r="E458" s="21"/>
      <c r="F458" s="16"/>
      <c r="G458" s="16"/>
      <c r="H458" s="16"/>
      <c r="I458" s="16"/>
      <c r="J458" s="16"/>
      <c r="K458" s="16"/>
      <c r="L458" s="16"/>
      <c r="M458" s="16"/>
    </row>
    <row r="459" spans="1:13" x14ac:dyDescent="0.25">
      <c r="A459" s="2"/>
      <c r="B459" s="16"/>
      <c r="C459" s="22"/>
      <c r="D459" s="16"/>
      <c r="E459" s="21"/>
      <c r="F459" s="16"/>
      <c r="G459" s="16"/>
      <c r="H459" s="16"/>
      <c r="I459" s="16"/>
      <c r="J459" s="16"/>
      <c r="K459" s="16"/>
      <c r="L459" s="16"/>
      <c r="M459" s="16"/>
    </row>
    <row r="460" spans="1:13" x14ac:dyDescent="0.25">
      <c r="A460" s="2"/>
      <c r="B460" s="16"/>
      <c r="C460" s="22"/>
      <c r="D460" s="16"/>
      <c r="E460" s="21"/>
      <c r="F460" s="16"/>
      <c r="G460" s="16"/>
      <c r="H460" s="16"/>
      <c r="I460" s="16"/>
      <c r="J460" s="16"/>
      <c r="K460" s="16"/>
      <c r="L460" s="16"/>
      <c r="M460" s="16"/>
    </row>
    <row r="461" spans="1:13" x14ac:dyDescent="0.25">
      <c r="A461" s="2"/>
      <c r="B461" s="16"/>
      <c r="C461" s="22"/>
      <c r="D461" s="16"/>
      <c r="E461" s="21"/>
      <c r="F461" s="16"/>
      <c r="G461" s="16"/>
      <c r="H461" s="16"/>
      <c r="I461" s="16"/>
      <c r="J461" s="16"/>
      <c r="K461" s="16"/>
      <c r="L461" s="16"/>
      <c r="M461" s="16"/>
    </row>
    <row r="462" spans="1:13" x14ac:dyDescent="0.25">
      <c r="A462" s="2"/>
      <c r="B462" s="16"/>
      <c r="C462" s="22"/>
      <c r="D462" s="16"/>
      <c r="E462" s="21"/>
      <c r="F462" s="16"/>
      <c r="G462" s="16"/>
      <c r="H462" s="16"/>
      <c r="I462" s="16"/>
      <c r="J462" s="16"/>
      <c r="K462" s="16"/>
      <c r="L462" s="16"/>
      <c r="M462" s="16"/>
    </row>
    <row r="463" spans="1:13" x14ac:dyDescent="0.25">
      <c r="A463" s="2"/>
      <c r="B463" s="16"/>
      <c r="C463" s="22"/>
      <c r="D463" s="16"/>
      <c r="E463" s="21"/>
      <c r="F463" s="16"/>
      <c r="G463" s="16"/>
      <c r="H463" s="16"/>
      <c r="I463" s="16"/>
      <c r="J463" s="16"/>
      <c r="K463" s="16"/>
      <c r="L463" s="16"/>
      <c r="M463" s="16"/>
    </row>
    <row r="464" spans="1:13" x14ac:dyDescent="0.25">
      <c r="A464" s="2"/>
      <c r="B464" s="16"/>
      <c r="C464" s="22"/>
      <c r="D464" s="16"/>
      <c r="E464" s="21"/>
      <c r="F464" s="16"/>
      <c r="G464" s="16"/>
      <c r="H464" s="16"/>
      <c r="I464" s="16"/>
      <c r="J464" s="16"/>
      <c r="K464" s="16"/>
      <c r="L464" s="16"/>
      <c r="M464" s="16"/>
    </row>
    <row r="465" spans="1:13" x14ac:dyDescent="0.25">
      <c r="A465" s="2"/>
      <c r="B465" s="16"/>
      <c r="C465" s="22"/>
      <c r="D465" s="16"/>
      <c r="E465" s="21"/>
      <c r="F465" s="16"/>
      <c r="G465" s="16"/>
      <c r="H465" s="16"/>
      <c r="I465" s="16"/>
      <c r="J465" s="16"/>
      <c r="K465" s="16"/>
      <c r="L465" s="16"/>
      <c r="M465" s="16"/>
    </row>
    <row r="466" spans="1:13" x14ac:dyDescent="0.25">
      <c r="A466" s="2"/>
      <c r="B466" s="16"/>
      <c r="C466" s="22"/>
      <c r="D466" s="16"/>
      <c r="E466" s="21"/>
      <c r="F466" s="16"/>
      <c r="G466" s="16"/>
      <c r="H466" s="16"/>
      <c r="I466" s="16"/>
      <c r="J466" s="16"/>
      <c r="K466" s="16"/>
      <c r="L466" s="16"/>
      <c r="M466" s="16"/>
    </row>
    <row r="467" spans="1:13" x14ac:dyDescent="0.25">
      <c r="A467" s="2"/>
      <c r="B467" s="16"/>
      <c r="C467" s="22"/>
      <c r="D467" s="16"/>
      <c r="E467" s="21"/>
      <c r="F467" s="16"/>
      <c r="G467" s="16"/>
      <c r="H467" s="16"/>
      <c r="I467" s="16"/>
      <c r="J467" s="16"/>
      <c r="K467" s="16"/>
      <c r="L467" s="16"/>
      <c r="M467" s="16"/>
    </row>
    <row r="468" spans="1:13" x14ac:dyDescent="0.25">
      <c r="A468" s="2"/>
      <c r="B468" s="16"/>
      <c r="C468" s="22"/>
      <c r="D468" s="16"/>
      <c r="E468" s="21"/>
      <c r="F468" s="16"/>
      <c r="G468" s="16"/>
      <c r="H468" s="16"/>
      <c r="I468" s="16"/>
      <c r="J468" s="16"/>
      <c r="K468" s="16"/>
      <c r="L468" s="16"/>
      <c r="M468" s="16"/>
    </row>
    <row r="469" spans="1:13" x14ac:dyDescent="0.25">
      <c r="A469" s="2"/>
      <c r="B469" s="16"/>
      <c r="C469" s="22"/>
      <c r="D469" s="16"/>
      <c r="E469" s="21"/>
      <c r="F469" s="16"/>
      <c r="G469" s="16"/>
      <c r="H469" s="16"/>
      <c r="I469" s="16"/>
      <c r="J469" s="16"/>
      <c r="K469" s="16"/>
      <c r="L469" s="16"/>
      <c r="M469" s="16"/>
    </row>
    <row r="470" spans="1:13" x14ac:dyDescent="0.25">
      <c r="A470" s="2"/>
      <c r="B470" s="16"/>
      <c r="C470" s="22"/>
      <c r="D470" s="16"/>
      <c r="E470" s="21"/>
      <c r="F470" s="16"/>
      <c r="G470" s="16"/>
      <c r="H470" s="16"/>
      <c r="I470" s="16"/>
      <c r="J470" s="16"/>
      <c r="K470" s="16"/>
      <c r="L470" s="16"/>
      <c r="M470" s="16"/>
    </row>
    <row r="471" spans="1:13" x14ac:dyDescent="0.25">
      <c r="A471" s="2"/>
      <c r="B471" s="16"/>
      <c r="C471" s="22"/>
      <c r="D471" s="16"/>
      <c r="E471" s="21"/>
      <c r="F471" s="16"/>
      <c r="G471" s="16"/>
      <c r="H471" s="16"/>
      <c r="I471" s="16"/>
      <c r="J471" s="16"/>
      <c r="K471" s="16"/>
      <c r="L471" s="16"/>
      <c r="M471" s="16"/>
    </row>
    <row r="472" spans="1:13" x14ac:dyDescent="0.25">
      <c r="A472" s="2"/>
      <c r="B472" s="16"/>
      <c r="C472" s="22"/>
      <c r="D472" s="16"/>
      <c r="E472" s="21"/>
      <c r="F472" s="16"/>
      <c r="G472" s="16"/>
      <c r="H472" s="16"/>
      <c r="I472" s="16"/>
      <c r="J472" s="16"/>
      <c r="K472" s="16"/>
      <c r="L472" s="16"/>
      <c r="M472" s="16"/>
    </row>
    <row r="473" spans="1:13" x14ac:dyDescent="0.25">
      <c r="A473" s="2"/>
      <c r="B473" s="16"/>
      <c r="C473" s="22"/>
      <c r="D473" s="16"/>
      <c r="E473" s="21"/>
      <c r="F473" s="16"/>
      <c r="G473" s="16"/>
      <c r="H473" s="16"/>
      <c r="I473" s="16"/>
      <c r="J473" s="16"/>
      <c r="K473" s="16"/>
      <c r="L473" s="16"/>
      <c r="M473" s="16"/>
    </row>
    <row r="474" spans="1:13" x14ac:dyDescent="0.25">
      <c r="A474" s="2"/>
      <c r="B474" s="16"/>
      <c r="C474" s="22"/>
      <c r="D474" s="16"/>
      <c r="E474" s="21"/>
      <c r="F474" s="16"/>
      <c r="G474" s="16"/>
      <c r="H474" s="16"/>
      <c r="I474" s="16"/>
      <c r="J474" s="16"/>
      <c r="K474" s="16"/>
      <c r="L474" s="16"/>
      <c r="M474" s="16"/>
    </row>
    <row r="475" spans="1:13" x14ac:dyDescent="0.25">
      <c r="A475" s="2"/>
      <c r="B475" s="16"/>
      <c r="C475" s="22"/>
      <c r="D475" s="16"/>
      <c r="E475" s="21"/>
      <c r="F475" s="16"/>
      <c r="G475" s="16"/>
      <c r="H475" s="16"/>
      <c r="I475" s="16"/>
      <c r="J475" s="16"/>
      <c r="K475" s="16"/>
      <c r="L475" s="16"/>
      <c r="M475" s="16"/>
    </row>
    <row r="476" spans="1:13" x14ac:dyDescent="0.25">
      <c r="A476" s="2"/>
      <c r="B476" s="16"/>
      <c r="C476" s="22"/>
      <c r="D476" s="16"/>
      <c r="E476" s="21"/>
      <c r="F476" s="16"/>
      <c r="G476" s="16"/>
      <c r="H476" s="16"/>
      <c r="I476" s="16"/>
      <c r="J476" s="16"/>
      <c r="K476" s="16"/>
      <c r="L476" s="16"/>
      <c r="M476" s="16"/>
    </row>
    <row r="477" spans="1:13" x14ac:dyDescent="0.25">
      <c r="A477" s="2"/>
      <c r="B477" s="16"/>
      <c r="C477" s="22"/>
      <c r="D477" s="16"/>
      <c r="E477" s="21"/>
      <c r="F477" s="16"/>
      <c r="G477" s="16"/>
      <c r="H477" s="16"/>
      <c r="I477" s="16"/>
      <c r="J477" s="16"/>
      <c r="K477" s="16"/>
      <c r="L477" s="16"/>
      <c r="M477" s="16"/>
    </row>
    <row r="478" spans="1:13" x14ac:dyDescent="0.25">
      <c r="A478" s="2"/>
      <c r="B478" s="16"/>
      <c r="C478" s="22"/>
      <c r="D478" s="16"/>
      <c r="E478" s="21"/>
      <c r="F478" s="16"/>
      <c r="G478" s="16"/>
      <c r="H478" s="16"/>
      <c r="I478" s="16"/>
      <c r="J478" s="16"/>
      <c r="K478" s="16"/>
      <c r="L478" s="16"/>
      <c r="M478" s="16"/>
    </row>
    <row r="479" spans="1:13" x14ac:dyDescent="0.25">
      <c r="A479" s="2"/>
      <c r="B479" s="16"/>
      <c r="C479" s="22"/>
      <c r="D479" s="16"/>
      <c r="E479" s="21"/>
      <c r="F479" s="16"/>
      <c r="G479" s="16"/>
      <c r="H479" s="16"/>
      <c r="I479" s="16"/>
      <c r="J479" s="16"/>
      <c r="K479" s="16"/>
      <c r="L479" s="16"/>
      <c r="M479" s="16"/>
    </row>
    <row r="480" spans="1:13" x14ac:dyDescent="0.25">
      <c r="A480" s="2"/>
      <c r="B480" s="16"/>
      <c r="C480" s="22"/>
      <c r="D480" s="16"/>
      <c r="E480" s="21"/>
      <c r="F480" s="16"/>
      <c r="G480" s="16"/>
      <c r="H480" s="16"/>
      <c r="I480" s="16"/>
      <c r="J480" s="16"/>
      <c r="K480" s="16"/>
      <c r="L480" s="16"/>
      <c r="M480" s="16"/>
    </row>
    <row r="481" spans="1:13" x14ac:dyDescent="0.25">
      <c r="A481" s="2"/>
      <c r="B481" s="16"/>
      <c r="C481" s="22"/>
      <c r="D481" s="16"/>
      <c r="E481" s="21"/>
      <c r="F481" s="16"/>
      <c r="G481" s="16"/>
      <c r="H481" s="16"/>
      <c r="I481" s="16"/>
      <c r="J481" s="16"/>
      <c r="K481" s="16"/>
      <c r="L481" s="16"/>
      <c r="M481" s="16"/>
    </row>
    <row r="482" spans="1:13" x14ac:dyDescent="0.25">
      <c r="A482" s="2"/>
      <c r="B482" s="16"/>
      <c r="C482" s="22"/>
      <c r="D482" s="16"/>
      <c r="E482" s="21"/>
      <c r="F482" s="16"/>
      <c r="G482" s="16"/>
      <c r="H482" s="16"/>
      <c r="I482" s="16"/>
      <c r="J482" s="16"/>
      <c r="K482" s="16"/>
      <c r="L482" s="16"/>
      <c r="M482" s="16"/>
    </row>
    <row r="483" spans="1:13" x14ac:dyDescent="0.25">
      <c r="A483" s="2"/>
      <c r="B483" s="16"/>
      <c r="C483" s="22"/>
      <c r="D483" s="16"/>
      <c r="E483" s="21"/>
      <c r="F483" s="16"/>
      <c r="G483" s="16"/>
      <c r="H483" s="16"/>
      <c r="I483" s="16"/>
      <c r="J483" s="16"/>
      <c r="K483" s="16"/>
      <c r="L483" s="16"/>
      <c r="M483" s="16"/>
    </row>
    <row r="484" spans="1:13" x14ac:dyDescent="0.25">
      <c r="A484" s="2"/>
      <c r="B484" s="16"/>
      <c r="C484" s="22"/>
      <c r="D484" s="16"/>
      <c r="E484" s="21"/>
      <c r="F484" s="16"/>
      <c r="G484" s="16"/>
      <c r="H484" s="16"/>
      <c r="I484" s="16"/>
      <c r="J484" s="16"/>
      <c r="K484" s="16"/>
      <c r="L484" s="16"/>
      <c r="M484" s="16"/>
    </row>
    <row r="485" spans="1:13" x14ac:dyDescent="0.25">
      <c r="A485" s="2"/>
      <c r="B485" s="16"/>
      <c r="C485" s="22"/>
      <c r="D485" s="16"/>
      <c r="E485" s="21"/>
      <c r="F485" s="16"/>
      <c r="G485" s="16"/>
      <c r="H485" s="16"/>
      <c r="I485" s="16"/>
      <c r="J485" s="16"/>
      <c r="K485" s="16"/>
      <c r="L485" s="16"/>
      <c r="M485" s="16"/>
    </row>
    <row r="486" spans="1:13" x14ac:dyDescent="0.25">
      <c r="A486" s="2"/>
      <c r="B486" s="16"/>
      <c r="C486" s="22"/>
      <c r="D486" s="16"/>
      <c r="E486" s="21"/>
      <c r="F486" s="16"/>
      <c r="G486" s="16"/>
      <c r="H486" s="16"/>
      <c r="I486" s="16"/>
      <c r="J486" s="16"/>
      <c r="K486" s="16"/>
      <c r="L486" s="16"/>
      <c r="M486" s="16"/>
    </row>
    <row r="487" spans="1:13" x14ac:dyDescent="0.25">
      <c r="A487" s="2"/>
      <c r="B487" s="16"/>
      <c r="C487" s="22"/>
      <c r="D487" s="16"/>
      <c r="E487" s="21"/>
      <c r="F487" s="16"/>
      <c r="G487" s="16"/>
      <c r="H487" s="16"/>
      <c r="I487" s="16"/>
      <c r="J487" s="16"/>
      <c r="K487" s="16"/>
      <c r="L487" s="16"/>
      <c r="M487" s="16"/>
    </row>
    <row r="488" spans="1:13" x14ac:dyDescent="0.25">
      <c r="A488" s="2"/>
      <c r="B488" s="16"/>
      <c r="C488" s="22"/>
      <c r="D488" s="16"/>
      <c r="E488" s="21"/>
      <c r="F488" s="16"/>
      <c r="G488" s="16"/>
      <c r="H488" s="16"/>
      <c r="I488" s="16"/>
      <c r="J488" s="16"/>
      <c r="K488" s="16"/>
      <c r="L488" s="16"/>
      <c r="M488" s="16"/>
    </row>
    <row r="489" spans="1:13" x14ac:dyDescent="0.25">
      <c r="A489" s="2"/>
      <c r="B489" s="16"/>
      <c r="C489" s="22"/>
      <c r="D489" s="16"/>
      <c r="E489" s="21"/>
      <c r="F489" s="16"/>
      <c r="G489" s="16"/>
      <c r="H489" s="16"/>
      <c r="I489" s="16"/>
      <c r="J489" s="16"/>
      <c r="K489" s="16"/>
      <c r="L489" s="16"/>
      <c r="M489" s="16"/>
    </row>
    <row r="490" spans="1:13" x14ac:dyDescent="0.25">
      <c r="A490" s="2"/>
      <c r="B490" s="16"/>
      <c r="C490" s="22"/>
      <c r="D490" s="16"/>
      <c r="E490" s="21"/>
      <c r="F490" s="16"/>
      <c r="G490" s="16"/>
      <c r="H490" s="16"/>
      <c r="I490" s="16"/>
      <c r="J490" s="16"/>
      <c r="K490" s="16"/>
      <c r="L490" s="16"/>
      <c r="M490" s="16"/>
    </row>
    <row r="491" spans="1:13" x14ac:dyDescent="0.25">
      <c r="A491" s="2"/>
      <c r="B491" s="16"/>
      <c r="C491" s="22"/>
      <c r="D491" s="16"/>
      <c r="E491" s="21"/>
      <c r="F491" s="16"/>
      <c r="G491" s="16"/>
      <c r="H491" s="16"/>
      <c r="I491" s="16"/>
      <c r="J491" s="16"/>
      <c r="K491" s="16"/>
      <c r="L491" s="16"/>
      <c r="M491" s="16"/>
    </row>
    <row r="492" spans="1:13" x14ac:dyDescent="0.25">
      <c r="A492" s="2"/>
      <c r="B492" s="16"/>
      <c r="C492" s="22"/>
      <c r="D492" s="16"/>
      <c r="E492" s="21"/>
      <c r="F492" s="16"/>
      <c r="G492" s="16"/>
      <c r="H492" s="16"/>
      <c r="I492" s="16"/>
      <c r="J492" s="16"/>
      <c r="K492" s="16"/>
      <c r="L492" s="16"/>
      <c r="M492" s="16"/>
    </row>
    <row r="493" spans="1:13" x14ac:dyDescent="0.25">
      <c r="A493" s="2"/>
      <c r="B493" s="16"/>
      <c r="C493" s="22"/>
      <c r="D493" s="16"/>
      <c r="E493" s="21"/>
      <c r="F493" s="16"/>
      <c r="G493" s="16"/>
      <c r="H493" s="16"/>
      <c r="I493" s="16"/>
      <c r="J493" s="16"/>
      <c r="K493" s="16"/>
      <c r="L493" s="16"/>
      <c r="M493" s="16"/>
    </row>
    <row r="494" spans="1:13" x14ac:dyDescent="0.25">
      <c r="A494" s="2"/>
      <c r="B494" s="16"/>
      <c r="C494" s="22"/>
      <c r="D494" s="16"/>
      <c r="E494" s="21"/>
      <c r="F494" s="16"/>
      <c r="G494" s="16"/>
      <c r="H494" s="16"/>
      <c r="I494" s="16"/>
      <c r="J494" s="16"/>
      <c r="K494" s="16"/>
      <c r="L494" s="16"/>
      <c r="M494" s="16"/>
    </row>
    <row r="495" spans="1:13" x14ac:dyDescent="0.25">
      <c r="A495" s="2"/>
      <c r="B495" s="16"/>
      <c r="C495" s="22"/>
      <c r="D495" s="16"/>
      <c r="E495" s="21"/>
      <c r="F495" s="16"/>
      <c r="G495" s="16"/>
      <c r="H495" s="16"/>
      <c r="I495" s="16"/>
      <c r="J495" s="16"/>
      <c r="K495" s="16"/>
      <c r="L495" s="16"/>
      <c r="M495" s="16"/>
    </row>
    <row r="496" spans="1:13" x14ac:dyDescent="0.25">
      <c r="A496" s="2"/>
      <c r="B496" s="16"/>
      <c r="C496" s="22"/>
      <c r="D496" s="16"/>
      <c r="E496" s="21"/>
      <c r="F496" s="16"/>
      <c r="G496" s="16"/>
      <c r="H496" s="16"/>
      <c r="I496" s="16"/>
      <c r="J496" s="16"/>
      <c r="K496" s="16"/>
      <c r="L496" s="16"/>
      <c r="M496" s="16"/>
    </row>
    <row r="497" spans="1:13" x14ac:dyDescent="0.25">
      <c r="A497" s="2"/>
      <c r="B497" s="16"/>
      <c r="C497" s="22"/>
      <c r="D497" s="16"/>
      <c r="E497" s="21"/>
      <c r="F497" s="16"/>
      <c r="G497" s="16"/>
      <c r="H497" s="16"/>
      <c r="I497" s="16"/>
      <c r="J497" s="16"/>
      <c r="K497" s="16"/>
      <c r="L497" s="16"/>
      <c r="M497" s="16"/>
    </row>
    <row r="498" spans="1:13" x14ac:dyDescent="0.25">
      <c r="A498" s="2"/>
      <c r="B498" s="16"/>
      <c r="C498" s="22"/>
      <c r="D498" s="16"/>
      <c r="E498" s="21"/>
      <c r="F498" s="16"/>
      <c r="G498" s="16"/>
      <c r="H498" s="16"/>
      <c r="I498" s="16"/>
      <c r="J498" s="16"/>
      <c r="K498" s="16"/>
      <c r="L498" s="16"/>
      <c r="M498" s="16"/>
    </row>
    <row r="499" spans="1:13" x14ac:dyDescent="0.25">
      <c r="A499" s="2"/>
      <c r="B499" s="16"/>
      <c r="C499" s="22"/>
      <c r="D499" s="16"/>
      <c r="E499" s="21"/>
      <c r="F499" s="16"/>
      <c r="G499" s="16"/>
      <c r="H499" s="16"/>
      <c r="I499" s="16"/>
      <c r="J499" s="16"/>
      <c r="K499" s="16"/>
      <c r="L499" s="16"/>
      <c r="M499" s="16"/>
    </row>
    <row r="500" spans="1:13" x14ac:dyDescent="0.25">
      <c r="A500" s="2"/>
      <c r="B500" s="16"/>
      <c r="C500" s="22"/>
      <c r="D500" s="16"/>
      <c r="E500" s="21"/>
      <c r="F500" s="16"/>
      <c r="G500" s="16"/>
      <c r="H500" s="16"/>
      <c r="I500" s="16"/>
      <c r="J500" s="16"/>
      <c r="K500" s="16"/>
      <c r="L500" s="16"/>
      <c r="M500" s="16"/>
    </row>
    <row r="501" spans="1:13" x14ac:dyDescent="0.25">
      <c r="A501" s="2"/>
      <c r="B501" s="16"/>
      <c r="C501" s="22"/>
      <c r="D501" s="16"/>
      <c r="E501" s="21"/>
      <c r="F501" s="16"/>
      <c r="G501" s="16"/>
      <c r="H501" s="16"/>
      <c r="I501" s="16"/>
      <c r="J501" s="16"/>
      <c r="K501" s="16"/>
      <c r="L501" s="16"/>
      <c r="M501" s="16"/>
    </row>
    <row r="502" spans="1:13" x14ac:dyDescent="0.25">
      <c r="A502" s="2"/>
      <c r="B502" s="16"/>
      <c r="C502" s="22"/>
      <c r="D502" s="16"/>
      <c r="E502" s="21"/>
      <c r="F502" s="16"/>
      <c r="G502" s="16"/>
      <c r="H502" s="16"/>
      <c r="I502" s="16"/>
      <c r="J502" s="16"/>
      <c r="K502" s="16"/>
      <c r="L502" s="16"/>
      <c r="M502" s="16"/>
    </row>
    <row r="503" spans="1:13" x14ac:dyDescent="0.25">
      <c r="A503" s="2"/>
      <c r="B503" s="16"/>
      <c r="C503" s="22"/>
      <c r="D503" s="16"/>
      <c r="E503" s="21"/>
      <c r="F503" s="16"/>
      <c r="G503" s="16"/>
      <c r="H503" s="16"/>
      <c r="I503" s="16"/>
      <c r="J503" s="16"/>
      <c r="K503" s="16"/>
      <c r="L503" s="16"/>
      <c r="M503" s="16"/>
    </row>
    <row r="504" spans="1:13" x14ac:dyDescent="0.25">
      <c r="A504" s="2"/>
      <c r="B504" s="16"/>
      <c r="C504" s="22"/>
      <c r="D504" s="16"/>
      <c r="E504" s="21"/>
      <c r="F504" s="16"/>
      <c r="G504" s="16"/>
      <c r="H504" s="16"/>
      <c r="I504" s="16"/>
      <c r="J504" s="16"/>
      <c r="K504" s="16"/>
      <c r="L504" s="16"/>
      <c r="M504" s="16"/>
    </row>
    <row r="505" spans="1:13" x14ac:dyDescent="0.25">
      <c r="A505" s="2"/>
      <c r="B505" s="16"/>
      <c r="C505" s="22"/>
      <c r="D505" s="16"/>
      <c r="E505" s="21"/>
      <c r="F505" s="16"/>
      <c r="G505" s="16"/>
      <c r="H505" s="16"/>
      <c r="I505" s="16"/>
      <c r="J505" s="16"/>
      <c r="K505" s="16"/>
      <c r="L505" s="16"/>
      <c r="M505" s="16"/>
    </row>
    <row r="506" spans="1:13" x14ac:dyDescent="0.25">
      <c r="A506" s="2"/>
      <c r="B506" s="16"/>
      <c r="C506" s="22"/>
      <c r="D506" s="16"/>
      <c r="E506" s="21"/>
      <c r="F506" s="16"/>
      <c r="G506" s="16"/>
      <c r="H506" s="16"/>
      <c r="I506" s="16"/>
      <c r="J506" s="16"/>
      <c r="K506" s="16"/>
      <c r="L506" s="16"/>
      <c r="M506" s="16"/>
    </row>
    <row r="507" spans="1:13" x14ac:dyDescent="0.25">
      <c r="A507" s="2"/>
      <c r="B507" s="16"/>
      <c r="C507" s="22"/>
      <c r="D507" s="16"/>
      <c r="E507" s="21"/>
      <c r="F507" s="16"/>
      <c r="G507" s="16"/>
      <c r="H507" s="16"/>
      <c r="I507" s="16"/>
      <c r="J507" s="16"/>
      <c r="K507" s="16"/>
      <c r="L507" s="16"/>
      <c r="M507" s="16"/>
    </row>
    <row r="508" spans="1:13" x14ac:dyDescent="0.25">
      <c r="A508" s="2"/>
      <c r="B508" s="16"/>
      <c r="C508" s="22"/>
      <c r="D508" s="16"/>
      <c r="E508" s="21"/>
      <c r="F508" s="16"/>
      <c r="G508" s="16"/>
      <c r="H508" s="16"/>
      <c r="I508" s="16"/>
      <c r="J508" s="16"/>
      <c r="K508" s="16"/>
      <c r="L508" s="16"/>
      <c r="M508" s="16"/>
    </row>
    <row r="509" spans="1:13" x14ac:dyDescent="0.25">
      <c r="A509" s="2"/>
      <c r="B509" s="16"/>
      <c r="C509" s="22"/>
      <c r="D509" s="16"/>
      <c r="E509" s="21"/>
      <c r="F509" s="16"/>
      <c r="G509" s="16"/>
      <c r="H509" s="16"/>
      <c r="I509" s="16"/>
      <c r="J509" s="16"/>
      <c r="K509" s="16"/>
      <c r="L509" s="16"/>
      <c r="M509" s="16"/>
    </row>
    <row r="510" spans="1:13" x14ac:dyDescent="0.25">
      <c r="A510" s="2"/>
      <c r="B510" s="16"/>
      <c r="C510" s="22"/>
      <c r="D510" s="16"/>
      <c r="E510" s="21"/>
      <c r="F510" s="16"/>
      <c r="G510" s="16"/>
      <c r="H510" s="16"/>
      <c r="I510" s="16"/>
      <c r="J510" s="16"/>
      <c r="K510" s="16"/>
      <c r="L510" s="16"/>
      <c r="M510" s="16"/>
    </row>
    <row r="511" spans="1:13" x14ac:dyDescent="0.25">
      <c r="A511" s="2"/>
      <c r="B511" s="16"/>
      <c r="C511" s="22"/>
      <c r="D511" s="16"/>
      <c r="E511" s="21"/>
      <c r="F511" s="16"/>
      <c r="G511" s="16"/>
      <c r="H511" s="16"/>
      <c r="I511" s="16"/>
      <c r="J511" s="16"/>
      <c r="K511" s="16"/>
      <c r="L511" s="16"/>
      <c r="M511" s="16"/>
    </row>
    <row r="512" spans="1:13" x14ac:dyDescent="0.25">
      <c r="A512" s="2"/>
      <c r="B512" s="16"/>
      <c r="C512" s="22"/>
      <c r="D512" s="16"/>
      <c r="E512" s="21"/>
      <c r="F512" s="16"/>
      <c r="G512" s="16"/>
      <c r="H512" s="16"/>
      <c r="I512" s="16"/>
      <c r="J512" s="16"/>
      <c r="K512" s="16"/>
      <c r="L512" s="16"/>
      <c r="M512" s="16"/>
    </row>
    <row r="513" spans="1:13" x14ac:dyDescent="0.25">
      <c r="A513" s="2"/>
      <c r="B513" s="16"/>
      <c r="C513" s="22"/>
      <c r="D513" s="16"/>
      <c r="E513" s="21"/>
      <c r="F513" s="16"/>
      <c r="G513" s="16"/>
      <c r="H513" s="16"/>
      <c r="I513" s="16"/>
      <c r="J513" s="16"/>
      <c r="K513" s="16"/>
      <c r="L513" s="16"/>
      <c r="M513" s="16"/>
    </row>
    <row r="514" spans="1:13" x14ac:dyDescent="0.25">
      <c r="A514" s="2"/>
      <c r="B514" s="16"/>
      <c r="C514" s="22"/>
      <c r="D514" s="16"/>
      <c r="E514" s="21"/>
      <c r="F514" s="16"/>
      <c r="G514" s="16"/>
      <c r="H514" s="16"/>
      <c r="I514" s="16"/>
      <c r="J514" s="16"/>
      <c r="K514" s="16"/>
      <c r="L514" s="16"/>
      <c r="M514" s="16"/>
    </row>
    <row r="515" spans="1:13" x14ac:dyDescent="0.25">
      <c r="A515" s="2"/>
      <c r="B515" s="16"/>
      <c r="C515" s="22"/>
      <c r="D515" s="16"/>
      <c r="E515" s="21"/>
      <c r="F515" s="16"/>
      <c r="G515" s="16"/>
      <c r="H515" s="16"/>
      <c r="I515" s="16"/>
      <c r="J515" s="16"/>
      <c r="K515" s="16"/>
      <c r="L515" s="16"/>
      <c r="M515" s="16"/>
    </row>
    <row r="516" spans="1:13" x14ac:dyDescent="0.25">
      <c r="A516" s="2"/>
      <c r="B516" s="16"/>
      <c r="C516" s="22"/>
      <c r="D516" s="16"/>
      <c r="E516" s="21"/>
      <c r="F516" s="16"/>
      <c r="G516" s="16"/>
      <c r="H516" s="16"/>
      <c r="I516" s="16"/>
      <c r="J516" s="16"/>
      <c r="K516" s="16"/>
      <c r="L516" s="16"/>
      <c r="M516" s="16"/>
    </row>
    <row r="517" spans="1:13" x14ac:dyDescent="0.25">
      <c r="A517" s="2"/>
      <c r="B517" s="16"/>
      <c r="C517" s="22"/>
      <c r="D517" s="16"/>
      <c r="E517" s="21"/>
      <c r="F517" s="16"/>
      <c r="G517" s="16"/>
      <c r="H517" s="16"/>
      <c r="I517" s="16"/>
      <c r="J517" s="16"/>
      <c r="K517" s="16"/>
      <c r="L517" s="16"/>
      <c r="M517" s="16"/>
    </row>
    <row r="518" spans="1:13" x14ac:dyDescent="0.25">
      <c r="A518" s="2"/>
      <c r="B518" s="16"/>
      <c r="C518" s="22"/>
      <c r="D518" s="16"/>
      <c r="E518" s="21"/>
      <c r="F518" s="16"/>
      <c r="G518" s="16"/>
      <c r="H518" s="16"/>
      <c r="I518" s="16"/>
      <c r="J518" s="16"/>
      <c r="K518" s="16"/>
      <c r="L518" s="16"/>
      <c r="M518" s="16"/>
    </row>
    <row r="519" spans="1:13" x14ac:dyDescent="0.25">
      <c r="A519" s="2"/>
      <c r="B519" s="16"/>
      <c r="C519" s="22"/>
      <c r="D519" s="16"/>
      <c r="E519" s="21"/>
      <c r="F519" s="16"/>
      <c r="G519" s="16"/>
      <c r="H519" s="16"/>
      <c r="I519" s="16"/>
      <c r="J519" s="16"/>
      <c r="K519" s="16"/>
      <c r="L519" s="16"/>
      <c r="M519" s="16"/>
    </row>
    <row r="520" spans="1:13" x14ac:dyDescent="0.25">
      <c r="A520" s="2"/>
      <c r="B520" s="16"/>
      <c r="C520" s="22"/>
      <c r="D520" s="16"/>
      <c r="E520" s="21"/>
      <c r="F520" s="16"/>
      <c r="G520" s="16"/>
      <c r="H520" s="16"/>
      <c r="I520" s="16"/>
      <c r="J520" s="16"/>
      <c r="K520" s="16"/>
      <c r="L520" s="16"/>
      <c r="M520" s="16"/>
    </row>
    <row r="521" spans="1:13" x14ac:dyDescent="0.25">
      <c r="A521" s="2"/>
      <c r="B521" s="16"/>
      <c r="C521" s="22"/>
      <c r="D521" s="16"/>
      <c r="E521" s="21"/>
      <c r="F521" s="16"/>
      <c r="G521" s="16"/>
      <c r="H521" s="16"/>
      <c r="I521" s="16"/>
      <c r="J521" s="16"/>
      <c r="K521" s="16"/>
      <c r="L521" s="16"/>
      <c r="M521" s="16"/>
    </row>
    <row r="522" spans="1:13" x14ac:dyDescent="0.25">
      <c r="A522" s="2"/>
      <c r="B522" s="16"/>
      <c r="C522" s="22"/>
      <c r="D522" s="16"/>
      <c r="E522" s="21"/>
      <c r="F522" s="16"/>
      <c r="G522" s="16"/>
      <c r="H522" s="16"/>
      <c r="I522" s="16"/>
      <c r="J522" s="16"/>
      <c r="K522" s="16"/>
      <c r="L522" s="16"/>
      <c r="M522" s="16"/>
    </row>
    <row r="523" spans="1:13" x14ac:dyDescent="0.25">
      <c r="A523" s="2"/>
      <c r="B523" s="16"/>
      <c r="C523" s="22"/>
      <c r="D523" s="16"/>
      <c r="E523" s="21"/>
      <c r="F523" s="16"/>
      <c r="G523" s="16"/>
      <c r="H523" s="16"/>
      <c r="I523" s="16"/>
      <c r="J523" s="16"/>
      <c r="K523" s="16"/>
      <c r="L523" s="16"/>
      <c r="M523" s="16"/>
    </row>
    <row r="524" spans="1:13" x14ac:dyDescent="0.25">
      <c r="A524" s="2"/>
      <c r="B524" s="16"/>
      <c r="C524" s="22"/>
      <c r="D524" s="16"/>
      <c r="E524" s="21"/>
      <c r="F524" s="16"/>
      <c r="G524" s="16"/>
      <c r="H524" s="16"/>
      <c r="I524" s="16"/>
      <c r="J524" s="16"/>
      <c r="K524" s="16"/>
      <c r="L524" s="16"/>
      <c r="M524" s="16"/>
    </row>
    <row r="525" spans="1:13" x14ac:dyDescent="0.25">
      <c r="A525" s="2"/>
      <c r="B525" s="16"/>
      <c r="C525" s="22"/>
      <c r="D525" s="16"/>
      <c r="E525" s="21"/>
      <c r="F525" s="16"/>
      <c r="G525" s="16"/>
      <c r="H525" s="16"/>
      <c r="I525" s="16"/>
      <c r="J525" s="16"/>
      <c r="K525" s="16"/>
      <c r="L525" s="16"/>
      <c r="M525" s="16"/>
    </row>
    <row r="526" spans="1:13" x14ac:dyDescent="0.25">
      <c r="A526" s="2"/>
      <c r="B526" s="16"/>
      <c r="C526" s="22"/>
      <c r="D526" s="16"/>
      <c r="E526" s="21"/>
      <c r="F526" s="16"/>
      <c r="G526" s="16"/>
      <c r="H526" s="16"/>
      <c r="I526" s="16"/>
      <c r="J526" s="16"/>
      <c r="K526" s="16"/>
      <c r="L526" s="16"/>
      <c r="M526" s="16"/>
    </row>
    <row r="527" spans="1:13" x14ac:dyDescent="0.25">
      <c r="A527" s="2"/>
      <c r="B527" s="16"/>
      <c r="C527" s="22"/>
      <c r="D527" s="16"/>
      <c r="E527" s="21"/>
      <c r="F527" s="16"/>
      <c r="G527" s="16"/>
      <c r="H527" s="16"/>
      <c r="I527" s="16"/>
      <c r="J527" s="16"/>
      <c r="K527" s="16"/>
      <c r="L527" s="16"/>
      <c r="M527" s="16"/>
    </row>
    <row r="528" spans="1:13" x14ac:dyDescent="0.25">
      <c r="A528" s="2"/>
      <c r="B528" s="16"/>
      <c r="C528" s="22"/>
      <c r="D528" s="16"/>
      <c r="E528" s="21"/>
      <c r="F528" s="16"/>
      <c r="G528" s="16"/>
      <c r="H528" s="16"/>
      <c r="I528" s="16"/>
      <c r="J528" s="16"/>
      <c r="K528" s="16"/>
      <c r="L528" s="16"/>
      <c r="M528" s="16"/>
    </row>
    <row r="529" spans="1:13" x14ac:dyDescent="0.25">
      <c r="A529" s="2"/>
      <c r="B529" s="16"/>
      <c r="C529" s="22"/>
      <c r="D529" s="16"/>
      <c r="E529" s="21"/>
      <c r="F529" s="16"/>
      <c r="G529" s="16"/>
      <c r="H529" s="16"/>
      <c r="I529" s="16"/>
      <c r="J529" s="16"/>
      <c r="K529" s="16"/>
      <c r="L529" s="16"/>
      <c r="M529" s="16"/>
    </row>
    <row r="530" spans="1:13" x14ac:dyDescent="0.25">
      <c r="A530" s="2"/>
      <c r="B530" s="16"/>
      <c r="C530" s="22"/>
      <c r="D530" s="16"/>
      <c r="E530" s="21"/>
      <c r="F530" s="16"/>
      <c r="G530" s="16"/>
      <c r="H530" s="16"/>
      <c r="I530" s="16"/>
      <c r="J530" s="16"/>
      <c r="K530" s="16"/>
      <c r="L530" s="16"/>
      <c r="M530" s="16"/>
    </row>
    <row r="531" spans="1:13" x14ac:dyDescent="0.25">
      <c r="A531" s="2"/>
      <c r="B531" s="16"/>
      <c r="C531" s="22"/>
      <c r="D531" s="16"/>
      <c r="E531" s="21"/>
      <c r="F531" s="16"/>
      <c r="G531" s="16"/>
      <c r="H531" s="16"/>
      <c r="I531" s="16"/>
      <c r="J531" s="16"/>
      <c r="K531" s="16"/>
      <c r="L531" s="16"/>
      <c r="M531" s="16"/>
    </row>
    <row r="532" spans="1:13" x14ac:dyDescent="0.25">
      <c r="A532" s="2"/>
      <c r="B532" s="16"/>
      <c r="C532" s="22"/>
      <c r="D532" s="16"/>
      <c r="E532" s="21"/>
      <c r="F532" s="16"/>
      <c r="G532" s="16"/>
      <c r="H532" s="16"/>
      <c r="I532" s="16"/>
      <c r="J532" s="16"/>
      <c r="K532" s="16"/>
      <c r="L532" s="16"/>
      <c r="M532" s="16"/>
    </row>
    <row r="533" spans="1:13" x14ac:dyDescent="0.25">
      <c r="A533" s="2"/>
      <c r="B533" s="16"/>
      <c r="C533" s="22"/>
      <c r="D533" s="16"/>
      <c r="E533" s="21"/>
      <c r="F533" s="16"/>
      <c r="G533" s="16"/>
      <c r="H533" s="16"/>
      <c r="I533" s="16"/>
      <c r="J533" s="16"/>
      <c r="K533" s="16"/>
      <c r="L533" s="16"/>
      <c r="M533" s="16"/>
    </row>
    <row r="534" spans="1:13" x14ac:dyDescent="0.25">
      <c r="A534" s="2"/>
      <c r="B534" s="16"/>
      <c r="C534" s="22"/>
      <c r="D534" s="16"/>
      <c r="E534" s="21"/>
      <c r="F534" s="16"/>
      <c r="G534" s="16"/>
      <c r="H534" s="16"/>
      <c r="I534" s="16"/>
      <c r="J534" s="16"/>
      <c r="K534" s="16"/>
      <c r="L534" s="16"/>
      <c r="M534" s="16"/>
    </row>
    <row r="535" spans="1:13" x14ac:dyDescent="0.25">
      <c r="A535" s="2"/>
      <c r="B535" s="16"/>
      <c r="C535" s="22"/>
      <c r="D535" s="16"/>
      <c r="E535" s="21"/>
      <c r="F535" s="16"/>
      <c r="G535" s="16"/>
      <c r="H535" s="16"/>
      <c r="I535" s="16"/>
      <c r="J535" s="16"/>
      <c r="K535" s="16"/>
      <c r="L535" s="16"/>
      <c r="M535" s="16"/>
    </row>
    <row r="536" spans="1:13" x14ac:dyDescent="0.25">
      <c r="A536" s="2"/>
      <c r="B536" s="16"/>
      <c r="C536" s="22"/>
      <c r="D536" s="16"/>
      <c r="E536" s="21"/>
      <c r="F536" s="16"/>
      <c r="G536" s="16"/>
      <c r="H536" s="16"/>
      <c r="I536" s="16"/>
      <c r="J536" s="16"/>
      <c r="K536" s="16"/>
      <c r="L536" s="16"/>
      <c r="M536" s="16"/>
    </row>
    <row r="537" spans="1:13" x14ac:dyDescent="0.25">
      <c r="A537" s="2"/>
      <c r="B537" s="16"/>
      <c r="C537" s="22"/>
      <c r="D537" s="16"/>
      <c r="E537" s="21"/>
      <c r="F537" s="16"/>
      <c r="G537" s="16"/>
      <c r="H537" s="16"/>
      <c r="I537" s="16"/>
      <c r="J537" s="16"/>
      <c r="K537" s="16"/>
      <c r="L537" s="16"/>
      <c r="M537" s="16"/>
    </row>
    <row r="538" spans="1:13" x14ac:dyDescent="0.25">
      <c r="A538" s="2"/>
      <c r="B538" s="16"/>
      <c r="C538" s="22"/>
      <c r="D538" s="16"/>
      <c r="E538" s="21"/>
      <c r="F538" s="16"/>
      <c r="G538" s="16"/>
      <c r="H538" s="16"/>
      <c r="I538" s="16"/>
      <c r="J538" s="16"/>
      <c r="K538" s="16"/>
      <c r="L538" s="16"/>
      <c r="M538" s="16"/>
    </row>
    <row r="539" spans="1:13" x14ac:dyDescent="0.25">
      <c r="A539" s="2"/>
      <c r="B539" s="16"/>
      <c r="C539" s="22"/>
      <c r="D539" s="16"/>
      <c r="E539" s="21"/>
      <c r="F539" s="16"/>
      <c r="G539" s="16"/>
      <c r="H539" s="16"/>
      <c r="I539" s="16"/>
      <c r="J539" s="16"/>
      <c r="K539" s="16"/>
      <c r="L539" s="16"/>
      <c r="M539" s="16"/>
    </row>
    <row r="540" spans="1:13" x14ac:dyDescent="0.25">
      <c r="A540" s="2"/>
      <c r="B540" s="16"/>
      <c r="C540" s="22"/>
      <c r="D540" s="16"/>
      <c r="E540" s="21"/>
      <c r="F540" s="16"/>
      <c r="G540" s="16"/>
      <c r="H540" s="16"/>
      <c r="I540" s="16"/>
      <c r="J540" s="16"/>
      <c r="K540" s="16"/>
      <c r="L540" s="16"/>
      <c r="M540" s="16"/>
    </row>
    <row r="541" spans="1:13" x14ac:dyDescent="0.25">
      <c r="A541" s="2"/>
      <c r="B541" s="16"/>
      <c r="C541" s="22"/>
      <c r="D541" s="16"/>
      <c r="E541" s="21"/>
      <c r="F541" s="16"/>
      <c r="G541" s="16"/>
      <c r="H541" s="16"/>
      <c r="I541" s="16"/>
      <c r="J541" s="16"/>
      <c r="K541" s="16"/>
      <c r="L541" s="16"/>
      <c r="M541" s="16"/>
    </row>
    <row r="542" spans="1:13" x14ac:dyDescent="0.25">
      <c r="A542" s="2"/>
      <c r="B542" s="16"/>
      <c r="C542" s="22"/>
      <c r="D542" s="16"/>
      <c r="E542" s="21"/>
      <c r="F542" s="16"/>
      <c r="G542" s="16"/>
      <c r="H542" s="16"/>
      <c r="I542" s="16"/>
      <c r="J542" s="16"/>
      <c r="K542" s="16"/>
      <c r="L542" s="16"/>
      <c r="M542" s="16"/>
    </row>
    <row r="543" spans="1:13" x14ac:dyDescent="0.25">
      <c r="A543" s="2"/>
      <c r="B543" s="16"/>
      <c r="C543" s="22"/>
      <c r="D543" s="16"/>
      <c r="E543" s="21"/>
      <c r="F543" s="16"/>
      <c r="G543" s="16"/>
      <c r="H543" s="16"/>
      <c r="I543" s="16"/>
      <c r="J543" s="16"/>
      <c r="K543" s="16"/>
      <c r="L543" s="16"/>
      <c r="M543" s="16"/>
    </row>
    <row r="544" spans="1:13" x14ac:dyDescent="0.25">
      <c r="A544" s="2"/>
      <c r="B544" s="16"/>
      <c r="C544" s="22"/>
      <c r="D544" s="16"/>
      <c r="E544" s="21"/>
      <c r="F544" s="16"/>
      <c r="G544" s="16"/>
      <c r="H544" s="16"/>
      <c r="I544" s="16"/>
      <c r="J544" s="16"/>
      <c r="K544" s="16"/>
      <c r="L544" s="16"/>
      <c r="M544" s="16"/>
    </row>
    <row r="545" spans="1:13" x14ac:dyDescent="0.25">
      <c r="A545" s="2"/>
      <c r="B545" s="16"/>
      <c r="C545" s="22"/>
      <c r="D545" s="16"/>
      <c r="E545" s="21"/>
      <c r="F545" s="16"/>
      <c r="G545" s="16"/>
      <c r="H545" s="16"/>
      <c r="I545" s="16"/>
      <c r="J545" s="16"/>
      <c r="K545" s="16"/>
      <c r="L545" s="16"/>
      <c r="M545" s="16"/>
    </row>
    <row r="546" spans="1:13" x14ac:dyDescent="0.25">
      <c r="A546" s="2"/>
      <c r="B546" s="16"/>
      <c r="C546" s="22"/>
      <c r="D546" s="16"/>
      <c r="E546" s="21"/>
      <c r="F546" s="16"/>
      <c r="G546" s="16"/>
      <c r="H546" s="16"/>
      <c r="I546" s="16"/>
      <c r="J546" s="16"/>
      <c r="K546" s="16"/>
      <c r="L546" s="16"/>
      <c r="M546" s="16"/>
    </row>
    <row r="547" spans="1:13" x14ac:dyDescent="0.25">
      <c r="A547" s="2"/>
      <c r="B547" s="16"/>
      <c r="C547" s="22"/>
      <c r="D547" s="16"/>
      <c r="E547" s="21"/>
      <c r="F547" s="16"/>
      <c r="G547" s="16"/>
      <c r="H547" s="16"/>
      <c r="I547" s="16"/>
      <c r="J547" s="16"/>
      <c r="K547" s="16"/>
      <c r="L547" s="16"/>
      <c r="M547" s="16"/>
    </row>
    <row r="548" spans="1:13" x14ac:dyDescent="0.25">
      <c r="A548" s="2"/>
      <c r="B548" s="16"/>
      <c r="C548" s="22"/>
      <c r="D548" s="16"/>
      <c r="E548" s="21"/>
      <c r="F548" s="16"/>
      <c r="G548" s="16"/>
      <c r="H548" s="16"/>
      <c r="I548" s="16"/>
      <c r="J548" s="16"/>
      <c r="K548" s="16"/>
      <c r="L548" s="16"/>
      <c r="M548" s="16"/>
    </row>
    <row r="549" spans="1:13" x14ac:dyDescent="0.25">
      <c r="A549" s="2"/>
      <c r="B549" s="16"/>
      <c r="C549" s="22"/>
      <c r="D549" s="16"/>
      <c r="E549" s="21"/>
      <c r="F549" s="16"/>
      <c r="G549" s="16"/>
      <c r="H549" s="16"/>
      <c r="I549" s="16"/>
      <c r="J549" s="16"/>
      <c r="K549" s="16"/>
      <c r="L549" s="16"/>
      <c r="M549" s="16"/>
    </row>
    <row r="550" spans="1:13" x14ac:dyDescent="0.25">
      <c r="A550" s="2"/>
      <c r="B550" s="16"/>
      <c r="C550" s="22"/>
      <c r="D550" s="16"/>
      <c r="E550" s="21"/>
      <c r="F550" s="16"/>
      <c r="G550" s="16"/>
      <c r="H550" s="16"/>
      <c r="I550" s="16"/>
      <c r="J550" s="16"/>
      <c r="K550" s="16"/>
      <c r="L550" s="16"/>
      <c r="M550" s="16"/>
    </row>
    <row r="551" spans="1:13" x14ac:dyDescent="0.25">
      <c r="A551" s="2"/>
      <c r="B551" s="16"/>
      <c r="C551" s="22"/>
      <c r="D551" s="16"/>
      <c r="E551" s="21"/>
      <c r="F551" s="16"/>
      <c r="G551" s="16"/>
      <c r="H551" s="16"/>
      <c r="I551" s="16"/>
      <c r="J551" s="16"/>
      <c r="K551" s="16"/>
      <c r="L551" s="16"/>
      <c r="M551" s="16"/>
    </row>
    <row r="552" spans="1:13" x14ac:dyDescent="0.25">
      <c r="A552" s="2"/>
      <c r="B552" s="16"/>
      <c r="C552" s="22"/>
      <c r="D552" s="16"/>
      <c r="E552" s="21"/>
      <c r="F552" s="16"/>
      <c r="G552" s="16"/>
      <c r="H552" s="16"/>
      <c r="I552" s="16"/>
      <c r="J552" s="16"/>
      <c r="K552" s="16"/>
      <c r="L552" s="16"/>
      <c r="M552" s="16"/>
    </row>
    <row r="553" spans="1:13" x14ac:dyDescent="0.25">
      <c r="A553" s="2"/>
      <c r="B553" s="16"/>
      <c r="C553" s="22"/>
      <c r="D553" s="16"/>
      <c r="E553" s="21"/>
      <c r="F553" s="16"/>
      <c r="G553" s="16"/>
      <c r="H553" s="16"/>
      <c r="I553" s="16"/>
      <c r="J553" s="16"/>
      <c r="K553" s="16"/>
      <c r="L553" s="16"/>
      <c r="M553" s="16"/>
    </row>
    <row r="554" spans="1:13" x14ac:dyDescent="0.25">
      <c r="A554" s="2"/>
      <c r="B554" s="16"/>
      <c r="C554" s="22"/>
      <c r="D554" s="16"/>
      <c r="E554" s="21"/>
      <c r="F554" s="16"/>
      <c r="G554" s="16"/>
      <c r="H554" s="16"/>
      <c r="I554" s="16"/>
      <c r="J554" s="16"/>
      <c r="K554" s="16"/>
      <c r="L554" s="16"/>
      <c r="M554" s="16"/>
    </row>
    <row r="555" spans="1:13" x14ac:dyDescent="0.25">
      <c r="A555" s="2"/>
      <c r="B555" s="16"/>
      <c r="C555" s="22"/>
      <c r="D555" s="16"/>
      <c r="E555" s="21"/>
      <c r="F555" s="16"/>
      <c r="G555" s="16"/>
      <c r="H555" s="16"/>
      <c r="I555" s="16"/>
      <c r="J555" s="16"/>
      <c r="K555" s="16"/>
      <c r="L555" s="16"/>
      <c r="M555" s="16"/>
    </row>
    <row r="556" spans="1:13" x14ac:dyDescent="0.25">
      <c r="A556" s="2"/>
      <c r="B556" s="16"/>
      <c r="C556" s="22"/>
      <c r="D556" s="16"/>
      <c r="E556" s="21"/>
      <c r="F556" s="16"/>
      <c r="G556" s="16"/>
      <c r="H556" s="16"/>
      <c r="I556" s="16"/>
      <c r="J556" s="16"/>
      <c r="K556" s="16"/>
      <c r="L556" s="16"/>
      <c r="M556" s="16"/>
    </row>
    <row r="557" spans="1:13" x14ac:dyDescent="0.25">
      <c r="A557" s="2"/>
      <c r="B557" s="16"/>
      <c r="C557" s="22"/>
      <c r="D557" s="16"/>
      <c r="E557" s="21"/>
      <c r="F557" s="16"/>
      <c r="G557" s="16"/>
      <c r="H557" s="16"/>
      <c r="I557" s="16"/>
      <c r="J557" s="16"/>
      <c r="K557" s="16"/>
      <c r="L557" s="16"/>
      <c r="M557" s="16"/>
    </row>
    <row r="558" spans="1:13" x14ac:dyDescent="0.25">
      <c r="A558" s="2"/>
      <c r="B558" s="16"/>
      <c r="C558" s="22"/>
      <c r="D558" s="16"/>
      <c r="E558" s="21"/>
      <c r="F558" s="16"/>
      <c r="G558" s="16"/>
      <c r="H558" s="16"/>
      <c r="I558" s="16"/>
      <c r="J558" s="16"/>
      <c r="K558" s="16"/>
      <c r="L558" s="16"/>
      <c r="M558" s="16"/>
    </row>
    <row r="559" spans="1:13" x14ac:dyDescent="0.25">
      <c r="A559" s="2"/>
      <c r="B559" s="16"/>
      <c r="C559" s="22"/>
      <c r="D559" s="16"/>
      <c r="E559" s="21"/>
      <c r="F559" s="16"/>
      <c r="G559" s="16"/>
      <c r="H559" s="16"/>
      <c r="I559" s="16"/>
      <c r="J559" s="16"/>
      <c r="K559" s="16"/>
      <c r="L559" s="16"/>
      <c r="M559" s="16"/>
    </row>
    <row r="560" spans="1:13" x14ac:dyDescent="0.25">
      <c r="A560" s="2"/>
      <c r="B560" s="16"/>
      <c r="C560" s="22"/>
      <c r="D560" s="16"/>
      <c r="E560" s="21"/>
      <c r="F560" s="16"/>
      <c r="G560" s="16"/>
      <c r="H560" s="16"/>
      <c r="I560" s="16"/>
      <c r="J560" s="16"/>
      <c r="K560" s="16"/>
      <c r="L560" s="16"/>
      <c r="M560" s="16"/>
    </row>
    <row r="561" spans="1:13" x14ac:dyDescent="0.25">
      <c r="A561" s="2"/>
      <c r="B561" s="16"/>
      <c r="C561" s="22"/>
      <c r="D561" s="16"/>
      <c r="E561" s="21"/>
      <c r="F561" s="16"/>
      <c r="G561" s="16"/>
      <c r="H561" s="16"/>
      <c r="I561" s="16"/>
      <c r="J561" s="16"/>
      <c r="K561" s="16"/>
      <c r="L561" s="16"/>
      <c r="M561" s="16"/>
    </row>
    <row r="562" spans="1:13" x14ac:dyDescent="0.25">
      <c r="A562" s="2"/>
      <c r="B562" s="16"/>
      <c r="C562" s="22"/>
      <c r="D562" s="16"/>
      <c r="E562" s="21"/>
      <c r="F562" s="16"/>
      <c r="G562" s="16"/>
      <c r="H562" s="16"/>
      <c r="I562" s="16"/>
      <c r="J562" s="16"/>
      <c r="K562" s="16"/>
      <c r="L562" s="16"/>
      <c r="M562" s="16"/>
    </row>
    <row r="563" spans="1:13" x14ac:dyDescent="0.25">
      <c r="A563" s="2"/>
      <c r="B563" s="16"/>
      <c r="C563" s="22"/>
      <c r="D563" s="16"/>
      <c r="E563" s="21"/>
      <c r="F563" s="16"/>
      <c r="G563" s="16"/>
      <c r="H563" s="16"/>
      <c r="I563" s="16"/>
      <c r="J563" s="16"/>
      <c r="K563" s="16"/>
      <c r="L563" s="16"/>
      <c r="M563" s="16"/>
    </row>
    <row r="564" spans="1:13" x14ac:dyDescent="0.25">
      <c r="A564" s="2"/>
      <c r="B564" s="16"/>
      <c r="C564" s="22"/>
      <c r="D564" s="16"/>
      <c r="E564" s="21"/>
      <c r="F564" s="16"/>
      <c r="G564" s="16"/>
      <c r="H564" s="16"/>
      <c r="I564" s="16"/>
      <c r="J564" s="16"/>
      <c r="K564" s="16"/>
      <c r="L564" s="16"/>
      <c r="M564" s="16"/>
    </row>
    <row r="565" spans="1:13" x14ac:dyDescent="0.25">
      <c r="A565" s="2"/>
      <c r="B565" s="16"/>
      <c r="C565" s="22"/>
      <c r="D565" s="16"/>
      <c r="E565" s="21"/>
      <c r="F565" s="16"/>
      <c r="G565" s="16"/>
      <c r="H565" s="16"/>
      <c r="I565" s="16"/>
      <c r="J565" s="16"/>
      <c r="K565" s="16"/>
      <c r="L565" s="16"/>
      <c r="M565" s="16"/>
    </row>
    <row r="566" spans="1:13" x14ac:dyDescent="0.25">
      <c r="A566" s="2"/>
      <c r="B566" s="16"/>
      <c r="C566" s="22"/>
      <c r="D566" s="16"/>
      <c r="E566" s="21"/>
      <c r="F566" s="16"/>
      <c r="G566" s="16"/>
      <c r="H566" s="16"/>
      <c r="I566" s="16"/>
      <c r="J566" s="16"/>
      <c r="K566" s="16"/>
      <c r="L566" s="16"/>
      <c r="M566" s="16"/>
    </row>
    <row r="567" spans="1:13" x14ac:dyDescent="0.25">
      <c r="A567" s="2"/>
      <c r="B567" s="16"/>
      <c r="C567" s="22"/>
      <c r="D567" s="16"/>
      <c r="E567" s="21"/>
      <c r="F567" s="16"/>
      <c r="G567" s="16"/>
      <c r="H567" s="16"/>
      <c r="I567" s="16"/>
      <c r="J567" s="16"/>
      <c r="K567" s="16"/>
      <c r="L567" s="16"/>
      <c r="M567" s="16"/>
    </row>
    <row r="568" spans="1:13" x14ac:dyDescent="0.25">
      <c r="A568" s="2"/>
      <c r="B568" s="16"/>
      <c r="C568" s="22"/>
      <c r="D568" s="16"/>
      <c r="E568" s="21"/>
      <c r="F568" s="16"/>
      <c r="G568" s="16"/>
      <c r="H568" s="16"/>
      <c r="I568" s="16"/>
      <c r="J568" s="16"/>
      <c r="K568" s="16"/>
      <c r="L568" s="16"/>
      <c r="M568" s="16"/>
    </row>
    <row r="569" spans="1:13" x14ac:dyDescent="0.25">
      <c r="A569" s="2"/>
      <c r="B569" s="16"/>
      <c r="C569" s="22"/>
      <c r="D569" s="16"/>
      <c r="E569" s="21"/>
      <c r="F569" s="16"/>
      <c r="G569" s="16"/>
      <c r="H569" s="16"/>
      <c r="I569" s="16"/>
      <c r="J569" s="16"/>
      <c r="K569" s="16"/>
      <c r="L569" s="16"/>
      <c r="M569" s="16"/>
    </row>
    <row r="570" spans="1:13" x14ac:dyDescent="0.25">
      <c r="A570" s="2"/>
      <c r="B570" s="16"/>
      <c r="C570" s="22"/>
      <c r="D570" s="16"/>
      <c r="E570" s="21"/>
      <c r="F570" s="16"/>
      <c r="G570" s="16"/>
      <c r="H570" s="16"/>
      <c r="I570" s="16"/>
      <c r="J570" s="16"/>
      <c r="K570" s="16"/>
      <c r="L570" s="16"/>
      <c r="M570" s="16"/>
    </row>
    <row r="571" spans="1:13" x14ac:dyDescent="0.25">
      <c r="A571" s="2"/>
      <c r="B571" s="16"/>
      <c r="C571" s="22"/>
      <c r="D571" s="16"/>
      <c r="E571" s="21"/>
      <c r="F571" s="16"/>
      <c r="G571" s="16"/>
      <c r="H571" s="16"/>
      <c r="I571" s="16"/>
      <c r="J571" s="16"/>
      <c r="K571" s="16"/>
      <c r="L571" s="16"/>
      <c r="M571" s="16"/>
    </row>
    <row r="572" spans="1:13" x14ac:dyDescent="0.25">
      <c r="A572" s="2"/>
      <c r="B572" s="16"/>
      <c r="C572" s="22"/>
      <c r="D572" s="16"/>
      <c r="E572" s="21"/>
      <c r="F572" s="16"/>
      <c r="G572" s="16"/>
      <c r="H572" s="16"/>
      <c r="I572" s="16"/>
      <c r="J572" s="16"/>
      <c r="K572" s="16"/>
      <c r="L572" s="16"/>
      <c r="M572" s="16"/>
    </row>
    <row r="573" spans="1:13" x14ac:dyDescent="0.25">
      <c r="A573" s="2"/>
      <c r="B573" s="16"/>
      <c r="C573" s="22"/>
      <c r="D573" s="16"/>
      <c r="E573" s="21"/>
      <c r="F573" s="16"/>
      <c r="G573" s="16"/>
      <c r="H573" s="16"/>
      <c r="I573" s="16"/>
      <c r="J573" s="16"/>
      <c r="K573" s="16"/>
      <c r="L573" s="16"/>
      <c r="M573" s="16"/>
    </row>
    <row r="574" spans="1:13" x14ac:dyDescent="0.25">
      <c r="A574" s="2"/>
      <c r="B574" s="16"/>
      <c r="C574" s="22"/>
      <c r="D574" s="16"/>
      <c r="E574" s="21"/>
      <c r="F574" s="16"/>
      <c r="G574" s="16"/>
      <c r="H574" s="16"/>
      <c r="I574" s="16"/>
      <c r="J574" s="16"/>
      <c r="K574" s="16"/>
      <c r="L574" s="16"/>
      <c r="M574" s="16"/>
    </row>
    <row r="575" spans="1:13" x14ac:dyDescent="0.25">
      <c r="A575" s="2"/>
      <c r="B575" s="16"/>
      <c r="C575" s="22"/>
      <c r="D575" s="16"/>
      <c r="E575" s="21"/>
      <c r="F575" s="16"/>
      <c r="G575" s="16"/>
      <c r="H575" s="16"/>
      <c r="I575" s="16"/>
      <c r="J575" s="16"/>
      <c r="K575" s="16"/>
      <c r="L575" s="16"/>
      <c r="M575" s="16"/>
    </row>
    <row r="576" spans="1:13" x14ac:dyDescent="0.25">
      <c r="A576" s="2"/>
      <c r="B576" s="16"/>
      <c r="C576" s="22"/>
      <c r="D576" s="16"/>
      <c r="E576" s="21"/>
      <c r="F576" s="16"/>
      <c r="G576" s="16"/>
      <c r="H576" s="16"/>
      <c r="I576" s="16"/>
      <c r="J576" s="16"/>
      <c r="K576" s="16"/>
      <c r="L576" s="16"/>
      <c r="M576" s="16"/>
    </row>
    <row r="577" spans="1:13" x14ac:dyDescent="0.25">
      <c r="A577" s="2"/>
      <c r="B577" s="16"/>
      <c r="C577" s="22"/>
      <c r="D577" s="16"/>
      <c r="E577" s="21"/>
      <c r="F577" s="16"/>
      <c r="G577" s="16"/>
      <c r="H577" s="16"/>
      <c r="I577" s="16"/>
      <c r="J577" s="16"/>
      <c r="K577" s="16"/>
      <c r="L577" s="16"/>
      <c r="M577" s="16"/>
    </row>
    <row r="578" spans="1:13" x14ac:dyDescent="0.25">
      <c r="A578" s="2"/>
      <c r="B578" s="16"/>
      <c r="C578" s="22"/>
      <c r="D578" s="16"/>
      <c r="E578" s="21"/>
      <c r="F578" s="16"/>
      <c r="G578" s="16"/>
      <c r="H578" s="16"/>
      <c r="I578" s="16"/>
      <c r="J578" s="16"/>
      <c r="K578" s="16"/>
      <c r="L578" s="16"/>
      <c r="M578" s="16"/>
    </row>
    <row r="579" spans="1:13" x14ac:dyDescent="0.25">
      <c r="A579" s="2"/>
      <c r="B579" s="16"/>
      <c r="C579" s="22"/>
      <c r="D579" s="16"/>
      <c r="E579" s="21"/>
      <c r="F579" s="16"/>
      <c r="G579" s="16"/>
      <c r="H579" s="16"/>
      <c r="I579" s="16"/>
      <c r="J579" s="16"/>
      <c r="K579" s="16"/>
      <c r="L579" s="16"/>
      <c r="M579" s="16"/>
    </row>
    <row r="580" spans="1:13" x14ac:dyDescent="0.25">
      <c r="A580" s="2"/>
      <c r="B580" s="16"/>
      <c r="C580" s="22"/>
      <c r="D580" s="16"/>
      <c r="E580" s="21"/>
      <c r="F580" s="16"/>
      <c r="G580" s="16"/>
      <c r="H580" s="16"/>
      <c r="I580" s="16"/>
      <c r="J580" s="16"/>
      <c r="K580" s="16"/>
      <c r="L580" s="16"/>
      <c r="M580" s="16"/>
    </row>
    <row r="581" spans="1:13" x14ac:dyDescent="0.25">
      <c r="A581" s="2"/>
      <c r="B581" s="16"/>
      <c r="C581" s="22"/>
      <c r="D581" s="16"/>
      <c r="E581" s="21"/>
      <c r="F581" s="16"/>
      <c r="G581" s="16"/>
      <c r="H581" s="16"/>
      <c r="I581" s="16"/>
      <c r="J581" s="16"/>
      <c r="K581" s="16"/>
      <c r="L581" s="16"/>
      <c r="M581" s="16"/>
    </row>
    <row r="582" spans="1:13" x14ac:dyDescent="0.25">
      <c r="A582" s="2"/>
      <c r="B582" s="16"/>
      <c r="C582" s="22"/>
      <c r="D582" s="16"/>
      <c r="E582" s="21"/>
      <c r="F582" s="16"/>
      <c r="G582" s="16"/>
      <c r="H582" s="16"/>
      <c r="I582" s="16"/>
      <c r="J582" s="16"/>
      <c r="K582" s="16"/>
      <c r="L582" s="16"/>
      <c r="M582" s="16"/>
    </row>
    <row r="583" spans="1:13" x14ac:dyDescent="0.25">
      <c r="A583" s="2"/>
      <c r="B583" s="16"/>
      <c r="C583" s="22"/>
      <c r="D583" s="16"/>
      <c r="E583" s="21"/>
      <c r="F583" s="16"/>
      <c r="G583" s="16"/>
      <c r="H583" s="16"/>
      <c r="I583" s="16"/>
      <c r="J583" s="16"/>
      <c r="K583" s="16"/>
      <c r="L583" s="16"/>
      <c r="M583" s="16"/>
    </row>
    <row r="584" spans="1:13" x14ac:dyDescent="0.25">
      <c r="A584" s="2"/>
      <c r="B584" s="16"/>
      <c r="C584" s="22"/>
      <c r="D584" s="16"/>
      <c r="E584" s="21"/>
      <c r="F584" s="16"/>
      <c r="G584" s="16"/>
      <c r="H584" s="16"/>
      <c r="I584" s="16"/>
      <c r="J584" s="16"/>
      <c r="K584" s="16"/>
      <c r="L584" s="16"/>
      <c r="M584" s="16"/>
    </row>
    <row r="585" spans="1:13" x14ac:dyDescent="0.25">
      <c r="A585" s="2"/>
      <c r="B585" s="16"/>
      <c r="C585" s="22"/>
      <c r="D585" s="16"/>
      <c r="E585" s="21"/>
      <c r="F585" s="16"/>
      <c r="G585" s="16"/>
      <c r="H585" s="16"/>
      <c r="I585" s="16"/>
      <c r="J585" s="16"/>
      <c r="K585" s="16"/>
      <c r="L585" s="16"/>
      <c r="M585" s="16"/>
    </row>
    <row r="586" spans="1:13" x14ac:dyDescent="0.25">
      <c r="A586" s="2"/>
      <c r="B586" s="16"/>
      <c r="C586" s="22"/>
      <c r="D586" s="16"/>
      <c r="E586" s="21"/>
      <c r="F586" s="16"/>
      <c r="G586" s="16"/>
      <c r="H586" s="16"/>
      <c r="I586" s="16"/>
      <c r="J586" s="16"/>
      <c r="K586" s="16"/>
      <c r="L586" s="16"/>
      <c r="M586" s="16"/>
    </row>
    <row r="587" spans="1:13" x14ac:dyDescent="0.25">
      <c r="A587" s="2"/>
      <c r="B587" s="16"/>
      <c r="C587" s="22"/>
      <c r="D587" s="16"/>
      <c r="E587" s="21"/>
      <c r="F587" s="16"/>
      <c r="G587" s="16"/>
      <c r="H587" s="16"/>
      <c r="I587" s="16"/>
      <c r="J587" s="16"/>
      <c r="K587" s="16"/>
      <c r="L587" s="16"/>
      <c r="M587" s="16"/>
    </row>
    <row r="588" spans="1:13" x14ac:dyDescent="0.25">
      <c r="A588" s="2"/>
      <c r="B588" s="16"/>
      <c r="C588" s="22"/>
      <c r="D588" s="16"/>
      <c r="E588" s="21"/>
      <c r="F588" s="16"/>
      <c r="G588" s="16"/>
      <c r="H588" s="16"/>
      <c r="I588" s="16"/>
      <c r="J588" s="16"/>
      <c r="K588" s="16"/>
      <c r="L588" s="16"/>
      <c r="M588" s="16"/>
    </row>
    <row r="589" spans="1:13" x14ac:dyDescent="0.25">
      <c r="A589" s="2"/>
      <c r="B589" s="16"/>
      <c r="C589" s="22"/>
      <c r="D589" s="16"/>
      <c r="E589" s="21"/>
      <c r="F589" s="16"/>
      <c r="G589" s="16"/>
      <c r="H589" s="16"/>
      <c r="I589" s="16"/>
      <c r="J589" s="16"/>
      <c r="K589" s="16"/>
      <c r="L589" s="16"/>
      <c r="M589" s="16"/>
    </row>
    <row r="590" spans="1:13" x14ac:dyDescent="0.25">
      <c r="A590" s="2"/>
      <c r="B590" s="16"/>
      <c r="C590" s="22"/>
      <c r="D590" s="16"/>
      <c r="E590" s="21"/>
      <c r="F590" s="16"/>
      <c r="G590" s="16"/>
      <c r="H590" s="16"/>
      <c r="I590" s="16"/>
      <c r="J590" s="16"/>
      <c r="K590" s="16"/>
      <c r="L590" s="16"/>
      <c r="M590" s="16"/>
    </row>
    <row r="591" spans="1:13" x14ac:dyDescent="0.25">
      <c r="A591" s="2"/>
      <c r="B591" s="16"/>
      <c r="C591" s="22"/>
      <c r="D591" s="16"/>
      <c r="E591" s="21"/>
      <c r="F591" s="16"/>
      <c r="G591" s="16"/>
      <c r="H591" s="16"/>
      <c r="I591" s="16"/>
      <c r="J591" s="16"/>
      <c r="K591" s="16"/>
      <c r="L591" s="16"/>
      <c r="M591" s="16"/>
    </row>
    <row r="592" spans="1:13" x14ac:dyDescent="0.25">
      <c r="A592" s="2"/>
      <c r="B592" s="16"/>
      <c r="C592" s="22"/>
      <c r="D592" s="16"/>
      <c r="E592" s="21"/>
      <c r="F592" s="16"/>
      <c r="G592" s="16"/>
      <c r="H592" s="16"/>
      <c r="I592" s="16"/>
      <c r="J592" s="16"/>
      <c r="K592" s="16"/>
      <c r="L592" s="16"/>
      <c r="M592" s="16"/>
    </row>
    <row r="593" spans="1:13" x14ac:dyDescent="0.25">
      <c r="A593" s="2"/>
      <c r="B593" s="16"/>
      <c r="C593" s="22"/>
      <c r="D593" s="16"/>
      <c r="E593" s="21"/>
      <c r="F593" s="16"/>
      <c r="G593" s="16"/>
      <c r="H593" s="16"/>
      <c r="I593" s="16"/>
      <c r="J593" s="16"/>
      <c r="K593" s="16"/>
      <c r="L593" s="16"/>
      <c r="M593" s="16"/>
    </row>
    <row r="594" spans="1:13" x14ac:dyDescent="0.25">
      <c r="A594" s="2"/>
      <c r="B594" s="16"/>
      <c r="C594" s="22"/>
      <c r="D594" s="16"/>
      <c r="E594" s="21"/>
      <c r="F594" s="16"/>
      <c r="G594" s="16"/>
      <c r="H594" s="16"/>
      <c r="I594" s="16"/>
      <c r="J594" s="16"/>
      <c r="K594" s="16"/>
      <c r="L594" s="16"/>
      <c r="M594" s="16"/>
    </row>
    <row r="595" spans="1:13" x14ac:dyDescent="0.25">
      <c r="A595" s="2"/>
      <c r="B595" s="16"/>
      <c r="C595" s="22"/>
      <c r="D595" s="16"/>
      <c r="E595" s="21"/>
      <c r="F595" s="16"/>
      <c r="G595" s="16"/>
      <c r="H595" s="16"/>
      <c r="I595" s="16"/>
      <c r="J595" s="16"/>
      <c r="K595" s="16"/>
      <c r="L595" s="16"/>
      <c r="M595" s="16"/>
    </row>
    <row r="596" spans="1:13" x14ac:dyDescent="0.25">
      <c r="A596" s="2"/>
      <c r="B596" s="16"/>
      <c r="C596" s="22"/>
      <c r="D596" s="16"/>
      <c r="E596" s="21"/>
      <c r="F596" s="16"/>
      <c r="G596" s="16"/>
      <c r="H596" s="16"/>
      <c r="I596" s="16"/>
      <c r="J596" s="16"/>
      <c r="K596" s="16"/>
      <c r="L596" s="16"/>
      <c r="M596" s="16"/>
    </row>
    <row r="597" spans="1:13" x14ac:dyDescent="0.25">
      <c r="A597" s="2"/>
      <c r="B597" s="16"/>
      <c r="C597" s="22"/>
      <c r="D597" s="16"/>
      <c r="E597" s="21"/>
      <c r="F597" s="16"/>
      <c r="G597" s="16"/>
      <c r="H597" s="16"/>
      <c r="I597" s="16"/>
      <c r="J597" s="16"/>
      <c r="K597" s="16"/>
      <c r="L597" s="16"/>
      <c r="M597" s="16"/>
    </row>
    <row r="598" spans="1:13" x14ac:dyDescent="0.25">
      <c r="A598" s="2"/>
      <c r="B598" s="16"/>
      <c r="C598" s="22"/>
      <c r="D598" s="16"/>
      <c r="E598" s="21"/>
      <c r="F598" s="16"/>
      <c r="G598" s="16"/>
      <c r="H598" s="16"/>
      <c r="I598" s="16"/>
      <c r="J598" s="16"/>
      <c r="K598" s="16"/>
      <c r="L598" s="16"/>
      <c r="M598" s="16"/>
    </row>
    <row r="599" spans="1:13" x14ac:dyDescent="0.25">
      <c r="A599" s="2"/>
      <c r="B599" s="16"/>
      <c r="C599" s="22"/>
      <c r="D599" s="16"/>
      <c r="E599" s="21"/>
      <c r="F599" s="16"/>
      <c r="G599" s="16"/>
      <c r="H599" s="16"/>
      <c r="I599" s="16"/>
      <c r="J599" s="16"/>
      <c r="K599" s="16"/>
      <c r="L599" s="16"/>
      <c r="M599" s="16"/>
    </row>
    <row r="600" spans="1:13" x14ac:dyDescent="0.25">
      <c r="A600" s="2"/>
      <c r="B600" s="16"/>
      <c r="C600" s="22"/>
      <c r="D600" s="16"/>
      <c r="E600" s="21"/>
      <c r="F600" s="16"/>
      <c r="G600" s="16"/>
      <c r="H600" s="16"/>
      <c r="I600" s="16"/>
      <c r="J600" s="16"/>
      <c r="K600" s="16"/>
      <c r="L600" s="16"/>
      <c r="M600" s="16"/>
    </row>
    <row r="601" spans="1:13" x14ac:dyDescent="0.25">
      <c r="A601" s="2"/>
      <c r="B601" s="16"/>
      <c r="C601" s="22"/>
      <c r="D601" s="16"/>
      <c r="E601" s="21"/>
      <c r="F601" s="16"/>
      <c r="G601" s="16"/>
      <c r="H601" s="16"/>
      <c r="I601" s="16"/>
      <c r="J601" s="16"/>
      <c r="K601" s="16"/>
      <c r="L601" s="16"/>
      <c r="M601" s="16"/>
    </row>
    <row r="602" spans="1:13" x14ac:dyDescent="0.25">
      <c r="A602" s="2"/>
      <c r="B602" s="16"/>
      <c r="C602" s="22"/>
      <c r="D602" s="16"/>
      <c r="E602" s="21"/>
      <c r="F602" s="16"/>
      <c r="G602" s="16"/>
      <c r="H602" s="16"/>
      <c r="I602" s="16"/>
      <c r="J602" s="16"/>
      <c r="K602" s="16"/>
      <c r="L602" s="16"/>
      <c r="M602" s="16"/>
    </row>
    <row r="603" spans="1:13" x14ac:dyDescent="0.25">
      <c r="A603" s="2"/>
      <c r="B603" s="16"/>
      <c r="C603" s="22"/>
      <c r="D603" s="16"/>
      <c r="E603" s="21"/>
      <c r="F603" s="16"/>
      <c r="G603" s="16"/>
      <c r="H603" s="16"/>
      <c r="I603" s="16"/>
      <c r="J603" s="16"/>
      <c r="K603" s="16"/>
      <c r="L603" s="16"/>
      <c r="M603" s="16"/>
    </row>
    <row r="604" spans="1:13" x14ac:dyDescent="0.25">
      <c r="A604" s="2"/>
      <c r="B604" s="16"/>
      <c r="C604" s="22"/>
      <c r="D604" s="16"/>
      <c r="E604" s="21"/>
      <c r="F604" s="16"/>
      <c r="G604" s="16"/>
      <c r="H604" s="16"/>
      <c r="I604" s="16"/>
      <c r="J604" s="16"/>
      <c r="K604" s="16"/>
      <c r="L604" s="16"/>
      <c r="M604" s="16"/>
    </row>
    <row r="605" spans="1:13" x14ac:dyDescent="0.25">
      <c r="A605" s="2"/>
      <c r="B605" s="16"/>
      <c r="C605" s="22"/>
      <c r="D605" s="16"/>
      <c r="E605" s="21"/>
      <c r="F605" s="16"/>
      <c r="G605" s="16"/>
      <c r="H605" s="16"/>
      <c r="I605" s="16"/>
      <c r="J605" s="16"/>
      <c r="K605" s="16"/>
      <c r="L605" s="16"/>
      <c r="M605" s="16"/>
    </row>
    <row r="606" spans="1:13" x14ac:dyDescent="0.25">
      <c r="A606" s="2"/>
      <c r="B606" s="16"/>
      <c r="C606" s="22"/>
      <c r="D606" s="16"/>
      <c r="E606" s="21"/>
      <c r="F606" s="16"/>
      <c r="G606" s="16"/>
      <c r="H606" s="16"/>
      <c r="I606" s="16"/>
      <c r="J606" s="16"/>
      <c r="K606" s="16"/>
      <c r="L606" s="16"/>
      <c r="M606" s="16"/>
    </row>
    <row r="607" spans="1:13" x14ac:dyDescent="0.25">
      <c r="A607" s="2"/>
      <c r="B607" s="16"/>
      <c r="C607" s="22"/>
      <c r="D607" s="16"/>
      <c r="E607" s="21"/>
      <c r="F607" s="16"/>
      <c r="G607" s="16"/>
      <c r="H607" s="16"/>
      <c r="I607" s="16"/>
      <c r="J607" s="16"/>
      <c r="K607" s="16"/>
      <c r="L607" s="16"/>
      <c r="M607" s="16"/>
    </row>
    <row r="608" spans="1:13" x14ac:dyDescent="0.25">
      <c r="A608" s="2"/>
      <c r="B608" s="16"/>
      <c r="C608" s="22"/>
      <c r="D608" s="16"/>
      <c r="E608" s="21"/>
      <c r="F608" s="16"/>
      <c r="G608" s="16"/>
      <c r="H608" s="16"/>
      <c r="I608" s="16"/>
      <c r="J608" s="16"/>
      <c r="K608" s="16"/>
      <c r="L608" s="16"/>
      <c r="M608" s="16"/>
    </row>
    <row r="609" spans="1:13" x14ac:dyDescent="0.25">
      <c r="A609" s="2"/>
      <c r="B609" s="16"/>
      <c r="C609" s="22"/>
      <c r="D609" s="16"/>
      <c r="E609" s="21"/>
      <c r="F609" s="16"/>
      <c r="G609" s="16"/>
      <c r="H609" s="16"/>
      <c r="I609" s="16"/>
      <c r="J609" s="16"/>
      <c r="K609" s="16"/>
      <c r="L609" s="16"/>
      <c r="M609" s="16"/>
    </row>
    <row r="610" spans="1:13" x14ac:dyDescent="0.25">
      <c r="A610" s="2"/>
      <c r="B610" s="16"/>
      <c r="C610" s="22"/>
      <c r="D610" s="16"/>
      <c r="E610" s="21"/>
      <c r="F610" s="16"/>
      <c r="G610" s="16"/>
      <c r="H610" s="16"/>
      <c r="I610" s="16"/>
      <c r="J610" s="16"/>
      <c r="K610" s="16"/>
      <c r="L610" s="16"/>
      <c r="M610" s="16"/>
    </row>
    <row r="611" spans="1:13" x14ac:dyDescent="0.25">
      <c r="A611" s="2"/>
      <c r="B611" s="16"/>
      <c r="C611" s="22"/>
      <c r="D611" s="16"/>
      <c r="E611" s="21"/>
      <c r="F611" s="16"/>
      <c r="G611" s="16"/>
      <c r="H611" s="16"/>
      <c r="I611" s="16"/>
      <c r="J611" s="16"/>
      <c r="K611" s="16"/>
      <c r="L611" s="16"/>
      <c r="M611" s="16"/>
    </row>
    <row r="612" spans="1:13" x14ac:dyDescent="0.25">
      <c r="A612" s="2"/>
      <c r="B612" s="16"/>
      <c r="C612" s="22"/>
      <c r="D612" s="16"/>
      <c r="E612" s="21"/>
      <c r="F612" s="16"/>
      <c r="G612" s="16"/>
      <c r="H612" s="16"/>
      <c r="I612" s="16"/>
      <c r="J612" s="16"/>
      <c r="K612" s="16"/>
      <c r="L612" s="16"/>
      <c r="M612" s="16"/>
    </row>
    <row r="613" spans="1:13" x14ac:dyDescent="0.25">
      <c r="A613" s="2"/>
      <c r="B613" s="16"/>
      <c r="C613" s="22"/>
      <c r="D613" s="16"/>
      <c r="E613" s="21"/>
      <c r="F613" s="16"/>
      <c r="G613" s="16"/>
      <c r="H613" s="16"/>
      <c r="I613" s="16"/>
      <c r="J613" s="16"/>
      <c r="K613" s="16"/>
      <c r="L613" s="16"/>
      <c r="M613" s="16"/>
    </row>
    <row r="614" spans="1:13" x14ac:dyDescent="0.25">
      <c r="A614" s="2"/>
      <c r="B614" s="16"/>
      <c r="C614" s="22"/>
      <c r="D614" s="16"/>
      <c r="E614" s="21"/>
      <c r="F614" s="16"/>
      <c r="G614" s="16"/>
      <c r="H614" s="16"/>
      <c r="I614" s="16"/>
      <c r="J614" s="16"/>
      <c r="K614" s="16"/>
      <c r="L614" s="16"/>
      <c r="M614" s="16"/>
    </row>
    <row r="615" spans="1:13" x14ac:dyDescent="0.25">
      <c r="A615" s="2"/>
      <c r="B615" s="16"/>
      <c r="C615" s="22"/>
      <c r="D615" s="16"/>
      <c r="E615" s="21"/>
      <c r="F615" s="16"/>
      <c r="G615" s="16"/>
      <c r="H615" s="16"/>
      <c r="I615" s="16"/>
      <c r="J615" s="16"/>
      <c r="K615" s="16"/>
      <c r="L615" s="16"/>
      <c r="M615" s="16"/>
    </row>
    <row r="616" spans="1:13" x14ac:dyDescent="0.25">
      <c r="A616" s="2"/>
      <c r="B616" s="16"/>
      <c r="C616" s="22"/>
      <c r="D616" s="16"/>
      <c r="E616" s="21"/>
      <c r="F616" s="16"/>
      <c r="G616" s="16"/>
      <c r="H616" s="16"/>
      <c r="I616" s="16"/>
      <c r="J616" s="16"/>
      <c r="K616" s="16"/>
      <c r="L616" s="16"/>
      <c r="M616" s="16"/>
    </row>
    <row r="617" spans="1:13" x14ac:dyDescent="0.25">
      <c r="A617" s="2"/>
      <c r="B617" s="16"/>
      <c r="C617" s="22"/>
      <c r="D617" s="16"/>
      <c r="E617" s="21"/>
      <c r="F617" s="16"/>
      <c r="G617" s="16"/>
      <c r="H617" s="16"/>
      <c r="I617" s="16"/>
      <c r="J617" s="16"/>
      <c r="K617" s="16"/>
      <c r="L617" s="16"/>
      <c r="M617" s="16"/>
    </row>
    <row r="618" spans="1:13" x14ac:dyDescent="0.25">
      <c r="A618" s="2"/>
      <c r="B618" s="16"/>
      <c r="C618" s="22"/>
      <c r="D618" s="16"/>
      <c r="E618" s="21"/>
      <c r="F618" s="16"/>
      <c r="G618" s="16"/>
      <c r="H618" s="16"/>
      <c r="I618" s="16"/>
      <c r="J618" s="16"/>
      <c r="K618" s="16"/>
      <c r="L618" s="16"/>
      <c r="M618" s="16"/>
    </row>
    <row r="619" spans="1:13" x14ac:dyDescent="0.25">
      <c r="A619" s="2"/>
      <c r="B619" s="16"/>
      <c r="C619" s="22"/>
      <c r="D619" s="16"/>
      <c r="E619" s="21"/>
      <c r="F619" s="16"/>
      <c r="G619" s="16"/>
      <c r="H619" s="16"/>
      <c r="I619" s="16"/>
      <c r="J619" s="16"/>
      <c r="K619" s="16"/>
      <c r="L619" s="16"/>
      <c r="M619" s="16"/>
    </row>
    <row r="620" spans="1:13" x14ac:dyDescent="0.25">
      <c r="A620" s="2"/>
      <c r="B620" s="16"/>
      <c r="C620" s="22"/>
      <c r="D620" s="16"/>
      <c r="E620" s="21"/>
      <c r="F620" s="16"/>
      <c r="G620" s="16"/>
      <c r="H620" s="16"/>
      <c r="I620" s="16"/>
      <c r="J620" s="16"/>
      <c r="K620" s="16"/>
      <c r="L620" s="16"/>
      <c r="M620" s="16"/>
    </row>
    <row r="621" spans="1:13" x14ac:dyDescent="0.25">
      <c r="A621" s="2"/>
      <c r="B621" s="16"/>
      <c r="C621" s="22"/>
      <c r="D621" s="16"/>
      <c r="E621" s="21"/>
      <c r="F621" s="16"/>
      <c r="G621" s="16"/>
      <c r="H621" s="16"/>
      <c r="I621" s="16"/>
      <c r="J621" s="16"/>
      <c r="K621" s="16"/>
      <c r="L621" s="16"/>
      <c r="M621" s="16"/>
    </row>
    <row r="622" spans="1:13" x14ac:dyDescent="0.25">
      <c r="A622" s="2"/>
      <c r="B622" s="16"/>
      <c r="C622" s="22"/>
      <c r="D622" s="16"/>
      <c r="E622" s="21"/>
      <c r="F622" s="16"/>
      <c r="G622" s="16"/>
      <c r="H622" s="16"/>
      <c r="I622" s="16"/>
      <c r="J622" s="16"/>
      <c r="K622" s="16"/>
      <c r="L622" s="16"/>
      <c r="M622" s="16"/>
    </row>
    <row r="623" spans="1:13" x14ac:dyDescent="0.25">
      <c r="A623" s="2"/>
      <c r="B623" s="16"/>
      <c r="C623" s="22"/>
      <c r="D623" s="16"/>
      <c r="E623" s="21"/>
      <c r="F623" s="16"/>
      <c r="G623" s="16"/>
      <c r="H623" s="16"/>
      <c r="I623" s="16"/>
      <c r="J623" s="16"/>
      <c r="K623" s="16"/>
      <c r="L623" s="16"/>
      <c r="M623" s="16"/>
    </row>
    <row r="624" spans="1:13" x14ac:dyDescent="0.25">
      <c r="A624" s="2"/>
      <c r="B624" s="16"/>
      <c r="C624" s="22"/>
      <c r="D624" s="16"/>
      <c r="E624" s="21"/>
      <c r="F624" s="16"/>
      <c r="G624" s="16"/>
      <c r="H624" s="16"/>
      <c r="I624" s="16"/>
      <c r="J624" s="16"/>
      <c r="K624" s="16"/>
      <c r="L624" s="16"/>
      <c r="M624" s="16"/>
    </row>
    <row r="625" spans="1:13" x14ac:dyDescent="0.25">
      <c r="A625" s="2"/>
      <c r="B625" s="16"/>
      <c r="C625" s="22"/>
      <c r="D625" s="16"/>
      <c r="E625" s="21"/>
      <c r="F625" s="16"/>
      <c r="G625" s="16"/>
      <c r="H625" s="16"/>
      <c r="I625" s="16"/>
      <c r="J625" s="16"/>
      <c r="K625" s="16"/>
      <c r="L625" s="16"/>
      <c r="M625" s="16"/>
    </row>
    <row r="626" spans="1:13" x14ac:dyDescent="0.25">
      <c r="A626" s="2"/>
      <c r="B626" s="16"/>
      <c r="C626" s="22"/>
      <c r="D626" s="16"/>
      <c r="E626" s="21"/>
      <c r="F626" s="16"/>
      <c r="G626" s="16"/>
      <c r="H626" s="16"/>
      <c r="I626" s="16"/>
      <c r="J626" s="16"/>
      <c r="K626" s="16"/>
      <c r="L626" s="16"/>
      <c r="M626" s="16"/>
    </row>
    <row r="627" spans="1:13" x14ac:dyDescent="0.25">
      <c r="A627" s="2"/>
      <c r="B627" s="16"/>
      <c r="C627" s="22"/>
      <c r="D627" s="16"/>
      <c r="E627" s="21"/>
      <c r="F627" s="16"/>
      <c r="G627" s="16"/>
      <c r="H627" s="16"/>
      <c r="I627" s="16"/>
      <c r="J627" s="16"/>
      <c r="K627" s="16"/>
      <c r="L627" s="16"/>
      <c r="M627" s="16"/>
    </row>
    <row r="628" spans="1:13" x14ac:dyDescent="0.25">
      <c r="A628" s="2"/>
      <c r="B628" s="16"/>
      <c r="C628" s="22"/>
      <c r="D628" s="16"/>
      <c r="E628" s="21"/>
      <c r="F628" s="16"/>
      <c r="G628" s="16"/>
      <c r="H628" s="16"/>
      <c r="I628" s="16"/>
      <c r="J628" s="16"/>
      <c r="K628" s="16"/>
      <c r="L628" s="16"/>
      <c r="M628" s="16"/>
    </row>
    <row r="629" spans="1:13" x14ac:dyDescent="0.25">
      <c r="A629" s="2"/>
      <c r="B629" s="16"/>
      <c r="C629" s="22"/>
      <c r="D629" s="16"/>
      <c r="E629" s="21"/>
      <c r="F629" s="16"/>
      <c r="G629" s="16"/>
      <c r="H629" s="16"/>
      <c r="I629" s="16"/>
      <c r="J629" s="16"/>
      <c r="K629" s="16"/>
      <c r="L629" s="16"/>
      <c r="M629" s="16"/>
    </row>
    <row r="630" spans="1:13" x14ac:dyDescent="0.25">
      <c r="A630" s="2"/>
      <c r="B630" s="16"/>
      <c r="C630" s="22"/>
      <c r="D630" s="16"/>
      <c r="E630" s="21"/>
      <c r="F630" s="16"/>
      <c r="G630" s="16"/>
      <c r="H630" s="16"/>
      <c r="I630" s="16"/>
      <c r="J630" s="16"/>
      <c r="K630" s="16"/>
      <c r="L630" s="16"/>
      <c r="M630" s="16"/>
    </row>
    <row r="631" spans="1:13" x14ac:dyDescent="0.25">
      <c r="A631" s="2"/>
      <c r="B631" s="16"/>
      <c r="C631" s="22"/>
      <c r="D631" s="16"/>
      <c r="E631" s="21"/>
      <c r="F631" s="16"/>
      <c r="G631" s="16"/>
      <c r="H631" s="16"/>
      <c r="I631" s="16"/>
      <c r="J631" s="16"/>
      <c r="K631" s="16"/>
      <c r="L631" s="16"/>
      <c r="M631" s="16"/>
    </row>
    <row r="632" spans="1:13" x14ac:dyDescent="0.25">
      <c r="A632" s="2"/>
      <c r="B632" s="16"/>
      <c r="C632" s="22"/>
      <c r="D632" s="16"/>
      <c r="E632" s="21"/>
      <c r="F632" s="16"/>
      <c r="G632" s="16"/>
      <c r="H632" s="16"/>
      <c r="I632" s="16"/>
      <c r="J632" s="16"/>
      <c r="K632" s="16"/>
      <c r="L632" s="16"/>
      <c r="M632" s="16"/>
    </row>
    <row r="633" spans="1:13" x14ac:dyDescent="0.25">
      <c r="A633" s="2"/>
      <c r="B633" s="16"/>
      <c r="C633" s="22"/>
      <c r="D633" s="16"/>
      <c r="E633" s="21"/>
      <c r="F633" s="16"/>
      <c r="G633" s="16"/>
      <c r="H633" s="16"/>
      <c r="I633" s="16"/>
      <c r="J633" s="16"/>
      <c r="K633" s="16"/>
      <c r="L633" s="16"/>
      <c r="M633" s="16"/>
    </row>
    <row r="634" spans="1:13" x14ac:dyDescent="0.25">
      <c r="A634" s="2"/>
      <c r="B634" s="16"/>
      <c r="C634" s="22"/>
      <c r="D634" s="16"/>
      <c r="E634" s="21"/>
      <c r="F634" s="16"/>
      <c r="G634" s="16"/>
      <c r="H634" s="16"/>
      <c r="I634" s="16"/>
      <c r="J634" s="16"/>
      <c r="K634" s="16"/>
      <c r="L634" s="16"/>
      <c r="M634" s="16"/>
    </row>
    <row r="635" spans="1:13" x14ac:dyDescent="0.25">
      <c r="A635" s="2"/>
      <c r="B635" s="16"/>
      <c r="C635" s="22"/>
      <c r="D635" s="16"/>
      <c r="E635" s="21"/>
      <c r="F635" s="16"/>
      <c r="G635" s="16"/>
      <c r="H635" s="16"/>
      <c r="I635" s="16"/>
      <c r="J635" s="16"/>
      <c r="K635" s="16"/>
      <c r="L635" s="16"/>
      <c r="M635" s="16"/>
    </row>
    <row r="636" spans="1:13" x14ac:dyDescent="0.25">
      <c r="A636" s="2"/>
      <c r="B636" s="16"/>
      <c r="C636" s="22"/>
      <c r="D636" s="16"/>
      <c r="E636" s="21"/>
      <c r="F636" s="16"/>
      <c r="G636" s="16"/>
      <c r="H636" s="16"/>
      <c r="I636" s="16"/>
      <c r="J636" s="16"/>
      <c r="K636" s="16"/>
      <c r="L636" s="16"/>
      <c r="M636" s="16"/>
    </row>
    <row r="637" spans="1:13" x14ac:dyDescent="0.25">
      <c r="A637" s="2"/>
      <c r="B637" s="16"/>
      <c r="C637" s="22"/>
      <c r="D637" s="16"/>
      <c r="E637" s="21"/>
      <c r="F637" s="16"/>
      <c r="G637" s="16"/>
      <c r="H637" s="16"/>
      <c r="I637" s="16"/>
      <c r="J637" s="16"/>
      <c r="K637" s="16"/>
      <c r="L637" s="16"/>
      <c r="M637" s="16"/>
    </row>
    <row r="638" spans="1:13" x14ac:dyDescent="0.25">
      <c r="A638" s="2"/>
      <c r="B638" s="16"/>
      <c r="C638" s="22"/>
      <c r="D638" s="16"/>
      <c r="E638" s="21"/>
      <c r="F638" s="16"/>
      <c r="G638" s="16"/>
      <c r="H638" s="16"/>
      <c r="I638" s="16"/>
      <c r="J638" s="16"/>
      <c r="K638" s="16"/>
      <c r="L638" s="16"/>
      <c r="M638" s="16"/>
    </row>
    <row r="639" spans="1:13" x14ac:dyDescent="0.25">
      <c r="A639" s="2"/>
      <c r="B639" s="16"/>
      <c r="C639" s="22"/>
      <c r="D639" s="16"/>
      <c r="E639" s="21"/>
      <c r="F639" s="16"/>
      <c r="G639" s="16"/>
      <c r="H639" s="16"/>
      <c r="I639" s="16"/>
      <c r="J639" s="16"/>
      <c r="K639" s="16"/>
      <c r="L639" s="16"/>
      <c r="M639" s="16"/>
    </row>
    <row r="640" spans="1:13" x14ac:dyDescent="0.25">
      <c r="A640" s="2"/>
      <c r="B640" s="16"/>
      <c r="C640" s="22"/>
      <c r="D640" s="16"/>
      <c r="E640" s="21"/>
      <c r="F640" s="16"/>
      <c r="G640" s="16"/>
      <c r="H640" s="16"/>
      <c r="I640" s="16"/>
      <c r="J640" s="16"/>
      <c r="K640" s="16"/>
      <c r="L640" s="16"/>
      <c r="M640" s="16"/>
    </row>
    <row r="641" spans="1:13" x14ac:dyDescent="0.25">
      <c r="A641" s="2"/>
      <c r="B641" s="16"/>
      <c r="C641" s="22"/>
      <c r="D641" s="16"/>
      <c r="E641" s="21"/>
      <c r="F641" s="16"/>
      <c r="G641" s="16"/>
      <c r="H641" s="16"/>
      <c r="I641" s="16"/>
      <c r="J641" s="16"/>
      <c r="K641" s="16"/>
      <c r="L641" s="16"/>
      <c r="M641" s="16"/>
    </row>
    <row r="642" spans="1:13" x14ac:dyDescent="0.25">
      <c r="A642" s="2"/>
      <c r="B642" s="16"/>
      <c r="C642" s="22"/>
      <c r="D642" s="16"/>
      <c r="E642" s="21"/>
      <c r="F642" s="16"/>
      <c r="G642" s="16"/>
      <c r="H642" s="16"/>
      <c r="I642" s="16"/>
      <c r="J642" s="16"/>
      <c r="K642" s="16"/>
      <c r="L642" s="16"/>
      <c r="M642" s="16"/>
    </row>
    <row r="643" spans="1:13" x14ac:dyDescent="0.25">
      <c r="A643" s="2"/>
      <c r="B643" s="16"/>
      <c r="C643" s="22"/>
      <c r="D643" s="16"/>
      <c r="E643" s="21"/>
      <c r="F643" s="16"/>
      <c r="G643" s="16"/>
      <c r="H643" s="16"/>
      <c r="I643" s="16"/>
      <c r="J643" s="16"/>
      <c r="K643" s="16"/>
      <c r="L643" s="16"/>
      <c r="M643" s="16"/>
    </row>
    <row r="644" spans="1:13" x14ac:dyDescent="0.25">
      <c r="A644" s="2"/>
      <c r="B644" s="16"/>
      <c r="C644" s="22"/>
      <c r="D644" s="16"/>
      <c r="E644" s="21"/>
      <c r="F644" s="16"/>
      <c r="G644" s="16"/>
      <c r="H644" s="16"/>
      <c r="I644" s="16"/>
      <c r="J644" s="16"/>
      <c r="K644" s="16"/>
      <c r="L644" s="16"/>
      <c r="M644" s="16"/>
    </row>
    <row r="645" spans="1:13" x14ac:dyDescent="0.25">
      <c r="A645" s="2"/>
      <c r="B645" s="16"/>
      <c r="C645" s="22"/>
      <c r="D645" s="16"/>
      <c r="E645" s="21"/>
      <c r="F645" s="16"/>
      <c r="G645" s="16"/>
      <c r="H645" s="16"/>
      <c r="I645" s="16"/>
      <c r="J645" s="16"/>
      <c r="K645" s="16"/>
      <c r="L645" s="16"/>
      <c r="M645" s="16"/>
    </row>
    <row r="646" spans="1:13" x14ac:dyDescent="0.25">
      <c r="A646" s="2"/>
      <c r="B646" s="16"/>
      <c r="C646" s="22"/>
      <c r="D646" s="16"/>
      <c r="E646" s="21"/>
      <c r="F646" s="16"/>
      <c r="G646" s="16"/>
      <c r="H646" s="16"/>
      <c r="I646" s="16"/>
      <c r="J646" s="16"/>
      <c r="K646" s="16"/>
      <c r="L646" s="16"/>
      <c r="M646" s="16"/>
    </row>
    <row r="647" spans="1:13" x14ac:dyDescent="0.25">
      <c r="A647" s="2"/>
      <c r="B647" s="16"/>
      <c r="C647" s="22"/>
      <c r="D647" s="16"/>
      <c r="E647" s="21"/>
      <c r="F647" s="16"/>
      <c r="G647" s="16"/>
      <c r="H647" s="16"/>
      <c r="I647" s="16"/>
      <c r="J647" s="16"/>
      <c r="K647" s="16"/>
      <c r="L647" s="16"/>
      <c r="M647" s="16"/>
    </row>
    <row r="648" spans="1:13" x14ac:dyDescent="0.25">
      <c r="A648" s="2"/>
      <c r="B648" s="16"/>
      <c r="C648" s="22"/>
      <c r="D648" s="16"/>
      <c r="E648" s="21"/>
      <c r="F648" s="16"/>
      <c r="G648" s="16"/>
      <c r="H648" s="16"/>
      <c r="I648" s="16"/>
      <c r="J648" s="16"/>
      <c r="K648" s="16"/>
      <c r="L648" s="16"/>
      <c r="M648" s="16"/>
    </row>
    <row r="649" spans="1:13" x14ac:dyDescent="0.25">
      <c r="A649" s="2"/>
      <c r="B649" s="16"/>
      <c r="C649" s="22"/>
      <c r="D649" s="16"/>
      <c r="E649" s="21"/>
      <c r="F649" s="16"/>
      <c r="G649" s="16"/>
      <c r="H649" s="16"/>
      <c r="I649" s="16"/>
      <c r="J649" s="16"/>
      <c r="K649" s="16"/>
      <c r="L649" s="16"/>
      <c r="M649" s="16"/>
    </row>
    <row r="650" spans="1:13" x14ac:dyDescent="0.25">
      <c r="A650" s="2"/>
      <c r="B650" s="16"/>
      <c r="C650" s="22"/>
      <c r="D650" s="16"/>
      <c r="E650" s="21"/>
      <c r="F650" s="16"/>
      <c r="G650" s="16"/>
      <c r="H650" s="16"/>
      <c r="I650" s="16"/>
      <c r="J650" s="16"/>
      <c r="K650" s="16"/>
      <c r="L650" s="16"/>
      <c r="M650" s="16"/>
    </row>
    <row r="651" spans="1:13" x14ac:dyDescent="0.25">
      <c r="A651" s="2"/>
      <c r="B651" s="16"/>
      <c r="C651" s="22"/>
      <c r="D651" s="16"/>
      <c r="E651" s="21"/>
      <c r="F651" s="16"/>
      <c r="G651" s="16"/>
      <c r="H651" s="16"/>
      <c r="I651" s="16"/>
      <c r="J651" s="16"/>
      <c r="K651" s="16"/>
      <c r="L651" s="16"/>
      <c r="M651" s="16"/>
    </row>
    <row r="652" spans="1:13" x14ac:dyDescent="0.25">
      <c r="A652" s="2"/>
      <c r="B652" s="16"/>
      <c r="C652" s="22"/>
      <c r="D652" s="16"/>
      <c r="E652" s="21"/>
      <c r="F652" s="16"/>
      <c r="G652" s="16"/>
      <c r="H652" s="16"/>
      <c r="I652" s="16"/>
      <c r="J652" s="16"/>
      <c r="K652" s="16"/>
      <c r="L652" s="16"/>
      <c r="M652" s="16"/>
    </row>
    <row r="653" spans="1:13" x14ac:dyDescent="0.25">
      <c r="A653" s="2"/>
      <c r="B653" s="16"/>
      <c r="C653" s="22"/>
      <c r="D653" s="16"/>
      <c r="E653" s="21"/>
      <c r="F653" s="16"/>
      <c r="G653" s="16"/>
      <c r="H653" s="16"/>
      <c r="I653" s="16"/>
      <c r="J653" s="16"/>
      <c r="K653" s="16"/>
      <c r="L653" s="16"/>
      <c r="M653" s="16"/>
    </row>
    <row r="654" spans="1:13" x14ac:dyDescent="0.25">
      <c r="A654" s="2"/>
      <c r="B654" s="16"/>
      <c r="C654" s="22"/>
      <c r="D654" s="16"/>
      <c r="E654" s="21"/>
      <c r="F654" s="16"/>
      <c r="G654" s="16"/>
      <c r="H654" s="16"/>
      <c r="I654" s="16"/>
      <c r="J654" s="16"/>
      <c r="K654" s="16"/>
      <c r="L654" s="16"/>
      <c r="M654" s="16"/>
    </row>
    <row r="655" spans="1:13" x14ac:dyDescent="0.25">
      <c r="A655" s="2"/>
      <c r="B655" s="16"/>
      <c r="C655" s="22"/>
      <c r="D655" s="16"/>
      <c r="E655" s="21"/>
      <c r="F655" s="16"/>
      <c r="G655" s="16"/>
      <c r="H655" s="16"/>
      <c r="I655" s="16"/>
      <c r="J655" s="16"/>
      <c r="K655" s="16"/>
      <c r="L655" s="16"/>
      <c r="M655" s="16"/>
    </row>
    <row r="656" spans="1:13" x14ac:dyDescent="0.25">
      <c r="A656" s="2"/>
      <c r="B656" s="16"/>
      <c r="C656" s="22"/>
      <c r="D656" s="16"/>
      <c r="E656" s="21"/>
      <c r="F656" s="16"/>
      <c r="G656" s="16"/>
      <c r="H656" s="16"/>
      <c r="I656" s="16"/>
      <c r="J656" s="16"/>
      <c r="K656" s="16"/>
      <c r="L656" s="16"/>
      <c r="M656" s="16"/>
    </row>
    <row r="657" spans="1:13" x14ac:dyDescent="0.25">
      <c r="A657" s="2"/>
      <c r="B657" s="16"/>
      <c r="C657" s="22"/>
      <c r="D657" s="16"/>
      <c r="E657" s="21"/>
      <c r="F657" s="16"/>
      <c r="G657" s="16"/>
      <c r="H657" s="16"/>
      <c r="I657" s="16"/>
      <c r="J657" s="16"/>
      <c r="K657" s="16"/>
      <c r="L657" s="16"/>
      <c r="M657" s="16"/>
    </row>
    <row r="658" spans="1:13" x14ac:dyDescent="0.25">
      <c r="A658" s="2"/>
      <c r="B658" s="16"/>
      <c r="C658" s="22"/>
      <c r="D658" s="16"/>
      <c r="E658" s="21"/>
      <c r="F658" s="16"/>
      <c r="G658" s="16"/>
      <c r="H658" s="16"/>
      <c r="I658" s="16"/>
      <c r="J658" s="16"/>
      <c r="K658" s="16"/>
      <c r="L658" s="16"/>
      <c r="M658" s="16"/>
    </row>
    <row r="659" spans="1:13" x14ac:dyDescent="0.25">
      <c r="A659" s="2"/>
      <c r="B659" s="16"/>
      <c r="C659" s="22"/>
      <c r="D659" s="16"/>
      <c r="E659" s="21"/>
      <c r="F659" s="16"/>
      <c r="G659" s="16"/>
      <c r="H659" s="16"/>
      <c r="I659" s="16"/>
      <c r="J659" s="16"/>
      <c r="K659" s="16"/>
      <c r="L659" s="16"/>
      <c r="M659" s="16"/>
    </row>
    <row r="660" spans="1:13" x14ac:dyDescent="0.25">
      <c r="A660" s="2"/>
      <c r="B660" s="16"/>
      <c r="C660" s="22"/>
      <c r="D660" s="16"/>
      <c r="E660" s="21"/>
      <c r="F660" s="16"/>
      <c r="G660" s="16"/>
      <c r="H660" s="16"/>
      <c r="I660" s="16"/>
      <c r="J660" s="16"/>
      <c r="K660" s="16"/>
      <c r="L660" s="16"/>
      <c r="M660" s="16"/>
    </row>
    <row r="661" spans="1:13" x14ac:dyDescent="0.25">
      <c r="A661" s="2"/>
      <c r="B661" s="16"/>
      <c r="C661" s="22"/>
      <c r="D661" s="16"/>
      <c r="E661" s="21"/>
      <c r="F661" s="16"/>
      <c r="G661" s="16"/>
      <c r="H661" s="16"/>
      <c r="I661" s="16"/>
      <c r="J661" s="16"/>
      <c r="K661" s="16"/>
      <c r="L661" s="16"/>
      <c r="M661" s="16"/>
    </row>
    <row r="662" spans="1:13" x14ac:dyDescent="0.25">
      <c r="A662" s="2"/>
      <c r="B662" s="16"/>
      <c r="C662" s="22"/>
      <c r="D662" s="16"/>
      <c r="E662" s="21"/>
      <c r="F662" s="16"/>
      <c r="G662" s="16"/>
      <c r="H662" s="16"/>
      <c r="I662" s="16"/>
      <c r="J662" s="16"/>
      <c r="K662" s="16"/>
      <c r="L662" s="16"/>
      <c r="M662" s="16"/>
    </row>
    <row r="663" spans="1:13" x14ac:dyDescent="0.25">
      <c r="A663" s="2"/>
      <c r="B663" s="16"/>
      <c r="C663" s="22"/>
      <c r="D663" s="16"/>
      <c r="E663" s="21"/>
      <c r="F663" s="16"/>
      <c r="G663" s="16"/>
      <c r="H663" s="16"/>
      <c r="I663" s="16"/>
      <c r="J663" s="16"/>
      <c r="K663" s="16"/>
      <c r="L663" s="16"/>
      <c r="M663" s="16"/>
    </row>
    <row r="664" spans="1:13" x14ac:dyDescent="0.25">
      <c r="A664" s="2"/>
      <c r="B664" s="16"/>
      <c r="C664" s="22"/>
      <c r="D664" s="16"/>
      <c r="E664" s="21"/>
      <c r="F664" s="16"/>
      <c r="G664" s="16"/>
      <c r="H664" s="16"/>
      <c r="I664" s="16"/>
      <c r="J664" s="16"/>
      <c r="K664" s="16"/>
      <c r="L664" s="16"/>
      <c r="M664" s="16"/>
    </row>
    <row r="665" spans="1:13" x14ac:dyDescent="0.25">
      <c r="A665" s="2"/>
      <c r="B665" s="16"/>
      <c r="C665" s="22"/>
      <c r="D665" s="16"/>
      <c r="E665" s="21"/>
      <c r="F665" s="16"/>
      <c r="G665" s="16"/>
      <c r="H665" s="16"/>
      <c r="I665" s="16"/>
      <c r="J665" s="16"/>
      <c r="K665" s="16"/>
      <c r="L665" s="16"/>
      <c r="M665" s="16"/>
    </row>
    <row r="666" spans="1:13" x14ac:dyDescent="0.25">
      <c r="A666" s="2"/>
      <c r="B666" s="16"/>
      <c r="C666" s="22"/>
      <c r="D666" s="16"/>
      <c r="E666" s="21"/>
      <c r="F666" s="16"/>
      <c r="G666" s="16"/>
      <c r="H666" s="16"/>
      <c r="I666" s="16"/>
      <c r="J666" s="16"/>
      <c r="K666" s="16"/>
      <c r="L666" s="16"/>
      <c r="M666" s="16"/>
    </row>
    <row r="667" spans="1:13" x14ac:dyDescent="0.25">
      <c r="A667" s="2"/>
      <c r="B667" s="16"/>
      <c r="C667" s="22"/>
      <c r="D667" s="16"/>
      <c r="E667" s="21"/>
      <c r="F667" s="16"/>
      <c r="G667" s="16"/>
      <c r="H667" s="16"/>
      <c r="I667" s="16"/>
      <c r="J667" s="16"/>
      <c r="K667" s="16"/>
      <c r="L667" s="16"/>
      <c r="M667" s="16"/>
    </row>
    <row r="668" spans="1:13" x14ac:dyDescent="0.25">
      <c r="A668" s="2"/>
      <c r="B668" s="16"/>
      <c r="C668" s="22"/>
      <c r="D668" s="16"/>
      <c r="E668" s="21"/>
      <c r="F668" s="16"/>
      <c r="G668" s="16"/>
      <c r="H668" s="16"/>
      <c r="I668" s="16"/>
      <c r="J668" s="16"/>
      <c r="K668" s="16"/>
      <c r="L668" s="16"/>
      <c r="M668" s="16"/>
    </row>
    <row r="669" spans="1:13" x14ac:dyDescent="0.25">
      <c r="A669" s="2"/>
      <c r="B669" s="16"/>
      <c r="C669" s="22"/>
      <c r="D669" s="16"/>
      <c r="E669" s="21"/>
      <c r="F669" s="16"/>
      <c r="G669" s="16"/>
      <c r="H669" s="16"/>
      <c r="I669" s="16"/>
      <c r="J669" s="16"/>
      <c r="K669" s="16"/>
      <c r="L669" s="16"/>
      <c r="M669" s="16"/>
    </row>
    <row r="670" spans="1:13" x14ac:dyDescent="0.25">
      <c r="A670" s="2"/>
      <c r="B670" s="16"/>
      <c r="C670" s="22"/>
      <c r="D670" s="16"/>
      <c r="E670" s="21"/>
      <c r="F670" s="16"/>
      <c r="G670" s="16"/>
      <c r="H670" s="16"/>
      <c r="I670" s="16"/>
      <c r="J670" s="16"/>
      <c r="K670" s="16"/>
      <c r="L670" s="16"/>
      <c r="M670" s="16"/>
    </row>
    <row r="671" spans="1:13" x14ac:dyDescent="0.25">
      <c r="A671" s="2"/>
      <c r="B671" s="16"/>
      <c r="C671" s="22"/>
      <c r="D671" s="16"/>
      <c r="E671" s="21"/>
      <c r="F671" s="16"/>
      <c r="G671" s="16"/>
      <c r="H671" s="16"/>
      <c r="I671" s="16"/>
      <c r="J671" s="16"/>
      <c r="K671" s="16"/>
      <c r="L671" s="16"/>
      <c r="M671" s="16"/>
    </row>
    <row r="672" spans="1:13" x14ac:dyDescent="0.25">
      <c r="A672" s="2"/>
      <c r="B672" s="16"/>
      <c r="C672" s="22"/>
      <c r="D672" s="16"/>
      <c r="E672" s="21"/>
      <c r="F672" s="16"/>
      <c r="G672" s="16"/>
      <c r="H672" s="16"/>
      <c r="I672" s="16"/>
      <c r="J672" s="16"/>
      <c r="K672" s="16"/>
      <c r="L672" s="16"/>
      <c r="M672" s="16"/>
    </row>
    <row r="673" spans="1:13" x14ac:dyDescent="0.25">
      <c r="A673" s="2"/>
      <c r="B673" s="16"/>
      <c r="C673" s="22"/>
      <c r="D673" s="16"/>
      <c r="E673" s="21"/>
      <c r="F673" s="16"/>
      <c r="G673" s="16"/>
      <c r="H673" s="16"/>
      <c r="I673" s="16"/>
      <c r="J673" s="16"/>
      <c r="K673" s="16"/>
      <c r="L673" s="16"/>
      <c r="M673" s="16"/>
    </row>
    <row r="674" spans="1:13" x14ac:dyDescent="0.25">
      <c r="A674" s="2"/>
      <c r="B674" s="16"/>
      <c r="C674" s="22"/>
      <c r="D674" s="16"/>
      <c r="E674" s="21"/>
      <c r="F674" s="16"/>
      <c r="G674" s="16"/>
      <c r="H674" s="16"/>
      <c r="I674" s="16"/>
      <c r="J674" s="16"/>
      <c r="K674" s="16"/>
      <c r="L674" s="16"/>
      <c r="M674" s="16"/>
    </row>
    <row r="675" spans="1:13" x14ac:dyDescent="0.25">
      <c r="A675" s="2"/>
      <c r="B675" s="16"/>
      <c r="C675" s="22"/>
      <c r="D675" s="16"/>
      <c r="E675" s="21"/>
      <c r="F675" s="16"/>
      <c r="G675" s="16"/>
      <c r="H675" s="16"/>
      <c r="I675" s="16"/>
      <c r="J675" s="16"/>
      <c r="K675" s="16"/>
      <c r="L675" s="16"/>
      <c r="M675" s="16"/>
    </row>
    <row r="676" spans="1:13" x14ac:dyDescent="0.25">
      <c r="A676" s="2"/>
      <c r="B676" s="16"/>
      <c r="C676" s="22"/>
      <c r="D676" s="16"/>
      <c r="E676" s="21"/>
      <c r="F676" s="16"/>
      <c r="G676" s="16"/>
      <c r="H676" s="16"/>
      <c r="I676" s="16"/>
      <c r="J676" s="16"/>
      <c r="K676" s="16"/>
      <c r="L676" s="16"/>
      <c r="M676" s="16"/>
    </row>
    <row r="677" spans="1:13" x14ac:dyDescent="0.25">
      <c r="A677" s="2"/>
      <c r="B677" s="16"/>
      <c r="C677" s="22"/>
      <c r="D677" s="16"/>
      <c r="E677" s="21"/>
      <c r="F677" s="16"/>
      <c r="G677" s="16"/>
      <c r="H677" s="16"/>
      <c r="I677" s="16"/>
      <c r="J677" s="16"/>
      <c r="K677" s="16"/>
      <c r="L677" s="16"/>
      <c r="M677" s="16"/>
    </row>
    <row r="678" spans="1:13" x14ac:dyDescent="0.25">
      <c r="A678" s="2"/>
      <c r="B678" s="16"/>
      <c r="C678" s="22"/>
      <c r="D678" s="16"/>
      <c r="E678" s="21"/>
      <c r="F678" s="16"/>
      <c r="G678" s="16"/>
      <c r="H678" s="16"/>
      <c r="I678" s="16"/>
      <c r="J678" s="16"/>
      <c r="K678" s="16"/>
      <c r="L678" s="16"/>
      <c r="M678" s="16"/>
    </row>
    <row r="679" spans="1:13" x14ac:dyDescent="0.25">
      <c r="A679" s="2"/>
      <c r="B679" s="16"/>
      <c r="C679" s="22"/>
      <c r="D679" s="16"/>
      <c r="E679" s="21"/>
      <c r="F679" s="16"/>
      <c r="G679" s="16"/>
      <c r="H679" s="16"/>
      <c r="I679" s="16"/>
      <c r="J679" s="16"/>
      <c r="K679" s="16"/>
      <c r="L679" s="16"/>
      <c r="M679" s="16"/>
    </row>
    <row r="680" spans="1:13" x14ac:dyDescent="0.25">
      <c r="A680" s="2"/>
      <c r="B680" s="16"/>
      <c r="C680" s="22"/>
      <c r="D680" s="16"/>
      <c r="E680" s="21"/>
      <c r="F680" s="16"/>
      <c r="G680" s="16"/>
      <c r="H680" s="16"/>
      <c r="I680" s="16"/>
      <c r="J680" s="16"/>
      <c r="K680" s="16"/>
      <c r="L680" s="16"/>
      <c r="M680" s="16"/>
    </row>
    <row r="681" spans="1:13" x14ac:dyDescent="0.25">
      <c r="A681" s="2"/>
      <c r="B681" s="16"/>
      <c r="C681" s="22"/>
      <c r="D681" s="16"/>
      <c r="E681" s="21"/>
      <c r="F681" s="16"/>
      <c r="G681" s="16"/>
      <c r="H681" s="16"/>
      <c r="I681" s="16"/>
      <c r="J681" s="16"/>
      <c r="K681" s="16"/>
      <c r="L681" s="16"/>
      <c r="M681" s="16"/>
    </row>
    <row r="682" spans="1:13" x14ac:dyDescent="0.25">
      <c r="A682" s="2"/>
      <c r="B682" s="16"/>
      <c r="C682" s="22"/>
      <c r="D682" s="16"/>
      <c r="E682" s="21"/>
      <c r="F682" s="16"/>
      <c r="G682" s="16"/>
      <c r="H682" s="16"/>
      <c r="I682" s="16"/>
      <c r="J682" s="16"/>
      <c r="K682" s="16"/>
      <c r="L682" s="16"/>
      <c r="M682" s="16"/>
    </row>
    <row r="683" spans="1:13" x14ac:dyDescent="0.25">
      <c r="A683" s="2"/>
      <c r="B683" s="16"/>
      <c r="C683" s="22"/>
      <c r="D683" s="16"/>
      <c r="E683" s="21"/>
      <c r="F683" s="16"/>
      <c r="G683" s="16"/>
      <c r="H683" s="16"/>
      <c r="I683" s="16"/>
      <c r="J683" s="16"/>
      <c r="K683" s="16"/>
      <c r="L683" s="16"/>
      <c r="M683" s="16"/>
    </row>
    <row r="684" spans="1:13" x14ac:dyDescent="0.25">
      <c r="A684" s="2"/>
      <c r="B684" s="16"/>
      <c r="C684" s="22"/>
      <c r="D684" s="16"/>
      <c r="E684" s="21"/>
      <c r="F684" s="16"/>
      <c r="G684" s="16"/>
      <c r="H684" s="16"/>
      <c r="I684" s="16"/>
      <c r="J684" s="16"/>
      <c r="K684" s="16"/>
      <c r="L684" s="16"/>
      <c r="M684" s="16"/>
    </row>
    <row r="685" spans="1:13" x14ac:dyDescent="0.25">
      <c r="A685" s="2"/>
      <c r="B685" s="16"/>
      <c r="C685" s="22"/>
      <c r="D685" s="16"/>
      <c r="E685" s="21"/>
      <c r="F685" s="16"/>
      <c r="G685" s="16"/>
      <c r="H685" s="16"/>
      <c r="I685" s="16"/>
      <c r="J685" s="16"/>
      <c r="K685" s="16"/>
      <c r="L685" s="16"/>
      <c r="M685" s="16"/>
    </row>
    <row r="686" spans="1:13" x14ac:dyDescent="0.25">
      <c r="A686" s="2"/>
      <c r="B686" s="16"/>
      <c r="C686" s="22"/>
      <c r="D686" s="16"/>
      <c r="E686" s="21"/>
      <c r="F686" s="16"/>
      <c r="G686" s="16"/>
      <c r="H686" s="16"/>
      <c r="I686" s="16"/>
      <c r="J686" s="16"/>
      <c r="K686" s="16"/>
      <c r="L686" s="16"/>
      <c r="M686" s="16"/>
    </row>
    <row r="687" spans="1:13" x14ac:dyDescent="0.25">
      <c r="A687" s="2"/>
      <c r="B687" s="16"/>
      <c r="C687" s="22"/>
      <c r="D687" s="16"/>
      <c r="E687" s="21"/>
      <c r="F687" s="16"/>
      <c r="G687" s="16"/>
      <c r="H687" s="16"/>
      <c r="I687" s="16"/>
      <c r="J687" s="16"/>
      <c r="K687" s="16"/>
      <c r="L687" s="16"/>
      <c r="M687" s="16"/>
    </row>
    <row r="688" spans="1:13" x14ac:dyDescent="0.25">
      <c r="A688" s="2"/>
      <c r="B688" s="16"/>
      <c r="C688" s="22"/>
      <c r="D688" s="16"/>
      <c r="E688" s="21"/>
      <c r="F688" s="16"/>
      <c r="G688" s="16"/>
      <c r="H688" s="16"/>
      <c r="I688" s="16"/>
      <c r="J688" s="16"/>
      <c r="K688" s="16"/>
      <c r="L688" s="16"/>
      <c r="M688" s="16"/>
    </row>
    <row r="689" spans="1:13" x14ac:dyDescent="0.25">
      <c r="A689" s="2"/>
      <c r="B689" s="16"/>
      <c r="C689" s="22"/>
      <c r="D689" s="16"/>
      <c r="E689" s="21"/>
      <c r="F689" s="16"/>
      <c r="G689" s="16"/>
      <c r="H689" s="16"/>
      <c r="I689" s="16"/>
      <c r="J689" s="16"/>
      <c r="K689" s="16"/>
      <c r="L689" s="16"/>
      <c r="M689" s="16"/>
    </row>
    <row r="690" spans="1:13" x14ac:dyDescent="0.25">
      <c r="A690" s="2"/>
      <c r="B690" s="16"/>
      <c r="C690" s="22"/>
      <c r="D690" s="16"/>
      <c r="E690" s="21"/>
      <c r="F690" s="16"/>
      <c r="G690" s="16"/>
      <c r="H690" s="16"/>
      <c r="I690" s="16"/>
      <c r="J690" s="16"/>
      <c r="K690" s="16"/>
      <c r="L690" s="16"/>
      <c r="M690" s="16"/>
    </row>
    <row r="691" spans="1:13" x14ac:dyDescent="0.25">
      <c r="A691" s="2"/>
      <c r="B691" s="16"/>
      <c r="C691" s="22"/>
      <c r="D691" s="16"/>
      <c r="E691" s="21"/>
      <c r="F691" s="16"/>
      <c r="G691" s="16"/>
      <c r="H691" s="16"/>
      <c r="I691" s="16"/>
      <c r="J691" s="16"/>
      <c r="K691" s="16"/>
      <c r="L691" s="16"/>
      <c r="M691" s="16"/>
    </row>
    <row r="692" spans="1:13" x14ac:dyDescent="0.25">
      <c r="A692" s="2"/>
      <c r="B692" s="16"/>
      <c r="C692" s="22"/>
      <c r="D692" s="16"/>
      <c r="E692" s="21"/>
      <c r="F692" s="16"/>
      <c r="G692" s="16"/>
      <c r="H692" s="16"/>
      <c r="I692" s="16"/>
      <c r="J692" s="16"/>
      <c r="K692" s="16"/>
      <c r="L692" s="16"/>
      <c r="M692" s="16"/>
    </row>
    <row r="693" spans="1:13" x14ac:dyDescent="0.25">
      <c r="A693" s="2"/>
      <c r="B693" s="16"/>
      <c r="C693" s="22"/>
      <c r="D693" s="16"/>
      <c r="E693" s="21"/>
      <c r="F693" s="16"/>
      <c r="G693" s="16"/>
      <c r="H693" s="16"/>
      <c r="I693" s="16"/>
      <c r="J693" s="16"/>
      <c r="K693" s="16"/>
      <c r="L693" s="16"/>
      <c r="M693" s="16"/>
    </row>
    <row r="694" spans="1:13" x14ac:dyDescent="0.25">
      <c r="A694" s="2"/>
      <c r="B694" s="16"/>
      <c r="C694" s="22"/>
      <c r="D694" s="16"/>
      <c r="E694" s="21"/>
      <c r="F694" s="16"/>
      <c r="G694" s="16"/>
      <c r="H694" s="16"/>
      <c r="I694" s="16"/>
      <c r="J694" s="16"/>
      <c r="K694" s="16"/>
      <c r="L694" s="16"/>
      <c r="M694" s="16"/>
    </row>
    <row r="695" spans="1:13" x14ac:dyDescent="0.25">
      <c r="A695" s="2"/>
      <c r="B695" s="16"/>
      <c r="C695" s="22"/>
      <c r="D695" s="16"/>
      <c r="E695" s="21"/>
      <c r="F695" s="16"/>
      <c r="G695" s="16"/>
      <c r="H695" s="16"/>
      <c r="I695" s="16"/>
      <c r="J695" s="16"/>
      <c r="K695" s="16"/>
      <c r="L695" s="16"/>
      <c r="M695" s="16"/>
    </row>
    <row r="696" spans="1:13" x14ac:dyDescent="0.25">
      <c r="A696" s="2"/>
      <c r="B696" s="16"/>
      <c r="C696" s="22"/>
      <c r="D696" s="16"/>
      <c r="E696" s="21"/>
      <c r="F696" s="16"/>
      <c r="G696" s="16"/>
      <c r="H696" s="16"/>
      <c r="I696" s="16"/>
      <c r="J696" s="16"/>
      <c r="K696" s="16"/>
      <c r="L696" s="16"/>
      <c r="M696" s="16"/>
    </row>
    <row r="697" spans="1:13" x14ac:dyDescent="0.25">
      <c r="A697" s="2"/>
      <c r="B697" s="16"/>
      <c r="C697" s="22"/>
      <c r="D697" s="16"/>
      <c r="E697" s="21"/>
      <c r="F697" s="16"/>
      <c r="G697" s="16"/>
      <c r="H697" s="16"/>
      <c r="I697" s="16"/>
      <c r="J697" s="16"/>
      <c r="K697" s="16"/>
      <c r="L697" s="16"/>
      <c r="M697" s="16"/>
    </row>
    <row r="698" spans="1:13" x14ac:dyDescent="0.25">
      <c r="A698" s="2"/>
      <c r="B698" s="16"/>
      <c r="C698" s="22"/>
      <c r="D698" s="16"/>
      <c r="E698" s="21"/>
      <c r="F698" s="16"/>
      <c r="G698" s="16"/>
      <c r="H698" s="16"/>
      <c r="I698" s="16"/>
      <c r="J698" s="16"/>
      <c r="K698" s="16"/>
      <c r="L698" s="16"/>
      <c r="M698" s="16"/>
    </row>
    <row r="699" spans="1:13" x14ac:dyDescent="0.25">
      <c r="A699" s="2"/>
      <c r="B699" s="16"/>
      <c r="C699" s="22"/>
      <c r="D699" s="16"/>
      <c r="E699" s="21"/>
      <c r="F699" s="16"/>
      <c r="G699" s="16"/>
      <c r="H699" s="16"/>
      <c r="I699" s="16"/>
      <c r="J699" s="16"/>
      <c r="K699" s="16"/>
      <c r="L699" s="16"/>
      <c r="M699" s="16"/>
    </row>
    <row r="700" spans="1:13" x14ac:dyDescent="0.25">
      <c r="A700" s="2"/>
      <c r="B700" s="16"/>
      <c r="C700" s="22"/>
      <c r="D700" s="16"/>
      <c r="E700" s="21"/>
      <c r="F700" s="16"/>
      <c r="G700" s="16"/>
      <c r="H700" s="16"/>
      <c r="I700" s="16"/>
      <c r="J700" s="16"/>
      <c r="K700" s="16"/>
      <c r="L700" s="16"/>
      <c r="M700" s="16"/>
    </row>
    <row r="701" spans="1:13" x14ac:dyDescent="0.25">
      <c r="A701" s="2"/>
      <c r="B701" s="16"/>
      <c r="C701" s="22"/>
      <c r="D701" s="16"/>
      <c r="E701" s="21"/>
      <c r="F701" s="16"/>
      <c r="G701" s="16"/>
      <c r="H701" s="16"/>
      <c r="I701" s="16"/>
      <c r="J701" s="16"/>
      <c r="K701" s="16"/>
      <c r="L701" s="16"/>
      <c r="M701" s="16"/>
    </row>
    <row r="702" spans="1:13" x14ac:dyDescent="0.25">
      <c r="A702" s="2"/>
      <c r="B702" s="16"/>
      <c r="C702" s="22"/>
      <c r="D702" s="16"/>
      <c r="E702" s="21"/>
      <c r="F702" s="16"/>
      <c r="G702" s="16"/>
      <c r="H702" s="16"/>
      <c r="I702" s="16"/>
      <c r="J702" s="16"/>
      <c r="K702" s="16"/>
      <c r="L702" s="16"/>
      <c r="M702" s="16"/>
    </row>
    <row r="703" spans="1:13" x14ac:dyDescent="0.25">
      <c r="A703" s="2"/>
      <c r="B703" s="16"/>
      <c r="C703" s="22"/>
      <c r="D703" s="16"/>
      <c r="E703" s="21"/>
      <c r="F703" s="16"/>
      <c r="G703" s="16"/>
      <c r="H703" s="16"/>
      <c r="I703" s="16"/>
      <c r="J703" s="16"/>
      <c r="K703" s="16"/>
      <c r="L703" s="16"/>
      <c r="M703" s="16"/>
    </row>
    <row r="704" spans="1:13" x14ac:dyDescent="0.25">
      <c r="A704" s="2"/>
      <c r="B704" s="16"/>
      <c r="C704" s="22"/>
      <c r="D704" s="16"/>
      <c r="E704" s="21"/>
      <c r="F704" s="16"/>
      <c r="G704" s="16"/>
      <c r="H704" s="16"/>
      <c r="I704" s="16"/>
      <c r="J704" s="16"/>
      <c r="K704" s="16"/>
      <c r="L704" s="16"/>
      <c r="M704" s="16"/>
    </row>
    <row r="705" spans="1:13" x14ac:dyDescent="0.25">
      <c r="A705" s="2"/>
      <c r="B705" s="16"/>
      <c r="C705" s="22"/>
      <c r="D705" s="16"/>
      <c r="E705" s="21"/>
      <c r="F705" s="16"/>
      <c r="G705" s="16"/>
      <c r="H705" s="16"/>
      <c r="I705" s="16"/>
      <c r="J705" s="16"/>
      <c r="K705" s="16"/>
      <c r="L705" s="16"/>
      <c r="M705" s="16"/>
    </row>
    <row r="706" spans="1:13" x14ac:dyDescent="0.25">
      <c r="A706" s="2"/>
      <c r="B706" s="16"/>
      <c r="C706" s="22"/>
      <c r="D706" s="16"/>
      <c r="E706" s="21"/>
      <c r="F706" s="16"/>
      <c r="G706" s="16"/>
      <c r="H706" s="16"/>
      <c r="I706" s="16"/>
      <c r="J706" s="16"/>
      <c r="K706" s="16"/>
      <c r="L706" s="16"/>
      <c r="M706" s="16"/>
    </row>
    <row r="707" spans="1:13" x14ac:dyDescent="0.25">
      <c r="A707" s="2"/>
      <c r="B707" s="16"/>
      <c r="C707" s="22"/>
      <c r="D707" s="16"/>
      <c r="E707" s="21"/>
      <c r="F707" s="16"/>
      <c r="G707" s="16"/>
      <c r="H707" s="16"/>
      <c r="I707" s="16"/>
      <c r="J707" s="16"/>
      <c r="K707" s="16"/>
      <c r="L707" s="16"/>
      <c r="M707" s="16"/>
    </row>
    <row r="708" spans="1:13" x14ac:dyDescent="0.25">
      <c r="A708" s="2"/>
      <c r="B708" s="16"/>
      <c r="C708" s="22"/>
      <c r="D708" s="16"/>
      <c r="E708" s="21"/>
      <c r="F708" s="16"/>
      <c r="G708" s="16"/>
      <c r="H708" s="16"/>
      <c r="I708" s="16"/>
      <c r="J708" s="16"/>
      <c r="K708" s="16"/>
      <c r="L708" s="16"/>
      <c r="M708" s="16"/>
    </row>
    <row r="709" spans="1:13" x14ac:dyDescent="0.25">
      <c r="A709" s="2"/>
      <c r="B709" s="16"/>
      <c r="C709" s="22"/>
      <c r="D709" s="16"/>
      <c r="E709" s="21"/>
      <c r="F709" s="16"/>
      <c r="G709" s="16"/>
      <c r="H709" s="16"/>
      <c r="I709" s="16"/>
      <c r="J709" s="16"/>
      <c r="K709" s="16"/>
      <c r="L709" s="16"/>
      <c r="M709" s="16"/>
    </row>
    <row r="710" spans="1:13" x14ac:dyDescent="0.25">
      <c r="A710" s="2"/>
      <c r="B710" s="16"/>
      <c r="C710" s="22"/>
      <c r="D710" s="16"/>
      <c r="E710" s="21"/>
      <c r="F710" s="16"/>
      <c r="G710" s="16"/>
      <c r="H710" s="16"/>
      <c r="I710" s="16"/>
      <c r="J710" s="16"/>
      <c r="K710" s="16"/>
      <c r="L710" s="16"/>
      <c r="M710" s="16"/>
    </row>
    <row r="711" spans="1:13" x14ac:dyDescent="0.25">
      <c r="A711" s="2"/>
      <c r="B711" s="16"/>
      <c r="C711" s="22"/>
      <c r="D711" s="16"/>
      <c r="E711" s="21"/>
      <c r="F711" s="16"/>
      <c r="G711" s="16"/>
      <c r="H711" s="16"/>
      <c r="I711" s="16"/>
      <c r="J711" s="16"/>
      <c r="K711" s="16"/>
      <c r="L711" s="16"/>
      <c r="M711" s="16"/>
    </row>
    <row r="712" spans="1:13" x14ac:dyDescent="0.25">
      <c r="A712" s="2"/>
      <c r="B712" s="16"/>
      <c r="C712" s="22"/>
      <c r="D712" s="16"/>
      <c r="E712" s="21"/>
      <c r="F712" s="16"/>
      <c r="G712" s="16"/>
      <c r="H712" s="16"/>
      <c r="I712" s="16"/>
      <c r="J712" s="16"/>
      <c r="K712" s="16"/>
      <c r="L712" s="16"/>
      <c r="M712" s="16"/>
    </row>
    <row r="713" spans="1:13" x14ac:dyDescent="0.25">
      <c r="A713" s="2"/>
      <c r="B713" s="16"/>
      <c r="C713" s="22"/>
      <c r="D713" s="16"/>
      <c r="E713" s="21"/>
      <c r="F713" s="16"/>
      <c r="G713" s="16"/>
      <c r="H713" s="16"/>
      <c r="I713" s="16"/>
      <c r="J713" s="16"/>
      <c r="K713" s="16"/>
      <c r="L713" s="16"/>
      <c r="M713" s="16"/>
    </row>
    <row r="714" spans="1:13" x14ac:dyDescent="0.25">
      <c r="A714" s="2"/>
      <c r="B714" s="16"/>
      <c r="C714" s="22"/>
      <c r="D714" s="16"/>
      <c r="E714" s="21"/>
      <c r="F714" s="16"/>
      <c r="G714" s="16"/>
      <c r="H714" s="16"/>
      <c r="I714" s="16"/>
      <c r="J714" s="16"/>
      <c r="K714" s="16"/>
      <c r="L714" s="16"/>
      <c r="M714" s="16"/>
    </row>
    <row r="715" spans="1:13" x14ac:dyDescent="0.25">
      <c r="A715" s="2"/>
      <c r="B715" s="16"/>
      <c r="C715" s="22"/>
      <c r="D715" s="16"/>
      <c r="E715" s="21"/>
      <c r="F715" s="16"/>
      <c r="G715" s="16"/>
      <c r="H715" s="16"/>
      <c r="I715" s="16"/>
      <c r="J715" s="16"/>
      <c r="K715" s="16"/>
      <c r="L715" s="16"/>
      <c r="M715" s="16"/>
    </row>
    <row r="716" spans="1:13" x14ac:dyDescent="0.25">
      <c r="A716" s="2"/>
      <c r="B716" s="16"/>
      <c r="C716" s="22"/>
      <c r="D716" s="16"/>
      <c r="E716" s="21"/>
      <c r="F716" s="16"/>
      <c r="G716" s="16"/>
      <c r="H716" s="16"/>
      <c r="I716" s="16"/>
      <c r="J716" s="16"/>
      <c r="K716" s="16"/>
      <c r="L716" s="16"/>
      <c r="M716" s="16"/>
    </row>
    <row r="717" spans="1:13" x14ac:dyDescent="0.25">
      <c r="A717" s="2"/>
      <c r="B717" s="16"/>
      <c r="C717" s="22"/>
      <c r="D717" s="16"/>
      <c r="E717" s="21"/>
      <c r="F717" s="16"/>
      <c r="G717" s="16"/>
      <c r="H717" s="16"/>
      <c r="I717" s="16"/>
      <c r="J717" s="16"/>
      <c r="K717" s="16"/>
      <c r="L717" s="16"/>
      <c r="M717" s="16"/>
    </row>
    <row r="718" spans="1:13" x14ac:dyDescent="0.25">
      <c r="A718" s="2"/>
      <c r="B718" s="16"/>
      <c r="C718" s="22"/>
      <c r="D718" s="16"/>
      <c r="E718" s="21"/>
      <c r="F718" s="16"/>
      <c r="G718" s="16"/>
      <c r="H718" s="16"/>
      <c r="I718" s="16"/>
      <c r="J718" s="16"/>
      <c r="K718" s="16"/>
      <c r="L718" s="16"/>
      <c r="M718" s="16"/>
    </row>
    <row r="719" spans="1:13" x14ac:dyDescent="0.25">
      <c r="A719" s="2"/>
      <c r="B719" s="16"/>
      <c r="C719" s="22"/>
      <c r="D719" s="16"/>
      <c r="E719" s="21"/>
      <c r="F719" s="16"/>
      <c r="G719" s="16"/>
      <c r="H719" s="16"/>
      <c r="I719" s="16"/>
      <c r="J719" s="16"/>
      <c r="K719" s="16"/>
      <c r="L719" s="16"/>
      <c r="M719" s="16"/>
    </row>
    <row r="720" spans="1:13" x14ac:dyDescent="0.25">
      <c r="A720" s="2"/>
      <c r="B720" s="16"/>
      <c r="C720" s="22"/>
      <c r="D720" s="16"/>
      <c r="E720" s="21"/>
      <c r="F720" s="16"/>
      <c r="G720" s="16"/>
      <c r="H720" s="16"/>
      <c r="I720" s="16"/>
      <c r="J720" s="16"/>
      <c r="K720" s="16"/>
      <c r="L720" s="16"/>
      <c r="M720" s="16"/>
    </row>
    <row r="721" spans="1:13" x14ac:dyDescent="0.25">
      <c r="A721" s="2"/>
      <c r="B721" s="16"/>
      <c r="C721" s="22"/>
      <c r="D721" s="16"/>
      <c r="E721" s="21"/>
      <c r="F721" s="16"/>
      <c r="G721" s="16"/>
      <c r="H721" s="16"/>
      <c r="I721" s="16"/>
      <c r="J721" s="16"/>
      <c r="K721" s="16"/>
      <c r="L721" s="16"/>
      <c r="M721" s="16"/>
    </row>
    <row r="722" spans="1:13" x14ac:dyDescent="0.25">
      <c r="A722" s="2"/>
      <c r="B722" s="16"/>
      <c r="C722" s="22"/>
      <c r="D722" s="16"/>
      <c r="E722" s="21"/>
      <c r="F722" s="16"/>
      <c r="G722" s="16"/>
      <c r="H722" s="16"/>
      <c r="I722" s="16"/>
      <c r="J722" s="16"/>
      <c r="K722" s="16"/>
      <c r="L722" s="16"/>
      <c r="M722" s="16"/>
    </row>
    <row r="723" spans="1:13" x14ac:dyDescent="0.25">
      <c r="A723" s="2"/>
      <c r="B723" s="16"/>
      <c r="C723" s="22"/>
      <c r="D723" s="16"/>
      <c r="E723" s="21"/>
      <c r="F723" s="16"/>
      <c r="G723" s="16"/>
      <c r="H723" s="16"/>
      <c r="I723" s="16"/>
      <c r="J723" s="16"/>
      <c r="K723" s="16"/>
      <c r="L723" s="16"/>
      <c r="M723" s="16"/>
    </row>
    <row r="724" spans="1:13" x14ac:dyDescent="0.25">
      <c r="A724" s="2"/>
      <c r="B724" s="16"/>
      <c r="C724" s="22"/>
      <c r="D724" s="16"/>
      <c r="E724" s="21"/>
      <c r="F724" s="16"/>
      <c r="G724" s="16"/>
      <c r="H724" s="16"/>
      <c r="I724" s="16"/>
      <c r="J724" s="16"/>
      <c r="K724" s="16"/>
      <c r="L724" s="16"/>
      <c r="M724" s="16"/>
    </row>
    <row r="725" spans="1:13" x14ac:dyDescent="0.25">
      <c r="A725" s="2"/>
      <c r="B725" s="16"/>
      <c r="C725" s="22"/>
      <c r="D725" s="16"/>
      <c r="E725" s="21"/>
      <c r="F725" s="16"/>
      <c r="G725" s="16"/>
      <c r="H725" s="16"/>
      <c r="I725" s="16"/>
      <c r="J725" s="16"/>
      <c r="K725" s="16"/>
      <c r="L725" s="16"/>
      <c r="M725" s="16"/>
    </row>
    <row r="726" spans="1:13" x14ac:dyDescent="0.25">
      <c r="A726" s="2"/>
      <c r="B726" s="16"/>
      <c r="C726" s="22"/>
      <c r="D726" s="16"/>
      <c r="E726" s="21"/>
      <c r="F726" s="16"/>
      <c r="G726" s="16"/>
      <c r="H726" s="16"/>
      <c r="I726" s="16"/>
      <c r="J726" s="16"/>
      <c r="K726" s="16"/>
      <c r="L726" s="16"/>
      <c r="M726" s="16"/>
    </row>
    <row r="727" spans="1:13" x14ac:dyDescent="0.25">
      <c r="A727" s="2"/>
      <c r="B727" s="16"/>
      <c r="C727" s="22"/>
      <c r="D727" s="16"/>
      <c r="E727" s="21"/>
      <c r="F727" s="16"/>
      <c r="G727" s="16"/>
      <c r="H727" s="16"/>
      <c r="I727" s="16"/>
      <c r="J727" s="16"/>
      <c r="K727" s="16"/>
      <c r="L727" s="16"/>
      <c r="M727" s="16"/>
    </row>
    <row r="728" spans="1:13" x14ac:dyDescent="0.25">
      <c r="A728" s="2"/>
      <c r="B728" s="16"/>
      <c r="C728" s="22"/>
      <c r="D728" s="16"/>
      <c r="E728" s="21"/>
      <c r="F728" s="16"/>
      <c r="G728" s="16"/>
      <c r="H728" s="16"/>
      <c r="I728" s="16"/>
      <c r="J728" s="16"/>
      <c r="K728" s="16"/>
      <c r="L728" s="16"/>
      <c r="M728" s="16"/>
    </row>
    <row r="729" spans="1:13" x14ac:dyDescent="0.25">
      <c r="A729" s="2"/>
      <c r="B729" s="16"/>
      <c r="C729" s="22"/>
      <c r="D729" s="16"/>
      <c r="E729" s="21"/>
      <c r="F729" s="16"/>
      <c r="G729" s="16"/>
      <c r="H729" s="16"/>
      <c r="I729" s="16"/>
      <c r="J729" s="16"/>
      <c r="K729" s="16"/>
      <c r="L729" s="16"/>
      <c r="M729" s="16"/>
    </row>
    <row r="730" spans="1:13" x14ac:dyDescent="0.25">
      <c r="A730" s="2"/>
      <c r="B730" s="16"/>
      <c r="C730" s="22"/>
      <c r="D730" s="16"/>
      <c r="E730" s="21"/>
      <c r="F730" s="16"/>
      <c r="G730" s="16"/>
      <c r="H730" s="16"/>
      <c r="I730" s="16"/>
      <c r="J730" s="16"/>
      <c r="K730" s="16"/>
      <c r="L730" s="16"/>
      <c r="M730" s="16"/>
    </row>
    <row r="731" spans="1:13" x14ac:dyDescent="0.25">
      <c r="A731" s="2"/>
      <c r="B731" s="16"/>
      <c r="C731" s="22"/>
      <c r="D731" s="16"/>
      <c r="E731" s="21"/>
      <c r="F731" s="16"/>
      <c r="G731" s="16"/>
      <c r="H731" s="16"/>
      <c r="I731" s="16"/>
      <c r="J731" s="16"/>
      <c r="K731" s="16"/>
      <c r="L731" s="16"/>
      <c r="M731" s="16"/>
    </row>
    <row r="732" spans="1:13" x14ac:dyDescent="0.25">
      <c r="A732" s="2"/>
      <c r="B732" s="16"/>
      <c r="C732" s="22"/>
      <c r="D732" s="16"/>
      <c r="E732" s="21"/>
      <c r="F732" s="16"/>
      <c r="G732" s="16"/>
      <c r="H732" s="16"/>
      <c r="I732" s="16"/>
      <c r="J732" s="16"/>
      <c r="K732" s="16"/>
      <c r="L732" s="16"/>
      <c r="M732" s="16"/>
    </row>
    <row r="733" spans="1:13" x14ac:dyDescent="0.25">
      <c r="A733" s="2"/>
      <c r="B733" s="16"/>
      <c r="C733" s="22"/>
      <c r="D733" s="16"/>
      <c r="E733" s="21"/>
      <c r="F733" s="16"/>
      <c r="G733" s="16"/>
      <c r="H733" s="16"/>
      <c r="I733" s="16"/>
      <c r="J733" s="16"/>
      <c r="K733" s="16"/>
      <c r="L733" s="16"/>
      <c r="M733" s="16"/>
    </row>
    <row r="734" spans="1:13" x14ac:dyDescent="0.25">
      <c r="A734" s="2"/>
      <c r="B734" s="16"/>
      <c r="C734" s="22"/>
      <c r="D734" s="16"/>
      <c r="E734" s="21"/>
      <c r="F734" s="16"/>
      <c r="G734" s="16"/>
      <c r="H734" s="16"/>
      <c r="I734" s="16"/>
      <c r="J734" s="16"/>
      <c r="K734" s="16"/>
      <c r="L734" s="16"/>
      <c r="M734" s="16"/>
    </row>
    <row r="735" spans="1:13" x14ac:dyDescent="0.25">
      <c r="A735" s="2"/>
      <c r="B735" s="16"/>
      <c r="C735" s="22"/>
      <c r="D735" s="16"/>
      <c r="E735" s="21"/>
      <c r="F735" s="16"/>
      <c r="G735" s="16"/>
      <c r="H735" s="16"/>
      <c r="I735" s="16"/>
      <c r="J735" s="16"/>
      <c r="K735" s="16"/>
      <c r="L735" s="16"/>
      <c r="M735" s="16"/>
    </row>
    <row r="736" spans="1:13" x14ac:dyDescent="0.25">
      <c r="A736" s="2"/>
      <c r="B736" s="16"/>
      <c r="C736" s="22"/>
      <c r="D736" s="16"/>
      <c r="E736" s="21"/>
      <c r="F736" s="16"/>
      <c r="G736" s="16"/>
      <c r="H736" s="16"/>
      <c r="I736" s="16"/>
      <c r="J736" s="16"/>
      <c r="K736" s="16"/>
      <c r="L736" s="16"/>
      <c r="M736" s="16"/>
    </row>
    <row r="737" spans="1:13" x14ac:dyDescent="0.25">
      <c r="A737" s="2"/>
      <c r="B737" s="16"/>
      <c r="C737" s="22"/>
      <c r="D737" s="16"/>
      <c r="E737" s="21"/>
      <c r="F737" s="16"/>
      <c r="G737" s="16"/>
      <c r="H737" s="16"/>
      <c r="I737" s="16"/>
      <c r="J737" s="16"/>
      <c r="K737" s="16"/>
      <c r="L737" s="16"/>
      <c r="M737" s="16"/>
    </row>
    <row r="738" spans="1:13" x14ac:dyDescent="0.25">
      <c r="A738" s="2"/>
      <c r="B738" s="16"/>
      <c r="C738" s="22"/>
      <c r="D738" s="16"/>
      <c r="E738" s="21"/>
      <c r="F738" s="16"/>
      <c r="G738" s="16"/>
      <c r="H738" s="16"/>
      <c r="I738" s="16"/>
      <c r="J738" s="16"/>
      <c r="K738" s="16"/>
      <c r="L738" s="16"/>
      <c r="M738" s="16"/>
    </row>
    <row r="739" spans="1:13" x14ac:dyDescent="0.25">
      <c r="A739" s="2"/>
      <c r="B739" s="16"/>
      <c r="C739" s="22"/>
      <c r="D739" s="16"/>
      <c r="E739" s="21"/>
      <c r="F739" s="16"/>
      <c r="G739" s="16"/>
      <c r="H739" s="16"/>
      <c r="I739" s="16"/>
      <c r="J739" s="16"/>
      <c r="K739" s="16"/>
      <c r="L739" s="16"/>
      <c r="M739" s="16"/>
    </row>
    <row r="740" spans="1:13" x14ac:dyDescent="0.25">
      <c r="A740" s="2"/>
      <c r="B740" s="16"/>
      <c r="C740" s="22"/>
      <c r="D740" s="16"/>
      <c r="E740" s="21"/>
      <c r="F740" s="16"/>
      <c r="G740" s="16"/>
      <c r="H740" s="16"/>
      <c r="I740" s="16"/>
      <c r="J740" s="16"/>
      <c r="K740" s="16"/>
      <c r="L740" s="16"/>
      <c r="M740" s="16"/>
    </row>
    <row r="741" spans="1:13" x14ac:dyDescent="0.25">
      <c r="A741" s="2"/>
      <c r="B741" s="16"/>
      <c r="C741" s="22"/>
      <c r="D741" s="16"/>
      <c r="E741" s="21"/>
      <c r="F741" s="16"/>
      <c r="G741" s="16"/>
      <c r="H741" s="16"/>
      <c r="I741" s="16"/>
      <c r="J741" s="16"/>
      <c r="K741" s="16"/>
      <c r="L741" s="16"/>
      <c r="M741" s="16"/>
    </row>
    <row r="742" spans="1:13" x14ac:dyDescent="0.25">
      <c r="A742" s="2"/>
      <c r="B742" s="16"/>
      <c r="C742" s="22"/>
      <c r="D742" s="16"/>
      <c r="E742" s="21"/>
      <c r="F742" s="16"/>
      <c r="G742" s="16"/>
      <c r="H742" s="16"/>
      <c r="I742" s="16"/>
      <c r="J742" s="16"/>
      <c r="K742" s="16"/>
      <c r="L742" s="16"/>
      <c r="M742" s="16"/>
    </row>
    <row r="743" spans="1:13" x14ac:dyDescent="0.25">
      <c r="A743" s="2"/>
      <c r="B743" s="16"/>
      <c r="C743" s="22"/>
      <c r="D743" s="16"/>
      <c r="E743" s="21"/>
      <c r="F743" s="16"/>
      <c r="G743" s="16"/>
      <c r="H743" s="16"/>
      <c r="I743" s="16"/>
      <c r="J743" s="16"/>
      <c r="K743" s="16"/>
      <c r="L743" s="16"/>
      <c r="M743" s="16"/>
    </row>
    <row r="744" spans="1:13" x14ac:dyDescent="0.25">
      <c r="A744" s="2"/>
      <c r="B744" s="16"/>
      <c r="C744" s="22"/>
      <c r="D744" s="16"/>
      <c r="E744" s="21"/>
      <c r="F744" s="16"/>
      <c r="G744" s="16"/>
      <c r="H744" s="16"/>
      <c r="I744" s="16"/>
      <c r="J744" s="16"/>
      <c r="K744" s="16"/>
      <c r="L744" s="16"/>
      <c r="M744" s="16"/>
    </row>
    <row r="745" spans="1:13" x14ac:dyDescent="0.25">
      <c r="A745" s="2"/>
      <c r="B745" s="16"/>
      <c r="C745" s="22"/>
      <c r="D745" s="16"/>
      <c r="E745" s="21"/>
      <c r="F745" s="16"/>
      <c r="G745" s="16"/>
      <c r="H745" s="16"/>
      <c r="I745" s="16"/>
      <c r="J745" s="16"/>
      <c r="K745" s="16"/>
      <c r="L745" s="16"/>
      <c r="M745" s="16"/>
    </row>
    <row r="746" spans="1:13" x14ac:dyDescent="0.25">
      <c r="A746" s="2"/>
      <c r="B746" s="16"/>
      <c r="C746" s="22"/>
      <c r="D746" s="16"/>
      <c r="E746" s="21"/>
      <c r="F746" s="16"/>
      <c r="G746" s="16"/>
      <c r="H746" s="16"/>
      <c r="I746" s="16"/>
      <c r="J746" s="16"/>
      <c r="K746" s="16"/>
      <c r="L746" s="16"/>
      <c r="M746" s="16"/>
    </row>
    <row r="747" spans="1:13" x14ac:dyDescent="0.25">
      <c r="A747" s="2"/>
      <c r="B747" s="16"/>
      <c r="C747" s="22"/>
      <c r="D747" s="16"/>
      <c r="E747" s="21"/>
      <c r="F747" s="16"/>
      <c r="G747" s="16"/>
      <c r="H747" s="16"/>
      <c r="I747" s="16"/>
      <c r="J747" s="16"/>
      <c r="K747" s="16"/>
      <c r="L747" s="16"/>
      <c r="M747" s="16"/>
    </row>
    <row r="748" spans="1:13" x14ac:dyDescent="0.25">
      <c r="A748" s="2"/>
      <c r="B748" s="16"/>
      <c r="C748" s="22"/>
      <c r="D748" s="16"/>
      <c r="E748" s="21"/>
      <c r="F748" s="16"/>
      <c r="G748" s="16"/>
      <c r="H748" s="16"/>
      <c r="I748" s="16"/>
      <c r="J748" s="16"/>
      <c r="K748" s="16"/>
      <c r="L748" s="16"/>
      <c r="M748" s="16"/>
    </row>
    <row r="749" spans="1:13" x14ac:dyDescent="0.25">
      <c r="A749" s="2"/>
      <c r="B749" s="16"/>
      <c r="C749" s="22"/>
      <c r="D749" s="16"/>
      <c r="E749" s="21"/>
      <c r="F749" s="16"/>
      <c r="G749" s="16"/>
      <c r="H749" s="16"/>
      <c r="I749" s="16"/>
      <c r="J749" s="16"/>
      <c r="K749" s="16"/>
      <c r="L749" s="16"/>
      <c r="M749" s="16"/>
    </row>
    <row r="750" spans="1:13" x14ac:dyDescent="0.25">
      <c r="A750" s="2"/>
      <c r="B750" s="16"/>
      <c r="C750" s="22"/>
      <c r="D750" s="16"/>
      <c r="E750" s="21"/>
      <c r="F750" s="16"/>
      <c r="G750" s="16"/>
      <c r="H750" s="16"/>
      <c r="I750" s="16"/>
      <c r="J750" s="16"/>
      <c r="K750" s="16"/>
      <c r="L750" s="16"/>
      <c r="M750" s="16"/>
    </row>
    <row r="751" spans="1:13" x14ac:dyDescent="0.25">
      <c r="A751" s="2"/>
      <c r="B751" s="16"/>
      <c r="C751" s="22"/>
      <c r="D751" s="16"/>
      <c r="E751" s="21"/>
      <c r="F751" s="16"/>
      <c r="G751" s="16"/>
      <c r="H751" s="16"/>
      <c r="I751" s="16"/>
      <c r="J751" s="16"/>
      <c r="K751" s="16"/>
      <c r="L751" s="16"/>
      <c r="M751" s="16"/>
    </row>
    <row r="752" spans="1:13" x14ac:dyDescent="0.25">
      <c r="A752" s="2"/>
      <c r="B752" s="16"/>
      <c r="C752" s="22"/>
      <c r="D752" s="16"/>
      <c r="E752" s="21"/>
      <c r="F752" s="16"/>
      <c r="G752" s="16"/>
      <c r="H752" s="16"/>
      <c r="I752" s="16"/>
      <c r="J752" s="16"/>
      <c r="K752" s="16"/>
      <c r="L752" s="16"/>
      <c r="M752" s="16"/>
    </row>
    <row r="753" spans="1:13" x14ac:dyDescent="0.25">
      <c r="A753" s="2"/>
      <c r="B753" s="16"/>
      <c r="C753" s="22"/>
      <c r="D753" s="16"/>
      <c r="E753" s="21"/>
      <c r="F753" s="16"/>
      <c r="G753" s="16"/>
      <c r="H753" s="16"/>
      <c r="I753" s="16"/>
      <c r="J753" s="16"/>
      <c r="K753" s="16"/>
      <c r="L753" s="16"/>
      <c r="M753" s="16"/>
    </row>
    <row r="754" spans="1:13" x14ac:dyDescent="0.25">
      <c r="A754" s="2"/>
      <c r="B754" s="16"/>
      <c r="C754" s="22"/>
      <c r="D754" s="16"/>
      <c r="E754" s="21"/>
      <c r="F754" s="16"/>
      <c r="G754" s="16"/>
      <c r="H754" s="16"/>
      <c r="I754" s="16"/>
      <c r="J754" s="16"/>
      <c r="K754" s="16"/>
      <c r="L754" s="16"/>
      <c r="M754" s="16"/>
    </row>
    <row r="755" spans="1:13" x14ac:dyDescent="0.25">
      <c r="A755" s="2"/>
      <c r="B755" s="16"/>
      <c r="C755" s="22"/>
      <c r="D755" s="16"/>
      <c r="E755" s="21"/>
      <c r="F755" s="16"/>
      <c r="G755" s="16"/>
      <c r="H755" s="16"/>
      <c r="I755" s="16"/>
      <c r="J755" s="16"/>
      <c r="K755" s="16"/>
      <c r="L755" s="16"/>
      <c r="M755" s="16"/>
    </row>
    <row r="756" spans="1:13" x14ac:dyDescent="0.25">
      <c r="A756" s="2"/>
      <c r="B756" s="16"/>
      <c r="C756" s="22"/>
      <c r="D756" s="16"/>
      <c r="E756" s="21"/>
      <c r="F756" s="16"/>
      <c r="G756" s="16"/>
      <c r="H756" s="16"/>
      <c r="I756" s="16"/>
      <c r="J756" s="16"/>
      <c r="K756" s="16"/>
      <c r="L756" s="16"/>
      <c r="M756" s="16"/>
    </row>
    <row r="757" spans="1:13" x14ac:dyDescent="0.25">
      <c r="A757" s="2"/>
      <c r="B757" s="16"/>
      <c r="C757" s="22"/>
      <c r="D757" s="16"/>
      <c r="E757" s="21"/>
      <c r="F757" s="16"/>
      <c r="G757" s="16"/>
      <c r="H757" s="16"/>
      <c r="I757" s="16"/>
      <c r="J757" s="16"/>
      <c r="K757" s="16"/>
      <c r="L757" s="16"/>
      <c r="M757" s="16"/>
    </row>
    <row r="758" spans="1:13" x14ac:dyDescent="0.25">
      <c r="A758" s="2"/>
      <c r="B758" s="16"/>
      <c r="C758" s="22"/>
      <c r="D758" s="16"/>
      <c r="E758" s="21"/>
      <c r="F758" s="16"/>
      <c r="G758" s="16"/>
      <c r="H758" s="16"/>
      <c r="I758" s="16"/>
      <c r="J758" s="16"/>
      <c r="K758" s="16"/>
      <c r="L758" s="16"/>
      <c r="M758" s="16"/>
    </row>
    <row r="759" spans="1:13" x14ac:dyDescent="0.25">
      <c r="A759" s="2"/>
      <c r="B759" s="16"/>
      <c r="C759" s="22"/>
      <c r="D759" s="16"/>
      <c r="E759" s="21"/>
      <c r="F759" s="16"/>
      <c r="G759" s="16"/>
      <c r="H759" s="16"/>
      <c r="I759" s="16"/>
      <c r="J759" s="16"/>
      <c r="K759" s="16"/>
      <c r="L759" s="16"/>
      <c r="M759" s="16"/>
    </row>
    <row r="760" spans="1:13" x14ac:dyDescent="0.25">
      <c r="A760" s="2"/>
      <c r="B760" s="16"/>
      <c r="C760" s="22"/>
      <c r="D760" s="16"/>
      <c r="E760" s="21"/>
      <c r="F760" s="16"/>
      <c r="G760" s="16"/>
      <c r="H760" s="16"/>
      <c r="I760" s="16"/>
      <c r="J760" s="16"/>
      <c r="K760" s="16"/>
      <c r="L760" s="16"/>
      <c r="M760" s="16"/>
    </row>
    <row r="761" spans="1:13" x14ac:dyDescent="0.25">
      <c r="A761" s="2"/>
      <c r="B761" s="16"/>
      <c r="C761" s="22"/>
      <c r="D761" s="16"/>
      <c r="E761" s="21"/>
      <c r="F761" s="16"/>
      <c r="G761" s="16"/>
      <c r="H761" s="16"/>
      <c r="I761" s="16"/>
      <c r="J761" s="16"/>
      <c r="K761" s="16"/>
      <c r="L761" s="16"/>
      <c r="M761" s="16"/>
    </row>
    <row r="762" spans="1:13" x14ac:dyDescent="0.25">
      <c r="A762" s="2"/>
      <c r="B762" s="16"/>
      <c r="C762" s="22"/>
      <c r="D762" s="16"/>
      <c r="E762" s="21"/>
      <c r="F762" s="16"/>
      <c r="G762" s="16"/>
      <c r="H762" s="16"/>
      <c r="I762" s="16"/>
      <c r="J762" s="16"/>
      <c r="K762" s="16"/>
      <c r="L762" s="16"/>
      <c r="M762" s="16"/>
    </row>
    <row r="763" spans="1:13" x14ac:dyDescent="0.25">
      <c r="A763" s="2"/>
      <c r="B763" s="16"/>
      <c r="C763" s="22"/>
      <c r="D763" s="16"/>
      <c r="E763" s="21"/>
      <c r="F763" s="16"/>
      <c r="G763" s="16"/>
      <c r="H763" s="16"/>
      <c r="I763" s="16"/>
      <c r="J763" s="16"/>
      <c r="K763" s="16"/>
      <c r="L763" s="16"/>
      <c r="M763" s="16"/>
    </row>
    <row r="764" spans="1:13" x14ac:dyDescent="0.25">
      <c r="A764" s="2"/>
      <c r="B764" s="16"/>
      <c r="C764" s="22"/>
      <c r="D764" s="16"/>
      <c r="E764" s="21"/>
      <c r="F764" s="16"/>
      <c r="G764" s="16"/>
      <c r="H764" s="16"/>
      <c r="I764" s="16"/>
      <c r="J764" s="16"/>
      <c r="K764" s="16"/>
      <c r="L764" s="16"/>
      <c r="M764" s="16"/>
    </row>
    <row r="765" spans="1:13" x14ac:dyDescent="0.25">
      <c r="A765" s="2"/>
      <c r="B765" s="16"/>
      <c r="C765" s="22"/>
      <c r="D765" s="16"/>
      <c r="E765" s="21"/>
      <c r="F765" s="16"/>
      <c r="G765" s="16"/>
      <c r="H765" s="16"/>
      <c r="I765" s="16"/>
      <c r="J765" s="16"/>
      <c r="K765" s="16"/>
      <c r="L765" s="16"/>
      <c r="M765" s="16"/>
    </row>
    <row r="766" spans="1:13" x14ac:dyDescent="0.25">
      <c r="A766" s="2"/>
      <c r="B766" s="16"/>
      <c r="C766" s="22"/>
      <c r="D766" s="16"/>
      <c r="E766" s="21"/>
      <c r="F766" s="16"/>
      <c r="G766" s="16"/>
      <c r="H766" s="16"/>
      <c r="I766" s="16"/>
      <c r="J766" s="16"/>
      <c r="K766" s="16"/>
      <c r="L766" s="16"/>
      <c r="M766" s="16"/>
    </row>
    <row r="767" spans="1:13" x14ac:dyDescent="0.25">
      <c r="A767" s="2"/>
      <c r="B767" s="16"/>
      <c r="C767" s="22"/>
      <c r="D767" s="16"/>
      <c r="E767" s="21"/>
      <c r="F767" s="16"/>
      <c r="G767" s="16"/>
      <c r="H767" s="16"/>
      <c r="I767" s="16"/>
      <c r="J767" s="16"/>
      <c r="K767" s="16"/>
      <c r="L767" s="16"/>
      <c r="M767" s="16"/>
    </row>
    <row r="768" spans="1:13" x14ac:dyDescent="0.25">
      <c r="A768" s="2"/>
      <c r="B768" s="16"/>
      <c r="C768" s="22"/>
      <c r="D768" s="16"/>
      <c r="E768" s="21"/>
      <c r="F768" s="16"/>
      <c r="G768" s="16"/>
      <c r="H768" s="16"/>
      <c r="I768" s="16"/>
      <c r="J768" s="16"/>
      <c r="K768" s="16"/>
      <c r="L768" s="16"/>
      <c r="M768" s="16"/>
    </row>
    <row r="769" spans="1:13" x14ac:dyDescent="0.25">
      <c r="A769" s="2"/>
      <c r="B769" s="16"/>
      <c r="C769" s="22"/>
      <c r="D769" s="16"/>
      <c r="E769" s="21"/>
      <c r="F769" s="16"/>
      <c r="G769" s="16"/>
      <c r="H769" s="16"/>
      <c r="I769" s="16"/>
      <c r="J769" s="16"/>
      <c r="K769" s="16"/>
      <c r="L769" s="16"/>
      <c r="M769" s="16"/>
    </row>
    <row r="770" spans="1:13" x14ac:dyDescent="0.25">
      <c r="A770" s="2"/>
      <c r="B770" s="16"/>
      <c r="C770" s="22"/>
      <c r="D770" s="16"/>
      <c r="E770" s="21"/>
      <c r="F770" s="16"/>
      <c r="G770" s="16"/>
      <c r="H770" s="16"/>
      <c r="I770" s="16"/>
      <c r="J770" s="16"/>
      <c r="K770" s="16"/>
      <c r="L770" s="16"/>
      <c r="M770" s="16"/>
    </row>
    <row r="771" spans="1:13" x14ac:dyDescent="0.25">
      <c r="A771" s="2"/>
      <c r="B771" s="16"/>
      <c r="C771" s="22"/>
      <c r="D771" s="16"/>
      <c r="E771" s="21"/>
      <c r="F771" s="16"/>
      <c r="G771" s="16"/>
      <c r="H771" s="16"/>
      <c r="I771" s="16"/>
      <c r="J771" s="16"/>
      <c r="K771" s="16"/>
      <c r="L771" s="16"/>
      <c r="M771" s="16"/>
    </row>
    <row r="772" spans="1:13" x14ac:dyDescent="0.25">
      <c r="A772" s="2"/>
      <c r="B772" s="16"/>
      <c r="C772" s="22"/>
      <c r="D772" s="16"/>
      <c r="E772" s="21"/>
      <c r="F772" s="16"/>
      <c r="G772" s="16"/>
      <c r="H772" s="16"/>
      <c r="I772" s="16"/>
      <c r="J772" s="16"/>
      <c r="K772" s="16"/>
      <c r="L772" s="16"/>
      <c r="M772" s="16"/>
    </row>
    <row r="773" spans="1:13" x14ac:dyDescent="0.25">
      <c r="A773" s="2"/>
      <c r="B773" s="16"/>
      <c r="C773" s="22"/>
      <c r="D773" s="16"/>
      <c r="E773" s="21"/>
      <c r="F773" s="16"/>
      <c r="G773" s="16"/>
      <c r="H773" s="16"/>
      <c r="I773" s="16"/>
      <c r="J773" s="16"/>
      <c r="K773" s="16"/>
      <c r="L773" s="16"/>
      <c r="M773" s="16"/>
    </row>
    <row r="774" spans="1:13" x14ac:dyDescent="0.25">
      <c r="A774" s="2"/>
      <c r="B774" s="16"/>
      <c r="C774" s="22"/>
      <c r="D774" s="16"/>
      <c r="E774" s="21"/>
      <c r="F774" s="16"/>
      <c r="G774" s="16"/>
      <c r="H774" s="16"/>
      <c r="I774" s="16"/>
      <c r="J774" s="16"/>
      <c r="K774" s="16"/>
      <c r="L774" s="16"/>
      <c r="M774" s="16"/>
    </row>
    <row r="775" spans="1:13" x14ac:dyDescent="0.25">
      <c r="A775" s="2"/>
      <c r="B775" s="16"/>
      <c r="C775" s="22"/>
      <c r="D775" s="16"/>
      <c r="E775" s="21"/>
      <c r="F775" s="16"/>
      <c r="G775" s="16"/>
      <c r="H775" s="16"/>
      <c r="I775" s="16"/>
      <c r="J775" s="16"/>
      <c r="K775" s="16"/>
      <c r="L775" s="16"/>
      <c r="M775" s="16"/>
    </row>
    <row r="776" spans="1:13" x14ac:dyDescent="0.25">
      <c r="A776" s="2"/>
      <c r="B776" s="16"/>
      <c r="C776" s="22"/>
      <c r="D776" s="16"/>
      <c r="E776" s="21"/>
      <c r="F776" s="16"/>
      <c r="G776" s="16"/>
      <c r="H776" s="16"/>
      <c r="I776" s="16"/>
      <c r="J776" s="16"/>
      <c r="K776" s="16"/>
      <c r="L776" s="16"/>
      <c r="M776" s="16"/>
    </row>
    <row r="777" spans="1:13" x14ac:dyDescent="0.25">
      <c r="A777" s="2"/>
      <c r="B777" s="16"/>
      <c r="C777" s="22"/>
      <c r="D777" s="16"/>
      <c r="E777" s="21"/>
      <c r="F777" s="16"/>
      <c r="G777" s="16"/>
      <c r="H777" s="16"/>
      <c r="I777" s="16"/>
      <c r="J777" s="16"/>
      <c r="K777" s="16"/>
      <c r="L777" s="16"/>
      <c r="M777" s="16"/>
    </row>
    <row r="778" spans="1:13" x14ac:dyDescent="0.25">
      <c r="A778" s="2"/>
      <c r="B778" s="16"/>
      <c r="C778" s="22"/>
      <c r="D778" s="16"/>
      <c r="E778" s="21"/>
      <c r="F778" s="16"/>
      <c r="G778" s="16"/>
      <c r="H778" s="16"/>
      <c r="I778" s="16"/>
      <c r="J778" s="16"/>
      <c r="K778" s="16"/>
      <c r="L778" s="16"/>
      <c r="M778" s="16"/>
    </row>
    <row r="779" spans="1:13" x14ac:dyDescent="0.25">
      <c r="A779" s="2"/>
      <c r="B779" s="16"/>
      <c r="C779" s="22"/>
      <c r="D779" s="16"/>
      <c r="E779" s="21"/>
      <c r="F779" s="16"/>
      <c r="G779" s="16"/>
      <c r="H779" s="16"/>
      <c r="I779" s="16"/>
      <c r="J779" s="16"/>
      <c r="K779" s="16"/>
      <c r="L779" s="16"/>
      <c r="M779" s="16"/>
    </row>
    <row r="780" spans="1:13" x14ac:dyDescent="0.25">
      <c r="A780" s="2"/>
      <c r="B780" s="16"/>
      <c r="C780" s="22"/>
      <c r="D780" s="16"/>
      <c r="E780" s="21"/>
      <c r="F780" s="16"/>
      <c r="G780" s="16"/>
      <c r="H780" s="16"/>
      <c r="I780" s="16"/>
      <c r="J780" s="16"/>
      <c r="K780" s="16"/>
      <c r="L780" s="16"/>
      <c r="M780" s="16"/>
    </row>
    <row r="781" spans="1:13" x14ac:dyDescent="0.25">
      <c r="A781" s="2"/>
      <c r="B781" s="16"/>
      <c r="C781" s="22"/>
      <c r="D781" s="16"/>
      <c r="E781" s="21"/>
      <c r="F781" s="16"/>
      <c r="G781" s="16"/>
      <c r="H781" s="16"/>
      <c r="I781" s="16"/>
      <c r="J781" s="16"/>
      <c r="K781" s="16"/>
      <c r="L781" s="16"/>
      <c r="M781" s="16"/>
    </row>
    <row r="782" spans="1:13" x14ac:dyDescent="0.25">
      <c r="A782" s="2"/>
      <c r="B782" s="16"/>
      <c r="C782" s="22"/>
      <c r="D782" s="16"/>
      <c r="E782" s="21"/>
      <c r="F782" s="16"/>
      <c r="G782" s="16"/>
      <c r="H782" s="16"/>
      <c r="I782" s="16"/>
      <c r="J782" s="16"/>
      <c r="K782" s="16"/>
      <c r="L782" s="16"/>
      <c r="M782" s="16"/>
    </row>
    <row r="783" spans="1:13" x14ac:dyDescent="0.25">
      <c r="A783" s="2"/>
      <c r="B783" s="16"/>
      <c r="C783" s="22"/>
      <c r="D783" s="16"/>
      <c r="E783" s="21"/>
      <c r="F783" s="16"/>
      <c r="G783" s="16"/>
      <c r="H783" s="16"/>
      <c r="I783" s="16"/>
      <c r="J783" s="16"/>
      <c r="K783" s="16"/>
      <c r="L783" s="16"/>
      <c r="M783" s="16"/>
    </row>
    <row r="784" spans="1:13" x14ac:dyDescent="0.25">
      <c r="A784" s="2"/>
      <c r="B784" s="16"/>
      <c r="C784" s="22"/>
      <c r="D784" s="16"/>
      <c r="E784" s="21"/>
      <c r="F784" s="16"/>
      <c r="G784" s="16"/>
      <c r="H784" s="16"/>
      <c r="I784" s="16"/>
      <c r="J784" s="16"/>
      <c r="K784" s="16"/>
      <c r="L784" s="16"/>
      <c r="M784" s="16"/>
    </row>
    <row r="785" spans="1:13" x14ac:dyDescent="0.25">
      <c r="A785" s="2"/>
      <c r="B785" s="16"/>
      <c r="C785" s="22"/>
      <c r="D785" s="16"/>
      <c r="E785" s="21"/>
      <c r="F785" s="16"/>
      <c r="G785" s="16"/>
      <c r="H785" s="16"/>
      <c r="I785" s="16"/>
      <c r="J785" s="16"/>
      <c r="K785" s="16"/>
      <c r="L785" s="16"/>
      <c r="M785" s="16"/>
    </row>
    <row r="786" spans="1:13" x14ac:dyDescent="0.25">
      <c r="A786" s="2"/>
      <c r="B786" s="16"/>
      <c r="C786" s="22"/>
      <c r="D786" s="16"/>
      <c r="E786" s="21"/>
      <c r="F786" s="16"/>
      <c r="G786" s="16"/>
      <c r="H786" s="16"/>
      <c r="I786" s="16"/>
      <c r="J786" s="16"/>
      <c r="K786" s="16"/>
      <c r="L786" s="16"/>
      <c r="M786" s="16"/>
    </row>
    <row r="787" spans="1:13" x14ac:dyDescent="0.25">
      <c r="A787" s="2"/>
      <c r="B787" s="16"/>
      <c r="C787" s="22"/>
      <c r="D787" s="16"/>
      <c r="E787" s="21"/>
      <c r="F787" s="16"/>
      <c r="G787" s="16"/>
      <c r="H787" s="16"/>
      <c r="I787" s="16"/>
      <c r="J787" s="16"/>
      <c r="K787" s="16"/>
      <c r="L787" s="16"/>
      <c r="M787" s="16"/>
    </row>
    <row r="788" spans="1:13" x14ac:dyDescent="0.25">
      <c r="A788" s="2"/>
      <c r="B788" s="16"/>
      <c r="C788" s="22"/>
      <c r="D788" s="16"/>
      <c r="E788" s="21"/>
      <c r="F788" s="16"/>
      <c r="G788" s="16"/>
      <c r="H788" s="16"/>
      <c r="I788" s="16"/>
      <c r="J788" s="16"/>
      <c r="K788" s="16"/>
      <c r="L788" s="16"/>
      <c r="M788" s="16"/>
    </row>
    <row r="789" spans="1:13" x14ac:dyDescent="0.25">
      <c r="A789" s="2"/>
      <c r="B789" s="16"/>
      <c r="C789" s="22"/>
      <c r="D789" s="16"/>
      <c r="E789" s="21"/>
      <c r="F789" s="16"/>
      <c r="G789" s="16"/>
      <c r="H789" s="16"/>
      <c r="I789" s="16"/>
      <c r="J789" s="16"/>
      <c r="K789" s="16"/>
      <c r="L789" s="16"/>
      <c r="M789" s="16"/>
    </row>
    <row r="790" spans="1:13" x14ac:dyDescent="0.25">
      <c r="A790" s="2"/>
      <c r="B790" s="16"/>
      <c r="C790" s="22"/>
      <c r="D790" s="16"/>
      <c r="E790" s="21"/>
      <c r="F790" s="16"/>
      <c r="G790" s="16"/>
      <c r="H790" s="16"/>
      <c r="I790" s="16"/>
      <c r="J790" s="16"/>
      <c r="K790" s="16"/>
      <c r="L790" s="16"/>
      <c r="M790" s="16"/>
    </row>
    <row r="791" spans="1:13" x14ac:dyDescent="0.25">
      <c r="A791" s="2"/>
      <c r="B791" s="16"/>
      <c r="C791" s="22"/>
      <c r="D791" s="16"/>
      <c r="E791" s="21"/>
      <c r="F791" s="16"/>
      <c r="G791" s="16"/>
      <c r="H791" s="16"/>
      <c r="I791" s="16"/>
      <c r="J791" s="16"/>
      <c r="K791" s="16"/>
      <c r="L791" s="16"/>
      <c r="M791" s="16"/>
    </row>
    <row r="792" spans="1:13" x14ac:dyDescent="0.25">
      <c r="A792" s="2"/>
      <c r="B792" s="16"/>
      <c r="C792" s="22"/>
      <c r="D792" s="16"/>
      <c r="E792" s="21"/>
      <c r="F792" s="16"/>
      <c r="G792" s="16"/>
      <c r="H792" s="16"/>
      <c r="I792" s="16"/>
      <c r="J792" s="16"/>
      <c r="K792" s="16"/>
      <c r="L792" s="16"/>
      <c r="M792" s="16"/>
    </row>
    <row r="793" spans="1:13" x14ac:dyDescent="0.25">
      <c r="A793" s="2"/>
      <c r="B793" s="16"/>
      <c r="C793" s="22"/>
      <c r="D793" s="16"/>
      <c r="E793" s="21"/>
      <c r="F793" s="16"/>
      <c r="G793" s="16"/>
      <c r="H793" s="16"/>
      <c r="I793" s="16"/>
      <c r="J793" s="16"/>
      <c r="K793" s="16"/>
      <c r="L793" s="16"/>
      <c r="M793" s="16"/>
    </row>
    <row r="794" spans="1:13" x14ac:dyDescent="0.25">
      <c r="A794" s="2"/>
      <c r="B794" s="16"/>
      <c r="C794" s="22"/>
      <c r="D794" s="16"/>
      <c r="E794" s="21"/>
      <c r="F794" s="16"/>
      <c r="G794" s="16"/>
      <c r="H794" s="16"/>
      <c r="I794" s="16"/>
      <c r="J794" s="16"/>
      <c r="K794" s="16"/>
      <c r="L794" s="16"/>
      <c r="M794" s="16"/>
    </row>
    <row r="795" spans="1:13" x14ac:dyDescent="0.25">
      <c r="A795" s="2"/>
      <c r="B795" s="16"/>
      <c r="C795" s="22"/>
      <c r="D795" s="16"/>
      <c r="E795" s="21"/>
      <c r="F795" s="16"/>
      <c r="G795" s="16"/>
      <c r="H795" s="16"/>
      <c r="I795" s="16"/>
      <c r="J795" s="16"/>
      <c r="K795" s="16"/>
      <c r="L795" s="16"/>
      <c r="M795" s="16"/>
    </row>
    <row r="796" spans="1:13" x14ac:dyDescent="0.25">
      <c r="A796" s="2"/>
      <c r="B796" s="16"/>
      <c r="C796" s="22"/>
      <c r="D796" s="16"/>
      <c r="E796" s="21"/>
      <c r="F796" s="16"/>
      <c r="G796" s="16"/>
      <c r="H796" s="16"/>
      <c r="I796" s="16"/>
      <c r="J796" s="16"/>
      <c r="K796" s="16"/>
      <c r="L796" s="16"/>
      <c r="M796" s="16"/>
    </row>
    <row r="797" spans="1:13" x14ac:dyDescent="0.25">
      <c r="A797" s="2"/>
      <c r="B797" s="16"/>
      <c r="C797" s="22"/>
      <c r="D797" s="16"/>
      <c r="E797" s="21"/>
      <c r="F797" s="16"/>
      <c r="G797" s="16"/>
      <c r="H797" s="16"/>
      <c r="I797" s="16"/>
      <c r="J797" s="16"/>
      <c r="K797" s="16"/>
      <c r="L797" s="16"/>
      <c r="M797" s="16"/>
    </row>
    <row r="798" spans="1:13" x14ac:dyDescent="0.25">
      <c r="A798" s="2"/>
      <c r="B798" s="16"/>
      <c r="C798" s="22"/>
      <c r="D798" s="16"/>
      <c r="E798" s="21"/>
      <c r="F798" s="16"/>
      <c r="G798" s="16"/>
      <c r="H798" s="16"/>
      <c r="I798" s="16"/>
      <c r="J798" s="16"/>
      <c r="K798" s="16"/>
      <c r="L798" s="16"/>
      <c r="M798" s="16"/>
    </row>
    <row r="799" spans="1:13" x14ac:dyDescent="0.25">
      <c r="A799" s="2"/>
      <c r="B799" s="16"/>
      <c r="C799" s="22"/>
      <c r="D799" s="16"/>
      <c r="E799" s="21"/>
      <c r="F799" s="16"/>
      <c r="G799" s="16"/>
      <c r="H799" s="16"/>
      <c r="I799" s="16"/>
      <c r="J799" s="16"/>
      <c r="K799" s="16"/>
      <c r="L799" s="16"/>
      <c r="M799" s="16"/>
    </row>
    <row r="800" spans="1:13" x14ac:dyDescent="0.25">
      <c r="A800" s="2"/>
      <c r="B800" s="16"/>
      <c r="C800" s="22"/>
      <c r="D800" s="16"/>
      <c r="E800" s="21"/>
      <c r="F800" s="16"/>
      <c r="G800" s="16"/>
      <c r="H800" s="16"/>
      <c r="I800" s="16"/>
      <c r="J800" s="16"/>
      <c r="K800" s="16"/>
      <c r="L800" s="16"/>
      <c r="M800" s="16"/>
    </row>
    <row r="801" spans="1:13" x14ac:dyDescent="0.25">
      <c r="A801" s="2"/>
      <c r="B801" s="16"/>
      <c r="C801" s="22"/>
      <c r="D801" s="16"/>
      <c r="E801" s="21"/>
      <c r="F801" s="16"/>
      <c r="G801" s="16"/>
      <c r="H801" s="16"/>
      <c r="I801" s="16"/>
      <c r="J801" s="16"/>
      <c r="K801" s="16"/>
      <c r="L801" s="16"/>
      <c r="M801" s="16"/>
    </row>
    <row r="802" spans="1:13" x14ac:dyDescent="0.25">
      <c r="A802" s="2"/>
      <c r="B802" s="16"/>
      <c r="C802" s="22"/>
      <c r="D802" s="16"/>
      <c r="E802" s="21"/>
      <c r="F802" s="16"/>
      <c r="G802" s="16"/>
      <c r="H802" s="16"/>
      <c r="I802" s="16"/>
      <c r="J802" s="16"/>
      <c r="K802" s="16"/>
      <c r="L802" s="16"/>
      <c r="M802" s="16"/>
    </row>
    <row r="803" spans="1:13" x14ac:dyDescent="0.25">
      <c r="A803" s="2"/>
      <c r="B803" s="16"/>
      <c r="C803" s="22"/>
      <c r="D803" s="16"/>
      <c r="E803" s="21"/>
      <c r="F803" s="16"/>
      <c r="G803" s="16"/>
      <c r="H803" s="16"/>
      <c r="I803" s="16"/>
      <c r="J803" s="16"/>
      <c r="K803" s="16"/>
      <c r="L803" s="16"/>
      <c r="M803" s="16"/>
    </row>
    <row r="804" spans="1:13" x14ac:dyDescent="0.25">
      <c r="A804" s="2"/>
      <c r="B804" s="16"/>
      <c r="C804" s="22"/>
      <c r="D804" s="16"/>
      <c r="E804" s="21"/>
      <c r="F804" s="16"/>
      <c r="G804" s="16"/>
      <c r="H804" s="16"/>
      <c r="I804" s="16"/>
      <c r="J804" s="16"/>
      <c r="K804" s="16"/>
      <c r="L804" s="16"/>
      <c r="M804" s="16"/>
    </row>
    <row r="805" spans="1:13" x14ac:dyDescent="0.25">
      <c r="A805" s="2"/>
      <c r="B805" s="16"/>
      <c r="C805" s="22"/>
      <c r="D805" s="16"/>
      <c r="E805" s="21"/>
      <c r="F805" s="16"/>
      <c r="G805" s="16"/>
      <c r="H805" s="16"/>
      <c r="I805" s="16"/>
      <c r="J805" s="16"/>
      <c r="K805" s="16"/>
      <c r="L805" s="16"/>
      <c r="M805" s="16"/>
    </row>
    <row r="806" spans="1:13" x14ac:dyDescent="0.25">
      <c r="A806" s="2"/>
      <c r="B806" s="16"/>
      <c r="C806" s="22"/>
      <c r="D806" s="16"/>
      <c r="E806" s="21"/>
      <c r="F806" s="16"/>
      <c r="G806" s="16"/>
      <c r="H806" s="16"/>
      <c r="I806" s="16"/>
      <c r="J806" s="16"/>
      <c r="K806" s="16"/>
      <c r="L806" s="16"/>
      <c r="M806" s="16"/>
    </row>
    <row r="807" spans="1:13" x14ac:dyDescent="0.25">
      <c r="A807" s="2"/>
      <c r="B807" s="16"/>
      <c r="C807" s="22"/>
      <c r="D807" s="16"/>
      <c r="E807" s="21"/>
      <c r="F807" s="16"/>
      <c r="G807" s="16"/>
      <c r="H807" s="16"/>
      <c r="I807" s="16"/>
      <c r="J807" s="16"/>
      <c r="K807" s="16"/>
      <c r="L807" s="16"/>
      <c r="M807" s="16"/>
    </row>
    <row r="808" spans="1:13" x14ac:dyDescent="0.25">
      <c r="A808" s="2"/>
      <c r="B808" s="16"/>
      <c r="C808" s="22"/>
      <c r="D808" s="16"/>
      <c r="E808" s="21"/>
      <c r="F808" s="16"/>
      <c r="G808" s="16"/>
      <c r="H808" s="16"/>
      <c r="I808" s="16"/>
      <c r="J808" s="16"/>
      <c r="K808" s="16"/>
      <c r="L808" s="16"/>
      <c r="M808" s="16"/>
    </row>
    <row r="809" spans="1:13" x14ac:dyDescent="0.25">
      <c r="A809" s="2"/>
      <c r="B809" s="16"/>
      <c r="C809" s="22"/>
      <c r="D809" s="16"/>
      <c r="E809" s="21"/>
      <c r="F809" s="16"/>
      <c r="G809" s="16"/>
      <c r="H809" s="16"/>
      <c r="I809" s="16"/>
      <c r="J809" s="16"/>
      <c r="K809" s="16"/>
      <c r="L809" s="16"/>
      <c r="M809" s="16"/>
    </row>
    <row r="810" spans="1:13" x14ac:dyDescent="0.25">
      <c r="A810" s="2"/>
      <c r="B810" s="16"/>
      <c r="C810" s="22"/>
      <c r="D810" s="16"/>
      <c r="E810" s="21"/>
      <c r="F810" s="16"/>
      <c r="G810" s="16"/>
      <c r="H810" s="16"/>
      <c r="I810" s="16"/>
      <c r="J810" s="16"/>
      <c r="K810" s="16"/>
      <c r="L810" s="16"/>
      <c r="M810" s="16"/>
    </row>
    <row r="811" spans="1:13" x14ac:dyDescent="0.25">
      <c r="A811" s="2"/>
      <c r="B811" s="16"/>
      <c r="C811" s="22"/>
      <c r="D811" s="16"/>
      <c r="E811" s="21"/>
      <c r="F811" s="16"/>
      <c r="G811" s="16"/>
      <c r="H811" s="16"/>
      <c r="I811" s="16"/>
      <c r="J811" s="16"/>
      <c r="K811" s="16"/>
      <c r="L811" s="16"/>
      <c r="M811" s="16"/>
    </row>
    <row r="812" spans="1:13" x14ac:dyDescent="0.25">
      <c r="A812" s="2"/>
      <c r="B812" s="16"/>
      <c r="C812" s="22"/>
      <c r="D812" s="16"/>
      <c r="E812" s="21"/>
      <c r="F812" s="16"/>
      <c r="G812" s="16"/>
      <c r="H812" s="16"/>
      <c r="I812" s="16"/>
      <c r="J812" s="16"/>
      <c r="K812" s="16"/>
      <c r="L812" s="16"/>
      <c r="M812" s="16"/>
    </row>
    <row r="813" spans="1:13" x14ac:dyDescent="0.25">
      <c r="A813" s="2"/>
      <c r="B813" s="16"/>
      <c r="C813" s="22"/>
      <c r="D813" s="16"/>
      <c r="E813" s="21"/>
      <c r="F813" s="16"/>
      <c r="G813" s="16"/>
      <c r="H813" s="16"/>
      <c r="I813" s="16"/>
      <c r="J813" s="16"/>
      <c r="K813" s="16"/>
      <c r="L813" s="16"/>
      <c r="M813" s="16"/>
    </row>
    <row r="814" spans="1:13" x14ac:dyDescent="0.25">
      <c r="A814" s="2"/>
      <c r="B814" s="16"/>
      <c r="C814" s="22"/>
      <c r="D814" s="16"/>
      <c r="E814" s="21"/>
      <c r="F814" s="16"/>
      <c r="G814" s="16"/>
      <c r="H814" s="16"/>
      <c r="I814" s="16"/>
      <c r="J814" s="16"/>
      <c r="K814" s="16"/>
      <c r="L814" s="16"/>
      <c r="M814" s="16"/>
    </row>
    <row r="815" spans="1:13" x14ac:dyDescent="0.25">
      <c r="A815" s="2"/>
      <c r="B815" s="16"/>
      <c r="C815" s="22"/>
      <c r="D815" s="16"/>
      <c r="E815" s="21"/>
      <c r="F815" s="16"/>
      <c r="G815" s="16"/>
      <c r="H815" s="16"/>
      <c r="I815" s="16"/>
      <c r="J815" s="16"/>
      <c r="K815" s="16"/>
      <c r="L815" s="16"/>
      <c r="M815" s="16"/>
    </row>
    <row r="816" spans="1:13" x14ac:dyDescent="0.25">
      <c r="A816" s="2"/>
      <c r="B816" s="16"/>
      <c r="C816" s="22"/>
      <c r="D816" s="16"/>
      <c r="E816" s="21"/>
      <c r="F816" s="16"/>
      <c r="G816" s="16"/>
      <c r="H816" s="16"/>
      <c r="I816" s="16"/>
      <c r="J816" s="16"/>
      <c r="K816" s="16"/>
      <c r="L816" s="16"/>
      <c r="M816" s="16"/>
    </row>
    <row r="817" spans="1:13" x14ac:dyDescent="0.25">
      <c r="A817" s="2"/>
      <c r="B817" s="16"/>
      <c r="C817" s="22"/>
      <c r="D817" s="16"/>
      <c r="E817" s="21"/>
      <c r="F817" s="16"/>
      <c r="G817" s="16"/>
      <c r="H817" s="16"/>
      <c r="I817" s="16"/>
      <c r="J817" s="16"/>
      <c r="K817" s="16"/>
      <c r="L817" s="16"/>
      <c r="M817" s="16"/>
    </row>
    <row r="818" spans="1:13" x14ac:dyDescent="0.25">
      <c r="A818" s="2"/>
      <c r="B818" s="16"/>
      <c r="C818" s="22"/>
      <c r="D818" s="16"/>
      <c r="E818" s="21"/>
      <c r="F818" s="16"/>
      <c r="G818" s="16"/>
      <c r="H818" s="16"/>
      <c r="I818" s="16"/>
      <c r="J818" s="16"/>
      <c r="K818" s="16"/>
      <c r="L818" s="16"/>
      <c r="M818" s="16"/>
    </row>
    <row r="819" spans="1:13" x14ac:dyDescent="0.25">
      <c r="A819" s="2"/>
      <c r="B819" s="16"/>
      <c r="C819" s="22"/>
      <c r="D819" s="16"/>
      <c r="E819" s="21"/>
      <c r="F819" s="16"/>
      <c r="G819" s="16"/>
      <c r="H819" s="16"/>
      <c r="I819" s="16"/>
      <c r="J819" s="16"/>
      <c r="K819" s="16"/>
      <c r="L819" s="16"/>
      <c r="M819" s="16"/>
    </row>
    <row r="820" spans="1:13" x14ac:dyDescent="0.25">
      <c r="A820" s="2"/>
      <c r="B820" s="16"/>
      <c r="C820" s="22"/>
      <c r="D820" s="16"/>
      <c r="E820" s="21"/>
      <c r="F820" s="16"/>
      <c r="G820" s="16"/>
      <c r="H820" s="16"/>
      <c r="I820" s="16"/>
      <c r="J820" s="16"/>
      <c r="K820" s="16"/>
      <c r="L820" s="16"/>
      <c r="M820" s="16"/>
    </row>
    <row r="821" spans="1:13" x14ac:dyDescent="0.25">
      <c r="A821" s="2"/>
      <c r="B821" s="16"/>
      <c r="C821" s="22"/>
      <c r="D821" s="16"/>
      <c r="E821" s="21"/>
      <c r="F821" s="16"/>
      <c r="G821" s="16"/>
      <c r="H821" s="16"/>
      <c r="I821" s="16"/>
      <c r="J821" s="16"/>
      <c r="K821" s="16"/>
      <c r="L821" s="16"/>
      <c r="M821" s="16"/>
    </row>
    <row r="822" spans="1:13" x14ac:dyDescent="0.25">
      <c r="A822" s="2"/>
      <c r="B822" s="16"/>
      <c r="C822" s="22"/>
      <c r="D822" s="16"/>
      <c r="E822" s="21"/>
      <c r="F822" s="16"/>
      <c r="G822" s="16"/>
      <c r="H822" s="16"/>
      <c r="I822" s="16"/>
      <c r="J822" s="16"/>
      <c r="K822" s="16"/>
      <c r="L822" s="16"/>
      <c r="M822" s="16"/>
    </row>
    <row r="823" spans="1:13" x14ac:dyDescent="0.25">
      <c r="A823" s="2"/>
      <c r="B823" s="16"/>
      <c r="C823" s="22"/>
      <c r="D823" s="16"/>
      <c r="E823" s="21"/>
      <c r="F823" s="16"/>
      <c r="G823" s="16"/>
      <c r="H823" s="16"/>
      <c r="I823" s="16"/>
      <c r="J823" s="16"/>
      <c r="K823" s="16"/>
      <c r="L823" s="16"/>
      <c r="M823" s="16"/>
    </row>
    <row r="824" spans="1:13" x14ac:dyDescent="0.25">
      <c r="A824" s="2"/>
      <c r="B824" s="16"/>
      <c r="C824" s="22"/>
      <c r="D824" s="16"/>
      <c r="E824" s="21"/>
      <c r="F824" s="16"/>
      <c r="G824" s="16"/>
      <c r="H824" s="16"/>
      <c r="I824" s="16"/>
      <c r="J824" s="16"/>
      <c r="K824" s="16"/>
      <c r="L824" s="16"/>
      <c r="M824" s="16"/>
    </row>
    <row r="825" spans="1:13" x14ac:dyDescent="0.25">
      <c r="A825" s="2"/>
      <c r="B825" s="16"/>
      <c r="C825" s="22"/>
      <c r="D825" s="16"/>
      <c r="E825" s="21"/>
      <c r="F825" s="16"/>
      <c r="G825" s="16"/>
      <c r="H825" s="16"/>
      <c r="I825" s="16"/>
      <c r="J825" s="16"/>
      <c r="K825" s="16"/>
      <c r="L825" s="16"/>
      <c r="M825" s="16"/>
    </row>
    <row r="826" spans="1:13" x14ac:dyDescent="0.25">
      <c r="A826" s="2"/>
      <c r="B826" s="16"/>
      <c r="C826" s="22"/>
      <c r="D826" s="16"/>
      <c r="E826" s="21"/>
      <c r="F826" s="16"/>
      <c r="G826" s="16"/>
      <c r="H826" s="16"/>
      <c r="I826" s="16"/>
      <c r="J826" s="16"/>
      <c r="K826" s="16"/>
      <c r="L826" s="16"/>
      <c r="M826" s="16"/>
    </row>
    <row r="827" spans="1:13" x14ac:dyDescent="0.25">
      <c r="A827" s="2"/>
      <c r="B827" s="16"/>
      <c r="C827" s="22"/>
      <c r="D827" s="16"/>
      <c r="E827" s="21"/>
      <c r="F827" s="16"/>
      <c r="G827" s="16"/>
      <c r="H827" s="16"/>
      <c r="I827" s="16"/>
      <c r="J827" s="16"/>
      <c r="K827" s="16"/>
      <c r="L827" s="16"/>
      <c r="M827" s="16"/>
    </row>
    <row r="828" spans="1:13" x14ac:dyDescent="0.25">
      <c r="A828" s="2"/>
      <c r="B828" s="16"/>
      <c r="C828" s="22"/>
      <c r="D828" s="16"/>
      <c r="E828" s="21"/>
      <c r="F828" s="16"/>
      <c r="G828" s="16"/>
      <c r="H828" s="16"/>
      <c r="I828" s="16"/>
      <c r="J828" s="16"/>
      <c r="K828" s="16"/>
      <c r="L828" s="16"/>
      <c r="M828" s="16"/>
    </row>
    <row r="829" spans="1:13" x14ac:dyDescent="0.25">
      <c r="A829" s="2"/>
      <c r="B829" s="16"/>
      <c r="C829" s="22"/>
      <c r="D829" s="16"/>
      <c r="E829" s="21"/>
      <c r="F829" s="16"/>
      <c r="G829" s="16"/>
      <c r="H829" s="16"/>
      <c r="I829" s="16"/>
      <c r="J829" s="16"/>
      <c r="K829" s="16"/>
      <c r="L829" s="16"/>
      <c r="M829" s="16"/>
    </row>
    <row r="830" spans="1:13" x14ac:dyDescent="0.25">
      <c r="A830" s="2"/>
      <c r="B830" s="16"/>
      <c r="C830" s="22"/>
      <c r="D830" s="16"/>
      <c r="E830" s="21"/>
      <c r="F830" s="16"/>
      <c r="G830" s="16"/>
      <c r="H830" s="16"/>
      <c r="I830" s="16"/>
      <c r="J830" s="16"/>
      <c r="K830" s="16"/>
      <c r="L830" s="16"/>
      <c r="M830" s="16"/>
    </row>
    <row r="831" spans="1:13" x14ac:dyDescent="0.25">
      <c r="A831" s="2"/>
      <c r="B831" s="16"/>
      <c r="C831" s="22"/>
      <c r="D831" s="16"/>
      <c r="E831" s="21"/>
      <c r="F831" s="16"/>
      <c r="G831" s="16"/>
      <c r="H831" s="16"/>
      <c r="I831" s="16"/>
      <c r="J831" s="16"/>
      <c r="K831" s="16"/>
      <c r="L831" s="16"/>
      <c r="M831" s="16"/>
    </row>
    <row r="832" spans="1:13" x14ac:dyDescent="0.25">
      <c r="A832" s="2"/>
      <c r="B832" s="16"/>
      <c r="C832" s="22"/>
      <c r="D832" s="16"/>
      <c r="E832" s="21"/>
      <c r="F832" s="16"/>
      <c r="G832" s="16"/>
      <c r="H832" s="16"/>
      <c r="I832" s="16"/>
      <c r="J832" s="16"/>
      <c r="K832" s="16"/>
      <c r="L832" s="16"/>
      <c r="M832" s="16"/>
    </row>
    <row r="833" spans="1:13" x14ac:dyDescent="0.25">
      <c r="A833" s="2"/>
      <c r="B833" s="16"/>
      <c r="C833" s="22"/>
      <c r="D833" s="16"/>
      <c r="E833" s="21"/>
      <c r="F833" s="16"/>
      <c r="G833" s="16"/>
      <c r="H833" s="16"/>
      <c r="I833" s="16"/>
      <c r="J833" s="16"/>
      <c r="K833" s="16"/>
      <c r="L833" s="16"/>
      <c r="M833" s="16"/>
    </row>
    <row r="834" spans="1:13" x14ac:dyDescent="0.25">
      <c r="A834" s="2"/>
      <c r="B834" s="16"/>
      <c r="C834" s="22"/>
      <c r="D834" s="16"/>
      <c r="E834" s="21"/>
      <c r="F834" s="16"/>
      <c r="G834" s="16"/>
      <c r="H834" s="16"/>
      <c r="I834" s="16"/>
      <c r="J834" s="16"/>
      <c r="K834" s="16"/>
      <c r="L834" s="16"/>
      <c r="M834" s="16"/>
    </row>
    <row r="835" spans="1:13" x14ac:dyDescent="0.25">
      <c r="A835" s="2"/>
      <c r="B835" s="16"/>
      <c r="C835" s="22"/>
      <c r="D835" s="16"/>
      <c r="E835" s="21"/>
      <c r="F835" s="16"/>
      <c r="G835" s="16"/>
      <c r="H835" s="16"/>
      <c r="I835" s="16"/>
      <c r="J835" s="16"/>
      <c r="K835" s="16"/>
      <c r="L835" s="16"/>
      <c r="M835" s="16"/>
    </row>
    <row r="836" spans="1:13" x14ac:dyDescent="0.25">
      <c r="A836" s="2"/>
      <c r="B836" s="16"/>
      <c r="C836" s="22"/>
      <c r="D836" s="16"/>
      <c r="E836" s="21"/>
      <c r="F836" s="16"/>
      <c r="G836" s="16"/>
      <c r="H836" s="16"/>
      <c r="I836" s="16"/>
      <c r="J836" s="16"/>
      <c r="K836" s="16"/>
      <c r="L836" s="16"/>
      <c r="M836" s="16"/>
    </row>
    <row r="837" spans="1:13" x14ac:dyDescent="0.25">
      <c r="A837" s="2"/>
      <c r="B837" s="16"/>
      <c r="C837" s="22"/>
      <c r="D837" s="16"/>
      <c r="E837" s="21"/>
      <c r="F837" s="16"/>
      <c r="G837" s="16"/>
      <c r="H837" s="16"/>
      <c r="I837" s="16"/>
      <c r="J837" s="16"/>
      <c r="K837" s="16"/>
      <c r="L837" s="16"/>
      <c r="M837" s="16"/>
    </row>
    <row r="838" spans="1:13" x14ac:dyDescent="0.25">
      <c r="A838" s="2"/>
      <c r="B838" s="16"/>
      <c r="C838" s="22"/>
      <c r="D838" s="16"/>
      <c r="E838" s="21"/>
      <c r="F838" s="16"/>
      <c r="G838" s="16"/>
      <c r="H838" s="16"/>
      <c r="I838" s="16"/>
      <c r="J838" s="16"/>
      <c r="K838" s="16"/>
      <c r="L838" s="16"/>
      <c r="M838" s="16"/>
    </row>
    <row r="839" spans="1:13" x14ac:dyDescent="0.25">
      <c r="A839" s="2"/>
      <c r="B839" s="16"/>
      <c r="C839" s="22"/>
      <c r="D839" s="16"/>
      <c r="E839" s="21"/>
      <c r="F839" s="16"/>
      <c r="G839" s="16"/>
      <c r="H839" s="16"/>
      <c r="I839" s="16"/>
      <c r="J839" s="16"/>
      <c r="K839" s="16"/>
      <c r="L839" s="16"/>
      <c r="M839" s="16"/>
    </row>
    <row r="840" spans="1:13" x14ac:dyDescent="0.25">
      <c r="A840" s="2"/>
      <c r="B840" s="16"/>
      <c r="C840" s="22"/>
      <c r="D840" s="16"/>
      <c r="E840" s="21"/>
      <c r="F840" s="16"/>
      <c r="G840" s="16"/>
      <c r="H840" s="16"/>
      <c r="I840" s="16"/>
      <c r="J840" s="16"/>
      <c r="K840" s="16"/>
      <c r="L840" s="16"/>
      <c r="M840" s="16"/>
    </row>
    <row r="841" spans="1:13" x14ac:dyDescent="0.25">
      <c r="A841" s="2"/>
      <c r="B841" s="16"/>
      <c r="C841" s="22"/>
      <c r="D841" s="16"/>
      <c r="E841" s="21"/>
      <c r="F841" s="16"/>
      <c r="G841" s="16"/>
      <c r="H841" s="16"/>
      <c r="I841" s="16"/>
      <c r="J841" s="16"/>
      <c r="K841" s="16"/>
      <c r="L841" s="16"/>
      <c r="M841" s="16"/>
    </row>
    <row r="842" spans="1:13" x14ac:dyDescent="0.25">
      <c r="A842" s="2"/>
      <c r="B842" s="16"/>
      <c r="C842" s="22"/>
      <c r="D842" s="16"/>
      <c r="E842" s="21"/>
      <c r="F842" s="16"/>
      <c r="G842" s="16"/>
      <c r="H842" s="16"/>
      <c r="I842" s="16"/>
      <c r="J842" s="16"/>
      <c r="K842" s="16"/>
      <c r="L842" s="16"/>
      <c r="M842" s="16"/>
    </row>
    <row r="843" spans="1:13" x14ac:dyDescent="0.25">
      <c r="A843" s="2"/>
      <c r="B843" s="16"/>
      <c r="C843" s="22"/>
      <c r="D843" s="16"/>
      <c r="E843" s="21"/>
      <c r="F843" s="16"/>
      <c r="G843" s="16"/>
      <c r="H843" s="16"/>
      <c r="I843" s="16"/>
      <c r="J843" s="16"/>
      <c r="K843" s="16"/>
      <c r="L843" s="16"/>
      <c r="M843" s="16"/>
    </row>
    <row r="844" spans="1:13" x14ac:dyDescent="0.25">
      <c r="A844" s="2"/>
      <c r="B844" s="16"/>
      <c r="C844" s="22"/>
      <c r="D844" s="16"/>
      <c r="E844" s="21"/>
      <c r="F844" s="16"/>
      <c r="G844" s="16"/>
      <c r="H844" s="16"/>
      <c r="I844" s="16"/>
      <c r="J844" s="16"/>
      <c r="K844" s="16"/>
      <c r="L844" s="16"/>
      <c r="M844" s="16"/>
    </row>
    <row r="845" spans="1:13" x14ac:dyDescent="0.25">
      <c r="A845" s="2"/>
      <c r="B845" s="16"/>
      <c r="C845" s="22"/>
      <c r="D845" s="16"/>
      <c r="E845" s="21"/>
      <c r="F845" s="16"/>
      <c r="G845" s="16"/>
      <c r="H845" s="16"/>
      <c r="I845" s="16"/>
      <c r="J845" s="16"/>
      <c r="K845" s="16"/>
      <c r="L845" s="16"/>
      <c r="M845" s="16"/>
    </row>
    <row r="846" spans="1:13" x14ac:dyDescent="0.25">
      <c r="A846" s="2"/>
      <c r="B846" s="16"/>
      <c r="C846" s="22"/>
      <c r="D846" s="16"/>
      <c r="E846" s="21"/>
      <c r="F846" s="16"/>
      <c r="G846" s="16"/>
      <c r="H846" s="16"/>
      <c r="I846" s="16"/>
      <c r="J846" s="16"/>
      <c r="K846" s="16"/>
      <c r="L846" s="16"/>
      <c r="M846" s="16"/>
    </row>
    <row r="847" spans="1:13" x14ac:dyDescent="0.25">
      <c r="A847" s="2"/>
      <c r="B847" s="16"/>
      <c r="C847" s="22"/>
      <c r="D847" s="16"/>
      <c r="E847" s="21"/>
      <c r="F847" s="16"/>
      <c r="G847" s="16"/>
      <c r="H847" s="16"/>
      <c r="I847" s="16"/>
      <c r="J847" s="16"/>
      <c r="K847" s="16"/>
      <c r="L847" s="16"/>
      <c r="M847" s="16"/>
    </row>
    <row r="848" spans="1:13" x14ac:dyDescent="0.25">
      <c r="A848" s="2"/>
      <c r="B848" s="16"/>
      <c r="C848" s="22"/>
      <c r="D848" s="16"/>
      <c r="E848" s="21"/>
      <c r="F848" s="16"/>
      <c r="G848" s="16"/>
      <c r="H848" s="16"/>
      <c r="I848" s="16"/>
      <c r="J848" s="16"/>
      <c r="K848" s="16"/>
      <c r="L848" s="16"/>
      <c r="M848" s="16"/>
    </row>
    <row r="849" spans="1:13" x14ac:dyDescent="0.25">
      <c r="A849" s="2"/>
      <c r="B849" s="16"/>
      <c r="C849" s="22"/>
      <c r="D849" s="16"/>
      <c r="E849" s="21"/>
      <c r="F849" s="16"/>
      <c r="G849" s="16"/>
      <c r="H849" s="16"/>
      <c r="I849" s="16"/>
      <c r="J849" s="16"/>
      <c r="K849" s="16"/>
      <c r="L849" s="16"/>
      <c r="M849" s="16"/>
    </row>
    <row r="850" spans="1:13" x14ac:dyDescent="0.25">
      <c r="A850" s="2"/>
      <c r="B850" s="16"/>
      <c r="C850" s="22"/>
      <c r="D850" s="16"/>
      <c r="E850" s="21"/>
      <c r="F850" s="16"/>
      <c r="G850" s="16"/>
      <c r="H850" s="16"/>
      <c r="I850" s="16"/>
      <c r="J850" s="16"/>
      <c r="K850" s="16"/>
      <c r="L850" s="16"/>
      <c r="M850" s="16"/>
    </row>
    <row r="851" spans="1:13" x14ac:dyDescent="0.25">
      <c r="A851" s="2"/>
      <c r="B851" s="16"/>
      <c r="C851" s="22"/>
      <c r="D851" s="16"/>
      <c r="E851" s="21"/>
      <c r="F851" s="16"/>
      <c r="G851" s="16"/>
      <c r="H851" s="16"/>
      <c r="I851" s="16"/>
      <c r="J851" s="16"/>
      <c r="K851" s="16"/>
      <c r="L851" s="16"/>
      <c r="M851" s="16"/>
    </row>
    <row r="852" spans="1:13" x14ac:dyDescent="0.25">
      <c r="A852" s="2"/>
      <c r="B852" s="16"/>
      <c r="C852" s="22"/>
      <c r="D852" s="16"/>
      <c r="E852" s="21"/>
      <c r="F852" s="16"/>
      <c r="G852" s="16"/>
      <c r="H852" s="16"/>
      <c r="I852" s="16"/>
      <c r="J852" s="16"/>
      <c r="K852" s="16"/>
      <c r="L852" s="16"/>
      <c r="M852" s="16"/>
    </row>
    <row r="853" spans="1:13" x14ac:dyDescent="0.25">
      <c r="A853" s="2"/>
      <c r="B853" s="16"/>
      <c r="C853" s="22"/>
      <c r="D853" s="16"/>
      <c r="E853" s="21"/>
      <c r="F853" s="16"/>
      <c r="G853" s="16"/>
      <c r="H853" s="16"/>
      <c r="I853" s="16"/>
      <c r="J853" s="16"/>
      <c r="K853" s="16"/>
      <c r="L853" s="16"/>
      <c r="M853" s="16"/>
    </row>
    <row r="854" spans="1:13" x14ac:dyDescent="0.25">
      <c r="A854" s="2"/>
      <c r="B854" s="16"/>
      <c r="C854" s="22"/>
      <c r="D854" s="16"/>
      <c r="E854" s="21"/>
      <c r="F854" s="16"/>
      <c r="G854" s="16"/>
      <c r="H854" s="16"/>
      <c r="I854" s="16"/>
      <c r="J854" s="16"/>
      <c r="K854" s="16"/>
      <c r="L854" s="16"/>
      <c r="M854" s="16"/>
    </row>
    <row r="855" spans="1:13" x14ac:dyDescent="0.25">
      <c r="A855" s="2"/>
      <c r="B855" s="16"/>
      <c r="C855" s="22"/>
      <c r="D855" s="16"/>
      <c r="E855" s="21"/>
      <c r="F855" s="16"/>
      <c r="G855" s="16"/>
      <c r="H855" s="16"/>
      <c r="I855" s="16"/>
      <c r="J855" s="16"/>
      <c r="K855" s="16"/>
      <c r="L855" s="16"/>
      <c r="M855" s="16"/>
    </row>
    <row r="856" spans="1:13" x14ac:dyDescent="0.25">
      <c r="A856" s="2"/>
      <c r="B856" s="16"/>
      <c r="C856" s="22"/>
      <c r="D856" s="16"/>
      <c r="E856" s="21"/>
      <c r="F856" s="16"/>
      <c r="G856" s="16"/>
      <c r="H856" s="16"/>
      <c r="I856" s="16"/>
      <c r="J856" s="16"/>
      <c r="K856" s="16"/>
      <c r="L856" s="16"/>
      <c r="M856" s="16"/>
    </row>
    <row r="857" spans="1:13" x14ac:dyDescent="0.25">
      <c r="A857" s="2"/>
      <c r="B857" s="16"/>
      <c r="C857" s="22"/>
      <c r="D857" s="16"/>
      <c r="E857" s="21"/>
      <c r="F857" s="16"/>
      <c r="G857" s="16"/>
      <c r="H857" s="16"/>
      <c r="I857" s="16"/>
      <c r="J857" s="16"/>
      <c r="K857" s="16"/>
      <c r="L857" s="16"/>
      <c r="M857" s="16"/>
    </row>
    <row r="858" spans="1:13" x14ac:dyDescent="0.25">
      <c r="A858" s="2"/>
      <c r="B858" s="16"/>
      <c r="C858" s="22"/>
      <c r="D858" s="16"/>
      <c r="E858" s="21"/>
      <c r="F858" s="16"/>
      <c r="G858" s="16"/>
      <c r="H858" s="16"/>
      <c r="I858" s="16"/>
      <c r="J858" s="16"/>
      <c r="K858" s="16"/>
      <c r="L858" s="16"/>
      <c r="M858" s="16"/>
    </row>
    <row r="859" spans="1:13" x14ac:dyDescent="0.25">
      <c r="A859" s="2"/>
      <c r="B859" s="16"/>
      <c r="C859" s="22"/>
      <c r="D859" s="16"/>
      <c r="E859" s="21"/>
      <c r="F859" s="16"/>
      <c r="G859" s="16"/>
      <c r="H859" s="16"/>
      <c r="I859" s="16"/>
      <c r="J859" s="16"/>
      <c r="K859" s="16"/>
      <c r="L859" s="16"/>
      <c r="M859" s="16"/>
    </row>
    <row r="860" spans="1:13" x14ac:dyDescent="0.25">
      <c r="A860" s="2"/>
      <c r="B860" s="16"/>
      <c r="C860" s="22"/>
      <c r="D860" s="16"/>
      <c r="E860" s="21"/>
      <c r="F860" s="16"/>
      <c r="G860" s="16"/>
      <c r="H860" s="16"/>
      <c r="I860" s="16"/>
      <c r="J860" s="16"/>
      <c r="K860" s="16"/>
      <c r="L860" s="16"/>
      <c r="M860" s="16"/>
    </row>
    <row r="861" spans="1:13" x14ac:dyDescent="0.25">
      <c r="A861" s="2"/>
      <c r="B861" s="16"/>
      <c r="C861" s="22"/>
      <c r="D861" s="16"/>
      <c r="E861" s="21"/>
      <c r="F861" s="16"/>
      <c r="G861" s="16"/>
      <c r="H861" s="16"/>
      <c r="I861" s="16"/>
      <c r="J861" s="16"/>
      <c r="K861" s="16"/>
      <c r="L861" s="16"/>
      <c r="M861" s="16"/>
    </row>
    <row r="862" spans="1:13" x14ac:dyDescent="0.25">
      <c r="A862" s="2"/>
      <c r="B862" s="16"/>
      <c r="C862" s="22"/>
      <c r="D862" s="16"/>
      <c r="E862" s="21"/>
      <c r="F862" s="16"/>
      <c r="G862" s="16"/>
      <c r="H862" s="16"/>
      <c r="I862" s="16"/>
      <c r="J862" s="16"/>
      <c r="K862" s="16"/>
      <c r="L862" s="16"/>
      <c r="M862" s="16"/>
    </row>
    <row r="863" spans="1:13" x14ac:dyDescent="0.25">
      <c r="A863" s="2"/>
      <c r="B863" s="16"/>
      <c r="C863" s="22"/>
      <c r="D863" s="16"/>
      <c r="E863" s="21"/>
      <c r="F863" s="16"/>
      <c r="G863" s="16"/>
      <c r="H863" s="16"/>
      <c r="I863" s="16"/>
      <c r="J863" s="16"/>
      <c r="K863" s="16"/>
      <c r="L863" s="16"/>
      <c r="M863" s="16"/>
    </row>
    <row r="864" spans="1:13" x14ac:dyDescent="0.25">
      <c r="A864" s="2"/>
      <c r="B864" s="16"/>
      <c r="C864" s="22"/>
      <c r="D864" s="16"/>
      <c r="E864" s="21"/>
      <c r="F864" s="16"/>
      <c r="G864" s="16"/>
      <c r="H864" s="16"/>
      <c r="I864" s="16"/>
      <c r="J864" s="16"/>
      <c r="K864" s="16"/>
      <c r="L864" s="16"/>
      <c r="M864" s="16"/>
    </row>
    <row r="865" spans="1:13" x14ac:dyDescent="0.25">
      <c r="A865" s="2"/>
      <c r="B865" s="16"/>
      <c r="C865" s="22"/>
      <c r="D865" s="16"/>
      <c r="E865" s="21"/>
      <c r="F865" s="16"/>
      <c r="G865" s="16"/>
      <c r="H865" s="16"/>
      <c r="I865" s="16"/>
      <c r="J865" s="16"/>
      <c r="K865" s="16"/>
      <c r="L865" s="16"/>
      <c r="M865" s="16"/>
    </row>
    <row r="866" spans="1:13" x14ac:dyDescent="0.25">
      <c r="A866" s="2"/>
      <c r="B866" s="16"/>
      <c r="C866" s="22"/>
      <c r="D866" s="16"/>
      <c r="E866" s="21"/>
      <c r="F866" s="16"/>
      <c r="G866" s="16"/>
      <c r="H866" s="16"/>
      <c r="I866" s="16"/>
      <c r="J866" s="16"/>
      <c r="K866" s="16"/>
      <c r="L866" s="16"/>
      <c r="M866" s="16"/>
    </row>
    <row r="867" spans="1:13" x14ac:dyDescent="0.25">
      <c r="A867" s="2"/>
      <c r="B867" s="16"/>
      <c r="C867" s="22"/>
      <c r="D867" s="16"/>
      <c r="E867" s="21"/>
      <c r="F867" s="16"/>
      <c r="G867" s="16"/>
      <c r="H867" s="16"/>
      <c r="I867" s="16"/>
      <c r="J867" s="16"/>
      <c r="K867" s="16"/>
      <c r="L867" s="16"/>
      <c r="M867" s="16"/>
    </row>
    <row r="868" spans="1:13" x14ac:dyDescent="0.25">
      <c r="A868" s="2"/>
      <c r="B868" s="16"/>
      <c r="C868" s="22"/>
      <c r="D868" s="16"/>
      <c r="E868" s="21"/>
      <c r="F868" s="16"/>
      <c r="G868" s="16"/>
      <c r="H868" s="16"/>
      <c r="I868" s="16"/>
      <c r="J868" s="16"/>
      <c r="K868" s="16"/>
      <c r="L868" s="16"/>
      <c r="M868" s="16"/>
    </row>
    <row r="869" spans="1:13" x14ac:dyDescent="0.25">
      <c r="A869" s="2"/>
      <c r="B869" s="16"/>
      <c r="C869" s="22"/>
      <c r="D869" s="16"/>
      <c r="E869" s="21"/>
      <c r="F869" s="16"/>
      <c r="G869" s="16"/>
      <c r="H869" s="16"/>
      <c r="I869" s="16"/>
      <c r="J869" s="16"/>
      <c r="K869" s="16"/>
      <c r="L869" s="16"/>
      <c r="M869" s="16"/>
    </row>
    <row r="870" spans="1:13" x14ac:dyDescent="0.25">
      <c r="A870" s="2"/>
      <c r="B870" s="16"/>
      <c r="C870" s="22"/>
      <c r="D870" s="16"/>
      <c r="E870" s="21"/>
      <c r="F870" s="16"/>
      <c r="G870" s="16"/>
      <c r="H870" s="16"/>
      <c r="I870" s="16"/>
      <c r="J870" s="16"/>
      <c r="K870" s="16"/>
      <c r="L870" s="16"/>
      <c r="M870" s="16"/>
    </row>
    <row r="871" spans="1:13" x14ac:dyDescent="0.25">
      <c r="A871" s="2"/>
      <c r="B871" s="16"/>
      <c r="C871" s="22"/>
      <c r="D871" s="16"/>
      <c r="E871" s="21"/>
      <c r="F871" s="16"/>
      <c r="G871" s="16"/>
      <c r="H871" s="16"/>
      <c r="I871" s="16"/>
      <c r="J871" s="16"/>
      <c r="K871" s="16"/>
      <c r="L871" s="16"/>
      <c r="M871" s="16"/>
    </row>
    <row r="872" spans="1:13" x14ac:dyDescent="0.25">
      <c r="A872" s="2"/>
      <c r="B872" s="16"/>
      <c r="C872" s="22"/>
      <c r="D872" s="16"/>
      <c r="E872" s="21"/>
      <c r="F872" s="16"/>
      <c r="G872" s="16"/>
      <c r="H872" s="16"/>
      <c r="I872" s="16"/>
      <c r="J872" s="16"/>
      <c r="K872" s="16"/>
      <c r="L872" s="16"/>
      <c r="M872" s="16"/>
    </row>
    <row r="873" spans="1:13" x14ac:dyDescent="0.25">
      <c r="A873" s="2"/>
      <c r="B873" s="16"/>
      <c r="C873" s="22"/>
      <c r="D873" s="16"/>
      <c r="E873" s="21"/>
      <c r="F873" s="16"/>
      <c r="G873" s="16"/>
      <c r="H873" s="16"/>
      <c r="I873" s="16"/>
      <c r="J873" s="16"/>
      <c r="K873" s="16"/>
      <c r="L873" s="16"/>
      <c r="M873" s="16"/>
    </row>
    <row r="874" spans="1:13" x14ac:dyDescent="0.25">
      <c r="A874" s="2"/>
      <c r="B874" s="16"/>
      <c r="C874" s="22"/>
      <c r="D874" s="16"/>
      <c r="E874" s="21"/>
      <c r="F874" s="16"/>
      <c r="G874" s="16"/>
      <c r="H874" s="16"/>
      <c r="I874" s="16"/>
      <c r="J874" s="16"/>
      <c r="K874" s="16"/>
      <c r="L874" s="16"/>
      <c r="M874" s="16"/>
    </row>
    <row r="875" spans="1:13" x14ac:dyDescent="0.25">
      <c r="A875" s="2"/>
      <c r="B875" s="16"/>
      <c r="C875" s="22"/>
      <c r="D875" s="16"/>
      <c r="E875" s="21"/>
      <c r="F875" s="16"/>
      <c r="G875" s="16"/>
      <c r="H875" s="16"/>
      <c r="I875" s="16"/>
      <c r="J875" s="16"/>
      <c r="K875" s="16"/>
      <c r="L875" s="16"/>
      <c r="M875" s="16"/>
    </row>
    <row r="876" spans="1:13" x14ac:dyDescent="0.25">
      <c r="A876" s="2"/>
      <c r="B876" s="16"/>
      <c r="C876" s="22"/>
      <c r="D876" s="16"/>
      <c r="E876" s="21"/>
      <c r="F876" s="16"/>
      <c r="G876" s="16"/>
      <c r="H876" s="16"/>
      <c r="I876" s="16"/>
      <c r="J876" s="16"/>
      <c r="K876" s="16"/>
      <c r="L876" s="16"/>
      <c r="M876" s="16"/>
    </row>
    <row r="877" spans="1:13" x14ac:dyDescent="0.25">
      <c r="A877" s="2"/>
      <c r="B877" s="16"/>
      <c r="C877" s="22"/>
      <c r="D877" s="16"/>
      <c r="E877" s="21"/>
      <c r="F877" s="16"/>
      <c r="G877" s="16"/>
      <c r="H877" s="16"/>
      <c r="I877" s="16"/>
      <c r="J877" s="16"/>
      <c r="K877" s="16"/>
      <c r="L877" s="16"/>
      <c r="M877" s="16"/>
    </row>
    <row r="878" spans="1:13" x14ac:dyDescent="0.25">
      <c r="A878" s="2"/>
      <c r="B878" s="16"/>
      <c r="C878" s="22"/>
      <c r="D878" s="16"/>
      <c r="E878" s="21"/>
      <c r="F878" s="16"/>
      <c r="G878" s="16"/>
      <c r="H878" s="16"/>
      <c r="I878" s="16"/>
      <c r="J878" s="16"/>
      <c r="K878" s="16"/>
      <c r="L878" s="16"/>
      <c r="M878" s="16"/>
    </row>
    <row r="879" spans="1:13" x14ac:dyDescent="0.25">
      <c r="A879" s="2"/>
      <c r="B879" s="16"/>
      <c r="C879" s="22"/>
      <c r="D879" s="16"/>
      <c r="E879" s="21"/>
      <c r="F879" s="16"/>
      <c r="G879" s="16"/>
      <c r="H879" s="16"/>
      <c r="I879" s="16"/>
      <c r="J879" s="16"/>
      <c r="K879" s="16"/>
      <c r="L879" s="16"/>
      <c r="M879" s="16"/>
    </row>
    <row r="880" spans="1:13" x14ac:dyDescent="0.25">
      <c r="A880" s="2"/>
      <c r="B880" s="16"/>
      <c r="C880" s="22"/>
      <c r="D880" s="16"/>
      <c r="E880" s="21"/>
      <c r="F880" s="16"/>
      <c r="G880" s="16"/>
      <c r="H880" s="16"/>
      <c r="I880" s="16"/>
      <c r="J880" s="16"/>
      <c r="K880" s="16"/>
      <c r="L880" s="16"/>
      <c r="M880" s="16"/>
    </row>
    <row r="881" spans="1:13" x14ac:dyDescent="0.25">
      <c r="A881" s="2"/>
      <c r="B881" s="16"/>
      <c r="C881" s="22"/>
      <c r="D881" s="16"/>
      <c r="E881" s="21"/>
      <c r="F881" s="16"/>
      <c r="G881" s="16"/>
      <c r="H881" s="16"/>
      <c r="I881" s="16"/>
      <c r="J881" s="16"/>
      <c r="K881" s="16"/>
      <c r="L881" s="16"/>
      <c r="M881" s="16"/>
    </row>
    <row r="882" spans="1:13" x14ac:dyDescent="0.25">
      <c r="A882" s="2"/>
      <c r="B882" s="16"/>
      <c r="C882" s="22"/>
      <c r="D882" s="16"/>
      <c r="E882" s="21"/>
      <c r="F882" s="16"/>
      <c r="G882" s="16"/>
      <c r="H882" s="16"/>
      <c r="I882" s="16"/>
      <c r="J882" s="16"/>
      <c r="K882" s="16"/>
      <c r="L882" s="16"/>
      <c r="M882" s="16"/>
    </row>
    <row r="883" spans="1:13" x14ac:dyDescent="0.25">
      <c r="A883" s="2"/>
      <c r="B883" s="16"/>
      <c r="C883" s="22"/>
      <c r="D883" s="16"/>
      <c r="E883" s="21"/>
      <c r="F883" s="16"/>
      <c r="G883" s="16"/>
      <c r="H883" s="16"/>
      <c r="I883" s="16"/>
      <c r="J883" s="16"/>
      <c r="K883" s="16"/>
      <c r="L883" s="16"/>
      <c r="M883" s="16"/>
    </row>
    <row r="884" spans="1:13" x14ac:dyDescent="0.25">
      <c r="A884" s="2"/>
      <c r="B884" s="16"/>
      <c r="C884" s="22"/>
      <c r="D884" s="16"/>
      <c r="E884" s="21"/>
      <c r="F884" s="16"/>
      <c r="G884" s="16"/>
      <c r="H884" s="16"/>
      <c r="I884" s="16"/>
      <c r="J884" s="16"/>
      <c r="K884" s="16"/>
      <c r="L884" s="16"/>
      <c r="M884" s="16"/>
    </row>
    <row r="885" spans="1:13" x14ac:dyDescent="0.25">
      <c r="A885" s="2"/>
      <c r="B885" s="16"/>
      <c r="C885" s="22"/>
      <c r="D885" s="16"/>
      <c r="E885" s="21"/>
      <c r="F885" s="16"/>
      <c r="G885" s="16"/>
      <c r="H885" s="16"/>
      <c r="I885" s="16"/>
      <c r="J885" s="16"/>
      <c r="K885" s="16"/>
      <c r="L885" s="16"/>
      <c r="M885" s="16"/>
    </row>
    <row r="886" spans="1:13" x14ac:dyDescent="0.25">
      <c r="A886" s="2"/>
      <c r="B886" s="16"/>
      <c r="C886" s="22"/>
      <c r="D886" s="16"/>
      <c r="E886" s="21"/>
      <c r="F886" s="16"/>
      <c r="G886" s="16"/>
      <c r="H886" s="16"/>
      <c r="I886" s="16"/>
      <c r="J886" s="16"/>
      <c r="K886" s="16"/>
      <c r="L886" s="16"/>
      <c r="M886" s="16"/>
    </row>
    <row r="887" spans="1:13" x14ac:dyDescent="0.25">
      <c r="A887" s="2"/>
      <c r="B887" s="16"/>
      <c r="C887" s="22"/>
      <c r="D887" s="16"/>
      <c r="E887" s="21"/>
      <c r="F887" s="16"/>
      <c r="G887" s="16"/>
      <c r="H887" s="16"/>
      <c r="I887" s="16"/>
      <c r="J887" s="16"/>
      <c r="K887" s="16"/>
      <c r="L887" s="16"/>
      <c r="M887" s="16"/>
    </row>
    <row r="888" spans="1:13" x14ac:dyDescent="0.25">
      <c r="A888" s="2"/>
      <c r="B888" s="16"/>
      <c r="C888" s="22"/>
      <c r="D888" s="16"/>
      <c r="E888" s="21"/>
      <c r="F888" s="16"/>
      <c r="G888" s="16"/>
      <c r="H888" s="16"/>
      <c r="I888" s="16"/>
      <c r="J888" s="16"/>
      <c r="K888" s="16"/>
      <c r="L888" s="16"/>
      <c r="M888" s="16"/>
    </row>
    <row r="889" spans="1:13" x14ac:dyDescent="0.25">
      <c r="A889" s="2"/>
      <c r="B889" s="16"/>
      <c r="C889" s="22"/>
      <c r="D889" s="16"/>
      <c r="E889" s="21"/>
      <c r="F889" s="16"/>
      <c r="G889" s="16"/>
      <c r="H889" s="16"/>
      <c r="I889" s="16"/>
      <c r="J889" s="16"/>
      <c r="K889" s="16"/>
      <c r="L889" s="16"/>
      <c r="M889" s="16"/>
    </row>
    <row r="890" spans="1:13" x14ac:dyDescent="0.25">
      <c r="A890" s="2"/>
      <c r="B890" s="16"/>
      <c r="C890" s="22"/>
      <c r="D890" s="16"/>
      <c r="E890" s="21"/>
      <c r="F890" s="16"/>
      <c r="G890" s="16"/>
      <c r="H890" s="16"/>
      <c r="I890" s="16"/>
      <c r="J890" s="16"/>
      <c r="K890" s="16"/>
      <c r="L890" s="16"/>
      <c r="M890" s="16"/>
    </row>
    <row r="891" spans="1:13" x14ac:dyDescent="0.25">
      <c r="A891" s="2"/>
      <c r="B891" s="16"/>
      <c r="C891" s="22"/>
      <c r="D891" s="16"/>
      <c r="E891" s="21"/>
      <c r="F891" s="16"/>
      <c r="G891" s="16"/>
      <c r="H891" s="16"/>
      <c r="I891" s="16"/>
      <c r="J891" s="16"/>
      <c r="K891" s="16"/>
      <c r="L891" s="16"/>
      <c r="M891" s="16"/>
    </row>
    <row r="892" spans="1:13" x14ac:dyDescent="0.25">
      <c r="A892" s="2"/>
      <c r="B892" s="16"/>
      <c r="C892" s="22"/>
      <c r="D892" s="16"/>
      <c r="E892" s="21"/>
      <c r="F892" s="16"/>
      <c r="G892" s="16"/>
      <c r="H892" s="16"/>
      <c r="I892" s="16"/>
      <c r="J892" s="16"/>
      <c r="K892" s="16"/>
      <c r="L892" s="16"/>
      <c r="M892" s="16"/>
    </row>
    <row r="893" spans="1:13" x14ac:dyDescent="0.25">
      <c r="A893" s="2"/>
      <c r="B893" s="16"/>
      <c r="C893" s="22"/>
      <c r="D893" s="16"/>
      <c r="E893" s="21"/>
      <c r="F893" s="16"/>
      <c r="G893" s="16"/>
      <c r="H893" s="16"/>
      <c r="I893" s="16"/>
      <c r="J893" s="16"/>
      <c r="K893" s="16"/>
      <c r="L893" s="16"/>
      <c r="M893" s="16"/>
    </row>
    <row r="894" spans="1:13" x14ac:dyDescent="0.25">
      <c r="A894" s="2"/>
      <c r="B894" s="16"/>
      <c r="C894" s="22"/>
      <c r="D894" s="16"/>
      <c r="E894" s="21"/>
      <c r="F894" s="16"/>
      <c r="G894" s="16"/>
      <c r="H894" s="16"/>
      <c r="I894" s="16"/>
      <c r="J894" s="16"/>
      <c r="K894" s="16"/>
      <c r="L894" s="16"/>
      <c r="M894" s="16"/>
    </row>
    <row r="895" spans="1:13" x14ac:dyDescent="0.25">
      <c r="A895" s="2"/>
      <c r="B895" s="16"/>
      <c r="C895" s="22"/>
      <c r="D895" s="16"/>
      <c r="E895" s="21"/>
      <c r="F895" s="16"/>
      <c r="G895" s="16"/>
      <c r="H895" s="16"/>
      <c r="I895" s="16"/>
      <c r="J895" s="16"/>
      <c r="K895" s="16"/>
      <c r="L895" s="16"/>
      <c r="M895" s="16"/>
    </row>
    <row r="896" spans="1:13" x14ac:dyDescent="0.25">
      <c r="A896" s="2"/>
      <c r="B896" s="16"/>
      <c r="C896" s="22"/>
      <c r="D896" s="16"/>
      <c r="E896" s="21"/>
      <c r="F896" s="16"/>
      <c r="G896" s="16"/>
      <c r="H896" s="16"/>
      <c r="I896" s="16"/>
      <c r="J896" s="16"/>
      <c r="K896" s="16"/>
      <c r="L896" s="16"/>
      <c r="M896" s="16"/>
    </row>
    <row r="897" spans="1:13" x14ac:dyDescent="0.25">
      <c r="A897" s="2"/>
      <c r="B897" s="16"/>
      <c r="C897" s="22"/>
      <c r="D897" s="16"/>
      <c r="E897" s="21"/>
      <c r="F897" s="16"/>
      <c r="G897" s="16"/>
      <c r="H897" s="16"/>
      <c r="I897" s="16"/>
      <c r="J897" s="16"/>
      <c r="K897" s="16"/>
      <c r="L897" s="16"/>
      <c r="M897" s="16"/>
    </row>
    <row r="898" spans="1:13" x14ac:dyDescent="0.25">
      <c r="A898" s="2"/>
      <c r="B898" s="16"/>
      <c r="C898" s="22"/>
      <c r="D898" s="16"/>
      <c r="E898" s="21"/>
      <c r="F898" s="16"/>
      <c r="G898" s="16"/>
      <c r="H898" s="16"/>
      <c r="I898" s="16"/>
      <c r="J898" s="16"/>
      <c r="K898" s="16"/>
      <c r="L898" s="16"/>
      <c r="M898" s="16"/>
    </row>
    <row r="899" spans="1:13" x14ac:dyDescent="0.25">
      <c r="A899" s="2"/>
      <c r="B899" s="16"/>
      <c r="C899" s="22"/>
      <c r="D899" s="16"/>
      <c r="E899" s="21"/>
      <c r="F899" s="16"/>
      <c r="G899" s="16"/>
      <c r="H899" s="16"/>
      <c r="I899" s="16"/>
      <c r="J899" s="16"/>
      <c r="K899" s="16"/>
      <c r="L899" s="16"/>
      <c r="M899" s="16"/>
    </row>
    <row r="900" spans="1:13" x14ac:dyDescent="0.25">
      <c r="A900" s="2"/>
      <c r="B900" s="16"/>
      <c r="C900" s="22"/>
      <c r="D900" s="16"/>
      <c r="E900" s="21"/>
      <c r="F900" s="16"/>
      <c r="G900" s="16"/>
      <c r="H900" s="16"/>
      <c r="I900" s="16"/>
      <c r="J900" s="16"/>
      <c r="K900" s="16"/>
      <c r="L900" s="16"/>
      <c r="M900" s="16"/>
    </row>
    <row r="901" spans="1:13" x14ac:dyDescent="0.25">
      <c r="A901" s="2"/>
      <c r="B901" s="16"/>
      <c r="C901" s="22"/>
      <c r="D901" s="16"/>
      <c r="E901" s="21"/>
      <c r="F901" s="16"/>
      <c r="G901" s="16"/>
      <c r="H901" s="16"/>
      <c r="I901" s="16"/>
      <c r="J901" s="16"/>
      <c r="K901" s="16"/>
      <c r="L901" s="16"/>
      <c r="M901" s="16"/>
    </row>
    <row r="902" spans="1:13" x14ac:dyDescent="0.25">
      <c r="A902" s="2"/>
      <c r="B902" s="16"/>
      <c r="C902" s="22"/>
      <c r="D902" s="16"/>
      <c r="E902" s="21"/>
      <c r="F902" s="16"/>
      <c r="G902" s="16"/>
      <c r="H902" s="16"/>
      <c r="I902" s="16"/>
      <c r="J902" s="16"/>
      <c r="K902" s="16"/>
      <c r="L902" s="16"/>
      <c r="M902" s="16"/>
    </row>
    <row r="903" spans="1:13" x14ac:dyDescent="0.25">
      <c r="A903" s="2"/>
      <c r="B903" s="16"/>
      <c r="C903" s="22"/>
      <c r="D903" s="16"/>
      <c r="E903" s="21"/>
      <c r="F903" s="16"/>
      <c r="G903" s="16"/>
      <c r="H903" s="16"/>
      <c r="I903" s="16"/>
      <c r="J903" s="16"/>
      <c r="K903" s="16"/>
      <c r="L903" s="16"/>
      <c r="M903" s="16"/>
    </row>
    <row r="904" spans="1:13" x14ac:dyDescent="0.25">
      <c r="A904" s="2"/>
      <c r="B904" s="16"/>
      <c r="C904" s="22"/>
      <c r="D904" s="16"/>
      <c r="E904" s="21"/>
      <c r="F904" s="16"/>
      <c r="G904" s="16"/>
      <c r="H904" s="16"/>
      <c r="I904" s="16"/>
      <c r="J904" s="16"/>
      <c r="K904" s="16"/>
      <c r="L904" s="16"/>
      <c r="M904" s="16"/>
    </row>
    <row r="905" spans="1:13" x14ac:dyDescent="0.25">
      <c r="A905" s="2"/>
      <c r="B905" s="16"/>
      <c r="C905" s="22"/>
      <c r="D905" s="16"/>
      <c r="E905" s="21"/>
      <c r="F905" s="16"/>
      <c r="G905" s="16"/>
      <c r="H905" s="16"/>
      <c r="I905" s="16"/>
      <c r="J905" s="16"/>
      <c r="K905" s="16"/>
      <c r="L905" s="16"/>
      <c r="M905" s="16"/>
    </row>
    <row r="906" spans="1:13" x14ac:dyDescent="0.25">
      <c r="A906" s="2"/>
      <c r="B906" s="16"/>
      <c r="C906" s="22"/>
      <c r="D906" s="16"/>
      <c r="E906" s="21"/>
      <c r="F906" s="16"/>
      <c r="G906" s="16"/>
      <c r="H906" s="16"/>
      <c r="I906" s="16"/>
      <c r="J906" s="16"/>
      <c r="K906" s="16"/>
      <c r="L906" s="16"/>
      <c r="M906" s="16"/>
    </row>
    <row r="907" spans="1:13" x14ac:dyDescent="0.25">
      <c r="A907" s="2"/>
      <c r="B907" s="16"/>
      <c r="C907" s="22"/>
      <c r="D907" s="16"/>
      <c r="E907" s="21"/>
      <c r="F907" s="16"/>
      <c r="G907" s="16"/>
      <c r="H907" s="16"/>
      <c r="I907" s="16"/>
      <c r="J907" s="16"/>
      <c r="K907" s="16"/>
      <c r="L907" s="16"/>
      <c r="M907" s="16"/>
    </row>
    <row r="908" spans="1:13" x14ac:dyDescent="0.25">
      <c r="A908" s="2"/>
      <c r="B908" s="16"/>
      <c r="C908" s="22"/>
      <c r="D908" s="16"/>
      <c r="E908" s="21"/>
      <c r="F908" s="16"/>
      <c r="G908" s="16"/>
      <c r="H908" s="16"/>
      <c r="I908" s="16"/>
      <c r="J908" s="16"/>
      <c r="K908" s="16"/>
      <c r="L908" s="16"/>
      <c r="M908" s="16"/>
    </row>
    <row r="909" spans="1:13" x14ac:dyDescent="0.25">
      <c r="A909" s="2"/>
      <c r="B909" s="16"/>
      <c r="C909" s="22"/>
      <c r="D909" s="16"/>
      <c r="E909" s="21"/>
      <c r="F909" s="16"/>
      <c r="G909" s="16"/>
      <c r="H909" s="16"/>
      <c r="I909" s="16"/>
      <c r="J909" s="16"/>
      <c r="K909" s="16"/>
      <c r="L909" s="16"/>
      <c r="M909" s="16"/>
    </row>
    <row r="910" spans="1:13" x14ac:dyDescent="0.25">
      <c r="A910" s="2"/>
      <c r="B910" s="16"/>
      <c r="C910" s="22"/>
      <c r="D910" s="16"/>
      <c r="E910" s="21"/>
      <c r="F910" s="16"/>
      <c r="G910" s="16"/>
      <c r="H910" s="16"/>
      <c r="I910" s="16"/>
      <c r="J910" s="16"/>
      <c r="K910" s="16"/>
      <c r="L910" s="16"/>
      <c r="M910" s="16"/>
    </row>
    <row r="911" spans="1:13" x14ac:dyDescent="0.25">
      <c r="A911" s="2"/>
      <c r="B911" s="16"/>
      <c r="C911" s="22"/>
      <c r="D911" s="16"/>
      <c r="E911" s="21"/>
      <c r="F911" s="16"/>
      <c r="G911" s="16"/>
      <c r="H911" s="16"/>
      <c r="I911" s="16"/>
      <c r="J911" s="16"/>
      <c r="K911" s="16"/>
      <c r="L911" s="16"/>
      <c r="M911" s="16"/>
    </row>
    <row r="912" spans="1:13" x14ac:dyDescent="0.25">
      <c r="A912" s="2"/>
      <c r="B912" s="16"/>
      <c r="C912" s="22"/>
      <c r="D912" s="16"/>
      <c r="E912" s="21"/>
      <c r="F912" s="16"/>
      <c r="G912" s="16"/>
      <c r="H912" s="16"/>
      <c r="I912" s="16"/>
      <c r="J912" s="16"/>
      <c r="K912" s="16"/>
      <c r="L912" s="16"/>
      <c r="M912" s="16"/>
    </row>
    <row r="913" spans="1:13" x14ac:dyDescent="0.25">
      <c r="A913" s="2"/>
      <c r="B913" s="16"/>
      <c r="C913" s="22"/>
      <c r="D913" s="16"/>
      <c r="E913" s="21"/>
      <c r="F913" s="16"/>
      <c r="G913" s="16"/>
      <c r="H913" s="16"/>
      <c r="I913" s="16"/>
      <c r="J913" s="16"/>
      <c r="K913" s="16"/>
      <c r="L913" s="16"/>
      <c r="M913" s="16"/>
    </row>
    <row r="914" spans="1:13" x14ac:dyDescent="0.25">
      <c r="A914" s="2"/>
      <c r="B914" s="16"/>
      <c r="C914" s="22"/>
      <c r="D914" s="16"/>
      <c r="E914" s="21"/>
      <c r="F914" s="16"/>
      <c r="G914" s="16"/>
      <c r="H914" s="16"/>
      <c r="I914" s="16"/>
      <c r="J914" s="16"/>
      <c r="K914" s="16"/>
      <c r="L914" s="16"/>
      <c r="M914" s="16"/>
    </row>
    <row r="915" spans="1:13" x14ac:dyDescent="0.25">
      <c r="A915" s="2"/>
      <c r="B915" s="16"/>
      <c r="C915" s="22"/>
      <c r="D915" s="16"/>
      <c r="E915" s="21"/>
      <c r="F915" s="16"/>
      <c r="G915" s="16"/>
      <c r="H915" s="16"/>
      <c r="I915" s="16"/>
      <c r="J915" s="16"/>
      <c r="K915" s="16"/>
      <c r="L915" s="16"/>
      <c r="M915" s="16"/>
    </row>
    <row r="916" spans="1:13" x14ac:dyDescent="0.25">
      <c r="A916" s="2"/>
      <c r="B916" s="16"/>
      <c r="C916" s="22"/>
      <c r="D916" s="16"/>
      <c r="E916" s="21"/>
      <c r="F916" s="16"/>
      <c r="G916" s="16"/>
      <c r="H916" s="16"/>
      <c r="I916" s="16"/>
      <c r="J916" s="16"/>
      <c r="K916" s="16"/>
      <c r="L916" s="16"/>
      <c r="M916" s="16"/>
    </row>
    <row r="917" spans="1:13" x14ac:dyDescent="0.25">
      <c r="A917" s="2"/>
      <c r="B917" s="16"/>
      <c r="C917" s="22"/>
      <c r="D917" s="16"/>
      <c r="E917" s="21"/>
      <c r="F917" s="16"/>
      <c r="G917" s="16"/>
      <c r="H917" s="16"/>
      <c r="I917" s="16"/>
      <c r="J917" s="16"/>
      <c r="K917" s="16"/>
      <c r="L917" s="16"/>
      <c r="M917" s="16"/>
    </row>
    <row r="918" spans="1:13" x14ac:dyDescent="0.25">
      <c r="A918" s="2"/>
      <c r="B918" s="16"/>
      <c r="C918" s="22"/>
      <c r="D918" s="16"/>
      <c r="E918" s="21"/>
      <c r="F918" s="16"/>
      <c r="G918" s="16"/>
      <c r="H918" s="16"/>
      <c r="I918" s="16"/>
      <c r="J918" s="16"/>
      <c r="K918" s="16"/>
      <c r="L918" s="16"/>
      <c r="M918" s="16"/>
    </row>
    <row r="919" spans="1:13" x14ac:dyDescent="0.25">
      <c r="A919" s="2"/>
      <c r="B919" s="16"/>
      <c r="C919" s="22"/>
      <c r="D919" s="16"/>
      <c r="E919" s="21"/>
      <c r="F919" s="16"/>
      <c r="G919" s="16"/>
      <c r="H919" s="16"/>
      <c r="I919" s="16"/>
      <c r="J919" s="16"/>
      <c r="K919" s="16"/>
      <c r="L919" s="16"/>
      <c r="M919" s="16"/>
    </row>
    <row r="920" spans="1:13" x14ac:dyDescent="0.25">
      <c r="A920" s="2"/>
      <c r="B920" s="16"/>
      <c r="C920" s="22"/>
      <c r="D920" s="16"/>
      <c r="E920" s="21"/>
      <c r="F920" s="16"/>
      <c r="G920" s="16"/>
      <c r="H920" s="16"/>
      <c r="I920" s="16"/>
      <c r="J920" s="16"/>
      <c r="K920" s="16"/>
      <c r="L920" s="16"/>
      <c r="M920" s="16"/>
    </row>
    <row r="921" spans="1:13" x14ac:dyDescent="0.25">
      <c r="A921" s="2"/>
      <c r="B921" s="16"/>
      <c r="C921" s="22"/>
      <c r="D921" s="16"/>
      <c r="E921" s="21"/>
      <c r="F921" s="16"/>
      <c r="G921" s="16"/>
      <c r="H921" s="16"/>
      <c r="I921" s="16"/>
      <c r="J921" s="16"/>
      <c r="K921" s="16"/>
      <c r="L921" s="16"/>
      <c r="M921" s="16"/>
    </row>
    <row r="922" spans="1:13" x14ac:dyDescent="0.25">
      <c r="A922" s="2"/>
      <c r="B922" s="16"/>
      <c r="C922" s="22"/>
      <c r="D922" s="16"/>
      <c r="E922" s="21"/>
      <c r="F922" s="16"/>
      <c r="G922" s="16"/>
      <c r="H922" s="16"/>
      <c r="I922" s="16"/>
      <c r="J922" s="16"/>
      <c r="K922" s="16"/>
      <c r="L922" s="16"/>
      <c r="M922" s="16"/>
    </row>
    <row r="923" spans="1:13" x14ac:dyDescent="0.25">
      <c r="A923" s="2"/>
      <c r="B923" s="16"/>
      <c r="C923" s="22"/>
      <c r="D923" s="16"/>
      <c r="E923" s="21"/>
      <c r="F923" s="16"/>
      <c r="G923" s="16"/>
      <c r="H923" s="16"/>
      <c r="I923" s="16"/>
      <c r="J923" s="16"/>
      <c r="K923" s="16"/>
      <c r="L923" s="16"/>
      <c r="M923" s="16"/>
    </row>
    <row r="924" spans="1:13" x14ac:dyDescent="0.25">
      <c r="A924" s="2"/>
      <c r="B924" s="16"/>
      <c r="C924" s="22"/>
      <c r="D924" s="16"/>
      <c r="E924" s="21"/>
      <c r="F924" s="16"/>
      <c r="G924" s="16"/>
      <c r="H924" s="16"/>
      <c r="I924" s="16"/>
      <c r="J924" s="16"/>
      <c r="K924" s="16"/>
      <c r="L924" s="16"/>
      <c r="M924" s="16"/>
    </row>
    <row r="925" spans="1:13" x14ac:dyDescent="0.25">
      <c r="A925" s="2"/>
      <c r="B925" s="16"/>
      <c r="C925" s="22"/>
      <c r="D925" s="16"/>
      <c r="E925" s="21"/>
      <c r="F925" s="16"/>
      <c r="G925" s="16"/>
      <c r="H925" s="16"/>
      <c r="I925" s="16"/>
      <c r="J925" s="16"/>
      <c r="K925" s="16"/>
      <c r="L925" s="16"/>
      <c r="M925" s="16"/>
    </row>
    <row r="926" spans="1:13" x14ac:dyDescent="0.25">
      <c r="A926" s="2"/>
      <c r="B926" s="16"/>
      <c r="C926" s="22"/>
      <c r="D926" s="16"/>
      <c r="E926" s="21"/>
      <c r="F926" s="16"/>
      <c r="G926" s="16"/>
      <c r="H926" s="16"/>
      <c r="I926" s="16"/>
      <c r="J926" s="16"/>
      <c r="K926" s="16"/>
      <c r="L926" s="16"/>
      <c r="M926" s="16"/>
    </row>
    <row r="927" spans="1:13" x14ac:dyDescent="0.25">
      <c r="A927" s="2"/>
      <c r="B927" s="16"/>
      <c r="C927" s="22"/>
      <c r="D927" s="16"/>
      <c r="E927" s="21"/>
      <c r="F927" s="16"/>
      <c r="G927" s="16"/>
      <c r="H927" s="16"/>
      <c r="I927" s="16"/>
      <c r="J927" s="16"/>
      <c r="K927" s="16"/>
      <c r="L927" s="16"/>
      <c r="M927" s="16"/>
    </row>
    <row r="928" spans="1:13" x14ac:dyDescent="0.25">
      <c r="A928" s="2"/>
      <c r="B928" s="16"/>
      <c r="C928" s="22"/>
      <c r="D928" s="16"/>
      <c r="E928" s="21"/>
      <c r="F928" s="16"/>
      <c r="G928" s="16"/>
      <c r="H928" s="16"/>
      <c r="I928" s="16"/>
      <c r="J928" s="16"/>
      <c r="K928" s="16"/>
      <c r="L928" s="16"/>
      <c r="M928" s="16"/>
    </row>
    <row r="929" spans="1:13" x14ac:dyDescent="0.25">
      <c r="A929" s="2"/>
      <c r="B929" s="16"/>
      <c r="C929" s="22"/>
      <c r="D929" s="16"/>
      <c r="E929" s="21"/>
      <c r="F929" s="16"/>
      <c r="G929" s="16"/>
      <c r="H929" s="16"/>
      <c r="I929" s="16"/>
      <c r="J929" s="16"/>
      <c r="K929" s="16"/>
      <c r="L929" s="16"/>
      <c r="M929" s="16"/>
    </row>
    <row r="930" spans="1:13" x14ac:dyDescent="0.25">
      <c r="A930" s="2"/>
      <c r="B930" s="16"/>
      <c r="C930" s="22"/>
      <c r="D930" s="16"/>
      <c r="E930" s="21"/>
      <c r="F930" s="16"/>
      <c r="G930" s="16"/>
      <c r="H930" s="16"/>
      <c r="I930" s="16"/>
      <c r="J930" s="16"/>
      <c r="K930" s="16"/>
      <c r="L930" s="16"/>
      <c r="M930" s="16"/>
    </row>
    <row r="931" spans="1:13" x14ac:dyDescent="0.25">
      <c r="A931" s="2"/>
      <c r="B931" s="16"/>
      <c r="C931" s="22"/>
      <c r="D931" s="16"/>
      <c r="E931" s="21"/>
      <c r="F931" s="16"/>
      <c r="G931" s="16"/>
      <c r="H931" s="16"/>
      <c r="I931" s="16"/>
      <c r="J931" s="16"/>
      <c r="K931" s="16"/>
      <c r="L931" s="16"/>
      <c r="M931" s="16"/>
    </row>
    <row r="932" spans="1:13" x14ac:dyDescent="0.25">
      <c r="A932" s="2"/>
      <c r="B932" s="16"/>
      <c r="C932" s="22"/>
      <c r="D932" s="16"/>
      <c r="E932" s="21"/>
      <c r="F932" s="16"/>
      <c r="G932" s="16"/>
      <c r="H932" s="16"/>
      <c r="I932" s="16"/>
      <c r="J932" s="16"/>
      <c r="K932" s="16"/>
      <c r="L932" s="16"/>
      <c r="M932" s="16"/>
    </row>
    <row r="933" spans="1:13" x14ac:dyDescent="0.25">
      <c r="A933" s="2"/>
      <c r="B933" s="16"/>
      <c r="C933" s="22"/>
      <c r="D933" s="16"/>
      <c r="E933" s="21"/>
      <c r="F933" s="16"/>
      <c r="G933" s="16"/>
      <c r="H933" s="16"/>
      <c r="I933" s="16"/>
      <c r="J933" s="16"/>
      <c r="K933" s="16"/>
      <c r="L933" s="16"/>
      <c r="M933" s="16"/>
    </row>
    <row r="934" spans="1:13" x14ac:dyDescent="0.25">
      <c r="A934" s="2"/>
      <c r="B934" s="16"/>
      <c r="C934" s="22"/>
      <c r="D934" s="16"/>
      <c r="E934" s="21"/>
      <c r="F934" s="16"/>
      <c r="G934" s="16"/>
      <c r="H934" s="16"/>
      <c r="I934" s="16"/>
      <c r="J934" s="16"/>
      <c r="K934" s="16"/>
      <c r="L934" s="16"/>
      <c r="M934" s="16"/>
    </row>
    <row r="935" spans="1:13" x14ac:dyDescent="0.25">
      <c r="A935" s="2"/>
      <c r="B935" s="16"/>
      <c r="C935" s="22"/>
      <c r="D935" s="16"/>
      <c r="E935" s="21"/>
      <c r="F935" s="16"/>
      <c r="G935" s="16"/>
      <c r="H935" s="16"/>
      <c r="I935" s="16"/>
      <c r="J935" s="16"/>
      <c r="K935" s="16"/>
      <c r="L935" s="16"/>
      <c r="M935" s="16"/>
    </row>
    <row r="936" spans="1:13" x14ac:dyDescent="0.25">
      <c r="A936" s="2"/>
      <c r="B936" s="16"/>
      <c r="C936" s="22"/>
      <c r="D936" s="16"/>
      <c r="E936" s="21"/>
      <c r="F936" s="16"/>
      <c r="G936" s="16"/>
      <c r="H936" s="16"/>
      <c r="I936" s="16"/>
      <c r="J936" s="16"/>
      <c r="K936" s="16"/>
      <c r="L936" s="16"/>
      <c r="M936" s="16"/>
    </row>
    <row r="937" spans="1:13" x14ac:dyDescent="0.25">
      <c r="A937" s="2"/>
      <c r="B937" s="16"/>
      <c r="C937" s="22"/>
      <c r="D937" s="16"/>
      <c r="E937" s="21"/>
      <c r="F937" s="16"/>
      <c r="G937" s="16"/>
      <c r="H937" s="16"/>
      <c r="I937" s="16"/>
      <c r="J937" s="16"/>
      <c r="K937" s="16"/>
      <c r="L937" s="16"/>
      <c r="M937" s="16"/>
    </row>
    <row r="938" spans="1:13" x14ac:dyDescent="0.25">
      <c r="A938" s="2"/>
      <c r="B938" s="16"/>
      <c r="C938" s="22"/>
      <c r="D938" s="16"/>
      <c r="E938" s="21"/>
      <c r="F938" s="16"/>
      <c r="G938" s="16"/>
      <c r="H938" s="16"/>
      <c r="I938" s="16"/>
      <c r="J938" s="16"/>
      <c r="K938" s="16"/>
      <c r="L938" s="16"/>
      <c r="M938" s="16"/>
    </row>
    <row r="939" spans="1:13" x14ac:dyDescent="0.25">
      <c r="A939" s="2"/>
      <c r="B939" s="16"/>
      <c r="C939" s="22"/>
      <c r="D939" s="16"/>
      <c r="E939" s="21"/>
      <c r="F939" s="16"/>
      <c r="G939" s="16"/>
      <c r="H939" s="16"/>
      <c r="I939" s="16"/>
      <c r="J939" s="16"/>
      <c r="K939" s="16"/>
      <c r="L939" s="16"/>
      <c r="M939" s="16"/>
    </row>
    <row r="940" spans="1:13" x14ac:dyDescent="0.25">
      <c r="A940" s="2"/>
      <c r="B940" s="16"/>
      <c r="C940" s="22"/>
      <c r="D940" s="16"/>
      <c r="E940" s="21"/>
      <c r="F940" s="16"/>
      <c r="G940" s="16"/>
      <c r="H940" s="16"/>
      <c r="I940" s="16"/>
      <c r="J940" s="16"/>
      <c r="K940" s="16"/>
      <c r="L940" s="16"/>
      <c r="M940" s="16"/>
    </row>
    <row r="941" spans="1:13" x14ac:dyDescent="0.25">
      <c r="A941" s="2"/>
      <c r="B941" s="16"/>
      <c r="C941" s="22"/>
      <c r="D941" s="16"/>
      <c r="E941" s="21"/>
      <c r="F941" s="16"/>
      <c r="G941" s="16"/>
      <c r="H941" s="16"/>
      <c r="I941" s="16"/>
      <c r="J941" s="16"/>
      <c r="K941" s="16"/>
      <c r="L941" s="16"/>
      <c r="M941" s="16"/>
    </row>
    <row r="942" spans="1:13" x14ac:dyDescent="0.25">
      <c r="A942" s="2"/>
      <c r="B942" s="16"/>
      <c r="C942" s="22"/>
      <c r="D942" s="16"/>
      <c r="E942" s="21"/>
      <c r="F942" s="16"/>
      <c r="G942" s="16"/>
      <c r="H942" s="16"/>
      <c r="I942" s="16"/>
      <c r="J942" s="16"/>
      <c r="K942" s="16"/>
      <c r="L942" s="16"/>
      <c r="M942" s="16"/>
    </row>
    <row r="943" spans="1:13" x14ac:dyDescent="0.25">
      <c r="A943" s="2"/>
      <c r="B943" s="16"/>
      <c r="C943" s="22"/>
      <c r="D943" s="16"/>
      <c r="E943" s="21"/>
      <c r="F943" s="16"/>
      <c r="G943" s="16"/>
      <c r="H943" s="16"/>
      <c r="I943" s="16"/>
      <c r="J943" s="16"/>
      <c r="K943" s="16"/>
      <c r="L943" s="16"/>
      <c r="M943" s="16"/>
    </row>
    <row r="944" spans="1:13" x14ac:dyDescent="0.25">
      <c r="A944" s="2"/>
      <c r="B944" s="16"/>
      <c r="C944" s="22"/>
      <c r="D944" s="16"/>
      <c r="E944" s="21"/>
      <c r="F944" s="16"/>
      <c r="G944" s="16"/>
      <c r="H944" s="16"/>
      <c r="I944" s="16"/>
      <c r="J944" s="16"/>
      <c r="K944" s="16"/>
      <c r="L944" s="16"/>
      <c r="M944" s="16"/>
    </row>
    <row r="945" spans="1:13" x14ac:dyDescent="0.25">
      <c r="A945" s="2"/>
      <c r="B945" s="16"/>
      <c r="C945" s="22"/>
      <c r="D945" s="16"/>
      <c r="E945" s="21"/>
      <c r="F945" s="16"/>
      <c r="G945" s="16"/>
      <c r="H945" s="16"/>
      <c r="I945" s="16"/>
      <c r="J945" s="16"/>
      <c r="K945" s="16"/>
      <c r="L945" s="16"/>
      <c r="M945" s="16"/>
    </row>
    <row r="946" spans="1:13" x14ac:dyDescent="0.25">
      <c r="A946" s="2"/>
      <c r="B946" s="16"/>
      <c r="C946" s="22"/>
      <c r="D946" s="16"/>
      <c r="E946" s="21"/>
      <c r="F946" s="16"/>
      <c r="G946" s="16"/>
      <c r="H946" s="16"/>
      <c r="I946" s="16"/>
      <c r="J946" s="16"/>
      <c r="K946" s="16"/>
      <c r="L946" s="16"/>
      <c r="M946" s="16"/>
    </row>
    <row r="947" spans="1:13" x14ac:dyDescent="0.25">
      <c r="A947" s="2"/>
      <c r="B947" s="16"/>
      <c r="C947" s="22"/>
      <c r="D947" s="16"/>
      <c r="E947" s="21"/>
      <c r="F947" s="16"/>
      <c r="G947" s="16"/>
      <c r="H947" s="16"/>
      <c r="I947" s="16"/>
      <c r="J947" s="16"/>
      <c r="K947" s="16"/>
      <c r="L947" s="16"/>
      <c r="M947" s="16"/>
    </row>
    <row r="948" spans="1:13" x14ac:dyDescent="0.25">
      <c r="A948" s="2"/>
      <c r="B948" s="16"/>
      <c r="C948" s="22"/>
      <c r="D948" s="16"/>
      <c r="E948" s="21"/>
      <c r="F948" s="16"/>
      <c r="G948" s="16"/>
      <c r="H948" s="16"/>
      <c r="I948" s="16"/>
      <c r="J948" s="16"/>
      <c r="K948" s="16"/>
      <c r="L948" s="16"/>
      <c r="M948" s="16"/>
    </row>
    <row r="949" spans="1:13" x14ac:dyDescent="0.25">
      <c r="A949" s="2"/>
      <c r="B949" s="16"/>
      <c r="C949" s="22"/>
      <c r="D949" s="16"/>
      <c r="E949" s="21"/>
      <c r="F949" s="16"/>
      <c r="G949" s="16"/>
      <c r="H949" s="16"/>
      <c r="I949" s="16"/>
      <c r="J949" s="16"/>
      <c r="K949" s="16"/>
      <c r="L949" s="16"/>
      <c r="M949" s="16"/>
    </row>
    <row r="950" spans="1:13" x14ac:dyDescent="0.25">
      <c r="A950" s="2"/>
      <c r="B950" s="16"/>
      <c r="C950" s="22"/>
      <c r="D950" s="16"/>
      <c r="E950" s="21"/>
      <c r="F950" s="16"/>
      <c r="G950" s="16"/>
      <c r="H950" s="16"/>
      <c r="I950" s="16"/>
      <c r="J950" s="16"/>
      <c r="K950" s="16"/>
      <c r="L950" s="16"/>
      <c r="M950" s="16"/>
    </row>
    <row r="951" spans="1:13" x14ac:dyDescent="0.25">
      <c r="A951" s="2"/>
      <c r="B951" s="16"/>
      <c r="C951" s="22"/>
      <c r="D951" s="16"/>
      <c r="E951" s="21"/>
      <c r="F951" s="16"/>
      <c r="G951" s="16"/>
      <c r="H951" s="16"/>
      <c r="I951" s="16"/>
      <c r="J951" s="16"/>
      <c r="K951" s="16"/>
      <c r="L951" s="16"/>
      <c r="M951" s="16"/>
    </row>
    <row r="952" spans="1:13" x14ac:dyDescent="0.25">
      <c r="A952" s="2"/>
      <c r="B952" s="16"/>
      <c r="C952" s="22"/>
      <c r="D952" s="16"/>
      <c r="E952" s="21"/>
      <c r="F952" s="16"/>
      <c r="G952" s="16"/>
      <c r="H952" s="16"/>
      <c r="I952" s="16"/>
      <c r="J952" s="16"/>
      <c r="K952" s="16"/>
      <c r="L952" s="16"/>
      <c r="M952" s="16"/>
    </row>
    <row r="953" spans="1:13" x14ac:dyDescent="0.25">
      <c r="A953" s="2"/>
      <c r="B953" s="16"/>
      <c r="C953" s="22"/>
      <c r="D953" s="16"/>
      <c r="E953" s="21"/>
      <c r="F953" s="16"/>
      <c r="G953" s="16"/>
      <c r="H953" s="16"/>
      <c r="I953" s="16"/>
      <c r="J953" s="16"/>
      <c r="K953" s="16"/>
      <c r="L953" s="16"/>
      <c r="M953" s="16"/>
    </row>
    <row r="954" spans="1:13" x14ac:dyDescent="0.25">
      <c r="A954" s="2"/>
      <c r="B954" s="16"/>
      <c r="C954" s="22"/>
      <c r="D954" s="16"/>
      <c r="E954" s="21"/>
      <c r="F954" s="16"/>
      <c r="G954" s="16"/>
      <c r="H954" s="16"/>
      <c r="I954" s="16"/>
      <c r="J954" s="16"/>
      <c r="K954" s="16"/>
      <c r="L954" s="16"/>
      <c r="M954" s="16"/>
    </row>
    <row r="955" spans="1:13" x14ac:dyDescent="0.25">
      <c r="A955" s="2"/>
      <c r="B955" s="16"/>
      <c r="C955" s="22"/>
      <c r="D955" s="16"/>
      <c r="E955" s="21"/>
      <c r="F955" s="16"/>
      <c r="G955" s="16"/>
      <c r="H955" s="16"/>
      <c r="I955" s="16"/>
      <c r="J955" s="16"/>
      <c r="K955" s="16"/>
      <c r="L955" s="16"/>
      <c r="M955" s="16"/>
    </row>
    <row r="956" spans="1:13" x14ac:dyDescent="0.25">
      <c r="A956" s="2"/>
      <c r="B956" s="16"/>
      <c r="C956" s="22"/>
      <c r="D956" s="16"/>
      <c r="E956" s="21"/>
      <c r="F956" s="16"/>
      <c r="G956" s="16"/>
      <c r="H956" s="16"/>
      <c r="I956" s="16"/>
      <c r="J956" s="16"/>
      <c r="K956" s="16"/>
      <c r="L956" s="16"/>
      <c r="M956" s="16"/>
    </row>
    <row r="957" spans="1:13" x14ac:dyDescent="0.25">
      <c r="A957" s="2"/>
      <c r="B957" s="16"/>
      <c r="C957" s="22"/>
      <c r="D957" s="16"/>
      <c r="E957" s="21"/>
      <c r="F957" s="16"/>
      <c r="G957" s="16"/>
      <c r="H957" s="16"/>
      <c r="I957" s="16"/>
      <c r="J957" s="16"/>
      <c r="K957" s="16"/>
      <c r="L957" s="16"/>
      <c r="M957" s="16"/>
    </row>
    <row r="958" spans="1:13" x14ac:dyDescent="0.25">
      <c r="A958" s="2"/>
      <c r="B958" s="16"/>
      <c r="C958" s="22"/>
      <c r="D958" s="16"/>
      <c r="E958" s="21"/>
      <c r="F958" s="16"/>
      <c r="G958" s="16"/>
      <c r="H958" s="16"/>
      <c r="I958" s="16"/>
      <c r="J958" s="16"/>
      <c r="K958" s="16"/>
      <c r="L958" s="16"/>
      <c r="M958" s="16"/>
    </row>
    <row r="959" spans="1:13" x14ac:dyDescent="0.25">
      <c r="A959" s="2"/>
      <c r="B959" s="16"/>
      <c r="C959" s="22"/>
      <c r="D959" s="16"/>
      <c r="E959" s="21"/>
      <c r="F959" s="16"/>
      <c r="G959" s="16"/>
      <c r="H959" s="16"/>
      <c r="I959" s="16"/>
      <c r="J959" s="16"/>
      <c r="K959" s="16"/>
      <c r="L959" s="16"/>
      <c r="M959" s="16"/>
    </row>
    <row r="960" spans="1:13" x14ac:dyDescent="0.25">
      <c r="A960" s="2"/>
      <c r="B960" s="16"/>
      <c r="C960" s="22"/>
      <c r="D960" s="16"/>
      <c r="E960" s="21"/>
      <c r="F960" s="16"/>
      <c r="G960" s="16"/>
      <c r="H960" s="16"/>
      <c r="I960" s="16"/>
      <c r="J960" s="16"/>
      <c r="K960" s="16"/>
      <c r="L960" s="16"/>
      <c r="M960" s="16"/>
    </row>
    <row r="961" spans="1:13" x14ac:dyDescent="0.25">
      <c r="A961" s="2"/>
      <c r="B961" s="16"/>
      <c r="C961" s="22"/>
      <c r="D961" s="16"/>
      <c r="E961" s="21"/>
      <c r="F961" s="16"/>
      <c r="G961" s="16"/>
      <c r="H961" s="16"/>
      <c r="I961" s="16"/>
      <c r="J961" s="16"/>
      <c r="K961" s="16"/>
      <c r="L961" s="16"/>
      <c r="M961" s="16"/>
    </row>
    <row r="962" spans="1:13" x14ac:dyDescent="0.25">
      <c r="A962" s="2"/>
      <c r="B962" s="16"/>
      <c r="C962" s="22"/>
      <c r="D962" s="16"/>
      <c r="E962" s="21"/>
      <c r="F962" s="16"/>
      <c r="G962" s="16"/>
      <c r="H962" s="16"/>
      <c r="I962" s="16"/>
      <c r="J962" s="16"/>
      <c r="K962" s="16"/>
      <c r="L962" s="16"/>
      <c r="M962" s="16"/>
    </row>
    <row r="963" spans="1:13" x14ac:dyDescent="0.25">
      <c r="A963" s="2"/>
      <c r="B963" s="16"/>
      <c r="C963" s="22"/>
      <c r="D963" s="16"/>
      <c r="E963" s="21"/>
      <c r="F963" s="16"/>
      <c r="G963" s="16"/>
      <c r="H963" s="16"/>
      <c r="I963" s="16"/>
      <c r="J963" s="16"/>
      <c r="K963" s="16"/>
      <c r="L963" s="16"/>
      <c r="M963" s="16"/>
    </row>
    <row r="964" spans="1:13" x14ac:dyDescent="0.25">
      <c r="A964" s="2"/>
      <c r="B964" s="16"/>
      <c r="C964" s="22"/>
      <c r="D964" s="16"/>
      <c r="E964" s="21"/>
      <c r="F964" s="16"/>
      <c r="G964" s="16"/>
      <c r="H964" s="16"/>
      <c r="I964" s="16"/>
      <c r="J964" s="16"/>
      <c r="K964" s="16"/>
      <c r="L964" s="16"/>
      <c r="M964" s="16"/>
    </row>
    <row r="965" spans="1:13" x14ac:dyDescent="0.25">
      <c r="A965" s="2"/>
      <c r="B965" s="16"/>
      <c r="C965" s="22"/>
      <c r="D965" s="16"/>
      <c r="E965" s="21"/>
      <c r="F965" s="16"/>
      <c r="G965" s="16"/>
      <c r="H965" s="16"/>
      <c r="I965" s="16"/>
      <c r="J965" s="16"/>
      <c r="K965" s="16"/>
      <c r="L965" s="16"/>
      <c r="M965" s="16"/>
    </row>
    <row r="966" spans="1:13" x14ac:dyDescent="0.25">
      <c r="A966" s="2"/>
      <c r="B966" s="16"/>
      <c r="C966" s="22"/>
      <c r="D966" s="16"/>
      <c r="E966" s="21"/>
      <c r="F966" s="16"/>
      <c r="G966" s="16"/>
      <c r="H966" s="16"/>
      <c r="I966" s="16"/>
      <c r="J966" s="16"/>
      <c r="K966" s="16"/>
      <c r="L966" s="16"/>
      <c r="M966" s="16"/>
    </row>
    <row r="967" spans="1:13" x14ac:dyDescent="0.25">
      <c r="A967" s="2"/>
      <c r="B967" s="16"/>
      <c r="C967" s="22"/>
      <c r="D967" s="16"/>
      <c r="E967" s="21"/>
      <c r="F967" s="16"/>
      <c r="G967" s="16"/>
      <c r="H967" s="16"/>
      <c r="I967" s="16"/>
      <c r="J967" s="16"/>
      <c r="K967" s="16"/>
      <c r="L967" s="16"/>
      <c r="M967" s="16"/>
    </row>
    <row r="968" spans="1:13" x14ac:dyDescent="0.25">
      <c r="A968" s="2"/>
      <c r="B968" s="16"/>
      <c r="C968" s="22"/>
      <c r="D968" s="16"/>
      <c r="E968" s="21"/>
      <c r="F968" s="16"/>
      <c r="G968" s="16"/>
      <c r="H968" s="16"/>
      <c r="I968" s="16"/>
      <c r="J968" s="16"/>
      <c r="K968" s="16"/>
      <c r="L968" s="16"/>
      <c r="M968" s="16"/>
    </row>
    <row r="969" spans="1:13" x14ac:dyDescent="0.25">
      <c r="A969" s="2"/>
      <c r="B969" s="16"/>
      <c r="C969" s="22"/>
      <c r="D969" s="16"/>
      <c r="E969" s="21"/>
      <c r="F969" s="16"/>
      <c r="G969" s="16"/>
      <c r="H969" s="16"/>
      <c r="I969" s="16"/>
      <c r="J969" s="16"/>
      <c r="K969" s="16"/>
      <c r="L969" s="16"/>
      <c r="M969" s="16"/>
    </row>
    <row r="970" spans="1:13" x14ac:dyDescent="0.25">
      <c r="A970" s="2"/>
      <c r="B970" s="16"/>
      <c r="C970" s="22"/>
      <c r="D970" s="16"/>
      <c r="E970" s="21"/>
      <c r="F970" s="16"/>
      <c r="G970" s="16"/>
      <c r="H970" s="16"/>
      <c r="I970" s="16"/>
      <c r="J970" s="16"/>
      <c r="K970" s="16"/>
      <c r="L970" s="16"/>
      <c r="M970" s="16"/>
    </row>
    <row r="971" spans="1:13" x14ac:dyDescent="0.25">
      <c r="A971" s="2"/>
      <c r="B971" s="16"/>
      <c r="C971" s="22"/>
      <c r="D971" s="16"/>
      <c r="E971" s="21"/>
      <c r="F971" s="16"/>
      <c r="G971" s="16"/>
      <c r="H971" s="16"/>
      <c r="I971" s="16"/>
      <c r="J971" s="16"/>
      <c r="K971" s="16"/>
      <c r="L971" s="16"/>
      <c r="M971" s="16"/>
    </row>
    <row r="972" spans="1:13" x14ac:dyDescent="0.25">
      <c r="A972" s="2"/>
      <c r="B972" s="16"/>
      <c r="C972" s="22"/>
      <c r="D972" s="16"/>
      <c r="E972" s="21"/>
      <c r="F972" s="16"/>
      <c r="G972" s="16"/>
      <c r="H972" s="16"/>
      <c r="I972" s="16"/>
      <c r="J972" s="16"/>
      <c r="K972" s="16"/>
      <c r="L972" s="16"/>
      <c r="M972" s="16"/>
    </row>
    <row r="973" spans="1:13" x14ac:dyDescent="0.25">
      <c r="A973" s="2"/>
      <c r="B973" s="16"/>
      <c r="C973" s="22"/>
      <c r="D973" s="16"/>
      <c r="E973" s="21"/>
      <c r="F973" s="16"/>
      <c r="G973" s="16"/>
      <c r="H973" s="16"/>
      <c r="I973" s="16"/>
      <c r="J973" s="16"/>
      <c r="K973" s="16"/>
      <c r="L973" s="16"/>
      <c r="M973" s="16"/>
    </row>
    <row r="974" spans="1:13" x14ac:dyDescent="0.25">
      <c r="A974" s="2"/>
      <c r="B974" s="16"/>
      <c r="C974" s="22"/>
      <c r="D974" s="16"/>
      <c r="E974" s="21"/>
      <c r="F974" s="16"/>
      <c r="G974" s="16"/>
      <c r="H974" s="16"/>
      <c r="I974" s="16"/>
      <c r="J974" s="16"/>
      <c r="K974" s="16"/>
      <c r="L974" s="16"/>
      <c r="M974" s="16"/>
    </row>
    <row r="975" spans="1:13" x14ac:dyDescent="0.25">
      <c r="A975" s="2"/>
      <c r="B975" s="16"/>
      <c r="C975" s="22"/>
      <c r="D975" s="16"/>
      <c r="E975" s="21"/>
      <c r="F975" s="16"/>
      <c r="G975" s="16"/>
      <c r="H975" s="16"/>
      <c r="I975" s="16"/>
      <c r="J975" s="16"/>
      <c r="K975" s="16"/>
      <c r="L975" s="16"/>
      <c r="M975" s="16"/>
    </row>
    <row r="976" spans="1:13" x14ac:dyDescent="0.25">
      <c r="A976" s="2"/>
      <c r="B976" s="16"/>
      <c r="C976" s="22"/>
      <c r="D976" s="16"/>
      <c r="E976" s="21"/>
      <c r="F976" s="16"/>
      <c r="G976" s="16"/>
      <c r="H976" s="16"/>
      <c r="I976" s="16"/>
      <c r="J976" s="16"/>
      <c r="K976" s="16"/>
      <c r="L976" s="16"/>
      <c r="M976" s="16"/>
    </row>
    <row r="977" spans="1:13" x14ac:dyDescent="0.25">
      <c r="A977" s="2"/>
      <c r="B977" s="16"/>
      <c r="C977" s="22"/>
      <c r="D977" s="16"/>
      <c r="E977" s="21"/>
      <c r="F977" s="16"/>
      <c r="G977" s="16"/>
      <c r="H977" s="16"/>
      <c r="I977" s="16"/>
      <c r="J977" s="16"/>
      <c r="K977" s="16"/>
      <c r="L977" s="16"/>
      <c r="M977" s="16"/>
    </row>
    <row r="978" spans="1:13" x14ac:dyDescent="0.25">
      <c r="A978" s="2"/>
      <c r="B978" s="16"/>
      <c r="C978" s="22"/>
      <c r="D978" s="16"/>
      <c r="E978" s="21"/>
      <c r="F978" s="16"/>
      <c r="G978" s="16"/>
      <c r="H978" s="16"/>
      <c r="I978" s="16"/>
      <c r="J978" s="16"/>
      <c r="K978" s="16"/>
      <c r="L978" s="16"/>
      <c r="M978" s="16"/>
    </row>
    <row r="979" spans="1:13" x14ac:dyDescent="0.25">
      <c r="A979" s="2"/>
      <c r="B979" s="16"/>
      <c r="C979" s="22"/>
      <c r="D979" s="16"/>
      <c r="E979" s="21"/>
      <c r="F979" s="16"/>
      <c r="G979" s="16"/>
      <c r="H979" s="16"/>
      <c r="I979" s="16"/>
      <c r="J979" s="16"/>
      <c r="K979" s="16"/>
      <c r="L979" s="16"/>
      <c r="M979" s="16"/>
    </row>
    <row r="980" spans="1:13" x14ac:dyDescent="0.25">
      <c r="A980" s="2"/>
      <c r="B980" s="16"/>
      <c r="C980" s="22"/>
      <c r="D980" s="16"/>
      <c r="E980" s="21"/>
      <c r="F980" s="16"/>
      <c r="G980" s="16"/>
      <c r="H980" s="16"/>
      <c r="I980" s="16"/>
      <c r="J980" s="16"/>
      <c r="K980" s="16"/>
      <c r="L980" s="16"/>
      <c r="M980" s="16"/>
    </row>
    <row r="981" spans="1:13" x14ac:dyDescent="0.25">
      <c r="A981" s="2"/>
      <c r="B981" s="16"/>
      <c r="C981" s="22"/>
      <c r="D981" s="16"/>
      <c r="E981" s="21"/>
      <c r="F981" s="16"/>
      <c r="G981" s="16"/>
      <c r="H981" s="16"/>
      <c r="I981" s="16"/>
      <c r="J981" s="16"/>
      <c r="K981" s="16"/>
      <c r="L981" s="16"/>
      <c r="M981" s="16"/>
    </row>
    <row r="982" spans="1:13" x14ac:dyDescent="0.25">
      <c r="A982" s="2"/>
      <c r="B982" s="16"/>
      <c r="C982" s="22"/>
      <c r="D982" s="16"/>
      <c r="E982" s="21"/>
      <c r="F982" s="16"/>
      <c r="G982" s="16"/>
      <c r="H982" s="16"/>
      <c r="I982" s="16"/>
      <c r="J982" s="16"/>
      <c r="K982" s="16"/>
      <c r="L982" s="16"/>
      <c r="M982" s="16"/>
    </row>
    <row r="983" spans="1:13" x14ac:dyDescent="0.25">
      <c r="A983" s="2"/>
      <c r="B983" s="16"/>
      <c r="C983" s="22"/>
      <c r="D983" s="16"/>
      <c r="E983" s="21"/>
      <c r="F983" s="16"/>
      <c r="G983" s="16"/>
      <c r="H983" s="16"/>
      <c r="I983" s="16"/>
      <c r="J983" s="16"/>
      <c r="K983" s="16"/>
      <c r="L983" s="16"/>
      <c r="M983" s="16"/>
    </row>
    <row r="984" spans="1:13" x14ac:dyDescent="0.25">
      <c r="A984" s="2"/>
      <c r="B984" s="16"/>
      <c r="C984" s="22"/>
      <c r="D984" s="16"/>
      <c r="E984" s="21"/>
      <c r="F984" s="16"/>
      <c r="G984" s="16"/>
      <c r="H984" s="16"/>
      <c r="I984" s="16"/>
      <c r="J984" s="16"/>
      <c r="K984" s="16"/>
      <c r="L984" s="16"/>
      <c r="M984" s="16"/>
    </row>
    <row r="985" spans="1:13" x14ac:dyDescent="0.25">
      <c r="A985" s="2"/>
      <c r="B985" s="16"/>
      <c r="C985" s="22"/>
      <c r="D985" s="16"/>
      <c r="E985" s="21"/>
      <c r="F985" s="16"/>
      <c r="G985" s="16"/>
      <c r="H985" s="16"/>
      <c r="I985" s="16"/>
      <c r="J985" s="16"/>
      <c r="K985" s="16"/>
      <c r="L985" s="16"/>
      <c r="M985" s="16"/>
    </row>
    <row r="986" spans="1:13" x14ac:dyDescent="0.25">
      <c r="A986" s="2"/>
      <c r="B986" s="16"/>
      <c r="C986" s="22"/>
      <c r="D986" s="16"/>
      <c r="E986" s="21"/>
      <c r="F986" s="16"/>
      <c r="G986" s="16"/>
      <c r="H986" s="16"/>
      <c r="I986" s="16"/>
      <c r="J986" s="16"/>
      <c r="K986" s="16"/>
      <c r="L986" s="16"/>
      <c r="M986" s="16"/>
    </row>
    <row r="987" spans="1:13" x14ac:dyDescent="0.25">
      <c r="A987" s="2"/>
      <c r="B987" s="16"/>
      <c r="C987" s="22"/>
      <c r="D987" s="16"/>
      <c r="E987" s="21"/>
      <c r="F987" s="16"/>
      <c r="G987" s="16"/>
      <c r="H987" s="16"/>
      <c r="I987" s="16"/>
      <c r="J987" s="16"/>
      <c r="K987" s="16"/>
      <c r="L987" s="16"/>
      <c r="M987" s="16"/>
    </row>
    <row r="988" spans="1:13" x14ac:dyDescent="0.25">
      <c r="A988" s="2"/>
      <c r="B988" s="16"/>
      <c r="C988" s="22"/>
      <c r="D988" s="16"/>
      <c r="E988" s="21"/>
      <c r="F988" s="16"/>
      <c r="G988" s="16"/>
      <c r="H988" s="16"/>
      <c r="I988" s="16"/>
      <c r="J988" s="16"/>
      <c r="K988" s="16"/>
      <c r="L988" s="16"/>
      <c r="M988" s="16"/>
    </row>
    <row r="989" spans="1:13" x14ac:dyDescent="0.25">
      <c r="A989" s="2"/>
      <c r="B989" s="16"/>
      <c r="C989" s="22"/>
      <c r="D989" s="16"/>
      <c r="E989" s="21"/>
      <c r="F989" s="16"/>
      <c r="G989" s="16"/>
      <c r="H989" s="16"/>
      <c r="I989" s="16"/>
      <c r="J989" s="16"/>
      <c r="K989" s="16"/>
      <c r="L989" s="16"/>
      <c r="M989" s="16"/>
    </row>
    <row r="990" spans="1:13" x14ac:dyDescent="0.25">
      <c r="A990" s="2"/>
      <c r="B990" s="16"/>
      <c r="C990" s="22"/>
      <c r="D990" s="16"/>
      <c r="E990" s="21"/>
      <c r="F990" s="16"/>
      <c r="G990" s="16"/>
      <c r="H990" s="16"/>
      <c r="I990" s="16"/>
      <c r="J990" s="16"/>
      <c r="K990" s="16"/>
      <c r="L990" s="16"/>
      <c r="M990" s="16"/>
    </row>
    <row r="991" spans="1:13" x14ac:dyDescent="0.25">
      <c r="A991" s="2"/>
      <c r="B991" s="16"/>
      <c r="C991" s="22"/>
      <c r="D991" s="16"/>
      <c r="E991" s="21"/>
      <c r="F991" s="16"/>
      <c r="G991" s="16"/>
      <c r="H991" s="16"/>
      <c r="I991" s="16"/>
      <c r="J991" s="16"/>
      <c r="K991" s="16"/>
      <c r="L991" s="16"/>
      <c r="M991" s="16"/>
    </row>
    <row r="992" spans="1:13" x14ac:dyDescent="0.25">
      <c r="A992" s="2"/>
      <c r="B992" s="16"/>
      <c r="C992" s="22"/>
      <c r="D992" s="16"/>
      <c r="E992" s="21"/>
      <c r="F992" s="16"/>
      <c r="G992" s="16"/>
      <c r="H992" s="16"/>
      <c r="I992" s="16"/>
      <c r="J992" s="16"/>
      <c r="K992" s="16"/>
      <c r="L992" s="16"/>
      <c r="M992" s="16"/>
    </row>
    <row r="993" spans="1:13" x14ac:dyDescent="0.25">
      <c r="A993" s="2"/>
      <c r="B993" s="16"/>
      <c r="C993" s="22"/>
      <c r="D993" s="16"/>
      <c r="E993" s="21"/>
      <c r="F993" s="16"/>
      <c r="G993" s="16"/>
      <c r="H993" s="16"/>
      <c r="I993" s="16"/>
      <c r="J993" s="16"/>
      <c r="K993" s="16"/>
      <c r="L993" s="16"/>
      <c r="M993" s="16"/>
    </row>
    <row r="994" spans="1:13" x14ac:dyDescent="0.25">
      <c r="A994" s="2"/>
      <c r="B994" s="16"/>
      <c r="C994" s="22"/>
      <c r="D994" s="16"/>
      <c r="E994" s="21"/>
      <c r="F994" s="16"/>
      <c r="G994" s="16"/>
      <c r="H994" s="16"/>
      <c r="I994" s="16"/>
      <c r="J994" s="16"/>
      <c r="K994" s="16"/>
      <c r="L994" s="16"/>
      <c r="M994" s="16"/>
    </row>
    <row r="995" spans="1:13" x14ac:dyDescent="0.25">
      <c r="A995" s="2"/>
      <c r="B995" s="16"/>
      <c r="C995" s="22"/>
      <c r="D995" s="16"/>
      <c r="E995" s="21"/>
      <c r="F995" s="16"/>
      <c r="G995" s="16"/>
      <c r="H995" s="16"/>
      <c r="I995" s="16"/>
      <c r="J995" s="16"/>
      <c r="K995" s="16"/>
      <c r="L995" s="16"/>
      <c r="M995" s="16"/>
    </row>
    <row r="996" spans="1:13" x14ac:dyDescent="0.25">
      <c r="A996" s="2"/>
      <c r="B996" s="16"/>
      <c r="C996" s="22"/>
      <c r="D996" s="16"/>
      <c r="E996" s="21"/>
      <c r="F996" s="16"/>
      <c r="G996" s="16"/>
      <c r="H996" s="16"/>
      <c r="I996" s="16"/>
      <c r="J996" s="16"/>
      <c r="K996" s="16"/>
      <c r="L996" s="16"/>
      <c r="M996" s="16"/>
    </row>
    <row r="997" spans="1:13" x14ac:dyDescent="0.25">
      <c r="A997" s="2"/>
      <c r="B997" s="16"/>
      <c r="C997" s="22"/>
      <c r="D997" s="16"/>
      <c r="E997" s="21"/>
      <c r="F997" s="16"/>
      <c r="G997" s="16"/>
      <c r="H997" s="16"/>
      <c r="I997" s="16"/>
      <c r="J997" s="16"/>
      <c r="K997" s="16"/>
      <c r="L997" s="16"/>
      <c r="M997" s="16"/>
    </row>
    <row r="998" spans="1:13" x14ac:dyDescent="0.25">
      <c r="A998" s="2"/>
      <c r="B998" s="16"/>
      <c r="C998" s="22"/>
      <c r="D998" s="16"/>
      <c r="E998" s="21"/>
      <c r="F998" s="16"/>
      <c r="G998" s="16"/>
      <c r="H998" s="16"/>
      <c r="I998" s="16"/>
      <c r="J998" s="16"/>
      <c r="K998" s="16"/>
      <c r="L998" s="16"/>
      <c r="M998" s="16"/>
    </row>
    <row r="999" spans="1:13" x14ac:dyDescent="0.25">
      <c r="A999" s="2"/>
      <c r="B999" s="16"/>
      <c r="C999" s="22"/>
      <c r="D999" s="16"/>
      <c r="E999" s="21"/>
      <c r="F999" s="16"/>
      <c r="G999" s="16"/>
      <c r="H999" s="16"/>
      <c r="I999" s="16"/>
      <c r="J999" s="16"/>
      <c r="K999" s="16"/>
      <c r="L999" s="16"/>
      <c r="M999" s="16"/>
    </row>
    <row r="1000" spans="1:13" x14ac:dyDescent="0.25">
      <c r="A1000" s="2"/>
      <c r="B1000" s="16"/>
      <c r="C1000" s="22"/>
      <c r="D1000" s="16"/>
      <c r="E1000" s="21"/>
      <c r="F1000" s="16"/>
      <c r="G1000" s="16"/>
      <c r="H1000" s="16"/>
      <c r="I1000" s="16"/>
      <c r="J1000" s="16"/>
      <c r="K1000" s="16"/>
      <c r="L1000" s="16"/>
      <c r="M1000" s="16"/>
    </row>
    <row r="1001" spans="1:13" x14ac:dyDescent="0.25">
      <c r="A1001" s="2"/>
      <c r="B1001" s="16"/>
      <c r="C1001" s="22"/>
      <c r="D1001" s="16"/>
      <c r="E1001" s="21"/>
      <c r="F1001" s="16"/>
      <c r="G1001" s="16"/>
      <c r="H1001" s="16"/>
      <c r="I1001" s="16"/>
      <c r="J1001" s="16"/>
      <c r="K1001" s="16"/>
      <c r="L1001" s="16"/>
      <c r="M1001" s="16"/>
    </row>
    <row r="1002" spans="1:13" x14ac:dyDescent="0.25">
      <c r="A1002" s="2"/>
      <c r="B1002" s="16"/>
      <c r="C1002" s="22"/>
      <c r="D1002" s="16"/>
      <c r="E1002" s="21"/>
      <c r="F1002" s="16"/>
      <c r="G1002" s="16"/>
      <c r="H1002" s="16"/>
      <c r="I1002" s="16"/>
      <c r="J1002" s="16"/>
      <c r="K1002" s="16"/>
      <c r="L1002" s="16"/>
      <c r="M1002" s="16"/>
    </row>
    <row r="1003" spans="1:13" x14ac:dyDescent="0.25">
      <c r="A1003" s="2"/>
      <c r="B1003" s="16"/>
      <c r="C1003" s="22"/>
      <c r="D1003" s="16"/>
      <c r="E1003" s="21"/>
      <c r="F1003" s="16"/>
      <c r="G1003" s="16"/>
      <c r="H1003" s="16"/>
      <c r="I1003" s="16"/>
      <c r="J1003" s="16"/>
      <c r="K1003" s="16"/>
      <c r="L1003" s="16"/>
      <c r="M1003" s="16"/>
    </row>
    <row r="1004" spans="1:13" x14ac:dyDescent="0.25">
      <c r="A1004" s="2"/>
      <c r="B1004" s="16"/>
      <c r="C1004" s="22"/>
      <c r="D1004" s="16"/>
      <c r="E1004" s="21"/>
      <c r="F1004" s="16"/>
      <c r="G1004" s="16"/>
      <c r="H1004" s="16"/>
      <c r="I1004" s="16"/>
      <c r="J1004" s="16"/>
      <c r="K1004" s="16"/>
      <c r="L1004" s="16"/>
      <c r="M1004" s="16"/>
    </row>
    <row r="1005" spans="1:13" x14ac:dyDescent="0.25">
      <c r="A1005" s="2"/>
      <c r="B1005" s="16"/>
      <c r="C1005" s="22"/>
      <c r="D1005" s="16"/>
      <c r="E1005" s="21"/>
      <c r="F1005" s="16"/>
      <c r="G1005" s="16"/>
      <c r="H1005" s="16"/>
      <c r="I1005" s="16"/>
      <c r="J1005" s="16"/>
      <c r="K1005" s="16"/>
      <c r="L1005" s="16"/>
      <c r="M1005" s="16"/>
    </row>
    <row r="1006" spans="1:13" x14ac:dyDescent="0.25">
      <c r="A1006" s="2"/>
      <c r="B1006" s="16"/>
      <c r="C1006" s="22"/>
      <c r="D1006" s="16"/>
      <c r="E1006" s="21"/>
      <c r="F1006" s="16"/>
      <c r="G1006" s="16"/>
      <c r="H1006" s="16"/>
      <c r="I1006" s="16"/>
      <c r="J1006" s="16"/>
      <c r="K1006" s="16"/>
      <c r="L1006" s="16"/>
      <c r="M1006" s="16"/>
    </row>
    <row r="1007" spans="1:13" x14ac:dyDescent="0.25">
      <c r="A1007" s="2"/>
      <c r="B1007" s="16"/>
      <c r="C1007" s="22"/>
      <c r="D1007" s="16"/>
      <c r="E1007" s="21"/>
      <c r="F1007" s="16"/>
      <c r="G1007" s="16"/>
      <c r="H1007" s="16"/>
      <c r="I1007" s="16"/>
      <c r="J1007" s="16"/>
      <c r="K1007" s="16"/>
      <c r="L1007" s="16"/>
      <c r="M1007" s="16"/>
    </row>
    <row r="1008" spans="1:13" x14ac:dyDescent="0.25">
      <c r="A1008" s="2"/>
      <c r="B1008" s="16"/>
      <c r="C1008" s="22"/>
      <c r="D1008" s="16"/>
      <c r="E1008" s="21"/>
      <c r="F1008" s="16"/>
      <c r="G1008" s="16"/>
      <c r="H1008" s="16"/>
      <c r="I1008" s="16"/>
      <c r="J1008" s="16"/>
      <c r="K1008" s="16"/>
      <c r="L1008" s="16"/>
      <c r="M1008" s="16"/>
    </row>
    <row r="1009" spans="1:13" x14ac:dyDescent="0.25">
      <c r="A1009" s="2"/>
      <c r="B1009" s="16"/>
      <c r="C1009" s="22"/>
      <c r="D1009" s="16"/>
      <c r="E1009" s="21"/>
      <c r="F1009" s="16"/>
      <c r="G1009" s="16"/>
      <c r="H1009" s="16"/>
      <c r="I1009" s="16"/>
      <c r="J1009" s="16"/>
      <c r="K1009" s="16"/>
      <c r="L1009" s="16"/>
      <c r="M1009" s="16"/>
    </row>
    <row r="1010" spans="1:13" x14ac:dyDescent="0.25">
      <c r="A1010" s="2"/>
      <c r="B1010" s="16"/>
      <c r="C1010" s="22"/>
      <c r="D1010" s="16"/>
      <c r="E1010" s="21"/>
      <c r="F1010" s="16"/>
      <c r="G1010" s="16"/>
      <c r="H1010" s="16"/>
      <c r="I1010" s="16"/>
      <c r="J1010" s="16"/>
      <c r="K1010" s="16"/>
      <c r="L1010" s="16"/>
      <c r="M1010" s="16"/>
    </row>
    <row r="1011" spans="1:13" x14ac:dyDescent="0.25">
      <c r="A1011" s="2"/>
      <c r="B1011" s="16"/>
      <c r="C1011" s="22"/>
      <c r="D1011" s="16"/>
      <c r="E1011" s="21"/>
      <c r="F1011" s="16"/>
      <c r="G1011" s="16"/>
      <c r="H1011" s="16"/>
      <c r="I1011" s="16"/>
      <c r="J1011" s="16"/>
      <c r="K1011" s="16"/>
      <c r="L1011" s="16"/>
      <c r="M1011" s="16"/>
    </row>
    <row r="1012" spans="1:13" x14ac:dyDescent="0.25">
      <c r="A1012" s="2"/>
      <c r="B1012" s="16"/>
      <c r="C1012" s="22"/>
      <c r="D1012" s="16"/>
      <c r="E1012" s="21"/>
      <c r="F1012" s="16"/>
      <c r="G1012" s="16"/>
      <c r="H1012" s="16"/>
      <c r="I1012" s="16"/>
      <c r="J1012" s="16"/>
      <c r="K1012" s="16"/>
      <c r="L1012" s="16"/>
      <c r="M1012" s="16"/>
    </row>
    <row r="1013" spans="1:13" x14ac:dyDescent="0.25">
      <c r="A1013" s="2"/>
      <c r="B1013" s="16"/>
      <c r="C1013" s="22"/>
      <c r="D1013" s="16"/>
      <c r="E1013" s="21"/>
      <c r="F1013" s="16"/>
      <c r="G1013" s="16"/>
      <c r="H1013" s="16"/>
      <c r="I1013" s="16"/>
      <c r="J1013" s="16"/>
      <c r="K1013" s="16"/>
      <c r="L1013" s="16"/>
      <c r="M1013" s="16"/>
    </row>
    <row r="1014" spans="1:13" x14ac:dyDescent="0.25">
      <c r="A1014" s="2"/>
      <c r="B1014" s="16"/>
      <c r="C1014" s="22"/>
      <c r="D1014" s="16"/>
      <c r="E1014" s="21"/>
      <c r="F1014" s="16"/>
      <c r="G1014" s="16"/>
      <c r="H1014" s="16"/>
      <c r="I1014" s="16"/>
      <c r="J1014" s="16"/>
      <c r="K1014" s="16"/>
      <c r="L1014" s="16"/>
      <c r="M1014" s="16"/>
    </row>
    <row r="1015" spans="1:13" x14ac:dyDescent="0.25">
      <c r="A1015" s="2"/>
      <c r="B1015" s="16"/>
      <c r="C1015" s="22"/>
      <c r="D1015" s="16"/>
      <c r="E1015" s="21"/>
      <c r="F1015" s="16"/>
      <c r="G1015" s="16"/>
      <c r="H1015" s="16"/>
      <c r="I1015" s="16"/>
      <c r="J1015" s="16"/>
      <c r="K1015" s="16"/>
      <c r="L1015" s="16"/>
      <c r="M1015" s="16"/>
    </row>
    <row r="1016" spans="1:13" x14ac:dyDescent="0.25">
      <c r="A1016" s="2"/>
      <c r="B1016" s="16"/>
      <c r="C1016" s="22"/>
      <c r="D1016" s="16"/>
      <c r="E1016" s="21"/>
      <c r="F1016" s="16"/>
      <c r="G1016" s="16"/>
      <c r="H1016" s="16"/>
      <c r="I1016" s="16"/>
      <c r="J1016" s="16"/>
      <c r="K1016" s="16"/>
      <c r="L1016" s="16"/>
      <c r="M1016" s="16"/>
    </row>
    <row r="1017" spans="1:13" x14ac:dyDescent="0.25">
      <c r="A1017" s="2"/>
      <c r="B1017" s="16"/>
      <c r="C1017" s="22"/>
      <c r="D1017" s="16"/>
      <c r="E1017" s="21"/>
      <c r="F1017" s="16"/>
      <c r="G1017" s="16"/>
      <c r="H1017" s="16"/>
      <c r="I1017" s="16"/>
      <c r="J1017" s="16"/>
      <c r="K1017" s="16"/>
      <c r="L1017" s="16"/>
      <c r="M1017" s="16"/>
    </row>
    <row r="1018" spans="1:13" x14ac:dyDescent="0.25">
      <c r="A1018" s="2"/>
      <c r="B1018" s="16"/>
      <c r="C1018" s="22"/>
      <c r="D1018" s="16"/>
      <c r="E1018" s="21"/>
      <c r="F1018" s="16"/>
      <c r="G1018" s="16"/>
      <c r="H1018" s="16"/>
      <c r="I1018" s="16"/>
      <c r="J1018" s="16"/>
      <c r="K1018" s="16"/>
      <c r="L1018" s="16"/>
      <c r="M1018" s="16"/>
    </row>
    <row r="1019" spans="1:13" x14ac:dyDescent="0.25">
      <c r="A1019" s="2"/>
      <c r="B1019" s="16"/>
      <c r="C1019" s="22"/>
      <c r="D1019" s="16"/>
      <c r="E1019" s="21"/>
      <c r="F1019" s="16"/>
      <c r="G1019" s="16"/>
      <c r="H1019" s="16"/>
      <c r="I1019" s="16"/>
      <c r="J1019" s="16"/>
      <c r="K1019" s="16"/>
      <c r="L1019" s="16"/>
      <c r="M1019" s="16"/>
    </row>
    <row r="1020" spans="1:13" x14ac:dyDescent="0.25">
      <c r="A1020" s="2"/>
      <c r="B1020" s="16"/>
      <c r="C1020" s="22"/>
      <c r="D1020" s="16"/>
      <c r="E1020" s="21"/>
      <c r="F1020" s="16"/>
      <c r="G1020" s="16"/>
      <c r="H1020" s="16"/>
      <c r="I1020" s="16"/>
      <c r="J1020" s="16"/>
      <c r="K1020" s="16"/>
      <c r="L1020" s="16"/>
      <c r="M1020" s="16"/>
    </row>
    <row r="1021" spans="1:13" x14ac:dyDescent="0.25">
      <c r="A1021" s="2"/>
      <c r="B1021" s="16"/>
      <c r="C1021" s="22"/>
      <c r="D1021" s="16"/>
      <c r="E1021" s="21"/>
      <c r="F1021" s="16"/>
      <c r="G1021" s="16"/>
      <c r="H1021" s="16"/>
      <c r="I1021" s="16"/>
      <c r="J1021" s="16"/>
      <c r="K1021" s="16"/>
      <c r="L1021" s="16"/>
      <c r="M1021" s="16"/>
    </row>
    <row r="1022" spans="1:13" x14ac:dyDescent="0.25">
      <c r="A1022" s="2"/>
      <c r="B1022" s="16"/>
      <c r="C1022" s="22"/>
      <c r="D1022" s="16"/>
      <c r="E1022" s="21"/>
      <c r="F1022" s="16"/>
      <c r="G1022" s="16"/>
      <c r="H1022" s="16"/>
      <c r="I1022" s="16"/>
      <c r="J1022" s="16"/>
      <c r="K1022" s="16"/>
      <c r="L1022" s="16"/>
      <c r="M1022" s="16"/>
    </row>
    <row r="1023" spans="1:13" x14ac:dyDescent="0.25">
      <c r="A1023" s="2"/>
      <c r="B1023" s="16"/>
      <c r="C1023" s="22"/>
      <c r="D1023" s="16"/>
      <c r="E1023" s="21"/>
      <c r="F1023" s="16"/>
      <c r="G1023" s="16"/>
      <c r="H1023" s="16"/>
      <c r="I1023" s="16"/>
      <c r="J1023" s="16"/>
      <c r="K1023" s="16"/>
      <c r="L1023" s="16"/>
      <c r="M1023" s="16"/>
    </row>
    <row r="1024" spans="1:13" x14ac:dyDescent="0.25">
      <c r="A1024" s="2"/>
      <c r="B1024" s="16"/>
      <c r="C1024" s="22"/>
      <c r="D1024" s="16"/>
      <c r="E1024" s="21"/>
      <c r="F1024" s="16"/>
      <c r="G1024" s="16"/>
      <c r="H1024" s="16"/>
      <c r="I1024" s="16"/>
      <c r="J1024" s="16"/>
      <c r="K1024" s="16"/>
      <c r="L1024" s="16"/>
      <c r="M1024" s="16"/>
    </row>
    <row r="1025" spans="1:13" x14ac:dyDescent="0.25">
      <c r="A1025" s="2"/>
      <c r="B1025" s="16"/>
      <c r="C1025" s="22"/>
      <c r="D1025" s="16"/>
      <c r="E1025" s="21"/>
      <c r="F1025" s="16"/>
      <c r="G1025" s="16"/>
      <c r="H1025" s="16"/>
      <c r="I1025" s="16"/>
      <c r="J1025" s="16"/>
      <c r="K1025" s="16"/>
      <c r="L1025" s="16"/>
      <c r="M1025" s="16"/>
    </row>
    <row r="1026" spans="1:13" x14ac:dyDescent="0.25">
      <c r="A1026" s="2"/>
      <c r="B1026" s="16"/>
      <c r="C1026" s="22"/>
      <c r="D1026" s="16"/>
      <c r="E1026" s="21"/>
      <c r="F1026" s="16"/>
      <c r="G1026" s="16"/>
      <c r="H1026" s="16"/>
      <c r="I1026" s="16"/>
      <c r="J1026" s="16"/>
      <c r="K1026" s="16"/>
      <c r="L1026" s="16"/>
      <c r="M1026" s="16"/>
    </row>
    <row r="1027" spans="1:13" x14ac:dyDescent="0.25">
      <c r="A1027" s="2"/>
      <c r="B1027" s="16"/>
      <c r="C1027" s="22"/>
      <c r="D1027" s="16"/>
      <c r="E1027" s="21"/>
      <c r="F1027" s="16"/>
      <c r="G1027" s="16"/>
      <c r="H1027" s="16"/>
      <c r="I1027" s="16"/>
      <c r="J1027" s="16"/>
      <c r="K1027" s="16"/>
      <c r="L1027" s="16"/>
      <c r="M1027" s="16"/>
    </row>
    <row r="1028" spans="1:13" x14ac:dyDescent="0.25">
      <c r="A1028" s="2"/>
      <c r="B1028" s="16"/>
      <c r="C1028" s="22"/>
      <c r="D1028" s="16"/>
      <c r="E1028" s="21"/>
      <c r="F1028" s="16"/>
      <c r="G1028" s="16"/>
      <c r="H1028" s="16"/>
      <c r="I1028" s="16"/>
      <c r="J1028" s="16"/>
      <c r="K1028" s="16"/>
      <c r="L1028" s="16"/>
      <c r="M1028" s="16"/>
    </row>
    <row r="1029" spans="1:13" x14ac:dyDescent="0.25">
      <c r="A1029" s="2"/>
      <c r="B1029" s="16"/>
      <c r="C1029" s="22"/>
      <c r="D1029" s="16"/>
      <c r="E1029" s="21"/>
      <c r="F1029" s="16"/>
      <c r="G1029" s="16"/>
      <c r="H1029" s="16"/>
      <c r="I1029" s="16"/>
      <c r="J1029" s="16"/>
      <c r="K1029" s="16"/>
      <c r="L1029" s="16"/>
      <c r="M1029" s="16"/>
    </row>
    <row r="1030" spans="1:13" x14ac:dyDescent="0.25">
      <c r="A1030" s="2"/>
      <c r="B1030" s="16"/>
      <c r="C1030" s="22"/>
      <c r="D1030" s="16"/>
      <c r="E1030" s="21"/>
      <c r="F1030" s="16"/>
      <c r="G1030" s="16"/>
      <c r="H1030" s="16"/>
      <c r="I1030" s="16"/>
      <c r="J1030" s="16"/>
      <c r="K1030" s="16"/>
      <c r="L1030" s="16"/>
      <c r="M1030" s="16"/>
    </row>
    <row r="1031" spans="1:13" x14ac:dyDescent="0.25">
      <c r="A1031" s="2"/>
      <c r="B1031" s="16"/>
      <c r="C1031" s="22"/>
      <c r="D1031" s="16"/>
      <c r="E1031" s="21"/>
      <c r="F1031" s="16"/>
      <c r="G1031" s="16"/>
      <c r="H1031" s="16"/>
      <c r="I1031" s="16"/>
      <c r="J1031" s="16"/>
      <c r="K1031" s="16"/>
      <c r="L1031" s="16"/>
      <c r="M1031" s="16"/>
    </row>
    <row r="1032" spans="1:13" x14ac:dyDescent="0.25">
      <c r="A1032" s="2"/>
      <c r="B1032" s="16"/>
      <c r="C1032" s="22"/>
      <c r="D1032" s="16"/>
      <c r="E1032" s="21"/>
      <c r="F1032" s="16"/>
      <c r="G1032" s="16"/>
      <c r="H1032" s="16"/>
      <c r="I1032" s="16"/>
      <c r="J1032" s="16"/>
      <c r="K1032" s="16"/>
      <c r="L1032" s="16"/>
      <c r="M1032" s="16"/>
    </row>
    <row r="1033" spans="1:13" x14ac:dyDescent="0.25">
      <c r="A1033" s="2"/>
      <c r="B1033" s="16"/>
      <c r="C1033" s="22"/>
      <c r="D1033" s="16"/>
      <c r="E1033" s="21"/>
      <c r="F1033" s="16"/>
      <c r="G1033" s="16"/>
      <c r="H1033" s="16"/>
      <c r="I1033" s="16"/>
      <c r="J1033" s="16"/>
      <c r="K1033" s="16"/>
      <c r="L1033" s="16"/>
      <c r="M1033" s="16"/>
    </row>
  </sheetData>
  <dataConsolidate/>
  <mergeCells count="68">
    <mergeCell ref="M12:N12"/>
    <mergeCell ref="A19:W19"/>
    <mergeCell ref="E21:F21"/>
    <mergeCell ref="K21:L21"/>
    <mergeCell ref="C29:D29"/>
    <mergeCell ref="A12:B12"/>
    <mergeCell ref="C12:D12"/>
    <mergeCell ref="G12:H12"/>
    <mergeCell ref="I12:J12"/>
    <mergeCell ref="K12:L12"/>
    <mergeCell ref="G29:H29"/>
    <mergeCell ref="K29:L29"/>
    <mergeCell ref="O29:P29"/>
    <mergeCell ref="M6:N6"/>
    <mergeCell ref="O6:P6"/>
    <mergeCell ref="Q6:R6"/>
    <mergeCell ref="S6:T6"/>
    <mergeCell ref="M7:N7"/>
    <mergeCell ref="O7:P7"/>
    <mergeCell ref="Q7:R7"/>
    <mergeCell ref="S7:T7"/>
    <mergeCell ref="K7:L7"/>
    <mergeCell ref="A6:B6"/>
    <mergeCell ref="C6:D6"/>
    <mergeCell ref="E6:F6"/>
    <mergeCell ref="G6:H6"/>
    <mergeCell ref="I6:J6"/>
    <mergeCell ref="K6:L6"/>
    <mergeCell ref="A7:B7"/>
    <mergeCell ref="C7:D7"/>
    <mergeCell ref="E7:F7"/>
    <mergeCell ref="G7:H7"/>
    <mergeCell ref="I7:J7"/>
    <mergeCell ref="C30:D30"/>
    <mergeCell ref="G30:H30"/>
    <mergeCell ref="K30:L30"/>
    <mergeCell ref="O30:P30"/>
    <mergeCell ref="C31:D31"/>
    <mergeCell ref="G31:H31"/>
    <mergeCell ref="K31:L31"/>
    <mergeCell ref="O31:P31"/>
    <mergeCell ref="A98:M98"/>
    <mergeCell ref="A69:M69"/>
    <mergeCell ref="O32:P32"/>
    <mergeCell ref="B57:E57"/>
    <mergeCell ref="G57:K57"/>
    <mergeCell ref="C32:D32"/>
    <mergeCell ref="E32:F32"/>
    <mergeCell ref="G32:H32"/>
    <mergeCell ref="I32:J32"/>
    <mergeCell ref="K32:L32"/>
    <mergeCell ref="M32:N32"/>
    <mergeCell ref="A97:M97"/>
    <mergeCell ref="I64:J64"/>
    <mergeCell ref="B34:H34"/>
    <mergeCell ref="B35:D35"/>
    <mergeCell ref="Q32:R32"/>
    <mergeCell ref="Q34:W34"/>
    <mergeCell ref="S32:T32"/>
    <mergeCell ref="N69:S69"/>
    <mergeCell ref="T69:W69"/>
    <mergeCell ref="U32:V32"/>
    <mergeCell ref="M57:O57"/>
    <mergeCell ref="A56:O56"/>
    <mergeCell ref="Q40:S40"/>
    <mergeCell ref="T40:U40"/>
    <mergeCell ref="V40:W40"/>
    <mergeCell ref="F35:H35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4337" r:id="rId4" name="cmbConnect">
          <controlPr defaultSize="0" autoLine="0" autoPict="0" r:id="rId5">
            <anchor moveWithCells="1">
              <from>
                <xdr:col>0</xdr:col>
                <xdr:colOff>19050</xdr:colOff>
                <xdr:row>0</xdr:row>
                <xdr:rowOff>0</xdr:rowOff>
              </from>
              <to>
                <xdr:col>0</xdr:col>
                <xdr:colOff>800100</xdr:colOff>
                <xdr:row>1</xdr:row>
                <xdr:rowOff>114300</xdr:rowOff>
              </to>
            </anchor>
          </controlPr>
        </control>
      </mc:Choice>
      <mc:Fallback>
        <control shapeId="14337" r:id="rId4" name="cmbConnect"/>
      </mc:Fallback>
    </mc:AlternateContent>
    <mc:AlternateContent xmlns:mc="http://schemas.openxmlformats.org/markup-compatibility/2006">
      <mc:Choice Requires="x14">
        <control shapeId="14338" r:id="rId6" name="cmbSubscribeAccountInfo">
          <controlPr defaultSize="0" autoLine="0" r:id="rId7">
            <anchor moveWithCells="1">
              <from>
                <xdr:col>0</xdr:col>
                <xdr:colOff>809625</xdr:colOff>
                <xdr:row>0</xdr:row>
                <xdr:rowOff>0</xdr:rowOff>
              </from>
              <to>
                <xdr:col>2</xdr:col>
                <xdr:colOff>57150</xdr:colOff>
                <xdr:row>1</xdr:row>
                <xdr:rowOff>114300</xdr:rowOff>
              </to>
            </anchor>
          </controlPr>
        </control>
      </mc:Choice>
      <mc:Fallback>
        <control shapeId="14338" r:id="rId6" name="cmbSubscribeAccountInfo"/>
      </mc:Fallback>
    </mc:AlternateContent>
    <mc:AlternateContent xmlns:mc="http://schemas.openxmlformats.org/markup-compatibility/2006">
      <mc:Choice Requires="x14">
        <control shapeId="14339" r:id="rId8" name="cmbSubscribePortfolio">
          <controlPr defaultSize="0" autoLine="0" autoPict="0" r:id="rId9">
            <anchor moveWithCells="1">
              <from>
                <xdr:col>2</xdr:col>
                <xdr:colOff>304800</xdr:colOff>
                <xdr:row>0</xdr:row>
                <xdr:rowOff>0</xdr:rowOff>
              </from>
              <to>
                <xdr:col>3</xdr:col>
                <xdr:colOff>381000</xdr:colOff>
                <xdr:row>1</xdr:row>
                <xdr:rowOff>114300</xdr:rowOff>
              </to>
            </anchor>
          </controlPr>
        </control>
      </mc:Choice>
      <mc:Fallback>
        <control shapeId="14339" r:id="rId8" name="cmbSubscribePortfolio"/>
      </mc:Fallback>
    </mc:AlternateContent>
    <mc:AlternateContent xmlns:mc="http://schemas.openxmlformats.org/markup-compatibility/2006">
      <mc:Choice Requires="x14">
        <control shapeId="14340" r:id="rId10" name="CommandButton1">
          <controlPr defaultSize="0" autoLine="0" r:id="rId11">
            <anchor moveWithCells="1">
              <from>
                <xdr:col>0</xdr:col>
                <xdr:colOff>9525</xdr:colOff>
                <xdr:row>2</xdr:row>
                <xdr:rowOff>0</xdr:rowOff>
              </from>
              <to>
                <xdr:col>0</xdr:col>
                <xdr:colOff>1190625</xdr:colOff>
                <xdr:row>3</xdr:row>
                <xdr:rowOff>85725</xdr:rowOff>
              </to>
            </anchor>
          </controlPr>
        </control>
      </mc:Choice>
      <mc:Fallback>
        <control shapeId="14340" r:id="rId10" name="CommandButton1"/>
      </mc:Fallback>
    </mc:AlternateContent>
    <mc:AlternateContent xmlns:mc="http://schemas.openxmlformats.org/markup-compatibility/2006">
      <mc:Choice Requires="x14">
        <control shapeId="14341" r:id="rId12" name="obRebalanceOnStartup">
          <controlPr defaultSize="0" autoLine="0" r:id="rId13">
            <anchor moveWithCells="1">
              <from>
                <xdr:col>14</xdr:col>
                <xdr:colOff>9525</xdr:colOff>
                <xdr:row>19</xdr:row>
                <xdr:rowOff>9525</xdr:rowOff>
              </from>
              <to>
                <xdr:col>15</xdr:col>
                <xdr:colOff>590550</xdr:colOff>
                <xdr:row>19</xdr:row>
                <xdr:rowOff>266700</xdr:rowOff>
              </to>
            </anchor>
          </controlPr>
        </control>
      </mc:Choice>
      <mc:Fallback>
        <control shapeId="14341" r:id="rId12" name="obRebalanceOnStartup"/>
      </mc:Fallback>
    </mc:AlternateContent>
    <mc:AlternateContent xmlns:mc="http://schemas.openxmlformats.org/markup-compatibility/2006">
      <mc:Choice Requires="x14">
        <control shapeId="14342" r:id="rId14" name="obNoRebalanceOnStartup">
          <controlPr defaultSize="0" autoLine="0" r:id="rId15">
            <anchor moveWithCells="1">
              <from>
                <xdr:col>14</xdr:col>
                <xdr:colOff>9525</xdr:colOff>
                <xdr:row>20</xdr:row>
                <xdr:rowOff>76200</xdr:rowOff>
              </from>
              <to>
                <xdr:col>15</xdr:col>
                <xdr:colOff>590550</xdr:colOff>
                <xdr:row>21</xdr:row>
                <xdr:rowOff>66675</xdr:rowOff>
              </to>
            </anchor>
          </controlPr>
        </control>
      </mc:Choice>
      <mc:Fallback>
        <control shapeId="14342" r:id="rId14" name="obNoRebalanceOnStartup"/>
      </mc:Fallback>
    </mc:AlternateContent>
    <mc:AlternateContent xmlns:mc="http://schemas.openxmlformats.org/markup-compatibility/2006">
      <mc:Choice Requires="x14">
        <control shapeId="14343" r:id="rId16" name="cmbEnableAutoHedge">
          <controlPr defaultSize="0" autoLine="0" r:id="rId17">
            <anchor moveWithCells="1">
              <from>
                <xdr:col>3</xdr:col>
                <xdr:colOff>266700</xdr:colOff>
                <xdr:row>0</xdr:row>
                <xdr:rowOff>9525</xdr:rowOff>
              </from>
              <to>
                <xdr:col>4</xdr:col>
                <xdr:colOff>200025</xdr:colOff>
                <xdr:row>1</xdr:row>
                <xdr:rowOff>114300</xdr:rowOff>
              </to>
            </anchor>
          </controlPr>
        </control>
      </mc:Choice>
      <mc:Fallback>
        <control shapeId="14343" r:id="rId16" name="cmbEnableAutoHedge"/>
      </mc:Fallback>
    </mc:AlternateContent>
    <mc:AlternateContent xmlns:mc="http://schemas.openxmlformats.org/markup-compatibility/2006">
      <mc:Choice Requires="x14">
        <control shapeId="14344" r:id="rId18" name="cmbDumpContracts">
          <controlPr defaultSize="0" autoLine="0" r:id="rId19">
            <anchor moveWithCells="1">
              <from>
                <xdr:col>20</xdr:col>
                <xdr:colOff>828675</xdr:colOff>
                <xdr:row>0</xdr:row>
                <xdr:rowOff>19050</xdr:rowOff>
              </from>
              <to>
                <xdr:col>21</xdr:col>
                <xdr:colOff>1200150</xdr:colOff>
                <xdr:row>1</xdr:row>
                <xdr:rowOff>152400</xdr:rowOff>
              </to>
            </anchor>
          </controlPr>
        </control>
      </mc:Choice>
      <mc:Fallback>
        <control shapeId="14344" r:id="rId18" name="cmbDumpContracts"/>
      </mc:Fallback>
    </mc:AlternateContent>
    <mc:AlternateContent xmlns:mc="http://schemas.openxmlformats.org/markup-compatibility/2006">
      <mc:Choice Requires="x14">
        <control shapeId="14345" r:id="rId20" name="cbPreserveContract">
          <controlPr defaultSize="0" autoLine="0" r:id="rId21">
            <anchor moveWithCells="1">
              <from>
                <xdr:col>1</xdr:col>
                <xdr:colOff>523875</xdr:colOff>
                <xdr:row>13</xdr:row>
                <xdr:rowOff>19050</xdr:rowOff>
              </from>
              <to>
                <xdr:col>3</xdr:col>
                <xdr:colOff>257175</xdr:colOff>
                <xdr:row>14</xdr:row>
                <xdr:rowOff>47625</xdr:rowOff>
              </to>
            </anchor>
          </controlPr>
        </control>
      </mc:Choice>
      <mc:Fallback>
        <control shapeId="14345" r:id="rId20" name="cbPreserveContract"/>
      </mc:Fallback>
    </mc:AlternateContent>
    <mc:AlternateContent xmlns:mc="http://schemas.openxmlformats.org/markup-compatibility/2006">
      <mc:Choice Requires="x14">
        <control shapeId="14346" r:id="rId22" name="cmbEnableAutoStop">
          <controlPr defaultSize="0" autoLine="0" r:id="rId23">
            <anchor moveWithCells="1">
              <from>
                <xdr:col>4</xdr:col>
                <xdr:colOff>219075</xdr:colOff>
                <xdr:row>0</xdr:row>
                <xdr:rowOff>19050</xdr:rowOff>
              </from>
              <to>
                <xdr:col>5</xdr:col>
                <xdr:colOff>923925</xdr:colOff>
                <xdr:row>1</xdr:row>
                <xdr:rowOff>114300</xdr:rowOff>
              </to>
            </anchor>
          </controlPr>
        </control>
      </mc:Choice>
      <mc:Fallback>
        <control shapeId="14346" r:id="rId22" name="cmbEnableAutoStop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B1:AK125"/>
  <sheetViews>
    <sheetView topLeftCell="A91" workbookViewId="0">
      <selection activeCell="X109" sqref="X109"/>
    </sheetView>
  </sheetViews>
  <sheetFormatPr defaultRowHeight="15" x14ac:dyDescent="0.25"/>
  <cols>
    <col min="5" max="5" width="9.42578125" customWidth="1"/>
    <col min="11" max="11" width="11.5703125" customWidth="1"/>
    <col min="21" max="21" width="14.42578125" customWidth="1"/>
    <col min="22" max="22" width="14.42578125" style="56" customWidth="1"/>
    <col min="24" max="24" width="12.140625" customWidth="1"/>
    <col min="26" max="26" width="16.28515625" customWidth="1"/>
    <col min="31" max="31" width="10.42578125" customWidth="1"/>
    <col min="32" max="32" width="9.140625" style="58"/>
    <col min="33" max="33" width="9.5703125" bestFit="1" customWidth="1"/>
    <col min="34" max="34" width="9.85546875" customWidth="1"/>
  </cols>
  <sheetData>
    <row r="1" spans="2:37" x14ac:dyDescent="0.25">
      <c r="AE1" s="131" t="s">
        <v>123</v>
      </c>
      <c r="AF1" s="131"/>
      <c r="AG1" s="131"/>
      <c r="AH1" s="131"/>
      <c r="AI1" s="131"/>
      <c r="AJ1" s="131"/>
      <c r="AK1" s="131"/>
    </row>
    <row r="4" spans="2:37" x14ac:dyDescent="0.25">
      <c r="B4" s="125" t="s">
        <v>13</v>
      </c>
      <c r="C4" s="130"/>
      <c r="D4" s="130"/>
      <c r="E4" s="130"/>
      <c r="F4" s="130"/>
      <c r="G4" s="130"/>
      <c r="H4" s="130"/>
      <c r="I4" s="130"/>
      <c r="J4" s="130"/>
      <c r="K4" s="130"/>
      <c r="L4" s="130"/>
      <c r="M4" s="130"/>
      <c r="N4" s="130"/>
      <c r="O4" s="130"/>
      <c r="P4" s="130"/>
      <c r="Q4" s="125"/>
      <c r="R4" s="109"/>
      <c r="S4" s="109"/>
      <c r="T4" s="102" t="s">
        <v>101</v>
      </c>
      <c r="U4" s="102"/>
      <c r="V4" s="102"/>
      <c r="W4" s="102"/>
      <c r="X4" s="102"/>
      <c r="Y4" s="102"/>
      <c r="Z4" s="102"/>
      <c r="AA4" s="102"/>
      <c r="AB4" s="102" t="s">
        <v>108</v>
      </c>
      <c r="AC4" s="102"/>
      <c r="AD4" s="102"/>
      <c r="AF4" s="58">
        <f>SUM(AF6:AF125)</f>
        <v>0</v>
      </c>
    </row>
    <row r="5" spans="2:37" ht="60" x14ac:dyDescent="0.25">
      <c r="B5" s="1" t="s">
        <v>0</v>
      </c>
      <c r="C5" s="1" t="s">
        <v>1</v>
      </c>
      <c r="D5" s="1" t="s">
        <v>2</v>
      </c>
      <c r="E5" s="1" t="s">
        <v>3</v>
      </c>
      <c r="F5" s="1" t="s">
        <v>4</v>
      </c>
      <c r="G5" s="1" t="s">
        <v>5</v>
      </c>
      <c r="H5" s="1" t="s">
        <v>6</v>
      </c>
      <c r="I5" s="1" t="s">
        <v>7</v>
      </c>
      <c r="J5" s="1" t="s">
        <v>8</v>
      </c>
      <c r="K5" s="1" t="s">
        <v>9</v>
      </c>
      <c r="L5" s="1" t="s">
        <v>10</v>
      </c>
      <c r="M5" s="1" t="s">
        <v>11</v>
      </c>
      <c r="N5" s="47" t="s">
        <v>19</v>
      </c>
      <c r="O5" s="47" t="s">
        <v>21</v>
      </c>
      <c r="P5" s="47" t="s">
        <v>22</v>
      </c>
      <c r="Q5" s="47" t="s">
        <v>18</v>
      </c>
      <c r="R5" s="47" t="s">
        <v>20</v>
      </c>
      <c r="S5" s="47" t="s">
        <v>23</v>
      </c>
      <c r="T5" s="31" t="s">
        <v>45</v>
      </c>
      <c r="U5" s="31" t="s">
        <v>121</v>
      </c>
      <c r="V5" s="55" t="s">
        <v>102</v>
      </c>
      <c r="W5" s="31" t="s">
        <v>103</v>
      </c>
      <c r="X5" s="31" t="s">
        <v>104</v>
      </c>
      <c r="Y5" s="31" t="s">
        <v>105</v>
      </c>
      <c r="Z5" s="31" t="s">
        <v>106</v>
      </c>
      <c r="AA5" s="31" t="s">
        <v>107</v>
      </c>
      <c r="AB5" s="31" t="s">
        <v>103</v>
      </c>
      <c r="AC5" s="31" t="s">
        <v>104</v>
      </c>
      <c r="AD5" s="31" t="s">
        <v>105</v>
      </c>
      <c r="AE5" s="35" t="s">
        <v>112</v>
      </c>
      <c r="AF5" s="59" t="s">
        <v>113</v>
      </c>
      <c r="AG5" s="35" t="s">
        <v>114</v>
      </c>
      <c r="AH5" s="50" t="s">
        <v>118</v>
      </c>
      <c r="AI5" s="50" t="s">
        <v>115</v>
      </c>
      <c r="AJ5" s="50" t="s">
        <v>116</v>
      </c>
      <c r="AK5" s="50" t="s">
        <v>117</v>
      </c>
    </row>
    <row r="6" spans="2:37" x14ac:dyDescent="0.25">
      <c r="B6" s="2" t="s">
        <v>15</v>
      </c>
      <c r="C6" s="2" t="s">
        <v>58</v>
      </c>
      <c r="D6" s="2">
        <v>20141205</v>
      </c>
      <c r="E6" s="2">
        <v>1.51</v>
      </c>
      <c r="F6" s="2" t="s">
        <v>59</v>
      </c>
      <c r="G6" s="2">
        <v>62500</v>
      </c>
      <c r="H6" s="2" t="str">
        <f>I6</f>
        <v>GLOBEX</v>
      </c>
      <c r="I6" s="2" t="s">
        <v>17</v>
      </c>
      <c r="J6" s="2" t="s">
        <v>16</v>
      </c>
      <c r="K6" s="2" t="str">
        <f>CONCATENATE("6BZ4 ",F6,E6*1000)</f>
        <v>6BZ4 P1510</v>
      </c>
      <c r="L6" s="2" t="s">
        <v>25</v>
      </c>
      <c r="M6" s="51">
        <v>10</v>
      </c>
      <c r="N6" s="2">
        <v>0</v>
      </c>
      <c r="O6" s="2">
        <v>0</v>
      </c>
      <c r="P6" s="2">
        <v>0</v>
      </c>
      <c r="Q6" s="2">
        <v>0</v>
      </c>
      <c r="R6" s="2">
        <v>-1</v>
      </c>
      <c r="S6" s="2">
        <v>0</v>
      </c>
      <c r="T6" s="2"/>
      <c r="U6" s="53">
        <v>8.1199351145806584E-5</v>
      </c>
      <c r="V6" s="52">
        <v>0.26420497997470704</v>
      </c>
      <c r="W6" s="2">
        <v>-9.6878701869559432E-3</v>
      </c>
      <c r="X6" s="53">
        <v>0.84191308475782911</v>
      </c>
      <c r="Y6" s="33">
        <v>-2.4950003905054767E-4</v>
      </c>
      <c r="Z6" s="34">
        <v>2.9470481567171625E-5</v>
      </c>
      <c r="AA6" s="2">
        <v>1.5650999999999999</v>
      </c>
      <c r="AB6" s="2">
        <f>W6*M6</f>
        <v>-9.6878701869559436E-2</v>
      </c>
      <c r="AC6" s="2">
        <f>AE6*M6</f>
        <v>0</v>
      </c>
      <c r="AD6" s="2">
        <f>Y6*M6</f>
        <v>-2.4950003905054767E-3</v>
      </c>
      <c r="AE6" s="57">
        <f>BSGamma($AA$17,E6,D6,0.001,V6)</f>
        <v>0</v>
      </c>
      <c r="AF6" s="58">
        <f t="shared" ref="AF6:AF37" si="0">IF(ISERR(AE6),0,AE6*M6)</f>
        <v>0</v>
      </c>
      <c r="AG6" s="29">
        <f>IF(AE6 = 0,0,(Y6*-10000)/AE6)</f>
        <v>0</v>
      </c>
      <c r="AH6">
        <f>IF(F6="C",MAX(0,$AA$14-E6),MAX(0,E6-$AA$14))*10000</f>
        <v>0</v>
      </c>
      <c r="AI6" s="49">
        <f>MAX(0,(U6*10000)-AH6)</f>
        <v>0.81199351145806586</v>
      </c>
      <c r="AJ6" s="49">
        <f>AI6*M6</f>
        <v>8.1199351145806595</v>
      </c>
      <c r="AK6" s="48">
        <f t="shared" ref="AK6:AK14" si="1">MAX(0,AJ6*6.25)</f>
        <v>50.749594466129125</v>
      </c>
    </row>
    <row r="7" spans="2:37" x14ac:dyDescent="0.25">
      <c r="B7" s="2" t="s">
        <v>15</v>
      </c>
      <c r="C7" s="2" t="s">
        <v>58</v>
      </c>
      <c r="D7" s="2">
        <v>20141205</v>
      </c>
      <c r="E7" s="2">
        <v>1.5149999999999999</v>
      </c>
      <c r="F7" s="2" t="s">
        <v>59</v>
      </c>
      <c r="G7" s="2">
        <v>62500</v>
      </c>
      <c r="H7" s="2" t="str">
        <f t="shared" ref="H7:H65" si="2">I7</f>
        <v>GLOBEX</v>
      </c>
      <c r="I7" s="2" t="s">
        <v>17</v>
      </c>
      <c r="J7" s="2" t="s">
        <v>16</v>
      </c>
      <c r="K7" s="2" t="str">
        <f t="shared" ref="K7:K65" si="3">CONCATENATE("6BZ4 ",F7,E7*1000)</f>
        <v>6BZ4 P1515</v>
      </c>
      <c r="L7" s="2" t="s">
        <v>25</v>
      </c>
      <c r="M7" s="51"/>
      <c r="N7" s="2">
        <v>0</v>
      </c>
      <c r="O7" s="2">
        <v>0</v>
      </c>
      <c r="P7" s="2">
        <v>0</v>
      </c>
      <c r="Q7" s="2">
        <v>0</v>
      </c>
      <c r="R7" s="2">
        <v>-1</v>
      </c>
      <c r="S7" s="2">
        <v>0</v>
      </c>
      <c r="T7" s="2"/>
      <c r="U7" s="53">
        <v>7.4421382497728584E-5</v>
      </c>
      <c r="V7" s="52">
        <v>0.24014391877688013</v>
      </c>
      <c r="W7" s="2">
        <v>-9.7672371887170713E-3</v>
      </c>
      <c r="X7" s="53">
        <v>0.96797095253886623</v>
      </c>
      <c r="Y7" s="33">
        <v>-2.2846199736357761E-4</v>
      </c>
      <c r="Z7" s="34">
        <v>3.0772258745588902E-5</v>
      </c>
      <c r="AA7" s="2">
        <v>1.5650999999999999</v>
      </c>
      <c r="AB7" s="2">
        <f t="shared" ref="AB7:AB70" si="4">W7*M7</f>
        <v>0</v>
      </c>
      <c r="AC7" s="2">
        <f t="shared" ref="AC7:AC70" si="5">AE7*M7</f>
        <v>0</v>
      </c>
      <c r="AD7" s="2">
        <f t="shared" ref="AD7:AD70" si="6">Y7*M7</f>
        <v>0</v>
      </c>
      <c r="AE7" s="57">
        <f t="shared" ref="AE7:AE70" si="7">BSGamma($AA$17,E7,D7,0.001,V7)</f>
        <v>0</v>
      </c>
      <c r="AF7" s="58">
        <f t="shared" si="0"/>
        <v>0</v>
      </c>
      <c r="AG7" s="29">
        <f t="shared" ref="AG7:AG70" si="8">IF(AE7 = 0,0,(Y7*-10000)/AE7)</f>
        <v>0</v>
      </c>
      <c r="AH7">
        <f t="shared" ref="AH7:AH70" si="9">IF(F7="C",MAX(0,$AA$14-E7),MAX(0,E7-$AA$14))*10000</f>
        <v>0</v>
      </c>
      <c r="AI7" s="49">
        <f t="shared" ref="AI7:AI70" si="10">MAX(0,(U7*10000)-AH7)</f>
        <v>0.74421382497728583</v>
      </c>
      <c r="AJ7" s="49">
        <f t="shared" ref="AJ7:AJ70" si="11">AI7*M7</f>
        <v>0</v>
      </c>
      <c r="AK7" s="48">
        <f t="shared" si="1"/>
        <v>0</v>
      </c>
    </row>
    <row r="8" spans="2:37" x14ac:dyDescent="0.25">
      <c r="B8" s="2" t="s">
        <v>15</v>
      </c>
      <c r="C8" s="2" t="s">
        <v>58</v>
      </c>
      <c r="D8" s="2">
        <v>20141205</v>
      </c>
      <c r="E8" s="2">
        <v>1.52</v>
      </c>
      <c r="F8" s="2" t="s">
        <v>59</v>
      </c>
      <c r="G8" s="2">
        <v>62500</v>
      </c>
      <c r="H8" s="2" t="str">
        <f t="shared" si="2"/>
        <v>GLOBEX</v>
      </c>
      <c r="I8" s="2" t="s">
        <v>17</v>
      </c>
      <c r="J8" s="2" t="s">
        <v>16</v>
      </c>
      <c r="K8" s="2" t="str">
        <f t="shared" si="3"/>
        <v>6BZ4 P1520</v>
      </c>
      <c r="L8" s="2" t="s">
        <v>25</v>
      </c>
      <c r="M8" s="51"/>
      <c r="N8" s="2">
        <v>0</v>
      </c>
      <c r="O8" s="2">
        <v>0</v>
      </c>
      <c r="P8" s="2">
        <v>0</v>
      </c>
      <c r="Q8" s="2">
        <v>0</v>
      </c>
      <c r="R8" s="2">
        <v>1E-4</v>
      </c>
      <c r="S8" s="2">
        <v>30</v>
      </c>
      <c r="T8" s="2"/>
      <c r="U8" s="53">
        <v>7.1611499573167992E-5</v>
      </c>
      <c r="V8" s="52">
        <v>0.21823570997051434</v>
      </c>
      <c r="W8" s="2">
        <v>-1.0310207742769443E-2</v>
      </c>
      <c r="X8" s="53">
        <v>0</v>
      </c>
      <c r="Y8" s="33">
        <v>-2.1819140367112388E-4</v>
      </c>
      <c r="Z8" s="34">
        <v>3.5808876129176322E-5</v>
      </c>
      <c r="AA8" s="2">
        <v>1.5650999999999999</v>
      </c>
      <c r="AB8" s="2">
        <f t="shared" si="4"/>
        <v>0</v>
      </c>
      <c r="AC8" s="2">
        <f t="shared" si="5"/>
        <v>0</v>
      </c>
      <c r="AD8" s="2">
        <f t="shared" si="6"/>
        <v>0</v>
      </c>
      <c r="AE8" s="57">
        <f t="shared" si="7"/>
        <v>0</v>
      </c>
      <c r="AF8" s="58">
        <f t="shared" si="0"/>
        <v>0</v>
      </c>
      <c r="AG8" s="29">
        <f t="shared" si="8"/>
        <v>0</v>
      </c>
      <c r="AH8">
        <f t="shared" si="9"/>
        <v>0</v>
      </c>
      <c r="AI8" s="49">
        <f t="shared" si="10"/>
        <v>0.71611499573167992</v>
      </c>
      <c r="AJ8" s="49">
        <f t="shared" si="11"/>
        <v>0</v>
      </c>
      <c r="AK8" s="48">
        <f t="shared" si="1"/>
        <v>0</v>
      </c>
    </row>
    <row r="9" spans="2:37" x14ac:dyDescent="0.25">
      <c r="B9" s="2" t="s">
        <v>15</v>
      </c>
      <c r="C9" s="2" t="s">
        <v>58</v>
      </c>
      <c r="D9" s="2">
        <v>20141205</v>
      </c>
      <c r="E9" s="2">
        <v>1.5249999999999999</v>
      </c>
      <c r="F9" s="2" t="s">
        <v>59</v>
      </c>
      <c r="G9" s="2">
        <v>62500</v>
      </c>
      <c r="H9" s="2" t="str">
        <f t="shared" si="2"/>
        <v>GLOBEX</v>
      </c>
      <c r="I9" s="2" t="s">
        <v>17</v>
      </c>
      <c r="J9" s="2" t="s">
        <v>16</v>
      </c>
      <c r="K9" s="2" t="str">
        <f t="shared" si="3"/>
        <v>6BZ4 P1525</v>
      </c>
      <c r="L9" s="2" t="s">
        <v>25</v>
      </c>
      <c r="M9" s="51"/>
      <c r="N9" s="2">
        <v>0</v>
      </c>
      <c r="O9" s="2">
        <v>0</v>
      </c>
      <c r="P9" s="2">
        <v>0</v>
      </c>
      <c r="Q9" s="2">
        <v>0</v>
      </c>
      <c r="R9" s="2">
        <v>-1</v>
      </c>
      <c r="S9" s="2">
        <v>0</v>
      </c>
      <c r="T9" s="2"/>
      <c r="U9" s="53">
        <v>8.0178960996781138E-5</v>
      </c>
      <c r="V9" s="52">
        <v>0.1984803535556523</v>
      </c>
      <c r="W9" s="2">
        <v>-1.2365932135729427E-2</v>
      </c>
      <c r="X9" s="53">
        <v>0</v>
      </c>
      <c r="Y9" s="33">
        <v>-2.3096374601349581E-4</v>
      </c>
      <c r="Z9" s="34">
        <v>3.7211110609111571E-5</v>
      </c>
      <c r="AA9" s="2">
        <v>1.5650999999999999</v>
      </c>
      <c r="AB9" s="2">
        <f t="shared" si="4"/>
        <v>0</v>
      </c>
      <c r="AC9" s="2">
        <f t="shared" si="5"/>
        <v>0</v>
      </c>
      <c r="AD9" s="2">
        <f t="shared" si="6"/>
        <v>0</v>
      </c>
      <c r="AE9" s="57">
        <f t="shared" si="7"/>
        <v>0</v>
      </c>
      <c r="AF9" s="58">
        <f t="shared" si="0"/>
        <v>0</v>
      </c>
      <c r="AG9" s="29">
        <f t="shared" si="8"/>
        <v>0</v>
      </c>
      <c r="AH9">
        <f t="shared" si="9"/>
        <v>0</v>
      </c>
      <c r="AI9" s="49">
        <f t="shared" si="10"/>
        <v>0.80178960996781135</v>
      </c>
      <c r="AJ9" s="49">
        <f t="shared" si="11"/>
        <v>0</v>
      </c>
      <c r="AK9" s="48">
        <f t="shared" si="1"/>
        <v>0</v>
      </c>
    </row>
    <row r="10" spans="2:37" x14ac:dyDescent="0.25">
      <c r="B10" s="2" t="s">
        <v>15</v>
      </c>
      <c r="C10" s="2" t="s">
        <v>58</v>
      </c>
      <c r="D10" s="2">
        <v>20141205</v>
      </c>
      <c r="E10" s="2">
        <v>1.53</v>
      </c>
      <c r="F10" s="2" t="s">
        <v>59</v>
      </c>
      <c r="G10" s="2">
        <v>62500</v>
      </c>
      <c r="H10" s="2" t="str">
        <f t="shared" si="2"/>
        <v>GLOBEX</v>
      </c>
      <c r="I10" s="2" t="s">
        <v>17</v>
      </c>
      <c r="J10" s="2" t="s">
        <v>16</v>
      </c>
      <c r="K10" s="2" t="str">
        <f t="shared" si="3"/>
        <v>6BZ4 P1530</v>
      </c>
      <c r="L10" s="2" t="s">
        <v>25</v>
      </c>
      <c r="M10" s="51"/>
      <c r="N10" s="2">
        <v>0</v>
      </c>
      <c r="O10" s="2">
        <v>0</v>
      </c>
      <c r="P10" s="2">
        <v>0</v>
      </c>
      <c r="Q10" s="2">
        <v>0</v>
      </c>
      <c r="R10" s="2">
        <v>-1</v>
      </c>
      <c r="S10" s="2">
        <v>0</v>
      </c>
      <c r="T10" s="2"/>
      <c r="U10" s="53">
        <v>9.787043407957923E-5</v>
      </c>
      <c r="V10" s="52">
        <v>0.18087784953227981</v>
      </c>
      <c r="W10" s="2">
        <v>-1.6053871129648158E-2</v>
      </c>
      <c r="X10" s="54">
        <v>0</v>
      </c>
      <c r="Y10" s="33">
        <v>-2.6307424795380687E-4</v>
      </c>
      <c r="Z10" s="34">
        <v>3.727217643731054E-5</v>
      </c>
      <c r="AA10" s="2">
        <v>1.5650999999999999</v>
      </c>
      <c r="AB10" s="2">
        <f t="shared" si="4"/>
        <v>0</v>
      </c>
      <c r="AC10" s="2">
        <f t="shared" si="5"/>
        <v>0</v>
      </c>
      <c r="AD10" s="2">
        <f t="shared" si="6"/>
        <v>0</v>
      </c>
      <c r="AE10" s="57">
        <f t="shared" si="7"/>
        <v>0</v>
      </c>
      <c r="AF10" s="58">
        <f t="shared" si="0"/>
        <v>0</v>
      </c>
      <c r="AG10" s="29">
        <f t="shared" si="8"/>
        <v>0</v>
      </c>
      <c r="AH10">
        <f t="shared" si="9"/>
        <v>0</v>
      </c>
      <c r="AI10" s="49">
        <f t="shared" si="10"/>
        <v>0.97870434079579227</v>
      </c>
      <c r="AJ10" s="49">
        <f t="shared" si="11"/>
        <v>0</v>
      </c>
      <c r="AK10" s="48">
        <f t="shared" si="1"/>
        <v>0</v>
      </c>
    </row>
    <row r="11" spans="2:37" x14ac:dyDescent="0.25">
      <c r="B11" s="2" t="s">
        <v>15</v>
      </c>
      <c r="C11" s="2" t="s">
        <v>58</v>
      </c>
      <c r="D11" s="2">
        <v>20141205</v>
      </c>
      <c r="E11" s="2">
        <v>1.5349999999999999</v>
      </c>
      <c r="F11" s="2" t="s">
        <v>59</v>
      </c>
      <c r="G11" s="2">
        <v>62500</v>
      </c>
      <c r="H11" s="2" t="str">
        <f t="shared" si="2"/>
        <v>GLOBEX</v>
      </c>
      <c r="I11" s="2" t="s">
        <v>17</v>
      </c>
      <c r="J11" s="2" t="s">
        <v>16</v>
      </c>
      <c r="K11" s="2" t="str">
        <f t="shared" si="3"/>
        <v>6BZ4 P1535</v>
      </c>
      <c r="L11" s="2" t="s">
        <v>25</v>
      </c>
      <c r="M11" s="51"/>
      <c r="N11" s="2">
        <v>0</v>
      </c>
      <c r="O11" s="2">
        <v>0</v>
      </c>
      <c r="P11" s="2">
        <v>0</v>
      </c>
      <c r="Q11" s="2">
        <v>0</v>
      </c>
      <c r="R11" s="2">
        <v>6.1999999999999998E-3</v>
      </c>
      <c r="S11" s="2">
        <v>10</v>
      </c>
      <c r="T11" s="2"/>
      <c r="U11" s="53">
        <v>1.2338459576258055E-4</v>
      </c>
      <c r="V11" s="52">
        <v>0.16542819790035423</v>
      </c>
      <c r="W11" s="2">
        <v>-2.1560138228549582E-2</v>
      </c>
      <c r="X11" s="53">
        <v>0</v>
      </c>
      <c r="Y11" s="33">
        <v>-3.1239254104964881E-4</v>
      </c>
      <c r="Z11" s="34">
        <v>6.4093314576517895E-5</v>
      </c>
      <c r="AA11" s="2">
        <v>1.5650999999999999</v>
      </c>
      <c r="AB11" s="2">
        <f t="shared" si="4"/>
        <v>0</v>
      </c>
      <c r="AC11" s="2">
        <f t="shared" si="5"/>
        <v>0</v>
      </c>
      <c r="AD11" s="2">
        <f t="shared" si="6"/>
        <v>0</v>
      </c>
      <c r="AE11" s="57">
        <f t="shared" si="7"/>
        <v>0</v>
      </c>
      <c r="AF11" s="58">
        <f t="shared" si="0"/>
        <v>0</v>
      </c>
      <c r="AG11" s="29">
        <f t="shared" si="8"/>
        <v>0</v>
      </c>
      <c r="AH11">
        <f t="shared" si="9"/>
        <v>0</v>
      </c>
      <c r="AI11" s="49">
        <f t="shared" si="10"/>
        <v>1.2338459576258056</v>
      </c>
      <c r="AJ11" s="49">
        <f t="shared" si="11"/>
        <v>0</v>
      </c>
      <c r="AK11" s="48">
        <f t="shared" si="1"/>
        <v>0</v>
      </c>
    </row>
    <row r="12" spans="2:37" x14ac:dyDescent="0.25">
      <c r="B12" s="2" t="s">
        <v>15</v>
      </c>
      <c r="C12" s="2" t="s">
        <v>58</v>
      </c>
      <c r="D12" s="2">
        <v>20141205</v>
      </c>
      <c r="E12" s="2">
        <v>1.54</v>
      </c>
      <c r="F12" s="2" t="s">
        <v>59</v>
      </c>
      <c r="G12" s="2">
        <v>62500</v>
      </c>
      <c r="H12" s="2" t="str">
        <f t="shared" si="2"/>
        <v>GLOBEX</v>
      </c>
      <c r="I12" s="2" t="s">
        <v>17</v>
      </c>
      <c r="J12" s="2" t="s">
        <v>16</v>
      </c>
      <c r="K12" s="2" t="str">
        <f t="shared" si="3"/>
        <v>6BZ4 P1540</v>
      </c>
      <c r="L12" s="2" t="s">
        <v>25</v>
      </c>
      <c r="M12" s="51"/>
      <c r="N12" s="2">
        <v>0</v>
      </c>
      <c r="O12" s="2">
        <v>0</v>
      </c>
      <c r="P12" s="2">
        <v>0</v>
      </c>
      <c r="Q12" s="2">
        <v>0</v>
      </c>
      <c r="R12" s="2">
        <v>2.0000000000000001E-4</v>
      </c>
      <c r="S12" s="2">
        <v>1</v>
      </c>
      <c r="T12" s="2"/>
      <c r="U12" s="53">
        <v>1.9676249128862636E-4</v>
      </c>
      <c r="V12" s="52">
        <v>0.15213139865993242</v>
      </c>
      <c r="W12" s="2">
        <v>-3.4836869172406915E-2</v>
      </c>
      <c r="X12" s="53">
        <v>0</v>
      </c>
      <c r="Y12" s="33">
        <v>-4.2589234528331163E-4</v>
      </c>
      <c r="Z12" s="34">
        <v>6.9378177746595558E-5</v>
      </c>
      <c r="AA12" s="2">
        <v>1.5650999999999999</v>
      </c>
      <c r="AB12" s="2">
        <f t="shared" si="4"/>
        <v>0</v>
      </c>
      <c r="AC12" s="2">
        <f t="shared" si="5"/>
        <v>0</v>
      </c>
      <c r="AD12" s="2">
        <f t="shared" si="6"/>
        <v>0</v>
      </c>
      <c r="AE12" s="57">
        <f t="shared" si="7"/>
        <v>0</v>
      </c>
      <c r="AF12" s="58">
        <f t="shared" si="0"/>
        <v>0</v>
      </c>
      <c r="AG12" s="29">
        <f t="shared" si="8"/>
        <v>0</v>
      </c>
      <c r="AH12">
        <f t="shared" si="9"/>
        <v>0</v>
      </c>
      <c r="AI12" s="49">
        <f t="shared" si="10"/>
        <v>1.9676249128862635</v>
      </c>
      <c r="AJ12" s="49">
        <f t="shared" si="11"/>
        <v>0</v>
      </c>
      <c r="AK12" s="48">
        <f t="shared" si="1"/>
        <v>0</v>
      </c>
    </row>
    <row r="13" spans="2:37" x14ac:dyDescent="0.25">
      <c r="B13" s="2" t="s">
        <v>15</v>
      </c>
      <c r="C13" s="2" t="s">
        <v>58</v>
      </c>
      <c r="D13" s="2">
        <v>20141205</v>
      </c>
      <c r="E13" s="2">
        <v>1.5449999999999999</v>
      </c>
      <c r="F13" s="2" t="s">
        <v>59</v>
      </c>
      <c r="G13" s="2">
        <v>62500</v>
      </c>
      <c r="H13" s="2" t="str">
        <f t="shared" si="2"/>
        <v>GLOBEX</v>
      </c>
      <c r="I13" s="2" t="s">
        <v>17</v>
      </c>
      <c r="J13" s="2" t="s">
        <v>16</v>
      </c>
      <c r="K13" s="2" t="str">
        <f t="shared" si="3"/>
        <v>6BZ4 P1545</v>
      </c>
      <c r="L13" s="2" t="s">
        <v>25</v>
      </c>
      <c r="M13" s="51"/>
      <c r="N13" s="2">
        <v>0</v>
      </c>
      <c r="O13" s="2">
        <v>0</v>
      </c>
      <c r="P13" s="2">
        <v>6</v>
      </c>
      <c r="Q13" s="2">
        <v>1E-4</v>
      </c>
      <c r="R13" s="2">
        <v>6.1999999999999998E-3</v>
      </c>
      <c r="S13" s="2">
        <v>10</v>
      </c>
      <c r="T13" s="2"/>
      <c r="U13" s="53">
        <v>3.3657321716550412E-4</v>
      </c>
      <c r="V13" s="52">
        <v>0.14098745181098593</v>
      </c>
      <c r="W13" s="2">
        <v>-5.9208535931378342E-2</v>
      </c>
      <c r="X13" s="53">
        <v>0</v>
      </c>
      <c r="Y13" s="33">
        <v>-6.0446077599329222E-4</v>
      </c>
      <c r="Z13" s="34">
        <v>1.0864042001770417E-4</v>
      </c>
      <c r="AA13" s="2">
        <v>1.5650999999999999</v>
      </c>
      <c r="AB13" s="2">
        <f t="shared" si="4"/>
        <v>0</v>
      </c>
      <c r="AC13" s="2">
        <f t="shared" si="5"/>
        <v>0</v>
      </c>
      <c r="AD13" s="2">
        <f t="shared" si="6"/>
        <v>0</v>
      </c>
      <c r="AE13" s="57">
        <f t="shared" si="7"/>
        <v>0</v>
      </c>
      <c r="AF13" s="58">
        <f t="shared" si="0"/>
        <v>0</v>
      </c>
      <c r="AG13" s="29">
        <f t="shared" si="8"/>
        <v>0</v>
      </c>
      <c r="AH13">
        <f t="shared" si="9"/>
        <v>0</v>
      </c>
      <c r="AI13" s="49">
        <f t="shared" si="10"/>
        <v>3.3657321716550412</v>
      </c>
      <c r="AJ13" s="49">
        <f t="shared" si="11"/>
        <v>0</v>
      </c>
      <c r="AK13" s="48">
        <f t="shared" si="1"/>
        <v>0</v>
      </c>
    </row>
    <row r="14" spans="2:37" x14ac:dyDescent="0.25">
      <c r="B14" s="2" t="s">
        <v>15</v>
      </c>
      <c r="C14" s="2" t="s">
        <v>58</v>
      </c>
      <c r="D14" s="2">
        <v>20141205</v>
      </c>
      <c r="E14" s="2">
        <v>1.55</v>
      </c>
      <c r="F14" s="2" t="s">
        <v>59</v>
      </c>
      <c r="G14" s="2">
        <v>62500</v>
      </c>
      <c r="H14" s="2" t="str">
        <f t="shared" si="2"/>
        <v>GLOBEX</v>
      </c>
      <c r="I14" s="2" t="s">
        <v>17</v>
      </c>
      <c r="J14" s="2" t="s">
        <v>16</v>
      </c>
      <c r="K14" s="2" t="str">
        <f t="shared" si="3"/>
        <v>6BZ4 P1550</v>
      </c>
      <c r="L14" s="2" t="s">
        <v>25</v>
      </c>
      <c r="M14" s="51"/>
      <c r="N14" s="2">
        <v>5.0000000000000001E-4</v>
      </c>
      <c r="O14" s="2">
        <v>3</v>
      </c>
      <c r="P14" s="2">
        <v>33</v>
      </c>
      <c r="Q14" s="2">
        <v>1E-4</v>
      </c>
      <c r="R14" s="2">
        <v>6.1999999999999998E-3</v>
      </c>
      <c r="S14" s="2">
        <v>10</v>
      </c>
      <c r="T14" s="2"/>
      <c r="U14" s="53">
        <v>6.2461154282803021E-4</v>
      </c>
      <c r="V14" s="52">
        <v>0.13199635735350057</v>
      </c>
      <c r="W14" s="2">
        <v>-0.10560974891081049</v>
      </c>
      <c r="X14" s="53">
        <v>0</v>
      </c>
      <c r="Y14" s="33">
        <v>-8.7852672117392106E-4</v>
      </c>
      <c r="Z14" s="34">
        <v>1.6322430590728465E-4</v>
      </c>
      <c r="AA14" s="2">
        <v>1.5650999999999999</v>
      </c>
      <c r="AB14" s="2">
        <f t="shared" si="4"/>
        <v>0</v>
      </c>
      <c r="AC14" s="2">
        <f t="shared" si="5"/>
        <v>0</v>
      </c>
      <c r="AD14" s="2">
        <f t="shared" si="6"/>
        <v>0</v>
      </c>
      <c r="AE14" s="57">
        <f t="shared" si="7"/>
        <v>0</v>
      </c>
      <c r="AF14" s="58">
        <f t="shared" si="0"/>
        <v>0</v>
      </c>
      <c r="AG14" s="29">
        <f t="shared" si="8"/>
        <v>0</v>
      </c>
      <c r="AH14">
        <f t="shared" si="9"/>
        <v>0</v>
      </c>
      <c r="AI14" s="49">
        <f t="shared" si="10"/>
        <v>6.2461154282803024</v>
      </c>
      <c r="AJ14" s="49">
        <f t="shared" si="11"/>
        <v>0</v>
      </c>
      <c r="AK14" s="48">
        <f t="shared" si="1"/>
        <v>0</v>
      </c>
    </row>
    <row r="15" spans="2:37" x14ac:dyDescent="0.25">
      <c r="B15" s="2" t="s">
        <v>15</v>
      </c>
      <c r="C15" s="2" t="s">
        <v>58</v>
      </c>
      <c r="D15" s="2">
        <v>20141205</v>
      </c>
      <c r="E15" s="2">
        <v>1.5549999999999999</v>
      </c>
      <c r="F15" s="2" t="s">
        <v>59</v>
      </c>
      <c r="G15" s="2">
        <v>62500</v>
      </c>
      <c r="H15" s="2" t="str">
        <f t="shared" si="2"/>
        <v>GLOBEX</v>
      </c>
      <c r="I15" s="2" t="s">
        <v>17</v>
      </c>
      <c r="J15" s="2" t="s">
        <v>16</v>
      </c>
      <c r="K15" s="2" t="str">
        <f t="shared" si="3"/>
        <v>6BZ4 P1555</v>
      </c>
      <c r="L15" s="2" t="s">
        <v>25</v>
      </c>
      <c r="M15" s="51"/>
      <c r="N15" s="2">
        <v>8.0000000000000004E-4</v>
      </c>
      <c r="O15" s="2">
        <v>1</v>
      </c>
      <c r="P15" s="2">
        <v>0</v>
      </c>
      <c r="Q15" s="2">
        <v>-1</v>
      </c>
      <c r="R15" s="2">
        <v>4.0000000000000001E-3</v>
      </c>
      <c r="S15" s="2">
        <v>1</v>
      </c>
      <c r="T15" s="2"/>
      <c r="U15" s="53">
        <v>1.1984139041402108E-3</v>
      </c>
      <c r="V15" s="52">
        <v>0.12515811528751897</v>
      </c>
      <c r="W15" s="2">
        <v>-0.18793765586023906</v>
      </c>
      <c r="X15" s="53">
        <v>0</v>
      </c>
      <c r="Y15" s="33">
        <v>-1.2388664701268209E-3</v>
      </c>
      <c r="Z15" s="34">
        <v>2.6185509900915273E-4</v>
      </c>
      <c r="AA15" s="2">
        <v>1.5650999999999999</v>
      </c>
      <c r="AB15" s="2">
        <f t="shared" si="4"/>
        <v>0</v>
      </c>
      <c r="AC15" s="2">
        <f t="shared" si="5"/>
        <v>0</v>
      </c>
      <c r="AD15" s="2">
        <f t="shared" si="6"/>
        <v>0</v>
      </c>
      <c r="AE15" s="57">
        <f t="shared" si="7"/>
        <v>0</v>
      </c>
      <c r="AF15" s="58">
        <f t="shared" si="0"/>
        <v>0</v>
      </c>
      <c r="AG15" s="29">
        <f t="shared" si="8"/>
        <v>0</v>
      </c>
      <c r="AH15">
        <f t="shared" si="9"/>
        <v>0</v>
      </c>
      <c r="AI15" s="49">
        <f t="shared" si="10"/>
        <v>11.984139041402107</v>
      </c>
      <c r="AJ15" s="49">
        <f t="shared" si="11"/>
        <v>0</v>
      </c>
      <c r="AK15" s="48">
        <f>MAX(0,AJ15*6.25)</f>
        <v>0</v>
      </c>
    </row>
    <row r="16" spans="2:37" x14ac:dyDescent="0.25">
      <c r="B16" s="2" t="s">
        <v>15</v>
      </c>
      <c r="C16" s="2" t="s">
        <v>58</v>
      </c>
      <c r="D16" s="2">
        <v>20141205</v>
      </c>
      <c r="E16" s="2">
        <v>1.56</v>
      </c>
      <c r="F16" s="2" t="s">
        <v>59</v>
      </c>
      <c r="G16" s="2">
        <v>62500</v>
      </c>
      <c r="H16" s="2" t="str">
        <f t="shared" si="2"/>
        <v>GLOBEX</v>
      </c>
      <c r="I16" s="2" t="s">
        <v>17</v>
      </c>
      <c r="J16" s="2" t="s">
        <v>16</v>
      </c>
      <c r="K16" s="2" t="str">
        <f t="shared" si="3"/>
        <v>6BZ4 P1560</v>
      </c>
      <c r="L16" s="2" t="s">
        <v>25</v>
      </c>
      <c r="M16" s="51"/>
      <c r="N16" s="2">
        <v>2.2000000000000001E-3</v>
      </c>
      <c r="O16" s="2">
        <v>12</v>
      </c>
      <c r="P16" s="2">
        <v>1</v>
      </c>
      <c r="Q16" s="2">
        <v>1.1000000000000001E-3</v>
      </c>
      <c r="R16" s="2">
        <v>2.5000000000000001E-3</v>
      </c>
      <c r="S16" s="2">
        <v>2</v>
      </c>
      <c r="T16" s="2"/>
      <c r="U16" s="53">
        <v>2.3571633551261869E-3</v>
      </c>
      <c r="V16" s="52">
        <v>0.1204727256130127</v>
      </c>
      <c r="W16" s="2">
        <v>-0.32187740475039894</v>
      </c>
      <c r="X16" s="53">
        <v>0</v>
      </c>
      <c r="Y16" s="33">
        <v>-1.5770148129181599E-3</v>
      </c>
      <c r="Z16" s="34">
        <v>3.3785626936487425E-4</v>
      </c>
      <c r="AA16" s="2">
        <v>1.5650999999999999</v>
      </c>
      <c r="AB16" s="2">
        <f t="shared" si="4"/>
        <v>0</v>
      </c>
      <c r="AC16" s="2">
        <f t="shared" si="5"/>
        <v>0</v>
      </c>
      <c r="AD16" s="2">
        <f t="shared" si="6"/>
        <v>0</v>
      </c>
      <c r="AE16" s="57">
        <f t="shared" si="7"/>
        <v>0</v>
      </c>
      <c r="AF16" s="58">
        <f t="shared" si="0"/>
        <v>0</v>
      </c>
      <c r="AG16" s="29">
        <f t="shared" si="8"/>
        <v>0</v>
      </c>
      <c r="AH16">
        <f t="shared" si="9"/>
        <v>0</v>
      </c>
      <c r="AI16" s="49">
        <f t="shared" si="10"/>
        <v>23.571633551261868</v>
      </c>
      <c r="AJ16" s="49">
        <f t="shared" si="11"/>
        <v>0</v>
      </c>
      <c r="AK16" s="48">
        <f t="shared" ref="AK16:AK65" si="12">MAX(0,AJ16*6.25)</f>
        <v>0</v>
      </c>
    </row>
    <row r="17" spans="2:37" x14ac:dyDescent="0.25">
      <c r="B17" s="2" t="s">
        <v>15</v>
      </c>
      <c r="C17" s="2" t="s">
        <v>58</v>
      </c>
      <c r="D17" s="2">
        <v>20141205</v>
      </c>
      <c r="E17" s="2">
        <v>1.5649999999999999</v>
      </c>
      <c r="F17" s="2" t="s">
        <v>59</v>
      </c>
      <c r="G17" s="2">
        <v>62500</v>
      </c>
      <c r="H17" s="2" t="str">
        <f t="shared" si="2"/>
        <v>GLOBEX</v>
      </c>
      <c r="I17" s="2" t="s">
        <v>17</v>
      </c>
      <c r="J17" s="2" t="s">
        <v>16</v>
      </c>
      <c r="K17" s="2" t="str">
        <f t="shared" si="3"/>
        <v>6BZ4 P1565</v>
      </c>
      <c r="L17" s="2" t="s">
        <v>25</v>
      </c>
      <c r="M17" s="51"/>
      <c r="N17" s="2">
        <v>4.0000000000000001E-3</v>
      </c>
      <c r="O17" s="2">
        <v>18</v>
      </c>
      <c r="P17" s="2">
        <v>10</v>
      </c>
      <c r="Q17" s="2">
        <v>8.9999999999999998E-4</v>
      </c>
      <c r="R17" s="2">
        <v>7.1000000000000004E-3</v>
      </c>
      <c r="S17" s="2">
        <v>10</v>
      </c>
      <c r="T17" s="2"/>
      <c r="U17" s="53">
        <v>7.1000000461935997E-3</v>
      </c>
      <c r="V17" s="52">
        <v>0.19486266952716297</v>
      </c>
      <c r="W17" s="2">
        <v>-0.49550698962638023</v>
      </c>
      <c r="X17" s="53">
        <v>0</v>
      </c>
      <c r="Y17" s="33">
        <v>-2.8652366511571609E-3</v>
      </c>
      <c r="Z17" s="34">
        <v>3.6659330718152687E-4</v>
      </c>
      <c r="AA17" s="2">
        <v>1.5650999999999999</v>
      </c>
      <c r="AB17" s="2">
        <f t="shared" si="4"/>
        <v>0</v>
      </c>
      <c r="AC17" s="2">
        <f t="shared" si="5"/>
        <v>0</v>
      </c>
      <c r="AD17" s="2">
        <f t="shared" si="6"/>
        <v>0</v>
      </c>
      <c r="AE17" s="57">
        <f t="shared" si="7"/>
        <v>0</v>
      </c>
      <c r="AF17" s="58">
        <f t="shared" si="0"/>
        <v>0</v>
      </c>
      <c r="AG17" s="29">
        <f t="shared" si="8"/>
        <v>0</v>
      </c>
      <c r="AH17">
        <f t="shared" si="9"/>
        <v>0</v>
      </c>
      <c r="AI17" s="49">
        <f t="shared" si="10"/>
        <v>71.000000461935997</v>
      </c>
      <c r="AJ17" s="49">
        <f t="shared" si="11"/>
        <v>0</v>
      </c>
      <c r="AK17" s="48">
        <f t="shared" si="12"/>
        <v>0</v>
      </c>
    </row>
    <row r="18" spans="2:37" x14ac:dyDescent="0.25">
      <c r="B18" s="2" t="s">
        <v>15</v>
      </c>
      <c r="C18" s="2" t="s">
        <v>58</v>
      </c>
      <c r="D18" s="2">
        <v>20141205</v>
      </c>
      <c r="E18" s="2">
        <v>1.57</v>
      </c>
      <c r="F18" s="2" t="s">
        <v>59</v>
      </c>
      <c r="G18" s="2">
        <v>62500</v>
      </c>
      <c r="H18" s="2" t="str">
        <f t="shared" si="2"/>
        <v>GLOBEX</v>
      </c>
      <c r="I18" s="2" t="s">
        <v>17</v>
      </c>
      <c r="J18" s="2" t="s">
        <v>16</v>
      </c>
      <c r="K18" s="2" t="str">
        <f t="shared" si="3"/>
        <v>6BZ4 P1570</v>
      </c>
      <c r="L18" s="2" t="s">
        <v>25</v>
      </c>
      <c r="M18" s="51"/>
      <c r="N18" s="2">
        <v>6.0000000000000001E-3</v>
      </c>
      <c r="O18" s="2">
        <v>2</v>
      </c>
      <c r="P18" s="2">
        <v>1</v>
      </c>
      <c r="Q18" s="2">
        <v>6.0000000000000001E-3</v>
      </c>
      <c r="R18" s="2">
        <v>-1</v>
      </c>
      <c r="S18" s="2">
        <v>0</v>
      </c>
      <c r="T18" s="2"/>
      <c r="U18" s="53">
        <v>7.2386292668941759E-3</v>
      </c>
      <c r="V18" s="52">
        <v>0.11756050343842617</v>
      </c>
      <c r="W18" s="2">
        <v>-0.67253122920548303</v>
      </c>
      <c r="X18" s="53">
        <v>0</v>
      </c>
      <c r="Y18" s="33">
        <v>-1.5495704596294006E-3</v>
      </c>
      <c r="Z18" s="34">
        <v>3.3893781142562817E-4</v>
      </c>
      <c r="AA18" s="2">
        <v>1.5650999999999999</v>
      </c>
      <c r="AB18" s="2">
        <f t="shared" si="4"/>
        <v>0</v>
      </c>
      <c r="AC18" s="2">
        <f t="shared" si="5"/>
        <v>0</v>
      </c>
      <c r="AD18" s="2">
        <f t="shared" si="6"/>
        <v>0</v>
      </c>
      <c r="AE18" s="57">
        <f t="shared" si="7"/>
        <v>0</v>
      </c>
      <c r="AF18" s="58">
        <f t="shared" si="0"/>
        <v>0</v>
      </c>
      <c r="AG18" s="29">
        <f t="shared" si="8"/>
        <v>0</v>
      </c>
      <c r="AH18">
        <f t="shared" si="9"/>
        <v>49.000000000001265</v>
      </c>
      <c r="AI18" s="49">
        <f t="shared" si="10"/>
        <v>23.386292668940499</v>
      </c>
      <c r="AJ18" s="49">
        <f t="shared" si="11"/>
        <v>0</v>
      </c>
      <c r="AK18" s="48">
        <f t="shared" si="12"/>
        <v>0</v>
      </c>
    </row>
    <row r="19" spans="2:37" x14ac:dyDescent="0.25">
      <c r="B19" s="2" t="s">
        <v>15</v>
      </c>
      <c r="C19" s="2" t="s">
        <v>58</v>
      </c>
      <c r="D19" s="2">
        <v>20141205</v>
      </c>
      <c r="E19" s="2">
        <v>1.575</v>
      </c>
      <c r="F19" s="2" t="s">
        <v>59</v>
      </c>
      <c r="G19" s="2">
        <v>62500</v>
      </c>
      <c r="H19" s="2" t="str">
        <f t="shared" si="2"/>
        <v>GLOBEX</v>
      </c>
      <c r="I19" s="2" t="s">
        <v>17</v>
      </c>
      <c r="J19" s="2" t="s">
        <v>16</v>
      </c>
      <c r="K19" s="2" t="str">
        <f t="shared" si="3"/>
        <v>6BZ4 P1575</v>
      </c>
      <c r="L19" s="2" t="s">
        <v>25</v>
      </c>
      <c r="M19" s="51"/>
      <c r="N19" s="2">
        <v>0</v>
      </c>
      <c r="O19" s="2">
        <v>0</v>
      </c>
      <c r="P19" s="2">
        <v>0</v>
      </c>
      <c r="Q19" s="2">
        <v>-1</v>
      </c>
      <c r="R19" s="2">
        <v>-1</v>
      </c>
      <c r="S19" s="2">
        <v>0</v>
      </c>
      <c r="T19" s="2"/>
      <c r="U19" s="53">
        <v>1.1016346548179045E-2</v>
      </c>
      <c r="V19" s="52">
        <v>0.11933367093836011</v>
      </c>
      <c r="W19" s="2">
        <v>-0.81481940558608035</v>
      </c>
      <c r="X19" s="53">
        <v>0</v>
      </c>
      <c r="Y19" s="33">
        <v>-1.168430220345048E-3</v>
      </c>
      <c r="Z19" s="34">
        <v>2.4830637402398388E-4</v>
      </c>
      <c r="AA19" s="2">
        <v>1.5650999999999999</v>
      </c>
      <c r="AB19" s="2">
        <f t="shared" si="4"/>
        <v>0</v>
      </c>
      <c r="AC19" s="2">
        <f t="shared" si="5"/>
        <v>0</v>
      </c>
      <c r="AD19" s="2">
        <f t="shared" si="6"/>
        <v>0</v>
      </c>
      <c r="AE19" s="57">
        <f t="shared" si="7"/>
        <v>0</v>
      </c>
      <c r="AF19" s="58">
        <f t="shared" si="0"/>
        <v>0</v>
      </c>
      <c r="AG19" s="29">
        <f t="shared" si="8"/>
        <v>0</v>
      </c>
      <c r="AH19">
        <f t="shared" si="9"/>
        <v>99.000000000000199</v>
      </c>
      <c r="AI19" s="49">
        <f t="shared" si="10"/>
        <v>11.163465481790254</v>
      </c>
      <c r="AJ19" s="49">
        <f t="shared" si="11"/>
        <v>0</v>
      </c>
      <c r="AK19" s="48">
        <f t="shared" si="12"/>
        <v>0</v>
      </c>
    </row>
    <row r="20" spans="2:37" x14ac:dyDescent="0.25">
      <c r="B20" s="2" t="s">
        <v>15</v>
      </c>
      <c r="C20" s="2" t="s">
        <v>58</v>
      </c>
      <c r="D20" s="2">
        <v>20141205</v>
      </c>
      <c r="E20" s="2">
        <v>1.58</v>
      </c>
      <c r="F20" s="2" t="s">
        <v>59</v>
      </c>
      <c r="G20" s="2">
        <v>62500</v>
      </c>
      <c r="H20" s="2" t="str">
        <f t="shared" si="2"/>
        <v>GLOBEX</v>
      </c>
      <c r="I20" s="2" t="s">
        <v>17</v>
      </c>
      <c r="J20" s="2" t="s">
        <v>16</v>
      </c>
      <c r="K20" s="2" t="str">
        <f t="shared" si="3"/>
        <v>6BZ4 P1580</v>
      </c>
      <c r="L20" s="2" t="s">
        <v>25</v>
      </c>
      <c r="M20" s="51"/>
      <c r="N20" s="2">
        <v>1.2999999999999999E-2</v>
      </c>
      <c r="O20" s="2">
        <v>2</v>
      </c>
      <c r="P20" s="2">
        <v>0</v>
      </c>
      <c r="Q20" s="2">
        <v>-1</v>
      </c>
      <c r="R20" s="2">
        <v>-1</v>
      </c>
      <c r="S20" s="2">
        <v>0</v>
      </c>
      <c r="T20" s="2"/>
      <c r="U20" s="53">
        <v>1.5421554579886813E-2</v>
      </c>
      <c r="V20" s="52">
        <v>0.1232596908297694</v>
      </c>
      <c r="W20" s="2">
        <v>-0.9034281906599263</v>
      </c>
      <c r="X20" s="53">
        <v>0.45586362429465982</v>
      </c>
      <c r="Y20" s="33">
        <v>-7.6797840683540336E-4</v>
      </c>
      <c r="Z20" s="34">
        <v>1.6479683442466656E-4</v>
      </c>
      <c r="AA20" s="2">
        <v>1.5650999999999999</v>
      </c>
      <c r="AB20" s="2">
        <f t="shared" si="4"/>
        <v>0</v>
      </c>
      <c r="AC20" s="2">
        <f t="shared" si="5"/>
        <v>0</v>
      </c>
      <c r="AD20" s="2">
        <f t="shared" si="6"/>
        <v>0</v>
      </c>
      <c r="AE20" s="57">
        <f t="shared" si="7"/>
        <v>0</v>
      </c>
      <c r="AF20" s="58">
        <f t="shared" si="0"/>
        <v>0</v>
      </c>
      <c r="AG20" s="29">
        <f t="shared" si="8"/>
        <v>0</v>
      </c>
      <c r="AH20">
        <f t="shared" si="9"/>
        <v>149.00000000000136</v>
      </c>
      <c r="AI20" s="49">
        <f t="shared" si="10"/>
        <v>5.2155457988667706</v>
      </c>
      <c r="AJ20" s="49">
        <f t="shared" si="11"/>
        <v>0</v>
      </c>
      <c r="AK20" s="48">
        <f t="shared" si="12"/>
        <v>0</v>
      </c>
    </row>
    <row r="21" spans="2:37" x14ac:dyDescent="0.25">
      <c r="B21" s="2" t="s">
        <v>15</v>
      </c>
      <c r="C21" s="2" t="s">
        <v>58</v>
      </c>
      <c r="D21" s="2">
        <v>20141205</v>
      </c>
      <c r="E21" s="2">
        <v>1.585</v>
      </c>
      <c r="F21" s="2" t="s">
        <v>59</v>
      </c>
      <c r="G21" s="2">
        <v>62500</v>
      </c>
      <c r="H21" s="2" t="str">
        <f t="shared" si="2"/>
        <v>GLOBEX</v>
      </c>
      <c r="I21" s="2" t="s">
        <v>17</v>
      </c>
      <c r="J21" s="2" t="s">
        <v>16</v>
      </c>
      <c r="K21" s="2" t="str">
        <f t="shared" si="3"/>
        <v>6BZ4 P1585</v>
      </c>
      <c r="L21" s="2" t="s">
        <v>25</v>
      </c>
      <c r="M21" s="51"/>
      <c r="N21" s="2">
        <v>0</v>
      </c>
      <c r="O21" s="2">
        <v>0</v>
      </c>
      <c r="P21" s="2">
        <v>0</v>
      </c>
      <c r="Q21" s="2">
        <v>-1</v>
      </c>
      <c r="R21" s="2">
        <v>-1</v>
      </c>
      <c r="S21" s="2">
        <v>0</v>
      </c>
      <c r="T21" s="2"/>
      <c r="U21" s="53">
        <v>2.0139865568373858E-2</v>
      </c>
      <c r="V21" s="52">
        <v>0.1293385631126398</v>
      </c>
      <c r="W21" s="2">
        <v>-0.95204286396793458</v>
      </c>
      <c r="X21" s="53">
        <v>0</v>
      </c>
      <c r="Y21" s="33">
        <v>-4.7107727011627768E-4</v>
      </c>
      <c r="Z21" s="34">
        <v>1.1003700345069145E-4</v>
      </c>
      <c r="AA21" s="2">
        <v>1.5650999999999999</v>
      </c>
      <c r="AB21" s="2">
        <f t="shared" si="4"/>
        <v>0</v>
      </c>
      <c r="AC21" s="2">
        <f t="shared" si="5"/>
        <v>0</v>
      </c>
      <c r="AD21" s="2">
        <f t="shared" si="6"/>
        <v>0</v>
      </c>
      <c r="AE21" s="57">
        <f t="shared" si="7"/>
        <v>0</v>
      </c>
      <c r="AF21" s="58">
        <f t="shared" si="0"/>
        <v>0</v>
      </c>
      <c r="AG21" s="29">
        <f t="shared" si="8"/>
        <v>0</v>
      </c>
      <c r="AH21">
        <f t="shared" si="9"/>
        <v>199.00000000000028</v>
      </c>
      <c r="AI21" s="49">
        <f t="shared" si="10"/>
        <v>2.3986556837382977</v>
      </c>
      <c r="AJ21" s="49">
        <f t="shared" si="11"/>
        <v>0</v>
      </c>
      <c r="AK21" s="48">
        <f t="shared" si="12"/>
        <v>0</v>
      </c>
    </row>
    <row r="22" spans="2:37" x14ac:dyDescent="0.25">
      <c r="B22" s="2" t="s">
        <v>15</v>
      </c>
      <c r="C22" s="2" t="s">
        <v>58</v>
      </c>
      <c r="D22" s="2">
        <v>20141205</v>
      </c>
      <c r="E22" s="2">
        <v>1.59</v>
      </c>
      <c r="F22" s="2" t="s">
        <v>59</v>
      </c>
      <c r="G22" s="2">
        <v>62500</v>
      </c>
      <c r="H22" s="2" t="str">
        <f t="shared" si="2"/>
        <v>GLOBEX</v>
      </c>
      <c r="I22" s="2" t="s">
        <v>17</v>
      </c>
      <c r="J22" s="2" t="s">
        <v>16</v>
      </c>
      <c r="K22" s="2" t="str">
        <f t="shared" si="3"/>
        <v>6BZ4 P1590</v>
      </c>
      <c r="L22" s="2" t="s">
        <v>25</v>
      </c>
      <c r="M22" s="51"/>
      <c r="N22" s="2">
        <v>0</v>
      </c>
      <c r="O22" s="2">
        <v>0</v>
      </c>
      <c r="P22" s="2">
        <v>0</v>
      </c>
      <c r="Q22" s="2">
        <v>-1</v>
      </c>
      <c r="R22" s="2">
        <v>-1</v>
      </c>
      <c r="S22" s="2">
        <v>0</v>
      </c>
      <c r="T22" s="2"/>
      <c r="U22" s="53">
        <v>2.5021042245330444E-2</v>
      </c>
      <c r="V22" s="52">
        <v>0.13757028778701397</v>
      </c>
      <c r="W22" s="2">
        <v>-0.97506282275406442</v>
      </c>
      <c r="X22" s="53">
        <v>0</v>
      </c>
      <c r="Y22" s="33">
        <v>-2.928207005908077E-4</v>
      </c>
      <c r="Z22" s="34">
        <v>6.7546212518670989E-5</v>
      </c>
      <c r="AA22" s="2">
        <v>1.5650999999999999</v>
      </c>
      <c r="AB22" s="2">
        <f t="shared" si="4"/>
        <v>0</v>
      </c>
      <c r="AC22" s="2">
        <f t="shared" si="5"/>
        <v>0</v>
      </c>
      <c r="AD22" s="2">
        <f t="shared" si="6"/>
        <v>0</v>
      </c>
      <c r="AE22" s="57">
        <f t="shared" si="7"/>
        <v>0</v>
      </c>
      <c r="AF22" s="58">
        <f t="shared" si="0"/>
        <v>0</v>
      </c>
      <c r="AG22" s="29">
        <f t="shared" si="8"/>
        <v>0</v>
      </c>
      <c r="AH22">
        <f t="shared" si="9"/>
        <v>249.00000000000145</v>
      </c>
      <c r="AI22" s="49">
        <f t="shared" si="10"/>
        <v>1.2104224533029821</v>
      </c>
      <c r="AJ22" s="49">
        <f t="shared" si="11"/>
        <v>0</v>
      </c>
      <c r="AK22" s="48">
        <f t="shared" si="12"/>
        <v>0</v>
      </c>
    </row>
    <row r="23" spans="2:37" x14ac:dyDescent="0.25">
      <c r="B23" s="2" t="s">
        <v>15</v>
      </c>
      <c r="C23" s="2" t="s">
        <v>58</v>
      </c>
      <c r="D23" s="2">
        <v>20141205</v>
      </c>
      <c r="E23" s="2">
        <v>1.595</v>
      </c>
      <c r="F23" s="2" t="s">
        <v>59</v>
      </c>
      <c r="G23" s="2">
        <v>62500</v>
      </c>
      <c r="H23" s="2" t="str">
        <f t="shared" si="2"/>
        <v>GLOBEX</v>
      </c>
      <c r="I23" s="2" t="s">
        <v>17</v>
      </c>
      <c r="J23" s="2" t="s">
        <v>16</v>
      </c>
      <c r="K23" s="2" t="str">
        <f t="shared" si="3"/>
        <v>6BZ4 P1595</v>
      </c>
      <c r="L23" s="2" t="s">
        <v>25</v>
      </c>
      <c r="M23" s="51"/>
      <c r="N23" s="2">
        <v>0</v>
      </c>
      <c r="O23" s="2">
        <v>0</v>
      </c>
      <c r="P23" s="2">
        <v>0</v>
      </c>
      <c r="Q23" s="2">
        <v>-1</v>
      </c>
      <c r="R23" s="2">
        <v>-1</v>
      </c>
      <c r="S23" s="2">
        <v>0</v>
      </c>
      <c r="T23" s="2"/>
      <c r="U23" s="53">
        <v>2.9971969328718363E-2</v>
      </c>
      <c r="V23" s="52">
        <v>0.14795486485286347</v>
      </c>
      <c r="W23" s="2">
        <v>-0.98537525388845271</v>
      </c>
      <c r="X23" s="53">
        <v>0</v>
      </c>
      <c r="Y23" s="2">
        <v>-1.9919460149662467E-4</v>
      </c>
      <c r="Z23" s="34">
        <v>3.8053563388523032E-5</v>
      </c>
      <c r="AA23" s="2">
        <v>1.5650999999999999</v>
      </c>
      <c r="AB23" s="2">
        <f t="shared" si="4"/>
        <v>0</v>
      </c>
      <c r="AC23" s="2">
        <f t="shared" si="5"/>
        <v>0</v>
      </c>
      <c r="AD23" s="2">
        <f t="shared" si="6"/>
        <v>0</v>
      </c>
      <c r="AE23" s="57">
        <f t="shared" si="7"/>
        <v>0</v>
      </c>
      <c r="AF23" s="58">
        <f t="shared" si="0"/>
        <v>0</v>
      </c>
      <c r="AG23" s="29">
        <f t="shared" si="8"/>
        <v>0</v>
      </c>
      <c r="AH23">
        <f t="shared" si="9"/>
        <v>299.0000000000004</v>
      </c>
      <c r="AI23" s="49">
        <f t="shared" si="10"/>
        <v>0.71969328718324732</v>
      </c>
      <c r="AJ23" s="49">
        <f t="shared" si="11"/>
        <v>0</v>
      </c>
      <c r="AK23" s="48">
        <f t="shared" si="12"/>
        <v>0</v>
      </c>
    </row>
    <row r="24" spans="2:37" x14ac:dyDescent="0.25">
      <c r="B24" s="2" t="s">
        <v>15</v>
      </c>
      <c r="C24" s="2" t="s">
        <v>58</v>
      </c>
      <c r="D24" s="2">
        <v>20141205</v>
      </c>
      <c r="E24" s="2">
        <v>1.6</v>
      </c>
      <c r="F24" s="2" t="s">
        <v>59</v>
      </c>
      <c r="G24" s="2">
        <v>62500</v>
      </c>
      <c r="H24" s="2" t="str">
        <f t="shared" si="2"/>
        <v>GLOBEX</v>
      </c>
      <c r="I24" s="2" t="s">
        <v>17</v>
      </c>
      <c r="J24" s="2" t="s">
        <v>16</v>
      </c>
      <c r="K24" s="2" t="str">
        <f t="shared" si="3"/>
        <v>6BZ4 P1600</v>
      </c>
      <c r="L24" s="2" t="s">
        <v>25</v>
      </c>
      <c r="M24" s="51"/>
      <c r="N24" s="2">
        <v>0</v>
      </c>
      <c r="O24" s="2">
        <v>0</v>
      </c>
      <c r="P24" s="2">
        <v>0</v>
      </c>
      <c r="Q24" s="2">
        <v>-1</v>
      </c>
      <c r="R24" s="2">
        <v>-1</v>
      </c>
      <c r="S24" s="2">
        <v>0</v>
      </c>
      <c r="T24" s="2"/>
      <c r="U24" s="53">
        <v>3.4947170242700727E-2</v>
      </c>
      <c r="V24" s="52">
        <v>0.16049229431017409</v>
      </c>
      <c r="W24" s="2">
        <v>-0.99069384771629254</v>
      </c>
      <c r="X24" s="53">
        <v>0.96000685239764894</v>
      </c>
      <c r="Y24" s="2">
        <v>-1.4673614098978258E-4</v>
      </c>
      <c r="Z24" s="34">
        <v>2.9466031867542153E-5</v>
      </c>
      <c r="AA24" s="2">
        <v>1.5650999999999999</v>
      </c>
      <c r="AB24" s="2">
        <f t="shared" si="4"/>
        <v>0</v>
      </c>
      <c r="AC24" s="2">
        <f t="shared" si="5"/>
        <v>0</v>
      </c>
      <c r="AD24" s="2">
        <f t="shared" si="6"/>
        <v>0</v>
      </c>
      <c r="AE24" s="57">
        <f t="shared" si="7"/>
        <v>0</v>
      </c>
      <c r="AF24" s="58">
        <f t="shared" si="0"/>
        <v>0</v>
      </c>
      <c r="AG24" s="29">
        <f t="shared" si="8"/>
        <v>0</v>
      </c>
      <c r="AH24">
        <f t="shared" si="9"/>
        <v>349.00000000000153</v>
      </c>
      <c r="AI24" s="49">
        <f t="shared" si="10"/>
        <v>0.47170242700570952</v>
      </c>
      <c r="AJ24" s="49">
        <f t="shared" si="11"/>
        <v>0</v>
      </c>
      <c r="AK24" s="48">
        <f t="shared" si="12"/>
        <v>0</v>
      </c>
    </row>
    <row r="25" spans="2:37" x14ac:dyDescent="0.25">
      <c r="B25" s="2" t="s">
        <v>15</v>
      </c>
      <c r="C25" s="2" t="s">
        <v>58</v>
      </c>
      <c r="D25" s="2">
        <v>20141205</v>
      </c>
      <c r="E25" s="2">
        <v>1.605</v>
      </c>
      <c r="F25" s="2" t="s">
        <v>59</v>
      </c>
      <c r="G25" s="2">
        <v>62500</v>
      </c>
      <c r="H25" s="2" t="str">
        <f t="shared" si="2"/>
        <v>GLOBEX</v>
      </c>
      <c r="I25" s="2" t="s">
        <v>17</v>
      </c>
      <c r="J25" s="2" t="s">
        <v>16</v>
      </c>
      <c r="K25" s="2" t="str">
        <f t="shared" si="3"/>
        <v>6BZ4 P1605</v>
      </c>
      <c r="L25" s="2" t="s">
        <v>25</v>
      </c>
      <c r="M25" s="51"/>
      <c r="N25" s="2">
        <v>0</v>
      </c>
      <c r="O25" s="2">
        <v>0</v>
      </c>
      <c r="P25" s="2">
        <v>0</v>
      </c>
      <c r="Q25" s="2">
        <v>-1</v>
      </c>
      <c r="R25" s="2">
        <v>-1</v>
      </c>
      <c r="S25" s="2">
        <v>0</v>
      </c>
      <c r="T25" s="2"/>
      <c r="U25" s="53">
        <v>3.9938167651417097E-2</v>
      </c>
      <c r="V25" s="52">
        <v>0.17518257615898847</v>
      </c>
      <c r="W25" s="2">
        <v>-0.99295163726063207</v>
      </c>
      <c r="X25" s="53">
        <v>0.96459820214130731</v>
      </c>
      <c r="Y25" s="2">
        <v>-1.2498221345756254E-4</v>
      </c>
      <c r="Z25" s="34">
        <v>1.9661772495370433E-5</v>
      </c>
      <c r="AA25" s="2">
        <v>1.5650999999999999</v>
      </c>
      <c r="AB25" s="2">
        <f t="shared" si="4"/>
        <v>0</v>
      </c>
      <c r="AC25" s="2">
        <f t="shared" si="5"/>
        <v>0</v>
      </c>
      <c r="AD25" s="2">
        <f t="shared" si="6"/>
        <v>0</v>
      </c>
      <c r="AE25" s="57">
        <f t="shared" si="7"/>
        <v>0</v>
      </c>
      <c r="AF25" s="58">
        <f t="shared" si="0"/>
        <v>0</v>
      </c>
      <c r="AG25" s="29">
        <f t="shared" si="8"/>
        <v>0</v>
      </c>
      <c r="AH25">
        <f t="shared" si="9"/>
        <v>399.00000000000045</v>
      </c>
      <c r="AI25" s="49">
        <f t="shared" si="10"/>
        <v>0.38167651417052184</v>
      </c>
      <c r="AJ25" s="49">
        <f t="shared" si="11"/>
        <v>0</v>
      </c>
      <c r="AK25" s="48">
        <f t="shared" si="12"/>
        <v>0</v>
      </c>
    </row>
    <row r="26" spans="2:37" x14ac:dyDescent="0.25">
      <c r="B26" s="2" t="s">
        <v>15</v>
      </c>
      <c r="C26" s="2" t="s">
        <v>58</v>
      </c>
      <c r="D26" s="2">
        <v>20141205</v>
      </c>
      <c r="E26" s="2">
        <v>1.61</v>
      </c>
      <c r="F26" s="2" t="s">
        <v>59</v>
      </c>
      <c r="G26" s="2">
        <v>62500</v>
      </c>
      <c r="H26" s="2" t="str">
        <f t="shared" si="2"/>
        <v>GLOBEX</v>
      </c>
      <c r="I26" s="2" t="s">
        <v>17</v>
      </c>
      <c r="J26" s="2" t="s">
        <v>16</v>
      </c>
      <c r="K26" s="2" t="str">
        <f t="shared" si="3"/>
        <v>6BZ4 P1610</v>
      </c>
      <c r="L26" s="2" t="s">
        <v>25</v>
      </c>
      <c r="M26" s="51"/>
      <c r="N26" s="2">
        <v>0</v>
      </c>
      <c r="O26" s="2">
        <v>0</v>
      </c>
      <c r="P26" s="2">
        <v>0</v>
      </c>
      <c r="Q26" s="2">
        <v>-1</v>
      </c>
      <c r="R26" s="2">
        <v>-1</v>
      </c>
      <c r="S26" s="2">
        <v>0</v>
      </c>
      <c r="T26" s="2"/>
      <c r="U26" s="53">
        <v>4.4933497038128635E-2</v>
      </c>
      <c r="V26" s="52">
        <v>0.19202571039927818</v>
      </c>
      <c r="W26" s="2">
        <v>-0.99424128479175922</v>
      </c>
      <c r="X26" s="53">
        <v>0.93178526449189381</v>
      </c>
      <c r="Y26" s="2">
        <v>-1.1497841994031873E-4</v>
      </c>
      <c r="Z26" s="34">
        <v>1.9688702954205606E-5</v>
      </c>
      <c r="AA26" s="2">
        <v>1.5650999999999999</v>
      </c>
      <c r="AB26" s="2">
        <f t="shared" si="4"/>
        <v>0</v>
      </c>
      <c r="AC26" s="2">
        <f t="shared" si="5"/>
        <v>0</v>
      </c>
      <c r="AD26" s="2">
        <f t="shared" si="6"/>
        <v>0</v>
      </c>
      <c r="AE26" s="57">
        <f t="shared" si="7"/>
        <v>0</v>
      </c>
      <c r="AF26" s="58">
        <f t="shared" si="0"/>
        <v>0</v>
      </c>
      <c r="AG26" s="29">
        <f t="shared" si="8"/>
        <v>0</v>
      </c>
      <c r="AH26">
        <f t="shared" si="9"/>
        <v>449.00000000000159</v>
      </c>
      <c r="AI26" s="49">
        <f t="shared" si="10"/>
        <v>0.33497038128473378</v>
      </c>
      <c r="AJ26" s="49">
        <f t="shared" si="11"/>
        <v>0</v>
      </c>
      <c r="AK26" s="48">
        <f t="shared" si="12"/>
        <v>0</v>
      </c>
    </row>
    <row r="27" spans="2:37" x14ac:dyDescent="0.25">
      <c r="B27" s="2" t="s">
        <v>15</v>
      </c>
      <c r="C27" s="2" t="s">
        <v>58</v>
      </c>
      <c r="D27" s="2">
        <v>20141205</v>
      </c>
      <c r="E27" s="2">
        <v>1.615</v>
      </c>
      <c r="F27" s="2" t="s">
        <v>59</v>
      </c>
      <c r="G27" s="2">
        <v>62500</v>
      </c>
      <c r="H27" s="2" t="str">
        <f t="shared" si="2"/>
        <v>GLOBEX</v>
      </c>
      <c r="I27" s="2" t="s">
        <v>17</v>
      </c>
      <c r="J27" s="2" t="s">
        <v>16</v>
      </c>
      <c r="K27" s="2" t="str">
        <f t="shared" si="3"/>
        <v>6BZ4 P1615</v>
      </c>
      <c r="L27" s="2" t="s">
        <v>25</v>
      </c>
      <c r="M27" s="51"/>
      <c r="N27" s="2">
        <v>0</v>
      </c>
      <c r="O27" s="2">
        <v>0</v>
      </c>
      <c r="P27" s="2">
        <v>0</v>
      </c>
      <c r="Q27" s="2">
        <v>-1</v>
      </c>
      <c r="R27" s="2">
        <v>-1</v>
      </c>
      <c r="S27" s="2">
        <v>0</v>
      </c>
      <c r="T27" s="2"/>
      <c r="U27" s="53">
        <v>4.9933175905381037E-2</v>
      </c>
      <c r="V27" s="52">
        <v>0.21102169703104323</v>
      </c>
      <c r="W27" s="2">
        <v>-0.99475196361446627</v>
      </c>
      <c r="X27" s="53">
        <v>0.78384519397573749</v>
      </c>
      <c r="Y27" s="2">
        <v>-1.1677813097680746E-4</v>
      </c>
      <c r="Z27" s="34">
        <v>1.9716027393722191E-5</v>
      </c>
      <c r="AA27" s="2">
        <v>1.5650999999999999</v>
      </c>
      <c r="AB27" s="2">
        <f t="shared" si="4"/>
        <v>0</v>
      </c>
      <c r="AC27" s="2">
        <f t="shared" si="5"/>
        <v>0</v>
      </c>
      <c r="AD27" s="2">
        <f t="shared" si="6"/>
        <v>0</v>
      </c>
      <c r="AE27" s="57">
        <f t="shared" si="7"/>
        <v>0</v>
      </c>
      <c r="AF27" s="58">
        <f t="shared" si="0"/>
        <v>0</v>
      </c>
      <c r="AG27" s="29">
        <f t="shared" si="8"/>
        <v>0</v>
      </c>
      <c r="AH27">
        <f t="shared" si="9"/>
        <v>499.00000000000057</v>
      </c>
      <c r="AI27" s="49">
        <f t="shared" si="10"/>
        <v>0.33175905380977611</v>
      </c>
      <c r="AJ27" s="49">
        <f t="shared" si="11"/>
        <v>0</v>
      </c>
      <c r="AK27" s="48">
        <f t="shared" si="12"/>
        <v>0</v>
      </c>
    </row>
    <row r="28" spans="2:37" x14ac:dyDescent="0.25">
      <c r="B28" s="2" t="s">
        <v>15</v>
      </c>
      <c r="C28" s="2" t="s">
        <v>58</v>
      </c>
      <c r="D28" s="2">
        <v>20141205</v>
      </c>
      <c r="E28" s="2">
        <v>1.62</v>
      </c>
      <c r="F28" s="2" t="s">
        <v>59</v>
      </c>
      <c r="G28" s="2">
        <v>62500</v>
      </c>
      <c r="H28" s="2" t="str">
        <f t="shared" si="2"/>
        <v>GLOBEX</v>
      </c>
      <c r="I28" s="2" t="s">
        <v>17</v>
      </c>
      <c r="J28" s="2" t="s">
        <v>16</v>
      </c>
      <c r="K28" s="2" t="str">
        <f t="shared" si="3"/>
        <v>6BZ4 P1620</v>
      </c>
      <c r="L28" s="2" t="s">
        <v>25</v>
      </c>
      <c r="M28" s="51"/>
      <c r="N28" s="2">
        <v>0</v>
      </c>
      <c r="O28" s="2">
        <v>0</v>
      </c>
      <c r="P28" s="2">
        <v>0</v>
      </c>
      <c r="Q28" s="2">
        <v>-1</v>
      </c>
      <c r="R28" s="2">
        <v>-1</v>
      </c>
      <c r="S28" s="2">
        <v>0</v>
      </c>
      <c r="T28" s="2"/>
      <c r="U28" s="53">
        <v>5.4937219892936658E-2</v>
      </c>
      <c r="V28" s="52">
        <v>0.23217053605428362</v>
      </c>
      <c r="W28" s="2">
        <v>-0.99465768629688212</v>
      </c>
      <c r="X28" s="53">
        <v>0.72323851067159062</v>
      </c>
      <c r="Y28" s="2">
        <v>-1.3043410533604931E-4</v>
      </c>
      <c r="Z28" s="34">
        <v>1.9746513794292875E-5</v>
      </c>
      <c r="AA28" s="2">
        <v>1.5650999999999999</v>
      </c>
      <c r="AB28" s="2">
        <f t="shared" si="4"/>
        <v>0</v>
      </c>
      <c r="AC28" s="2">
        <f t="shared" si="5"/>
        <v>0</v>
      </c>
      <c r="AD28" s="2">
        <f t="shared" si="6"/>
        <v>0</v>
      </c>
      <c r="AE28" s="57">
        <f t="shared" si="7"/>
        <v>0</v>
      </c>
      <c r="AF28" s="58">
        <f t="shared" si="0"/>
        <v>0</v>
      </c>
      <c r="AG28" s="29">
        <f t="shared" si="8"/>
        <v>0</v>
      </c>
      <c r="AH28">
        <f t="shared" si="9"/>
        <v>549.00000000000171</v>
      </c>
      <c r="AI28" s="49">
        <f t="shared" si="10"/>
        <v>0.37219892936491306</v>
      </c>
      <c r="AJ28" s="49">
        <f t="shared" si="11"/>
        <v>0</v>
      </c>
      <c r="AK28" s="48">
        <f t="shared" si="12"/>
        <v>0</v>
      </c>
    </row>
    <row r="29" spans="2:37" x14ac:dyDescent="0.25">
      <c r="B29" s="2" t="s">
        <v>15</v>
      </c>
      <c r="C29" s="2" t="s">
        <v>58</v>
      </c>
      <c r="D29" s="2">
        <v>20141205</v>
      </c>
      <c r="E29" s="2">
        <v>1.625</v>
      </c>
      <c r="F29" s="2" t="s">
        <v>59</v>
      </c>
      <c r="G29" s="2">
        <v>62500</v>
      </c>
      <c r="H29" s="2" t="str">
        <f t="shared" si="2"/>
        <v>GLOBEX</v>
      </c>
      <c r="I29" s="2" t="s">
        <v>17</v>
      </c>
      <c r="J29" s="2" t="s">
        <v>16</v>
      </c>
      <c r="K29" s="2" t="str">
        <f t="shared" si="3"/>
        <v>6BZ4 P1625</v>
      </c>
      <c r="L29" s="2" t="s">
        <v>25</v>
      </c>
      <c r="M29" s="51"/>
      <c r="N29" s="2">
        <v>0</v>
      </c>
      <c r="O29" s="2">
        <v>0</v>
      </c>
      <c r="P29" s="2">
        <v>0</v>
      </c>
      <c r="Q29" s="2">
        <v>-1</v>
      </c>
      <c r="R29" s="2">
        <v>-1</v>
      </c>
      <c r="S29" s="2">
        <v>0</v>
      </c>
      <c r="T29" s="2"/>
      <c r="U29" s="53">
        <v>5.9945648867460698E-2</v>
      </c>
      <c r="V29" s="52">
        <v>0.25547222746899934</v>
      </c>
      <c r="W29" s="2">
        <v>-0.99410840163359981</v>
      </c>
      <c r="X29" s="53">
        <v>0.71422133303684943</v>
      </c>
      <c r="Y29" s="2">
        <v>-1.5599872907370662E-4</v>
      </c>
      <c r="Z29" s="34">
        <v>1.977947727223317E-5</v>
      </c>
      <c r="AA29" s="2">
        <v>1.5650999999999999</v>
      </c>
      <c r="AB29" s="2">
        <f t="shared" si="4"/>
        <v>0</v>
      </c>
      <c r="AC29" s="2">
        <f t="shared" si="5"/>
        <v>0</v>
      </c>
      <c r="AD29" s="2">
        <f t="shared" si="6"/>
        <v>0</v>
      </c>
      <c r="AE29" s="57">
        <f t="shared" si="7"/>
        <v>0</v>
      </c>
      <c r="AF29" s="58">
        <f t="shared" si="0"/>
        <v>0</v>
      </c>
      <c r="AG29" s="29">
        <f t="shared" si="8"/>
        <v>0</v>
      </c>
      <c r="AH29">
        <f t="shared" si="9"/>
        <v>599.00000000000068</v>
      </c>
      <c r="AI29" s="49">
        <f t="shared" si="10"/>
        <v>0.45648867460624842</v>
      </c>
      <c r="AJ29" s="49">
        <f t="shared" si="11"/>
        <v>0</v>
      </c>
      <c r="AK29" s="48">
        <f t="shared" si="12"/>
        <v>0</v>
      </c>
    </row>
    <row r="30" spans="2:37" x14ac:dyDescent="0.25">
      <c r="B30" s="2" t="s">
        <v>15</v>
      </c>
      <c r="C30" s="2" t="s">
        <v>58</v>
      </c>
      <c r="D30" s="2">
        <v>20141205</v>
      </c>
      <c r="E30" s="2">
        <v>1.63</v>
      </c>
      <c r="F30" s="2" t="s">
        <v>59</v>
      </c>
      <c r="G30" s="2">
        <v>62500</v>
      </c>
      <c r="H30" s="2" t="str">
        <f t="shared" si="2"/>
        <v>GLOBEX</v>
      </c>
      <c r="I30" s="2" t="s">
        <v>17</v>
      </c>
      <c r="J30" s="2" t="s">
        <v>16</v>
      </c>
      <c r="K30" s="2" t="str">
        <f t="shared" si="3"/>
        <v>6BZ4 P1630</v>
      </c>
      <c r="L30" s="2" t="s">
        <v>25</v>
      </c>
      <c r="M30" s="51"/>
      <c r="N30" s="2">
        <v>0</v>
      </c>
      <c r="O30" s="2">
        <v>0</v>
      </c>
      <c r="P30" s="2">
        <v>0</v>
      </c>
      <c r="Q30" s="2">
        <v>-1</v>
      </c>
      <c r="R30" s="2">
        <v>-1</v>
      </c>
      <c r="S30" s="2">
        <v>0</v>
      </c>
      <c r="T30" s="2"/>
      <c r="U30" s="53">
        <v>6.4958485315866926E-2</v>
      </c>
      <c r="V30" s="52">
        <v>0.2809267712752046</v>
      </c>
      <c r="W30" s="2">
        <v>-0.99322759936178417</v>
      </c>
      <c r="X30" s="53">
        <v>0.73250794366057015</v>
      </c>
      <c r="Y30" s="2">
        <v>-1.9352554713736398E-4</v>
      </c>
      <c r="Z30" s="34">
        <v>1.9812189702497762E-5</v>
      </c>
      <c r="AA30" s="2">
        <v>1.5650999999999999</v>
      </c>
      <c r="AB30" s="2">
        <f t="shared" si="4"/>
        <v>0</v>
      </c>
      <c r="AC30" s="2">
        <f t="shared" si="5"/>
        <v>0</v>
      </c>
      <c r="AD30" s="2">
        <f t="shared" si="6"/>
        <v>0</v>
      </c>
      <c r="AE30" s="57">
        <f t="shared" si="7"/>
        <v>0</v>
      </c>
      <c r="AF30" s="58">
        <f t="shared" si="0"/>
        <v>0</v>
      </c>
      <c r="AG30" s="29">
        <f t="shared" si="8"/>
        <v>0</v>
      </c>
      <c r="AH30">
        <f t="shared" si="9"/>
        <v>648.99999999999955</v>
      </c>
      <c r="AI30" s="49">
        <f t="shared" si="10"/>
        <v>0.58485315866971632</v>
      </c>
      <c r="AJ30" s="49">
        <f t="shared" si="11"/>
        <v>0</v>
      </c>
      <c r="AK30" s="48">
        <f t="shared" si="12"/>
        <v>0</v>
      </c>
    </row>
    <row r="31" spans="2:37" x14ac:dyDescent="0.25">
      <c r="B31" s="2" t="s">
        <v>15</v>
      </c>
      <c r="C31" s="2" t="s">
        <v>58</v>
      </c>
      <c r="D31" s="2">
        <v>20141205</v>
      </c>
      <c r="E31" s="2">
        <v>1.635</v>
      </c>
      <c r="F31" s="2" t="s">
        <v>59</v>
      </c>
      <c r="G31" s="2">
        <v>62500</v>
      </c>
      <c r="H31" s="2" t="str">
        <f t="shared" si="2"/>
        <v>GLOBEX</v>
      </c>
      <c r="I31" s="2" t="s">
        <v>17</v>
      </c>
      <c r="J31" s="2" t="s">
        <v>16</v>
      </c>
      <c r="K31" s="2" t="str">
        <f t="shared" si="3"/>
        <v>6BZ4 P1635</v>
      </c>
      <c r="L31" s="2" t="s">
        <v>25</v>
      </c>
      <c r="M31" s="51"/>
      <c r="N31" s="2">
        <v>0</v>
      </c>
      <c r="O31" s="2">
        <v>0</v>
      </c>
      <c r="P31" s="2">
        <v>0</v>
      </c>
      <c r="Q31" s="2">
        <v>-1</v>
      </c>
      <c r="R31" s="2">
        <v>-1</v>
      </c>
      <c r="S31" s="2">
        <v>0</v>
      </c>
      <c r="T31" s="2"/>
      <c r="U31" s="53">
        <v>6.9975749618210112E-2</v>
      </c>
      <c r="V31" s="52">
        <v>0.30853416747289941</v>
      </c>
      <c r="W31" s="2">
        <v>-0.99211342707809069</v>
      </c>
      <c r="X31" s="53">
        <v>0.76249876297262764</v>
      </c>
      <c r="Y31" s="2">
        <v>-2.4306472003765922E-4</v>
      </c>
      <c r="Z31" s="34">
        <v>1.9844476009819867E-5</v>
      </c>
      <c r="AA31" s="2">
        <v>1.5650999999999999</v>
      </c>
      <c r="AB31" s="2">
        <f t="shared" si="4"/>
        <v>0</v>
      </c>
      <c r="AC31" s="2">
        <f t="shared" si="5"/>
        <v>0</v>
      </c>
      <c r="AD31" s="2">
        <f t="shared" si="6"/>
        <v>0</v>
      </c>
      <c r="AE31" s="57">
        <f t="shared" si="7"/>
        <v>0</v>
      </c>
      <c r="AF31" s="58">
        <f t="shared" si="0"/>
        <v>0</v>
      </c>
      <c r="AG31" s="29">
        <f t="shared" si="8"/>
        <v>0</v>
      </c>
      <c r="AH31">
        <f t="shared" si="9"/>
        <v>699.00000000000068</v>
      </c>
      <c r="AI31" s="49">
        <f t="shared" si="10"/>
        <v>0.75749618210045355</v>
      </c>
      <c r="AJ31" s="49">
        <f t="shared" si="11"/>
        <v>0</v>
      </c>
      <c r="AK31" s="48">
        <f t="shared" si="12"/>
        <v>0</v>
      </c>
    </row>
    <row r="32" spans="2:37" x14ac:dyDescent="0.25">
      <c r="B32" s="2" t="s">
        <v>15</v>
      </c>
      <c r="C32" s="2" t="s">
        <v>58</v>
      </c>
      <c r="D32" s="2">
        <v>20141205</v>
      </c>
      <c r="E32" s="2">
        <v>1.6400000000000001</v>
      </c>
      <c r="F32" s="2" t="s">
        <v>59</v>
      </c>
      <c r="G32" s="2">
        <v>62500</v>
      </c>
      <c r="H32" s="2" t="str">
        <f t="shared" si="2"/>
        <v>GLOBEX</v>
      </c>
      <c r="I32" s="2" t="s">
        <v>17</v>
      </c>
      <c r="J32" s="2" t="s">
        <v>16</v>
      </c>
      <c r="K32" s="2" t="str">
        <f t="shared" si="3"/>
        <v>6BZ4 P1640</v>
      </c>
      <c r="L32" s="2" t="s">
        <v>25</v>
      </c>
      <c r="M32" s="51"/>
      <c r="N32" s="2">
        <v>7.3700000000000002E-2</v>
      </c>
      <c r="O32" s="2">
        <v>2</v>
      </c>
      <c r="P32" s="2">
        <v>0</v>
      </c>
      <c r="Q32" s="2">
        <v>-1</v>
      </c>
      <c r="R32" s="2">
        <v>-1</v>
      </c>
      <c r="S32" s="2">
        <v>0</v>
      </c>
      <c r="T32" s="2"/>
      <c r="U32" s="53">
        <v>7.4997461117907296E-2</v>
      </c>
      <c r="V32" s="52">
        <v>0.33829441606204114</v>
      </c>
      <c r="W32" s="2">
        <v>-0.99084222167956415</v>
      </c>
      <c r="X32" s="53">
        <v>0.79477854501055389</v>
      </c>
      <c r="Y32" s="2">
        <v>-3.0467123538908616E-4</v>
      </c>
      <c r="Z32" s="34">
        <v>1.9876053409667582E-5</v>
      </c>
      <c r="AA32" s="2">
        <v>1.5650999999999999</v>
      </c>
      <c r="AB32" s="2">
        <f t="shared" si="4"/>
        <v>0</v>
      </c>
      <c r="AC32" s="2">
        <f t="shared" si="5"/>
        <v>0</v>
      </c>
      <c r="AD32" s="2">
        <f t="shared" si="6"/>
        <v>0</v>
      </c>
      <c r="AE32" s="57">
        <f t="shared" si="7"/>
        <v>0</v>
      </c>
      <c r="AF32" s="58">
        <f t="shared" si="0"/>
        <v>0</v>
      </c>
      <c r="AG32" s="29">
        <f t="shared" si="8"/>
        <v>0</v>
      </c>
      <c r="AH32">
        <f t="shared" si="9"/>
        <v>749.00000000000193</v>
      </c>
      <c r="AI32" s="49">
        <f t="shared" si="10"/>
        <v>0.97461117907107564</v>
      </c>
      <c r="AJ32" s="49">
        <f t="shared" si="11"/>
        <v>0</v>
      </c>
      <c r="AK32" s="48">
        <f t="shared" si="12"/>
        <v>0</v>
      </c>
    </row>
    <row r="33" spans="2:37" x14ac:dyDescent="0.25">
      <c r="B33" s="2" t="s">
        <v>15</v>
      </c>
      <c r="C33" s="2" t="s">
        <v>58</v>
      </c>
      <c r="D33" s="2">
        <v>20141205</v>
      </c>
      <c r="E33" s="2">
        <v>1.645</v>
      </c>
      <c r="F33" s="2" t="s">
        <v>59</v>
      </c>
      <c r="G33" s="2">
        <v>62500</v>
      </c>
      <c r="H33" s="2" t="str">
        <f t="shared" si="2"/>
        <v>GLOBEX</v>
      </c>
      <c r="I33" s="2" t="s">
        <v>17</v>
      </c>
      <c r="J33" s="2" t="s">
        <v>16</v>
      </c>
      <c r="K33" s="2" t="str">
        <f t="shared" si="3"/>
        <v>6BZ4 P1645</v>
      </c>
      <c r="L33" s="2" t="s">
        <v>25</v>
      </c>
      <c r="M33" s="51"/>
      <c r="N33" s="2">
        <v>0</v>
      </c>
      <c r="O33" s="2">
        <v>0</v>
      </c>
      <c r="P33" s="2">
        <v>0</v>
      </c>
      <c r="Q33" s="2">
        <v>-1</v>
      </c>
      <c r="R33" s="2">
        <v>-1</v>
      </c>
      <c r="S33" s="2">
        <v>0</v>
      </c>
      <c r="T33" s="2"/>
      <c r="U33" s="53">
        <v>8.0023639217036438E-2</v>
      </c>
      <c r="V33" s="52">
        <v>0.37020751704270083</v>
      </c>
      <c r="W33" s="2">
        <v>-0.98947196305720375</v>
      </c>
      <c r="X33" s="53">
        <v>0.82406090664307019</v>
      </c>
      <c r="Y33" s="2">
        <v>-3.7839448819390126E-4</v>
      </c>
      <c r="Z33" s="34">
        <v>3.3593444811463868E-5</v>
      </c>
      <c r="AA33" s="2">
        <v>1.5650999999999999</v>
      </c>
      <c r="AB33" s="2">
        <f t="shared" si="4"/>
        <v>0</v>
      </c>
      <c r="AC33" s="2">
        <f t="shared" si="5"/>
        <v>0</v>
      </c>
      <c r="AD33" s="2">
        <f t="shared" si="6"/>
        <v>0</v>
      </c>
      <c r="AE33" s="57">
        <f t="shared" si="7"/>
        <v>0</v>
      </c>
      <c r="AF33" s="58">
        <f t="shared" si="0"/>
        <v>0</v>
      </c>
      <c r="AG33" s="29">
        <f t="shared" si="8"/>
        <v>0</v>
      </c>
      <c r="AH33">
        <f t="shared" si="9"/>
        <v>799.0000000000008</v>
      </c>
      <c r="AI33" s="49">
        <f t="shared" si="10"/>
        <v>1.2363921703636152</v>
      </c>
      <c r="AJ33" s="49">
        <f t="shared" si="11"/>
        <v>0</v>
      </c>
      <c r="AK33" s="48">
        <f t="shared" si="12"/>
        <v>0</v>
      </c>
    </row>
    <row r="34" spans="2:37" x14ac:dyDescent="0.25">
      <c r="B34" s="2" t="s">
        <v>15</v>
      </c>
      <c r="C34" s="2" t="s">
        <v>58</v>
      </c>
      <c r="D34" s="2">
        <v>20141205</v>
      </c>
      <c r="E34" s="2">
        <v>1.65</v>
      </c>
      <c r="F34" s="2" t="s">
        <v>59</v>
      </c>
      <c r="G34" s="2">
        <v>62500</v>
      </c>
      <c r="H34" s="2" t="str">
        <f t="shared" si="2"/>
        <v>GLOBEX</v>
      </c>
      <c r="I34" s="2" t="s">
        <v>17</v>
      </c>
      <c r="J34" s="2" t="s">
        <v>16</v>
      </c>
      <c r="K34" s="2" t="str">
        <f t="shared" si="3"/>
        <v>6BZ4 P1650</v>
      </c>
      <c r="L34" s="2" t="s">
        <v>25</v>
      </c>
      <c r="M34" s="51"/>
      <c r="N34" s="2">
        <v>0</v>
      </c>
      <c r="O34" s="2">
        <v>0</v>
      </c>
      <c r="P34" s="2">
        <v>0</v>
      </c>
      <c r="Q34" s="2">
        <v>-1</v>
      </c>
      <c r="R34" s="2">
        <v>-1</v>
      </c>
      <c r="S34" s="2">
        <v>0</v>
      </c>
      <c r="T34" s="2"/>
      <c r="U34" s="53">
        <v>8.5070516615054173E-2</v>
      </c>
      <c r="V34" s="52">
        <v>0.40427347041482165</v>
      </c>
      <c r="W34" s="2">
        <v>-0.98705691075711555</v>
      </c>
      <c r="X34" s="53">
        <v>0.8966998586038698</v>
      </c>
      <c r="Y34" s="2">
        <v>-4.9113662857176266E-4</v>
      </c>
      <c r="Z34" s="34">
        <v>3.8697436539503194E-5</v>
      </c>
      <c r="AA34" s="2">
        <v>1.5650999999999999</v>
      </c>
      <c r="AB34" s="2">
        <f t="shared" si="4"/>
        <v>0</v>
      </c>
      <c r="AC34" s="2">
        <f t="shared" si="5"/>
        <v>0</v>
      </c>
      <c r="AD34" s="2">
        <f t="shared" si="6"/>
        <v>0</v>
      </c>
      <c r="AE34" s="57">
        <f t="shared" si="7"/>
        <v>0</v>
      </c>
      <c r="AF34" s="58">
        <f t="shared" si="0"/>
        <v>0</v>
      </c>
      <c r="AG34" s="29">
        <f t="shared" si="8"/>
        <v>0</v>
      </c>
      <c r="AH34">
        <f t="shared" si="9"/>
        <v>848.99999999999977</v>
      </c>
      <c r="AI34" s="49">
        <f t="shared" si="10"/>
        <v>1.7051661505419133</v>
      </c>
      <c r="AJ34" s="49">
        <f t="shared" si="11"/>
        <v>0</v>
      </c>
      <c r="AK34" s="48">
        <f t="shared" si="12"/>
        <v>0</v>
      </c>
    </row>
    <row r="35" spans="2:37" x14ac:dyDescent="0.25">
      <c r="B35" s="2" t="s">
        <v>15</v>
      </c>
      <c r="C35" s="2" t="s">
        <v>58</v>
      </c>
      <c r="D35" s="2">
        <v>20141205</v>
      </c>
      <c r="E35" s="2">
        <v>1.655</v>
      </c>
      <c r="F35" s="2" t="s">
        <v>59</v>
      </c>
      <c r="G35" s="2">
        <v>62500</v>
      </c>
      <c r="H35" s="2" t="str">
        <f t="shared" si="2"/>
        <v>GLOBEX</v>
      </c>
      <c r="I35" s="2" t="s">
        <v>17</v>
      </c>
      <c r="J35" s="2" t="s">
        <v>16</v>
      </c>
      <c r="K35" s="2" t="str">
        <f t="shared" si="3"/>
        <v>6BZ4 P1655</v>
      </c>
      <c r="L35" s="2" t="s">
        <v>25</v>
      </c>
      <c r="M35" s="51"/>
      <c r="N35" s="2">
        <v>0</v>
      </c>
      <c r="O35" s="2">
        <v>0</v>
      </c>
      <c r="P35" s="2">
        <v>0</v>
      </c>
      <c r="Q35" s="2">
        <v>-1</v>
      </c>
      <c r="R35" s="2">
        <v>-1</v>
      </c>
      <c r="S35" s="2">
        <v>0</v>
      </c>
      <c r="T35" s="2"/>
      <c r="U35" s="53">
        <v>9.0131182289735531E-2</v>
      </c>
      <c r="V35" s="52">
        <v>0.44049227617840359</v>
      </c>
      <c r="W35" s="2">
        <v>-0.98426134336016369</v>
      </c>
      <c r="X35" s="53">
        <v>0.97085895907125108</v>
      </c>
      <c r="Y35" s="2">
        <v>-6.3142971592561868E-4</v>
      </c>
      <c r="Z35" s="34">
        <v>3.8759053379827657E-5</v>
      </c>
      <c r="AA35" s="2">
        <v>1.5650999999999999</v>
      </c>
      <c r="AB35" s="2">
        <f t="shared" si="4"/>
        <v>0</v>
      </c>
      <c r="AC35" s="2">
        <f t="shared" si="5"/>
        <v>0</v>
      </c>
      <c r="AD35" s="2">
        <f t="shared" si="6"/>
        <v>0</v>
      </c>
      <c r="AE35" s="57">
        <f t="shared" si="7"/>
        <v>0</v>
      </c>
      <c r="AF35" s="58">
        <f t="shared" si="0"/>
        <v>0</v>
      </c>
      <c r="AG35" s="29">
        <f t="shared" si="8"/>
        <v>0</v>
      </c>
      <c r="AH35">
        <f t="shared" si="9"/>
        <v>899.00000000000091</v>
      </c>
      <c r="AI35" s="49">
        <f t="shared" si="10"/>
        <v>2.3118228973544319</v>
      </c>
      <c r="AJ35" s="49">
        <f t="shared" si="11"/>
        <v>0</v>
      </c>
      <c r="AK35" s="48">
        <f t="shared" si="12"/>
        <v>0</v>
      </c>
    </row>
    <row r="36" spans="2:37" x14ac:dyDescent="0.25">
      <c r="B36" s="2" t="s">
        <v>15</v>
      </c>
      <c r="C36" s="2" t="s">
        <v>58</v>
      </c>
      <c r="D36" s="2">
        <v>20141205</v>
      </c>
      <c r="E36" s="2">
        <v>1.51</v>
      </c>
      <c r="F36" s="2" t="s">
        <v>60</v>
      </c>
      <c r="G36" s="2">
        <v>62500</v>
      </c>
      <c r="H36" s="2" t="str">
        <f t="shared" si="2"/>
        <v>GLOBEX</v>
      </c>
      <c r="I36" s="2" t="s">
        <v>17</v>
      </c>
      <c r="J36" s="2" t="s">
        <v>16</v>
      </c>
      <c r="K36" s="2" t="str">
        <f t="shared" si="3"/>
        <v>6BZ4 C1510</v>
      </c>
      <c r="L36" s="2" t="s">
        <v>25</v>
      </c>
      <c r="M36" s="51"/>
      <c r="N36" s="2">
        <v>0</v>
      </c>
      <c r="O36" s="2">
        <v>0</v>
      </c>
      <c r="P36" s="2">
        <v>0</v>
      </c>
      <c r="Q36" s="2">
        <v>0</v>
      </c>
      <c r="R36" s="2">
        <v>0</v>
      </c>
      <c r="S36" s="2">
        <v>0</v>
      </c>
      <c r="T36" s="2"/>
      <c r="U36" s="53">
        <v>5.5180738412799829E-2</v>
      </c>
      <c r="V36" s="52">
        <v>0.26420497997470704</v>
      </c>
      <c r="W36" s="2">
        <v>0.9903783911365891</v>
      </c>
      <c r="X36" s="53">
        <v>8.4867609479617076E-7</v>
      </c>
      <c r="Y36" s="2">
        <v>-2.4913728829400539E-4</v>
      </c>
      <c r="Z36" s="34">
        <v>2.9470452230999367E-5</v>
      </c>
      <c r="AA36" s="2">
        <v>1.5650999999999999</v>
      </c>
      <c r="AB36" s="2">
        <f t="shared" si="4"/>
        <v>0</v>
      </c>
      <c r="AC36" s="2">
        <f t="shared" si="5"/>
        <v>0</v>
      </c>
      <c r="AD36" s="2">
        <f t="shared" si="6"/>
        <v>0</v>
      </c>
      <c r="AE36" s="57">
        <f t="shared" si="7"/>
        <v>0</v>
      </c>
      <c r="AF36" s="58">
        <f t="shared" si="0"/>
        <v>0</v>
      </c>
      <c r="AG36" s="29">
        <f t="shared" si="8"/>
        <v>0</v>
      </c>
      <c r="AH36">
        <f t="shared" si="9"/>
        <v>550.99999999999932</v>
      </c>
      <c r="AI36" s="49">
        <f t="shared" si="10"/>
        <v>0.80738412799894377</v>
      </c>
      <c r="AJ36" s="49">
        <f t="shared" si="11"/>
        <v>0</v>
      </c>
      <c r="AK36" s="48">
        <f t="shared" si="12"/>
        <v>0</v>
      </c>
    </row>
    <row r="37" spans="2:37" x14ac:dyDescent="0.25">
      <c r="B37" s="2" t="s">
        <v>15</v>
      </c>
      <c r="C37" s="2" t="s">
        <v>58</v>
      </c>
      <c r="D37" s="2">
        <v>20141205</v>
      </c>
      <c r="E37" s="2">
        <v>1.5149999999999999</v>
      </c>
      <c r="F37" s="2" t="s">
        <v>60</v>
      </c>
      <c r="G37" s="2">
        <v>62500</v>
      </c>
      <c r="H37" s="2" t="str">
        <f t="shared" si="2"/>
        <v>GLOBEX</v>
      </c>
      <c r="I37" s="2" t="s">
        <v>17</v>
      </c>
      <c r="J37" s="2" t="s">
        <v>16</v>
      </c>
      <c r="K37" s="2" t="str">
        <f t="shared" si="3"/>
        <v>6BZ4 C1515</v>
      </c>
      <c r="L37" s="2" t="s">
        <v>25</v>
      </c>
      <c r="M37" s="51"/>
      <c r="N37" s="2">
        <v>0</v>
      </c>
      <c r="O37" s="2">
        <v>0</v>
      </c>
      <c r="P37" s="2">
        <v>0</v>
      </c>
      <c r="Q37" s="2">
        <v>0</v>
      </c>
      <c r="R37" s="2">
        <v>0</v>
      </c>
      <c r="S37" s="2">
        <v>0</v>
      </c>
      <c r="T37" s="2"/>
      <c r="U37" s="53">
        <v>5.0174002271439908E-2</v>
      </c>
      <c r="V37" s="52">
        <v>0.24014391877688013</v>
      </c>
      <c r="W37" s="2">
        <v>0.99029902415853122</v>
      </c>
      <c r="X37" s="53">
        <v>0</v>
      </c>
      <c r="Y37" s="2">
        <v>-2.2813216354481477E-4</v>
      </c>
      <c r="Z37" s="34">
        <v>3.0772230875823758E-5</v>
      </c>
      <c r="AA37" s="2">
        <v>1.5650999999999999</v>
      </c>
      <c r="AB37" s="2">
        <f t="shared" si="4"/>
        <v>0</v>
      </c>
      <c r="AC37" s="2">
        <f t="shared" si="5"/>
        <v>0</v>
      </c>
      <c r="AD37" s="2">
        <f t="shared" si="6"/>
        <v>0</v>
      </c>
      <c r="AE37" s="57">
        <f t="shared" si="7"/>
        <v>0</v>
      </c>
      <c r="AF37" s="58">
        <f t="shared" si="0"/>
        <v>0</v>
      </c>
      <c r="AG37" s="29">
        <f t="shared" si="8"/>
        <v>0</v>
      </c>
      <c r="AH37">
        <f t="shared" si="9"/>
        <v>501.00000000000034</v>
      </c>
      <c r="AI37" s="49">
        <f t="shared" si="10"/>
        <v>0.74002271439871947</v>
      </c>
      <c r="AJ37" s="49">
        <f t="shared" si="11"/>
        <v>0</v>
      </c>
      <c r="AK37" s="48">
        <f t="shared" si="12"/>
        <v>0</v>
      </c>
    </row>
    <row r="38" spans="2:37" x14ac:dyDescent="0.25">
      <c r="B38" s="2" t="s">
        <v>15</v>
      </c>
      <c r="C38" s="2" t="s">
        <v>58</v>
      </c>
      <c r="D38" s="2">
        <v>20141205</v>
      </c>
      <c r="E38" s="2">
        <v>1.52</v>
      </c>
      <c r="F38" s="2" t="s">
        <v>60</v>
      </c>
      <c r="G38" s="2">
        <v>62500</v>
      </c>
      <c r="H38" s="2" t="str">
        <f t="shared" si="2"/>
        <v>GLOBEX</v>
      </c>
      <c r="I38" s="2" t="s">
        <v>17</v>
      </c>
      <c r="J38" s="2" t="s">
        <v>16</v>
      </c>
      <c r="K38" s="2" t="str">
        <f t="shared" si="3"/>
        <v>6BZ4 C1520</v>
      </c>
      <c r="L38" s="2" t="s">
        <v>25</v>
      </c>
      <c r="M38" s="51"/>
      <c r="N38" s="2">
        <v>0</v>
      </c>
      <c r="O38" s="2">
        <v>0</v>
      </c>
      <c r="P38" s="2">
        <v>0</v>
      </c>
      <c r="Q38" s="2">
        <v>0</v>
      </c>
      <c r="R38" s="2">
        <v>0</v>
      </c>
      <c r="S38" s="2">
        <v>0</v>
      </c>
      <c r="T38" s="2"/>
      <c r="U38" s="53">
        <v>4.5171234214798316E-2</v>
      </c>
      <c r="V38" s="52">
        <v>0.21823570997051434</v>
      </c>
      <c r="W38" s="2">
        <v>0.98975605375086417</v>
      </c>
      <c r="X38" s="53">
        <v>0</v>
      </c>
      <c r="Y38" s="2">
        <v>-2.1789448305739866E-4</v>
      </c>
      <c r="Z38" s="34">
        <v>3.5808848475919752E-5</v>
      </c>
      <c r="AA38" s="2">
        <v>1.5650999999999999</v>
      </c>
      <c r="AB38" s="2">
        <f t="shared" si="4"/>
        <v>0</v>
      </c>
      <c r="AC38" s="2">
        <f t="shared" si="5"/>
        <v>0</v>
      </c>
      <c r="AD38" s="2">
        <f t="shared" si="6"/>
        <v>0</v>
      </c>
      <c r="AE38" s="57">
        <f t="shared" si="7"/>
        <v>0</v>
      </c>
      <c r="AF38" s="58">
        <f t="shared" ref="AF38:AF69" si="13">IF(ISERR(AE38),0,AE38*M38)</f>
        <v>0</v>
      </c>
      <c r="AG38" s="29">
        <f t="shared" si="8"/>
        <v>0</v>
      </c>
      <c r="AH38">
        <f t="shared" si="9"/>
        <v>450.9999999999992</v>
      </c>
      <c r="AI38" s="49">
        <f t="shared" si="10"/>
        <v>0.71234214798397488</v>
      </c>
      <c r="AJ38" s="49">
        <f t="shared" si="11"/>
        <v>0</v>
      </c>
      <c r="AK38" s="48">
        <f t="shared" si="12"/>
        <v>0</v>
      </c>
    </row>
    <row r="39" spans="2:37" x14ac:dyDescent="0.25">
      <c r="B39" s="2" t="s">
        <v>15</v>
      </c>
      <c r="C39" s="2" t="s">
        <v>58</v>
      </c>
      <c r="D39" s="2">
        <v>20141205</v>
      </c>
      <c r="E39" s="2">
        <v>1.5249999999999999</v>
      </c>
      <c r="F39" s="2" t="s">
        <v>60</v>
      </c>
      <c r="G39" s="2">
        <v>62500</v>
      </c>
      <c r="H39" s="2" t="str">
        <f t="shared" si="2"/>
        <v>GLOBEX</v>
      </c>
      <c r="I39" s="2" t="s">
        <v>17</v>
      </c>
      <c r="J39" s="2" t="s">
        <v>16</v>
      </c>
      <c r="K39" s="2" t="str">
        <f t="shared" si="3"/>
        <v>6BZ4 C1525</v>
      </c>
      <c r="L39" s="2" t="s">
        <v>25</v>
      </c>
      <c r="M39" s="51"/>
      <c r="N39" s="2">
        <v>0</v>
      </c>
      <c r="O39" s="2">
        <v>0</v>
      </c>
      <c r="P39" s="2">
        <v>0</v>
      </c>
      <c r="Q39" s="2">
        <v>0</v>
      </c>
      <c r="R39" s="2">
        <v>0</v>
      </c>
      <c r="S39" s="2">
        <v>0</v>
      </c>
      <c r="T39" s="2"/>
      <c r="U39" s="53">
        <v>4.017984348371216E-2</v>
      </c>
      <c r="V39" s="52">
        <v>0.1984803535556523</v>
      </c>
      <c r="W39" s="2">
        <v>0.98770033251658362</v>
      </c>
      <c r="X39" s="53">
        <v>0</v>
      </c>
      <c r="Y39" s="2">
        <v>-2.3069967905503622E-4</v>
      </c>
      <c r="Z39" s="34">
        <v>3.7211099685380278E-5</v>
      </c>
      <c r="AA39" s="2">
        <v>1.5650999999999999</v>
      </c>
      <c r="AB39" s="2">
        <f t="shared" si="4"/>
        <v>0</v>
      </c>
      <c r="AC39" s="2">
        <f t="shared" si="5"/>
        <v>0</v>
      </c>
      <c r="AD39" s="2">
        <f t="shared" si="6"/>
        <v>0</v>
      </c>
      <c r="AE39" s="57">
        <f t="shared" si="7"/>
        <v>0</v>
      </c>
      <c r="AF39" s="58">
        <f t="shared" si="13"/>
        <v>0</v>
      </c>
      <c r="AG39" s="29">
        <f t="shared" si="8"/>
        <v>0</v>
      </c>
      <c r="AH39">
        <f t="shared" si="9"/>
        <v>401.00000000000023</v>
      </c>
      <c r="AI39" s="49">
        <f t="shared" si="10"/>
        <v>0.79843483712136276</v>
      </c>
      <c r="AJ39" s="49">
        <f t="shared" si="11"/>
        <v>0</v>
      </c>
      <c r="AK39" s="48">
        <f t="shared" si="12"/>
        <v>0</v>
      </c>
    </row>
    <row r="40" spans="2:37" x14ac:dyDescent="0.25">
      <c r="B40" s="2" t="s">
        <v>15</v>
      </c>
      <c r="C40" s="2" t="s">
        <v>58</v>
      </c>
      <c r="D40" s="2">
        <v>20141205</v>
      </c>
      <c r="E40" s="2">
        <v>1.53</v>
      </c>
      <c r="F40" s="2" t="s">
        <v>60</v>
      </c>
      <c r="G40" s="2">
        <v>62500</v>
      </c>
      <c r="H40" s="2" t="str">
        <f t="shared" si="2"/>
        <v>GLOBEX</v>
      </c>
      <c r="I40" s="2" t="s">
        <v>17</v>
      </c>
      <c r="J40" s="2" t="s">
        <v>16</v>
      </c>
      <c r="K40" s="2" t="str">
        <f t="shared" si="3"/>
        <v>6BZ4 C1530</v>
      </c>
      <c r="L40" s="2" t="s">
        <v>25</v>
      </c>
      <c r="M40" s="51"/>
      <c r="N40" s="2">
        <v>0</v>
      </c>
      <c r="O40" s="2">
        <v>0</v>
      </c>
      <c r="P40" s="2">
        <v>0</v>
      </c>
      <c r="Q40" s="2">
        <v>0</v>
      </c>
      <c r="R40" s="2">
        <v>0</v>
      </c>
      <c r="S40" s="2">
        <v>0</v>
      </c>
      <c r="T40" s="2"/>
      <c r="U40" s="53">
        <v>3.5197576778754069E-2</v>
      </c>
      <c r="V40" s="52">
        <v>0.18087784953227981</v>
      </c>
      <c r="W40" s="2">
        <v>0.98401239466735069</v>
      </c>
      <c r="X40" s="53">
        <v>0</v>
      </c>
      <c r="Y40" s="2">
        <v>-2.6284308136189993E-4</v>
      </c>
      <c r="Z40" s="34">
        <v>3.7272165494546539E-5</v>
      </c>
      <c r="AA40" s="2">
        <v>1.5650999999999999</v>
      </c>
      <c r="AB40" s="2">
        <f t="shared" si="4"/>
        <v>0</v>
      </c>
      <c r="AC40" s="2">
        <f t="shared" si="5"/>
        <v>0</v>
      </c>
      <c r="AD40" s="2">
        <f t="shared" si="6"/>
        <v>0</v>
      </c>
      <c r="AE40" s="57">
        <f t="shared" si="7"/>
        <v>0</v>
      </c>
      <c r="AF40" s="58">
        <f t="shared" si="13"/>
        <v>0</v>
      </c>
      <c r="AG40" s="29">
        <f t="shared" si="8"/>
        <v>0</v>
      </c>
      <c r="AH40">
        <f t="shared" si="9"/>
        <v>350.99999999999909</v>
      </c>
      <c r="AI40" s="49">
        <f t="shared" si="10"/>
        <v>0.97576778754159932</v>
      </c>
      <c r="AJ40" s="49">
        <f t="shared" si="11"/>
        <v>0</v>
      </c>
      <c r="AK40" s="48">
        <f t="shared" si="12"/>
        <v>0</v>
      </c>
    </row>
    <row r="41" spans="2:37" x14ac:dyDescent="0.25">
      <c r="B41" s="2" t="s">
        <v>15</v>
      </c>
      <c r="C41" s="2" t="s">
        <v>58</v>
      </c>
      <c r="D41" s="2">
        <v>20141205</v>
      </c>
      <c r="E41" s="2">
        <v>1.5349999999999999</v>
      </c>
      <c r="F41" s="2" t="s">
        <v>60</v>
      </c>
      <c r="G41" s="2">
        <v>62500</v>
      </c>
      <c r="H41" s="2" t="str">
        <f t="shared" si="2"/>
        <v>GLOBEX</v>
      </c>
      <c r="I41" s="2" t="s">
        <v>17</v>
      </c>
      <c r="J41" s="2" t="s">
        <v>16</v>
      </c>
      <c r="K41" s="2" t="str">
        <f t="shared" si="3"/>
        <v>6BZ4 C1535</v>
      </c>
      <c r="L41" s="2" t="s">
        <v>25</v>
      </c>
      <c r="M41" s="51"/>
      <c r="N41" s="2">
        <v>0</v>
      </c>
      <c r="O41" s="2">
        <v>0</v>
      </c>
      <c r="P41" s="2">
        <v>0</v>
      </c>
      <c r="Q41" s="2">
        <v>0</v>
      </c>
      <c r="R41" s="2">
        <v>0</v>
      </c>
      <c r="S41" s="2">
        <v>0</v>
      </c>
      <c r="T41" s="2"/>
      <c r="U41" s="53">
        <v>3.0223132760095989E-2</v>
      </c>
      <c r="V41" s="52">
        <v>0.16542819790035423</v>
      </c>
      <c r="W41" s="2">
        <v>0.97850612927498648</v>
      </c>
      <c r="X41" s="53">
        <v>0</v>
      </c>
      <c r="Y41" s="2">
        <v>-3.1219426754247582E-4</v>
      </c>
      <c r="Z41" s="34">
        <v>6.4093262310570276E-5</v>
      </c>
      <c r="AA41" s="2">
        <v>1.5650999999999999</v>
      </c>
      <c r="AB41" s="2">
        <f t="shared" si="4"/>
        <v>0</v>
      </c>
      <c r="AC41" s="2">
        <f t="shared" si="5"/>
        <v>0</v>
      </c>
      <c r="AD41" s="2">
        <f t="shared" si="6"/>
        <v>0</v>
      </c>
      <c r="AE41" s="57">
        <f t="shared" si="7"/>
        <v>0</v>
      </c>
      <c r="AF41" s="58">
        <f t="shared" si="13"/>
        <v>0</v>
      </c>
      <c r="AG41" s="29">
        <f t="shared" si="8"/>
        <v>0</v>
      </c>
      <c r="AH41">
        <f t="shared" si="9"/>
        <v>301.00000000000017</v>
      </c>
      <c r="AI41" s="49">
        <f t="shared" si="10"/>
        <v>1.2313276009597303</v>
      </c>
      <c r="AJ41" s="49">
        <f t="shared" si="11"/>
        <v>0</v>
      </c>
      <c r="AK41" s="48">
        <f t="shared" si="12"/>
        <v>0</v>
      </c>
    </row>
    <row r="42" spans="2:37" x14ac:dyDescent="0.25">
      <c r="B42" s="2" t="s">
        <v>15</v>
      </c>
      <c r="C42" s="2" t="s">
        <v>58</v>
      </c>
      <c r="D42" s="2">
        <v>20141205</v>
      </c>
      <c r="E42" s="2">
        <v>1.54</v>
      </c>
      <c r="F42" s="2" t="s">
        <v>60</v>
      </c>
      <c r="G42" s="2">
        <v>62500</v>
      </c>
      <c r="H42" s="2" t="str">
        <f t="shared" si="2"/>
        <v>GLOBEX</v>
      </c>
      <c r="I42" s="2" t="s">
        <v>17</v>
      </c>
      <c r="J42" s="2" t="s">
        <v>16</v>
      </c>
      <c r="K42" s="2" t="str">
        <f t="shared" si="3"/>
        <v>6BZ4 C1540</v>
      </c>
      <c r="L42" s="2" t="s">
        <v>25</v>
      </c>
      <c r="M42" s="51"/>
      <c r="N42" s="2">
        <v>0</v>
      </c>
      <c r="O42" s="2">
        <v>0</v>
      </c>
      <c r="P42" s="2">
        <v>0</v>
      </c>
      <c r="Q42" s="2">
        <v>0</v>
      </c>
      <c r="R42" s="2">
        <v>0</v>
      </c>
      <c r="S42" s="2">
        <v>0</v>
      </c>
      <c r="T42" s="2"/>
      <c r="U42" s="53">
        <v>2.52965524313538E-2</v>
      </c>
      <c r="V42" s="52">
        <v>0.15213139865993242</v>
      </c>
      <c r="W42" s="2">
        <v>0.96522940856043193</v>
      </c>
      <c r="X42" s="53">
        <v>0</v>
      </c>
      <c r="Y42" s="2">
        <v>-4.2572685371954631E-4</v>
      </c>
      <c r="Z42" s="34">
        <v>6.9378089698285406E-5</v>
      </c>
      <c r="AA42" s="2">
        <v>1.5650999999999999</v>
      </c>
      <c r="AB42" s="2">
        <f t="shared" si="4"/>
        <v>0</v>
      </c>
      <c r="AC42" s="2">
        <f t="shared" si="5"/>
        <v>0</v>
      </c>
      <c r="AD42" s="2">
        <f t="shared" si="6"/>
        <v>0</v>
      </c>
      <c r="AE42" s="57">
        <f t="shared" si="7"/>
        <v>0</v>
      </c>
      <c r="AF42" s="58">
        <f t="shared" si="13"/>
        <v>0</v>
      </c>
      <c r="AG42" s="29">
        <f t="shared" si="8"/>
        <v>0</v>
      </c>
      <c r="AH42">
        <f t="shared" si="9"/>
        <v>250.99999999999901</v>
      </c>
      <c r="AI42" s="49">
        <f t="shared" si="10"/>
        <v>1.9655243135389924</v>
      </c>
      <c r="AJ42" s="49">
        <f t="shared" si="11"/>
        <v>0</v>
      </c>
      <c r="AK42" s="48">
        <f t="shared" si="12"/>
        <v>0</v>
      </c>
    </row>
    <row r="43" spans="2:37" x14ac:dyDescent="0.25">
      <c r="B43" s="2" t="s">
        <v>15</v>
      </c>
      <c r="C43" s="2" t="s">
        <v>58</v>
      </c>
      <c r="D43" s="2">
        <v>20141205</v>
      </c>
      <c r="E43" s="2">
        <v>1.5449999999999999</v>
      </c>
      <c r="F43" s="2" t="s">
        <v>60</v>
      </c>
      <c r="G43" s="2">
        <v>62500</v>
      </c>
      <c r="H43" s="2" t="str">
        <f t="shared" si="2"/>
        <v>GLOBEX</v>
      </c>
      <c r="I43" s="2" t="s">
        <v>17</v>
      </c>
      <c r="J43" s="2" t="s">
        <v>16</v>
      </c>
      <c r="K43" s="2" t="str">
        <f t="shared" si="3"/>
        <v>6BZ4 C1545</v>
      </c>
      <c r="L43" s="2" t="s">
        <v>25</v>
      </c>
      <c r="M43" s="51"/>
      <c r="N43" s="2">
        <v>0</v>
      </c>
      <c r="O43" s="2">
        <v>0</v>
      </c>
      <c r="P43" s="2">
        <v>0</v>
      </c>
      <c r="Q43" s="2">
        <v>0</v>
      </c>
      <c r="R43" s="2">
        <v>0</v>
      </c>
      <c r="S43" s="2">
        <v>0</v>
      </c>
      <c r="T43" s="2"/>
      <c r="U43" s="53">
        <v>2.0436404881690615E-2</v>
      </c>
      <c r="V43" s="52">
        <v>0.14098745181098593</v>
      </c>
      <c r="W43" s="2">
        <v>0.9408577625029193</v>
      </c>
      <c r="X43" s="53">
        <v>0</v>
      </c>
      <c r="Y43" s="2">
        <v>-6.0432797633985607E-4</v>
      </c>
      <c r="Z43" s="34">
        <v>1.0864037632226167E-4</v>
      </c>
      <c r="AA43" s="2">
        <v>1.5650999999999999</v>
      </c>
      <c r="AB43" s="2">
        <f t="shared" si="4"/>
        <v>0</v>
      </c>
      <c r="AC43" s="2">
        <f t="shared" si="5"/>
        <v>0</v>
      </c>
      <c r="AD43" s="2">
        <f t="shared" si="6"/>
        <v>0</v>
      </c>
      <c r="AE43" s="57">
        <f t="shared" si="7"/>
        <v>0</v>
      </c>
      <c r="AF43" s="58">
        <f t="shared" si="13"/>
        <v>0</v>
      </c>
      <c r="AG43" s="29">
        <f t="shared" si="8"/>
        <v>0</v>
      </c>
      <c r="AH43">
        <f t="shared" si="9"/>
        <v>201.00000000000006</v>
      </c>
      <c r="AI43" s="49">
        <f t="shared" si="10"/>
        <v>3.3640488169060916</v>
      </c>
      <c r="AJ43" s="49">
        <f t="shared" si="11"/>
        <v>0</v>
      </c>
      <c r="AK43" s="48">
        <f t="shared" si="12"/>
        <v>0</v>
      </c>
    </row>
    <row r="44" spans="2:37" x14ac:dyDescent="0.25">
      <c r="B44" s="2" t="s">
        <v>15</v>
      </c>
      <c r="C44" s="2" t="s">
        <v>58</v>
      </c>
      <c r="D44" s="2">
        <v>20141205</v>
      </c>
      <c r="E44" s="2">
        <v>1.55</v>
      </c>
      <c r="F44" s="2" t="s">
        <v>60</v>
      </c>
      <c r="G44" s="2">
        <v>62500</v>
      </c>
      <c r="H44" s="2" t="str">
        <f t="shared" si="2"/>
        <v>GLOBEX</v>
      </c>
      <c r="I44" s="2" t="s">
        <v>17</v>
      </c>
      <c r="J44" s="2" t="s">
        <v>16</v>
      </c>
      <c r="K44" s="2" t="str">
        <f t="shared" si="3"/>
        <v>6BZ4 C1550</v>
      </c>
      <c r="L44" s="2" t="s">
        <v>25</v>
      </c>
      <c r="M44" s="51"/>
      <c r="N44" s="2">
        <v>0</v>
      </c>
      <c r="O44" s="2">
        <v>0</v>
      </c>
      <c r="P44" s="2">
        <v>0</v>
      </c>
      <c r="Q44" s="2">
        <v>-1</v>
      </c>
      <c r="R44" s="2">
        <v>-1</v>
      </c>
      <c r="S44" s="2">
        <v>0</v>
      </c>
      <c r="T44" s="2"/>
      <c r="U44" s="53">
        <v>1.5724484820930949E-2</v>
      </c>
      <c r="V44" s="52">
        <v>0.13199635735350057</v>
      </c>
      <c r="W44" s="2">
        <v>0.89445659155028767</v>
      </c>
      <c r="X44" s="53">
        <v>0</v>
      </c>
      <c r="Y44" s="2">
        <v>-8.7842645993631025E-4</v>
      </c>
      <c r="Z44" s="34">
        <v>1.6322422823190214E-4</v>
      </c>
      <c r="AA44" s="2">
        <v>1.5650999999999999</v>
      </c>
      <c r="AB44" s="2">
        <f t="shared" si="4"/>
        <v>0</v>
      </c>
      <c r="AC44" s="2">
        <f t="shared" si="5"/>
        <v>0</v>
      </c>
      <c r="AD44" s="2">
        <f t="shared" si="6"/>
        <v>0</v>
      </c>
      <c r="AE44" s="57">
        <f t="shared" si="7"/>
        <v>0</v>
      </c>
      <c r="AF44" s="58">
        <f t="shared" si="13"/>
        <v>0</v>
      </c>
      <c r="AG44" s="29">
        <f t="shared" si="8"/>
        <v>0</v>
      </c>
      <c r="AH44">
        <f t="shared" si="9"/>
        <v>150.99999999999892</v>
      </c>
      <c r="AI44" s="49">
        <f t="shared" si="10"/>
        <v>6.2448482093105611</v>
      </c>
      <c r="AJ44" s="49">
        <f t="shared" si="11"/>
        <v>0</v>
      </c>
      <c r="AK44" s="48">
        <f t="shared" si="12"/>
        <v>0</v>
      </c>
    </row>
    <row r="45" spans="2:37" x14ac:dyDescent="0.25">
      <c r="B45" s="2" t="s">
        <v>15</v>
      </c>
      <c r="C45" s="2" t="s">
        <v>58</v>
      </c>
      <c r="D45" s="2">
        <v>20141205</v>
      </c>
      <c r="E45" s="2">
        <v>1.5549999999999999</v>
      </c>
      <c r="F45" s="2" t="s">
        <v>60</v>
      </c>
      <c r="G45" s="2">
        <v>62500</v>
      </c>
      <c r="H45" s="2" t="str">
        <f t="shared" si="2"/>
        <v>GLOBEX</v>
      </c>
      <c r="I45" s="2" t="s">
        <v>17</v>
      </c>
      <c r="J45" s="2" t="s">
        <v>16</v>
      </c>
      <c r="K45" s="2" t="str">
        <f t="shared" si="3"/>
        <v>6BZ4 C1555</v>
      </c>
      <c r="L45" s="2" t="s">
        <v>25</v>
      </c>
      <c r="M45" s="51"/>
      <c r="N45" s="2">
        <v>0</v>
      </c>
      <c r="O45" s="2">
        <v>0</v>
      </c>
      <c r="P45" s="2">
        <v>0</v>
      </c>
      <c r="Q45" s="2">
        <v>-1</v>
      </c>
      <c r="R45" s="2">
        <v>-1</v>
      </c>
      <c r="S45" s="2">
        <v>0</v>
      </c>
      <c r="T45" s="2"/>
      <c r="U45" s="53">
        <v>1.1298328568095721E-2</v>
      </c>
      <c r="V45" s="52">
        <v>0.12515811528751897</v>
      </c>
      <c r="W45" s="2">
        <v>0.81212876673398537</v>
      </c>
      <c r="X45" s="53">
        <v>0</v>
      </c>
      <c r="Y45" s="2">
        <v>-1.2387985114968151E-3</v>
      </c>
      <c r="Z45" s="34">
        <v>2.6185458969906275E-4</v>
      </c>
      <c r="AA45" s="2">
        <v>1.5650999999999999</v>
      </c>
      <c r="AB45" s="2">
        <f t="shared" si="4"/>
        <v>0</v>
      </c>
      <c r="AC45" s="2">
        <f t="shared" si="5"/>
        <v>0</v>
      </c>
      <c r="AD45" s="2">
        <f t="shared" si="6"/>
        <v>0</v>
      </c>
      <c r="AE45" s="57">
        <f t="shared" si="7"/>
        <v>0</v>
      </c>
      <c r="AF45" s="58">
        <f t="shared" si="13"/>
        <v>0</v>
      </c>
      <c r="AG45" s="29">
        <f t="shared" si="8"/>
        <v>0</v>
      </c>
      <c r="AH45">
        <f t="shared" si="9"/>
        <v>100.99999999999997</v>
      </c>
      <c r="AI45" s="49">
        <f t="shared" si="10"/>
        <v>11.983285680957238</v>
      </c>
      <c r="AJ45" s="49">
        <f t="shared" si="11"/>
        <v>0</v>
      </c>
      <c r="AK45" s="48">
        <f t="shared" si="12"/>
        <v>0</v>
      </c>
    </row>
    <row r="46" spans="2:37" x14ac:dyDescent="0.25">
      <c r="B46" s="2" t="s">
        <v>15</v>
      </c>
      <c r="C46" s="2" t="s">
        <v>58</v>
      </c>
      <c r="D46" s="2">
        <v>20141205</v>
      </c>
      <c r="E46" s="2">
        <v>1.56</v>
      </c>
      <c r="F46" s="2" t="s">
        <v>60</v>
      </c>
      <c r="G46" s="2">
        <v>62500</v>
      </c>
      <c r="H46" s="2" t="str">
        <f t="shared" si="2"/>
        <v>GLOBEX</v>
      </c>
      <c r="I46" s="2" t="s">
        <v>17</v>
      </c>
      <c r="J46" s="2" t="s">
        <v>16</v>
      </c>
      <c r="K46" s="2" t="str">
        <f t="shared" si="3"/>
        <v>6BZ4 C1560</v>
      </c>
      <c r="L46" s="2" t="s">
        <v>25</v>
      </c>
      <c r="M46" s="51"/>
      <c r="N46" s="2">
        <v>9.1000000000000004E-3</v>
      </c>
      <c r="O46" s="2">
        <v>1</v>
      </c>
      <c r="P46" s="2">
        <v>0</v>
      </c>
      <c r="Q46" s="2">
        <v>-1</v>
      </c>
      <c r="R46" s="2">
        <v>-1</v>
      </c>
      <c r="S46" s="2">
        <v>0</v>
      </c>
      <c r="T46" s="2"/>
      <c r="U46" s="53">
        <v>7.4571183521020025E-3</v>
      </c>
      <c r="V46" s="52">
        <v>0.1204727256130127</v>
      </c>
      <c r="W46" s="2">
        <v>0.67818925711837008</v>
      </c>
      <c r="X46" s="53">
        <v>0</v>
      </c>
      <c r="Y46" s="2">
        <v>-1.5769783665466137E-3</v>
      </c>
      <c r="Z46" s="34">
        <v>3.3785598623533534E-4</v>
      </c>
      <c r="AA46" s="2">
        <v>1.5650999999999999</v>
      </c>
      <c r="AB46" s="2">
        <f t="shared" si="4"/>
        <v>0</v>
      </c>
      <c r="AC46" s="2">
        <f t="shared" si="5"/>
        <v>0</v>
      </c>
      <c r="AD46" s="2">
        <f t="shared" si="6"/>
        <v>0</v>
      </c>
      <c r="AE46" s="57">
        <f t="shared" si="7"/>
        <v>0</v>
      </c>
      <c r="AF46" s="58">
        <f t="shared" si="13"/>
        <v>0</v>
      </c>
      <c r="AG46" s="29">
        <f t="shared" si="8"/>
        <v>0</v>
      </c>
      <c r="AH46">
        <f t="shared" si="9"/>
        <v>50.99999999999882</v>
      </c>
      <c r="AI46" s="49">
        <f t="shared" si="10"/>
        <v>23.571183521021212</v>
      </c>
      <c r="AJ46" s="49">
        <f t="shared" si="11"/>
        <v>0</v>
      </c>
      <c r="AK46" s="48">
        <f t="shared" si="12"/>
        <v>0</v>
      </c>
    </row>
    <row r="47" spans="2:37" x14ac:dyDescent="0.25">
      <c r="B47" s="2" t="s">
        <v>15</v>
      </c>
      <c r="C47" s="2" t="s">
        <v>58</v>
      </c>
      <c r="D47" s="2">
        <v>20141205</v>
      </c>
      <c r="E47" s="2">
        <v>1.5649999999999999</v>
      </c>
      <c r="F47" s="2" t="s">
        <v>60</v>
      </c>
      <c r="G47" s="2">
        <v>62500</v>
      </c>
      <c r="H47" s="2" t="str">
        <f t="shared" si="2"/>
        <v>GLOBEX</v>
      </c>
      <c r="I47" s="2" t="s">
        <v>17</v>
      </c>
      <c r="J47" s="2" t="s">
        <v>16</v>
      </c>
      <c r="K47" s="2" t="str">
        <f t="shared" si="3"/>
        <v>6BZ4 C1565</v>
      </c>
      <c r="L47" s="2" t="s">
        <v>25</v>
      </c>
      <c r="M47" s="51"/>
      <c r="N47" s="2">
        <v>6.7000000000000002E-3</v>
      </c>
      <c r="O47" s="2">
        <v>2</v>
      </c>
      <c r="P47" s="2">
        <v>10</v>
      </c>
      <c r="Q47" s="2">
        <v>1.1999999999999999E-3</v>
      </c>
      <c r="R47" s="2">
        <v>7.4000000000000003E-3</v>
      </c>
      <c r="S47" s="2">
        <v>10</v>
      </c>
      <c r="T47" s="2"/>
      <c r="U47" s="53">
        <v>7.4000000022351742E-3</v>
      </c>
      <c r="V47" s="52">
        <v>0.20033945498258379</v>
      </c>
      <c r="W47" s="2">
        <v>0.50448938338421789</v>
      </c>
      <c r="X47" s="53">
        <v>0</v>
      </c>
      <c r="Y47" s="2">
        <v>-2.9458189595816023E-3</v>
      </c>
      <c r="Z47" s="34">
        <v>3.6659256154145461E-4</v>
      </c>
      <c r="AA47" s="2">
        <v>1.5650999999999999</v>
      </c>
      <c r="AB47" s="2">
        <f t="shared" si="4"/>
        <v>0</v>
      </c>
      <c r="AC47" s="2">
        <f t="shared" si="5"/>
        <v>0</v>
      </c>
      <c r="AD47" s="2">
        <f t="shared" si="6"/>
        <v>0</v>
      </c>
      <c r="AE47" s="57">
        <f t="shared" si="7"/>
        <v>0</v>
      </c>
      <c r="AF47" s="58">
        <f t="shared" si="13"/>
        <v>0</v>
      </c>
      <c r="AG47" s="29">
        <f t="shared" si="8"/>
        <v>0</v>
      </c>
      <c r="AH47">
        <f t="shared" si="9"/>
        <v>0.99999999999988987</v>
      </c>
      <c r="AI47" s="49">
        <f t="shared" si="10"/>
        <v>73.000000022351855</v>
      </c>
      <c r="AJ47" s="49">
        <f t="shared" si="11"/>
        <v>0</v>
      </c>
      <c r="AK47" s="48">
        <f t="shared" si="12"/>
        <v>0</v>
      </c>
    </row>
    <row r="48" spans="2:37" x14ac:dyDescent="0.25">
      <c r="B48" s="2" t="s">
        <v>15</v>
      </c>
      <c r="C48" s="2" t="s">
        <v>58</v>
      </c>
      <c r="D48" s="2">
        <v>20141205</v>
      </c>
      <c r="E48" s="2">
        <v>1.57</v>
      </c>
      <c r="F48" s="2" t="s">
        <v>60</v>
      </c>
      <c r="G48" s="2">
        <v>62500</v>
      </c>
      <c r="H48" s="2" t="str">
        <f t="shared" si="2"/>
        <v>GLOBEX</v>
      </c>
      <c r="I48" s="2" t="s">
        <v>17</v>
      </c>
      <c r="J48" s="2" t="s">
        <v>16</v>
      </c>
      <c r="K48" s="2" t="str">
        <f t="shared" si="3"/>
        <v>6BZ4 C1570</v>
      </c>
      <c r="L48" s="2" t="s">
        <v>25</v>
      </c>
      <c r="M48" s="51"/>
      <c r="N48" s="2">
        <v>1.9E-3</v>
      </c>
      <c r="O48" s="2">
        <v>111</v>
      </c>
      <c r="P48" s="2">
        <v>1</v>
      </c>
      <c r="Q48" s="2">
        <v>1.1000000000000001E-3</v>
      </c>
      <c r="R48" s="2">
        <v>5.0000000000000001E-3</v>
      </c>
      <c r="S48" s="2">
        <v>1</v>
      </c>
      <c r="T48" s="2"/>
      <c r="U48" s="53">
        <v>2.3386601062499526E-3</v>
      </c>
      <c r="V48" s="52">
        <v>0.11756050343842617</v>
      </c>
      <c r="W48" s="2">
        <v>0.32753638011934455</v>
      </c>
      <c r="X48" s="53">
        <v>0</v>
      </c>
      <c r="Y48" s="2">
        <v>-1.5495961318951479E-3</v>
      </c>
      <c r="Z48" s="34">
        <v>3.3893723635753086E-4</v>
      </c>
      <c r="AA48" s="2">
        <v>1.5650999999999999</v>
      </c>
      <c r="AB48" s="2">
        <f t="shared" si="4"/>
        <v>0</v>
      </c>
      <c r="AC48" s="2">
        <f t="shared" si="5"/>
        <v>0</v>
      </c>
      <c r="AD48" s="2">
        <f t="shared" si="6"/>
        <v>0</v>
      </c>
      <c r="AE48" s="57">
        <f t="shared" si="7"/>
        <v>0</v>
      </c>
      <c r="AF48" s="58">
        <f t="shared" si="13"/>
        <v>0</v>
      </c>
      <c r="AG48" s="29">
        <f t="shared" si="8"/>
        <v>0</v>
      </c>
      <c r="AH48">
        <f t="shared" si="9"/>
        <v>0</v>
      </c>
      <c r="AI48" s="49">
        <f t="shared" si="10"/>
        <v>23.386601062499526</v>
      </c>
      <c r="AJ48" s="49">
        <f t="shared" si="11"/>
        <v>0</v>
      </c>
      <c r="AK48" s="48">
        <f t="shared" si="12"/>
        <v>0</v>
      </c>
    </row>
    <row r="49" spans="2:37" x14ac:dyDescent="0.25">
      <c r="B49" s="2" t="s">
        <v>15</v>
      </c>
      <c r="C49" s="2" t="s">
        <v>58</v>
      </c>
      <c r="D49" s="2">
        <v>20141205</v>
      </c>
      <c r="E49" s="2">
        <v>1.575</v>
      </c>
      <c r="F49" s="2" t="s">
        <v>60</v>
      </c>
      <c r="G49" s="2">
        <v>62500</v>
      </c>
      <c r="H49" s="2" t="str">
        <f t="shared" si="2"/>
        <v>GLOBEX</v>
      </c>
      <c r="I49" s="2" t="s">
        <v>17</v>
      </c>
      <c r="J49" s="2" t="s">
        <v>16</v>
      </c>
      <c r="K49" s="2" t="str">
        <f t="shared" si="3"/>
        <v>6BZ4 C1575</v>
      </c>
      <c r="L49" s="2" t="s">
        <v>25</v>
      </c>
      <c r="M49" s="51"/>
      <c r="N49" s="2">
        <v>1.1999999999999999E-3</v>
      </c>
      <c r="O49" s="2">
        <v>10</v>
      </c>
      <c r="P49" s="2">
        <v>0</v>
      </c>
      <c r="Q49" s="2">
        <v>-1</v>
      </c>
      <c r="R49" s="2">
        <v>1.1999999999999999E-3</v>
      </c>
      <c r="S49" s="2">
        <v>4</v>
      </c>
      <c r="T49" s="2"/>
      <c r="U49" s="53">
        <v>1.1164091165729115E-3</v>
      </c>
      <c r="V49" s="52">
        <v>0.11933367093836011</v>
      </c>
      <c r="W49" s="2">
        <v>0.18524911076303147</v>
      </c>
      <c r="X49" s="53">
        <v>0</v>
      </c>
      <c r="Y49" s="2">
        <v>-1.1684861695963273E-3</v>
      </c>
      <c r="Z49" s="34">
        <v>2.4830867861856242E-4</v>
      </c>
      <c r="AA49" s="2">
        <v>1.5650999999999999</v>
      </c>
      <c r="AB49" s="2">
        <f t="shared" si="4"/>
        <v>0</v>
      </c>
      <c r="AC49" s="2">
        <f t="shared" si="5"/>
        <v>0</v>
      </c>
      <c r="AD49" s="2">
        <f t="shared" si="6"/>
        <v>0</v>
      </c>
      <c r="AE49" s="57">
        <f t="shared" si="7"/>
        <v>0</v>
      </c>
      <c r="AF49" s="58">
        <f t="shared" si="13"/>
        <v>0</v>
      </c>
      <c r="AG49" s="29">
        <f t="shared" si="8"/>
        <v>0</v>
      </c>
      <c r="AH49">
        <f t="shared" si="9"/>
        <v>0</v>
      </c>
      <c r="AI49" s="49">
        <f t="shared" si="10"/>
        <v>11.164091165729115</v>
      </c>
      <c r="AJ49" s="49">
        <f t="shared" si="11"/>
        <v>0</v>
      </c>
      <c r="AK49" s="48">
        <f t="shared" si="12"/>
        <v>0</v>
      </c>
    </row>
    <row r="50" spans="2:37" x14ac:dyDescent="0.25">
      <c r="B50" s="2" t="s">
        <v>15</v>
      </c>
      <c r="C50" s="2" t="s">
        <v>58</v>
      </c>
      <c r="D50" s="2">
        <v>20141205</v>
      </c>
      <c r="E50" s="2">
        <v>1.58</v>
      </c>
      <c r="F50" s="2" t="s">
        <v>60</v>
      </c>
      <c r="G50" s="2">
        <v>62500</v>
      </c>
      <c r="H50" s="2" t="str">
        <f t="shared" si="2"/>
        <v>GLOBEX</v>
      </c>
      <c r="I50" s="2" t="s">
        <v>17</v>
      </c>
      <c r="J50" s="2" t="s">
        <v>16</v>
      </c>
      <c r="K50" s="2" t="str">
        <f t="shared" si="3"/>
        <v>6BZ4 C1580</v>
      </c>
      <c r="L50" s="2" t="s">
        <v>25</v>
      </c>
      <c r="M50" s="51"/>
      <c r="N50" s="2">
        <v>0</v>
      </c>
      <c r="O50" s="2">
        <v>0</v>
      </c>
      <c r="P50" s="2">
        <v>0</v>
      </c>
      <c r="Q50" s="2">
        <v>-1</v>
      </c>
      <c r="R50" s="2">
        <v>1.5E-3</v>
      </c>
      <c r="S50" s="2">
        <v>1</v>
      </c>
      <c r="T50" s="2"/>
      <c r="U50" s="53">
        <v>5.216474251880307E-4</v>
      </c>
      <c r="V50" s="52">
        <v>0.1232596908297694</v>
      </c>
      <c r="W50" s="2">
        <v>9.6641212812860214E-2</v>
      </c>
      <c r="X50" s="53">
        <v>0</v>
      </c>
      <c r="Y50" s="2">
        <v>-7.6806409255681253E-4</v>
      </c>
      <c r="Z50" s="34">
        <v>1.6479641023945486E-4</v>
      </c>
      <c r="AA50" s="2">
        <v>1.5650999999999999</v>
      </c>
      <c r="AB50" s="2">
        <f t="shared" si="4"/>
        <v>0</v>
      </c>
      <c r="AC50" s="2">
        <f t="shared" si="5"/>
        <v>0</v>
      </c>
      <c r="AD50" s="2">
        <f t="shared" si="6"/>
        <v>0</v>
      </c>
      <c r="AE50" s="57">
        <f t="shared" si="7"/>
        <v>0</v>
      </c>
      <c r="AF50" s="58">
        <f t="shared" si="13"/>
        <v>0</v>
      </c>
      <c r="AG50" s="29">
        <f t="shared" si="8"/>
        <v>0</v>
      </c>
      <c r="AH50">
        <f t="shared" si="9"/>
        <v>0</v>
      </c>
      <c r="AI50" s="49">
        <f t="shared" si="10"/>
        <v>5.2164742518803067</v>
      </c>
      <c r="AJ50" s="49">
        <f t="shared" si="11"/>
        <v>0</v>
      </c>
      <c r="AK50" s="48">
        <f t="shared" si="12"/>
        <v>0</v>
      </c>
    </row>
    <row r="51" spans="2:37" x14ac:dyDescent="0.25">
      <c r="B51" s="2" t="s">
        <v>15</v>
      </c>
      <c r="C51" s="2" t="s">
        <v>58</v>
      </c>
      <c r="D51" s="2">
        <v>20141205</v>
      </c>
      <c r="E51" s="2">
        <v>1.585</v>
      </c>
      <c r="F51" s="2" t="s">
        <v>60</v>
      </c>
      <c r="G51" s="2">
        <v>62500</v>
      </c>
      <c r="H51" s="2" t="str">
        <f t="shared" si="2"/>
        <v>GLOBEX</v>
      </c>
      <c r="I51" s="2" t="s">
        <v>17</v>
      </c>
      <c r="J51" s="2" t="s">
        <v>16</v>
      </c>
      <c r="K51" s="2" t="str">
        <f t="shared" si="3"/>
        <v>6BZ4 C1585</v>
      </c>
      <c r="L51" s="2" t="s">
        <v>25</v>
      </c>
      <c r="M51" s="51"/>
      <c r="N51" s="2">
        <v>2.9999999999999997E-4</v>
      </c>
      <c r="O51" s="2">
        <v>4</v>
      </c>
      <c r="P51" s="2">
        <v>512</v>
      </c>
      <c r="Q51" s="2">
        <v>1E-4</v>
      </c>
      <c r="R51" s="2">
        <v>6.1999999999999998E-3</v>
      </c>
      <c r="S51" s="2">
        <v>10</v>
      </c>
      <c r="T51" s="2"/>
      <c r="U51" s="53">
        <v>2.3998364970128798E-4</v>
      </c>
      <c r="V51" s="52">
        <v>0.1293385631126398</v>
      </c>
      <c r="W51" s="2">
        <v>4.8027688265695208E-2</v>
      </c>
      <c r="X51" s="53">
        <v>0</v>
      </c>
      <c r="Y51" s="2">
        <v>-4.7119122755980345E-4</v>
      </c>
      <c r="Z51" s="34">
        <v>1.1003789530448078E-4</v>
      </c>
      <c r="AA51" s="2">
        <v>1.5650999999999999</v>
      </c>
      <c r="AB51" s="2">
        <f t="shared" si="4"/>
        <v>0</v>
      </c>
      <c r="AC51" s="2">
        <f t="shared" si="5"/>
        <v>0</v>
      </c>
      <c r="AD51" s="2">
        <f t="shared" si="6"/>
        <v>0</v>
      </c>
      <c r="AE51" s="57">
        <f t="shared" si="7"/>
        <v>0</v>
      </c>
      <c r="AF51" s="58">
        <f t="shared" si="13"/>
        <v>0</v>
      </c>
      <c r="AG51" s="29">
        <f t="shared" si="8"/>
        <v>0</v>
      </c>
      <c r="AH51">
        <f t="shared" si="9"/>
        <v>0</v>
      </c>
      <c r="AI51" s="49">
        <f t="shared" si="10"/>
        <v>2.3998364970128798</v>
      </c>
      <c r="AJ51" s="49">
        <f t="shared" si="11"/>
        <v>0</v>
      </c>
      <c r="AK51" s="48">
        <f t="shared" si="12"/>
        <v>0</v>
      </c>
    </row>
    <row r="52" spans="2:37" x14ac:dyDescent="0.25">
      <c r="B52" s="2" t="s">
        <v>15</v>
      </c>
      <c r="C52" s="2" t="s">
        <v>58</v>
      </c>
      <c r="D52" s="2">
        <v>20141205</v>
      </c>
      <c r="E52" s="2">
        <v>1.59</v>
      </c>
      <c r="F52" s="2" t="s">
        <v>60</v>
      </c>
      <c r="G52" s="2">
        <v>62500</v>
      </c>
      <c r="H52" s="2" t="str">
        <f t="shared" si="2"/>
        <v>GLOBEX</v>
      </c>
      <c r="I52" s="2" t="s">
        <v>17</v>
      </c>
      <c r="J52" s="2" t="s">
        <v>16</v>
      </c>
      <c r="K52" s="2" t="str">
        <f t="shared" si="3"/>
        <v>6BZ4 C1590</v>
      </c>
      <c r="L52" s="2" t="s">
        <v>25</v>
      </c>
      <c r="M52" s="51"/>
      <c r="N52" s="2">
        <v>0</v>
      </c>
      <c r="O52" s="2">
        <v>0</v>
      </c>
      <c r="P52" s="2">
        <v>0</v>
      </c>
      <c r="Q52" s="2">
        <v>0</v>
      </c>
      <c r="R52" s="2">
        <v>1.2999999999999999E-3</v>
      </c>
      <c r="S52" s="2">
        <v>1</v>
      </c>
      <c r="T52" s="2"/>
      <c r="U52" s="53">
        <v>1.2118092944529462E-4</v>
      </c>
      <c r="V52" s="52">
        <v>0.13757028778701397</v>
      </c>
      <c r="W52" s="2">
        <v>2.5008897404942047E-2</v>
      </c>
      <c r="X52" s="53">
        <v>0</v>
      </c>
      <c r="Y52" s="2">
        <v>-2.9296286178520485E-4</v>
      </c>
      <c r="Z52" s="34">
        <v>6.7548805491670784E-5</v>
      </c>
      <c r="AA52" s="2">
        <v>1.5650999999999999</v>
      </c>
      <c r="AB52" s="2">
        <f t="shared" si="4"/>
        <v>0</v>
      </c>
      <c r="AC52" s="2">
        <f t="shared" si="5"/>
        <v>0</v>
      </c>
      <c r="AD52" s="2">
        <f t="shared" si="6"/>
        <v>0</v>
      </c>
      <c r="AE52" s="57">
        <f t="shared" si="7"/>
        <v>0</v>
      </c>
      <c r="AF52" s="58">
        <f t="shared" si="13"/>
        <v>0</v>
      </c>
      <c r="AG52" s="29">
        <f t="shared" si="8"/>
        <v>0</v>
      </c>
      <c r="AH52">
        <f t="shared" si="9"/>
        <v>0</v>
      </c>
      <c r="AI52" s="49">
        <f t="shared" si="10"/>
        <v>1.2118092944529462</v>
      </c>
      <c r="AJ52" s="49">
        <f t="shared" si="11"/>
        <v>0</v>
      </c>
      <c r="AK52" s="48">
        <f t="shared" si="12"/>
        <v>0</v>
      </c>
    </row>
    <row r="53" spans="2:37" x14ac:dyDescent="0.25">
      <c r="B53" s="2" t="s">
        <v>15</v>
      </c>
      <c r="C53" s="2" t="s">
        <v>58</v>
      </c>
      <c r="D53" s="2">
        <v>20141205</v>
      </c>
      <c r="E53" s="2">
        <v>1.595</v>
      </c>
      <c r="F53" s="2" t="s">
        <v>60</v>
      </c>
      <c r="G53" s="2">
        <v>62500</v>
      </c>
      <c r="H53" s="2" t="str">
        <f t="shared" si="2"/>
        <v>GLOBEX</v>
      </c>
      <c r="I53" s="2" t="s">
        <v>17</v>
      </c>
      <c r="J53" s="2" t="s">
        <v>16</v>
      </c>
      <c r="K53" s="2" t="str">
        <f t="shared" si="3"/>
        <v>6BZ4 C1595</v>
      </c>
      <c r="L53" s="2" t="s">
        <v>25</v>
      </c>
      <c r="M53" s="51"/>
      <c r="N53" s="2">
        <v>1E-4</v>
      </c>
      <c r="O53" s="2">
        <v>213</v>
      </c>
      <c r="P53" s="2">
        <v>0</v>
      </c>
      <c r="Q53" s="2">
        <v>0</v>
      </c>
      <c r="R53" s="2">
        <v>-1</v>
      </c>
      <c r="S53" s="2">
        <v>0</v>
      </c>
      <c r="T53" s="2"/>
      <c r="U53" s="53">
        <v>7.2126364204528251E-5</v>
      </c>
      <c r="V53" s="52">
        <v>0.14795486485286347</v>
      </c>
      <c r="W53" s="2">
        <v>1.469739074729449E-2</v>
      </c>
      <c r="X53" s="53">
        <v>0</v>
      </c>
      <c r="Y53" s="2">
        <v>-1.9936522724189968E-4</v>
      </c>
      <c r="Z53" s="34">
        <v>3.8055846713397462E-5</v>
      </c>
      <c r="AA53" s="2">
        <v>1.5650999999999999</v>
      </c>
      <c r="AB53" s="2">
        <f t="shared" si="4"/>
        <v>0</v>
      </c>
      <c r="AC53" s="2">
        <f t="shared" si="5"/>
        <v>0</v>
      </c>
      <c r="AD53" s="2">
        <f t="shared" si="6"/>
        <v>0</v>
      </c>
      <c r="AE53" s="57">
        <f t="shared" si="7"/>
        <v>0</v>
      </c>
      <c r="AF53" s="58">
        <f t="shared" si="13"/>
        <v>0</v>
      </c>
      <c r="AG53" s="29">
        <f t="shared" si="8"/>
        <v>0</v>
      </c>
      <c r="AH53">
        <f t="shared" si="9"/>
        <v>0</v>
      </c>
      <c r="AI53" s="49">
        <f t="shared" si="10"/>
        <v>0.72126364204528248</v>
      </c>
      <c r="AJ53" s="49">
        <f t="shared" si="11"/>
        <v>0</v>
      </c>
      <c r="AK53" s="48">
        <f t="shared" si="12"/>
        <v>0</v>
      </c>
    </row>
    <row r="54" spans="2:37" x14ac:dyDescent="0.25">
      <c r="B54" s="2" t="s">
        <v>15</v>
      </c>
      <c r="C54" s="2" t="s">
        <v>58</v>
      </c>
      <c r="D54" s="2">
        <v>20141205</v>
      </c>
      <c r="E54" s="2">
        <v>1.6</v>
      </c>
      <c r="F54" s="2" t="s">
        <v>60</v>
      </c>
      <c r="G54" s="2">
        <v>62500</v>
      </c>
      <c r="H54" s="2" t="str">
        <f t="shared" si="2"/>
        <v>GLOBEX</v>
      </c>
      <c r="I54" s="2" t="s">
        <v>17</v>
      </c>
      <c r="J54" s="2" t="s">
        <v>16</v>
      </c>
      <c r="K54" s="2" t="str">
        <f t="shared" si="3"/>
        <v>6BZ4 C1600</v>
      </c>
      <c r="L54" s="2" t="s">
        <v>25</v>
      </c>
      <c r="M54" s="51"/>
      <c r="N54" s="2">
        <v>0</v>
      </c>
      <c r="O54" s="2">
        <v>0</v>
      </c>
      <c r="P54" s="2">
        <v>0</v>
      </c>
      <c r="Q54" s="2">
        <v>0</v>
      </c>
      <c r="R54" s="2">
        <v>1E-3</v>
      </c>
      <c r="S54" s="2">
        <v>3</v>
      </c>
      <c r="T54" s="2"/>
      <c r="U54" s="53">
        <v>4.7341293692565039E-5</v>
      </c>
      <c r="V54" s="52">
        <v>0.16049229431017409</v>
      </c>
      <c r="W54" s="2">
        <v>9.3796575175678007E-3</v>
      </c>
      <c r="X54" s="53">
        <v>0.95954405647310892</v>
      </c>
      <c r="Y54" s="2">
        <v>-1.4693501410608861E-4</v>
      </c>
      <c r="Z54" s="34">
        <v>2.9477129578996312E-5</v>
      </c>
      <c r="AA54" s="2">
        <v>1.5650999999999999</v>
      </c>
      <c r="AB54" s="2">
        <f t="shared" si="4"/>
        <v>0</v>
      </c>
      <c r="AC54" s="2">
        <f t="shared" si="5"/>
        <v>0</v>
      </c>
      <c r="AD54" s="2">
        <f t="shared" si="6"/>
        <v>0</v>
      </c>
      <c r="AE54" s="57">
        <f t="shared" si="7"/>
        <v>0</v>
      </c>
      <c r="AF54" s="58">
        <f t="shared" si="13"/>
        <v>0</v>
      </c>
      <c r="AG54" s="29">
        <f t="shared" si="8"/>
        <v>0</v>
      </c>
      <c r="AH54">
        <f t="shared" si="9"/>
        <v>0</v>
      </c>
      <c r="AI54" s="49">
        <f t="shared" si="10"/>
        <v>0.4734129369256504</v>
      </c>
      <c r="AJ54" s="49">
        <f t="shared" si="11"/>
        <v>0</v>
      </c>
      <c r="AK54" s="48">
        <f t="shared" si="12"/>
        <v>0</v>
      </c>
    </row>
    <row r="55" spans="2:37" x14ac:dyDescent="0.25">
      <c r="B55" s="2" t="s">
        <v>15</v>
      </c>
      <c r="C55" s="2" t="s">
        <v>58</v>
      </c>
      <c r="D55" s="2">
        <v>20141205</v>
      </c>
      <c r="E55" s="2">
        <v>1.605</v>
      </c>
      <c r="F55" s="2" t="s">
        <v>60</v>
      </c>
      <c r="G55" s="2">
        <v>62500</v>
      </c>
      <c r="H55" s="2" t="str">
        <f t="shared" si="2"/>
        <v>GLOBEX</v>
      </c>
      <c r="I55" s="2" t="s">
        <v>17</v>
      </c>
      <c r="J55" s="2" t="s">
        <v>16</v>
      </c>
      <c r="K55" s="2" t="str">
        <f t="shared" si="3"/>
        <v>6BZ4 C1605</v>
      </c>
      <c r="L55" s="2" t="s">
        <v>25</v>
      </c>
      <c r="M55" s="51"/>
      <c r="N55" s="2">
        <v>0</v>
      </c>
      <c r="O55" s="2">
        <v>0</v>
      </c>
      <c r="P55" s="2">
        <v>0</v>
      </c>
      <c r="Q55" s="2">
        <v>0</v>
      </c>
      <c r="R55" s="2">
        <v>1.95E-2</v>
      </c>
      <c r="S55" s="2">
        <v>1</v>
      </c>
      <c r="T55" s="2"/>
      <c r="U55" s="53">
        <v>3.8359639553938722E-5</v>
      </c>
      <c r="V55" s="52">
        <v>0.17518257615898847</v>
      </c>
      <c r="W55" s="2">
        <v>7.1224100425666325E-3</v>
      </c>
      <c r="X55" s="53">
        <v>0.96421830226224814</v>
      </c>
      <c r="Y55" s="2">
        <v>-1.252089076573424E-4</v>
      </c>
      <c r="Z55" s="34">
        <v>1.9665808409435485E-5</v>
      </c>
      <c r="AA55" s="2">
        <v>1.5650999999999999</v>
      </c>
      <c r="AB55" s="2">
        <f t="shared" si="4"/>
        <v>0</v>
      </c>
      <c r="AC55" s="2">
        <f t="shared" si="5"/>
        <v>0</v>
      </c>
      <c r="AD55" s="2">
        <f t="shared" si="6"/>
        <v>0</v>
      </c>
      <c r="AE55" s="57">
        <f t="shared" si="7"/>
        <v>0</v>
      </c>
      <c r="AF55" s="58">
        <f t="shared" si="13"/>
        <v>0</v>
      </c>
      <c r="AG55" s="29">
        <f t="shared" si="8"/>
        <v>0</v>
      </c>
      <c r="AH55">
        <f t="shared" si="9"/>
        <v>0</v>
      </c>
      <c r="AI55" s="49">
        <f t="shared" si="10"/>
        <v>0.38359639553938724</v>
      </c>
      <c r="AJ55" s="49">
        <f t="shared" si="11"/>
        <v>0</v>
      </c>
      <c r="AK55" s="48">
        <f t="shared" si="12"/>
        <v>0</v>
      </c>
    </row>
    <row r="56" spans="2:37" x14ac:dyDescent="0.25">
      <c r="B56" s="2" t="s">
        <v>15</v>
      </c>
      <c r="C56" s="2" t="s">
        <v>58</v>
      </c>
      <c r="D56" s="2">
        <v>20141205</v>
      </c>
      <c r="E56" s="2">
        <v>1.61</v>
      </c>
      <c r="F56" s="2" t="s">
        <v>60</v>
      </c>
      <c r="G56" s="2">
        <v>62500</v>
      </c>
      <c r="H56" s="2" t="str">
        <f t="shared" si="2"/>
        <v>GLOBEX</v>
      </c>
      <c r="I56" s="2" t="s">
        <v>17</v>
      </c>
      <c r="J56" s="2" t="s">
        <v>16</v>
      </c>
      <c r="K56" s="2" t="str">
        <f t="shared" si="3"/>
        <v>6BZ4 C1610</v>
      </c>
      <c r="L56" s="2" t="s">
        <v>25</v>
      </c>
      <c r="M56" s="51"/>
      <c r="N56" s="2">
        <v>0</v>
      </c>
      <c r="O56" s="2">
        <v>0</v>
      </c>
      <c r="P56" s="2">
        <v>0</v>
      </c>
      <c r="Q56" s="2">
        <v>0</v>
      </c>
      <c r="R56" s="2">
        <v>5.0000000000000001E-3</v>
      </c>
      <c r="S56" s="2">
        <v>2</v>
      </c>
      <c r="T56" s="2"/>
      <c r="U56" s="53">
        <v>3.3708268785229029E-5</v>
      </c>
      <c r="V56" s="52">
        <v>0.19202571039927818</v>
      </c>
      <c r="W56" s="2">
        <v>5.8332014101459308E-3</v>
      </c>
      <c r="X56" s="53">
        <v>0.93145623559933899</v>
      </c>
      <c r="Y56" s="2">
        <v>-1.1523321629706423E-4</v>
      </c>
      <c r="Z56" s="34">
        <v>1.9696361030800222E-5</v>
      </c>
      <c r="AA56" s="2">
        <v>1.5650999999999999</v>
      </c>
      <c r="AB56" s="2">
        <f t="shared" si="4"/>
        <v>0</v>
      </c>
      <c r="AC56" s="2">
        <f t="shared" si="5"/>
        <v>0</v>
      </c>
      <c r="AD56" s="2">
        <f t="shared" si="6"/>
        <v>0</v>
      </c>
      <c r="AE56" s="57">
        <f t="shared" si="7"/>
        <v>0</v>
      </c>
      <c r="AF56" s="58">
        <f t="shared" si="13"/>
        <v>0</v>
      </c>
      <c r="AG56" s="29">
        <f t="shared" si="8"/>
        <v>0</v>
      </c>
      <c r="AH56">
        <f t="shared" si="9"/>
        <v>0</v>
      </c>
      <c r="AI56" s="49">
        <f t="shared" si="10"/>
        <v>0.33708268785229029</v>
      </c>
      <c r="AJ56" s="49">
        <f t="shared" si="11"/>
        <v>0</v>
      </c>
      <c r="AK56" s="48">
        <f t="shared" si="12"/>
        <v>0</v>
      </c>
    </row>
    <row r="57" spans="2:37" x14ac:dyDescent="0.25">
      <c r="B57" s="2" t="s">
        <v>15</v>
      </c>
      <c r="C57" s="2" t="s">
        <v>58</v>
      </c>
      <c r="D57" s="2">
        <v>20141205</v>
      </c>
      <c r="E57" s="2">
        <v>1.615</v>
      </c>
      <c r="F57" s="2" t="s">
        <v>60</v>
      </c>
      <c r="G57" s="2">
        <v>62500</v>
      </c>
      <c r="H57" s="2" t="str">
        <f t="shared" si="2"/>
        <v>GLOBEX</v>
      </c>
      <c r="I57" s="2" t="s">
        <v>17</v>
      </c>
      <c r="J57" s="2" t="s">
        <v>16</v>
      </c>
      <c r="K57" s="2" t="str">
        <f t="shared" si="3"/>
        <v>6BZ4 C1615</v>
      </c>
      <c r="L57" s="2" t="s">
        <v>25</v>
      </c>
      <c r="M57" s="51"/>
      <c r="N57" s="2">
        <v>0</v>
      </c>
      <c r="O57" s="2">
        <v>0</v>
      </c>
      <c r="P57" s="2">
        <v>0</v>
      </c>
      <c r="Q57" s="2">
        <v>0</v>
      </c>
      <c r="R57" s="2">
        <v>2.2700000000000001E-2</v>
      </c>
      <c r="S57" s="2">
        <v>2</v>
      </c>
      <c r="T57" s="2"/>
      <c r="U57" s="53">
        <v>3.3406769725283334E-5</v>
      </c>
      <c r="V57" s="52">
        <v>0.21102169703104323</v>
      </c>
      <c r="W57" s="2">
        <v>5.3227665009588747E-3</v>
      </c>
      <c r="X57" s="53">
        <v>0.78354081495236994</v>
      </c>
      <c r="Y57" s="2">
        <v>-1.170610648750622E-4</v>
      </c>
      <c r="Z57" s="34">
        <v>1.9726854084051157E-5</v>
      </c>
      <c r="AA57" s="2">
        <v>1.5650999999999999</v>
      </c>
      <c r="AB57" s="2">
        <f t="shared" si="4"/>
        <v>0</v>
      </c>
      <c r="AC57" s="2">
        <f t="shared" si="5"/>
        <v>0</v>
      </c>
      <c r="AD57" s="2">
        <f t="shared" si="6"/>
        <v>0</v>
      </c>
      <c r="AE57" s="57">
        <f t="shared" si="7"/>
        <v>0</v>
      </c>
      <c r="AF57" s="58">
        <f t="shared" si="13"/>
        <v>0</v>
      </c>
      <c r="AG57" s="29">
        <f t="shared" si="8"/>
        <v>0</v>
      </c>
      <c r="AH57">
        <f t="shared" si="9"/>
        <v>0</v>
      </c>
      <c r="AI57" s="49">
        <f t="shared" si="10"/>
        <v>0.33406769725283336</v>
      </c>
      <c r="AJ57" s="49">
        <f t="shared" si="11"/>
        <v>0</v>
      </c>
      <c r="AK57" s="48">
        <f t="shared" si="12"/>
        <v>0</v>
      </c>
    </row>
    <row r="58" spans="2:37" x14ac:dyDescent="0.25">
      <c r="B58" s="2" t="s">
        <v>15</v>
      </c>
      <c r="C58" s="2" t="s">
        <v>58</v>
      </c>
      <c r="D58" s="2">
        <v>20141205</v>
      </c>
      <c r="E58" s="2">
        <v>1.62</v>
      </c>
      <c r="F58" s="2" t="s">
        <v>60</v>
      </c>
      <c r="G58" s="2">
        <v>62500</v>
      </c>
      <c r="H58" s="2" t="str">
        <f t="shared" si="2"/>
        <v>GLOBEX</v>
      </c>
      <c r="I58" s="2" t="s">
        <v>17</v>
      </c>
      <c r="J58" s="2" t="s">
        <v>16</v>
      </c>
      <c r="K58" s="2" t="str">
        <f t="shared" si="3"/>
        <v>6BZ4 C1620</v>
      </c>
      <c r="L58" s="2" t="s">
        <v>25</v>
      </c>
      <c r="M58" s="51"/>
      <c r="N58" s="2">
        <v>0</v>
      </c>
      <c r="O58" s="2">
        <v>0</v>
      </c>
      <c r="P58" s="2">
        <v>0</v>
      </c>
      <c r="Q58" s="2">
        <v>0</v>
      </c>
      <c r="R58" s="2">
        <v>1E-4</v>
      </c>
      <c r="S58" s="2">
        <v>2</v>
      </c>
      <c r="T58" s="2"/>
      <c r="U58" s="53">
        <v>3.7474658669514331E-5</v>
      </c>
      <c r="V58" s="52">
        <v>0.23217053605428362</v>
      </c>
      <c r="W58" s="2">
        <v>5.4170141095194035E-3</v>
      </c>
      <c r="X58" s="53">
        <v>0.72296178194305927</v>
      </c>
      <c r="Y58" s="2">
        <v>-1.307453745865314E-4</v>
      </c>
      <c r="Z58" s="34">
        <v>1.9757283687926151E-5</v>
      </c>
      <c r="AA58" s="2">
        <v>1.5650999999999999</v>
      </c>
      <c r="AB58" s="2">
        <f t="shared" si="4"/>
        <v>0</v>
      </c>
      <c r="AC58" s="2">
        <f t="shared" si="5"/>
        <v>0</v>
      </c>
      <c r="AD58" s="2">
        <f t="shared" si="6"/>
        <v>0</v>
      </c>
      <c r="AE58" s="57">
        <f t="shared" si="7"/>
        <v>0</v>
      </c>
      <c r="AF58" s="58">
        <f t="shared" si="13"/>
        <v>0</v>
      </c>
      <c r="AG58" s="29">
        <f t="shared" si="8"/>
        <v>0</v>
      </c>
      <c r="AH58">
        <f t="shared" si="9"/>
        <v>0</v>
      </c>
      <c r="AI58" s="49">
        <f t="shared" si="10"/>
        <v>0.37474658669514332</v>
      </c>
      <c r="AJ58" s="49">
        <f t="shared" si="11"/>
        <v>0</v>
      </c>
      <c r="AK58" s="48">
        <f t="shared" si="12"/>
        <v>0</v>
      </c>
    </row>
    <row r="59" spans="2:37" x14ac:dyDescent="0.25">
      <c r="B59" s="2" t="s">
        <v>15</v>
      </c>
      <c r="C59" s="2" t="s">
        <v>58</v>
      </c>
      <c r="D59" s="2">
        <v>20141205</v>
      </c>
      <c r="E59" s="2">
        <v>1.625</v>
      </c>
      <c r="F59" s="2" t="s">
        <v>60</v>
      </c>
      <c r="G59" s="2">
        <v>62500</v>
      </c>
      <c r="H59" s="2" t="str">
        <f t="shared" si="2"/>
        <v>GLOBEX</v>
      </c>
      <c r="I59" s="2" t="s">
        <v>17</v>
      </c>
      <c r="J59" s="2" t="s">
        <v>16</v>
      </c>
      <c r="K59" s="2" t="str">
        <f t="shared" si="3"/>
        <v>6BZ4 C1625</v>
      </c>
      <c r="L59" s="2" t="s">
        <v>25</v>
      </c>
      <c r="M59" s="51"/>
      <c r="N59" s="2">
        <v>0</v>
      </c>
      <c r="O59" s="2">
        <v>0</v>
      </c>
      <c r="P59" s="2">
        <v>0</v>
      </c>
      <c r="Q59" s="2">
        <v>0</v>
      </c>
      <c r="R59" s="2">
        <v>-1</v>
      </c>
      <c r="S59" s="2">
        <v>0</v>
      </c>
      <c r="T59" s="2"/>
      <c r="U59" s="53">
        <v>4.5931375836816548E-5</v>
      </c>
      <c r="V59" s="52">
        <v>0.25547222746899934</v>
      </c>
      <c r="W59" s="2">
        <v>5.9660562201696056E-3</v>
      </c>
      <c r="X59" s="53">
        <v>0.71397426698489763</v>
      </c>
      <c r="Y59" s="2">
        <v>-1.5633885042448125E-4</v>
      </c>
      <c r="Z59" s="34">
        <v>1.9787647163791068E-5</v>
      </c>
      <c r="AA59" s="2">
        <v>1.5650999999999999</v>
      </c>
      <c r="AB59" s="2">
        <f t="shared" si="4"/>
        <v>0</v>
      </c>
      <c r="AC59" s="2">
        <f t="shared" si="5"/>
        <v>0</v>
      </c>
      <c r="AD59" s="2">
        <f t="shared" si="6"/>
        <v>0</v>
      </c>
      <c r="AE59" s="57">
        <f t="shared" si="7"/>
        <v>0</v>
      </c>
      <c r="AF59" s="58">
        <f t="shared" si="13"/>
        <v>0</v>
      </c>
      <c r="AG59" s="29">
        <f t="shared" si="8"/>
        <v>0</v>
      </c>
      <c r="AH59">
        <f t="shared" si="9"/>
        <v>0</v>
      </c>
      <c r="AI59" s="49">
        <f t="shared" si="10"/>
        <v>0.45931375836816546</v>
      </c>
      <c r="AJ59" s="49">
        <f t="shared" si="11"/>
        <v>0</v>
      </c>
      <c r="AK59" s="48">
        <f t="shared" si="12"/>
        <v>0</v>
      </c>
    </row>
    <row r="60" spans="2:37" x14ac:dyDescent="0.25">
      <c r="B60" s="2" t="s">
        <v>15</v>
      </c>
      <c r="C60" s="2" t="s">
        <v>58</v>
      </c>
      <c r="D60" s="2">
        <v>20141205</v>
      </c>
      <c r="E60" s="2">
        <v>1.63</v>
      </c>
      <c r="F60" s="2" t="s">
        <v>60</v>
      </c>
      <c r="G60" s="2">
        <v>62500</v>
      </c>
      <c r="H60" s="2" t="str">
        <f t="shared" si="2"/>
        <v>GLOBEX</v>
      </c>
      <c r="I60" s="2" t="s">
        <v>17</v>
      </c>
      <c r="J60" s="2" t="s">
        <v>16</v>
      </c>
      <c r="K60" s="2" t="str">
        <f t="shared" si="3"/>
        <v>6BZ4 C1630</v>
      </c>
      <c r="L60" s="2" t="s">
        <v>25</v>
      </c>
      <c r="M60" s="51"/>
      <c r="N60" s="2">
        <v>0</v>
      </c>
      <c r="O60" s="2">
        <v>0</v>
      </c>
      <c r="P60" s="2">
        <v>0</v>
      </c>
      <c r="Q60" s="2">
        <v>0</v>
      </c>
      <c r="R60" s="2">
        <v>-1</v>
      </c>
      <c r="S60" s="2">
        <v>0</v>
      </c>
      <c r="T60" s="2"/>
      <c r="U60" s="53">
        <v>5.879628266652186E-5</v>
      </c>
      <c r="V60" s="52">
        <v>0.2809267712752046</v>
      </c>
      <c r="W60" s="2">
        <v>6.8465843625261889E-3</v>
      </c>
      <c r="X60" s="53">
        <v>0.73228623779271962</v>
      </c>
      <c r="Y60" s="2">
        <v>-1.9389397205251652E-4</v>
      </c>
      <c r="Z60" s="34">
        <v>1.9817943043638273E-5</v>
      </c>
      <c r="AA60" s="2">
        <v>1.5650999999999999</v>
      </c>
      <c r="AB60" s="2">
        <f t="shared" si="4"/>
        <v>0</v>
      </c>
      <c r="AC60" s="2">
        <f t="shared" si="5"/>
        <v>0</v>
      </c>
      <c r="AD60" s="2">
        <f t="shared" si="6"/>
        <v>0</v>
      </c>
      <c r="AE60" s="57">
        <f t="shared" si="7"/>
        <v>0</v>
      </c>
      <c r="AF60" s="58">
        <f t="shared" si="13"/>
        <v>0</v>
      </c>
      <c r="AG60" s="29">
        <f t="shared" si="8"/>
        <v>0</v>
      </c>
      <c r="AH60">
        <f t="shared" si="9"/>
        <v>0</v>
      </c>
      <c r="AI60" s="49">
        <f t="shared" si="10"/>
        <v>0.5879628266652186</v>
      </c>
      <c r="AJ60" s="49">
        <f t="shared" si="11"/>
        <v>0</v>
      </c>
      <c r="AK60" s="48">
        <f t="shared" si="12"/>
        <v>0</v>
      </c>
    </row>
    <row r="61" spans="2:37" x14ac:dyDescent="0.25">
      <c r="B61" s="2" t="s">
        <v>15</v>
      </c>
      <c r="C61" s="2" t="s">
        <v>58</v>
      </c>
      <c r="D61" s="2">
        <v>20141205</v>
      </c>
      <c r="E61" s="2">
        <v>1.635</v>
      </c>
      <c r="F61" s="2" t="s">
        <v>60</v>
      </c>
      <c r="G61" s="2">
        <v>62500</v>
      </c>
      <c r="H61" s="2" t="str">
        <f t="shared" si="2"/>
        <v>GLOBEX</v>
      </c>
      <c r="I61" s="2" t="s">
        <v>17</v>
      </c>
      <c r="J61" s="2" t="s">
        <v>16</v>
      </c>
      <c r="K61" s="2" t="str">
        <f t="shared" si="3"/>
        <v>6BZ4 C1635</v>
      </c>
      <c r="L61" s="2" t="s">
        <v>25</v>
      </c>
      <c r="M61" s="51"/>
      <c r="N61" s="2">
        <v>0</v>
      </c>
      <c r="O61" s="2">
        <v>0</v>
      </c>
      <c r="P61" s="2">
        <v>0</v>
      </c>
      <c r="Q61" s="2">
        <v>0</v>
      </c>
      <c r="R61" s="2">
        <v>5.4000000000000003E-3</v>
      </c>
      <c r="S61" s="2">
        <v>20</v>
      </c>
      <c r="T61" s="2"/>
      <c r="U61" s="53">
        <v>7.6088660456964788E-5</v>
      </c>
      <c r="V61" s="52">
        <v>0.30853416747289941</v>
      </c>
      <c r="W61" s="2">
        <v>7.9604370634031359E-3</v>
      </c>
      <c r="X61" s="53">
        <v>0.76230536640109481</v>
      </c>
      <c r="Y61" s="2">
        <v>-2.4346298812732108E-4</v>
      </c>
      <c r="Z61" s="34">
        <v>1.9848171079106384E-5</v>
      </c>
      <c r="AA61" s="2">
        <v>1.5650999999999999</v>
      </c>
      <c r="AB61" s="2">
        <f t="shared" si="4"/>
        <v>0</v>
      </c>
      <c r="AC61" s="2">
        <f t="shared" si="5"/>
        <v>0</v>
      </c>
      <c r="AD61" s="2">
        <f t="shared" si="6"/>
        <v>0</v>
      </c>
      <c r="AE61" s="57">
        <f t="shared" si="7"/>
        <v>0</v>
      </c>
      <c r="AF61" s="58">
        <f t="shared" si="13"/>
        <v>0</v>
      </c>
      <c r="AG61" s="29">
        <f t="shared" si="8"/>
        <v>0</v>
      </c>
      <c r="AH61">
        <f t="shared" si="9"/>
        <v>0</v>
      </c>
      <c r="AI61" s="49">
        <f t="shared" si="10"/>
        <v>0.76088660456964785</v>
      </c>
      <c r="AJ61" s="49">
        <f t="shared" si="11"/>
        <v>0</v>
      </c>
      <c r="AK61" s="48">
        <f t="shared" si="12"/>
        <v>0</v>
      </c>
    </row>
    <row r="62" spans="2:37" x14ac:dyDescent="0.25">
      <c r="B62" s="2" t="s">
        <v>15</v>
      </c>
      <c r="C62" s="2" t="s">
        <v>58</v>
      </c>
      <c r="D62" s="2">
        <v>20141205</v>
      </c>
      <c r="E62" s="2">
        <v>1.6400000000000001</v>
      </c>
      <c r="F62" s="2" t="s">
        <v>60</v>
      </c>
      <c r="G62" s="2">
        <v>62500</v>
      </c>
      <c r="H62" s="2" t="str">
        <f t="shared" si="2"/>
        <v>GLOBEX</v>
      </c>
      <c r="I62" s="2" t="s">
        <v>17</v>
      </c>
      <c r="J62" s="2" t="s">
        <v>16</v>
      </c>
      <c r="K62" s="2" t="str">
        <f t="shared" si="3"/>
        <v>6BZ4 C1640</v>
      </c>
      <c r="L62" s="2" t="s">
        <v>25</v>
      </c>
      <c r="M62" s="51"/>
      <c r="N62" s="2">
        <v>0</v>
      </c>
      <c r="O62" s="2">
        <v>0</v>
      </c>
      <c r="P62" s="2">
        <v>0</v>
      </c>
      <c r="Q62" s="2">
        <v>0</v>
      </c>
      <c r="R62" s="2">
        <v>-1</v>
      </c>
      <c r="S62" s="2">
        <v>0</v>
      </c>
      <c r="T62" s="2"/>
      <c r="U62" s="53">
        <v>9.782771035915851E-5</v>
      </c>
      <c r="V62" s="52">
        <v>0.33829441606204114</v>
      </c>
      <c r="W62" s="2">
        <v>9.231386342049331E-3</v>
      </c>
      <c r="X62" s="53">
        <v>0.79460596919069038</v>
      </c>
      <c r="Y62" s="2">
        <v>-3.0509791410599559E-4</v>
      </c>
      <c r="Z62" s="34">
        <v>1.9878332249756179E-5</v>
      </c>
      <c r="AA62" s="2">
        <v>1.5650999999999999</v>
      </c>
      <c r="AB62" s="2">
        <f t="shared" si="4"/>
        <v>0</v>
      </c>
      <c r="AC62" s="2">
        <f t="shared" si="5"/>
        <v>0</v>
      </c>
      <c r="AD62" s="2">
        <f t="shared" si="6"/>
        <v>0</v>
      </c>
      <c r="AE62" s="57">
        <f t="shared" si="7"/>
        <v>0</v>
      </c>
      <c r="AF62" s="58">
        <f t="shared" si="13"/>
        <v>0</v>
      </c>
      <c r="AG62" s="29">
        <f t="shared" si="8"/>
        <v>0</v>
      </c>
      <c r="AH62">
        <f t="shared" si="9"/>
        <v>0</v>
      </c>
      <c r="AI62" s="49">
        <f t="shared" si="10"/>
        <v>0.97827710359158515</v>
      </c>
      <c r="AJ62" s="49">
        <f t="shared" si="11"/>
        <v>0</v>
      </c>
      <c r="AK62" s="48">
        <f t="shared" si="12"/>
        <v>0</v>
      </c>
    </row>
    <row r="63" spans="2:37" x14ac:dyDescent="0.25">
      <c r="B63" s="2" t="s">
        <v>15</v>
      </c>
      <c r="C63" s="2" t="s">
        <v>58</v>
      </c>
      <c r="D63" s="2">
        <v>20141205</v>
      </c>
      <c r="E63" s="2">
        <v>1.645</v>
      </c>
      <c r="F63" s="2" t="s">
        <v>60</v>
      </c>
      <c r="G63" s="2">
        <v>62500</v>
      </c>
      <c r="H63" s="2" t="str">
        <f t="shared" si="2"/>
        <v>GLOBEX</v>
      </c>
      <c r="I63" s="2" t="s">
        <v>17</v>
      </c>
      <c r="J63" s="2" t="s">
        <v>16</v>
      </c>
      <c r="K63" s="2" t="str">
        <f t="shared" si="3"/>
        <v>6BZ4 C1645</v>
      </c>
      <c r="L63" s="2" t="s">
        <v>25</v>
      </c>
      <c r="M63" s="51"/>
      <c r="N63" s="2">
        <v>0</v>
      </c>
      <c r="O63" s="2">
        <v>0</v>
      </c>
      <c r="P63" s="2">
        <v>0</v>
      </c>
      <c r="Q63" s="2">
        <v>0</v>
      </c>
      <c r="R63" s="2">
        <v>-1</v>
      </c>
      <c r="S63" s="2">
        <v>0</v>
      </c>
      <c r="T63" s="2"/>
      <c r="U63" s="53">
        <v>1.2403255473835201E-4</v>
      </c>
      <c r="V63" s="52">
        <v>0.37020751704270083</v>
      </c>
      <c r="W63" s="2">
        <v>1.0601392863491977E-2</v>
      </c>
      <c r="X63" s="53">
        <v>0.82390910321157418</v>
      </c>
      <c r="Y63" s="2">
        <v>-3.7885053357087256E-4</v>
      </c>
      <c r="Z63" s="34">
        <v>3.3613221409952267E-5</v>
      </c>
      <c r="AA63" s="2">
        <v>1.5650999999999999</v>
      </c>
      <c r="AB63" s="2">
        <f t="shared" si="4"/>
        <v>0</v>
      </c>
      <c r="AC63" s="2">
        <f t="shared" si="5"/>
        <v>0</v>
      </c>
      <c r="AD63" s="2">
        <f t="shared" si="6"/>
        <v>0</v>
      </c>
      <c r="AE63" s="57">
        <f t="shared" si="7"/>
        <v>0</v>
      </c>
      <c r="AF63" s="58">
        <f t="shared" si="13"/>
        <v>0</v>
      </c>
      <c r="AG63" s="29">
        <f t="shared" si="8"/>
        <v>0</v>
      </c>
      <c r="AH63">
        <f t="shared" si="9"/>
        <v>0</v>
      </c>
      <c r="AI63" s="49">
        <f t="shared" si="10"/>
        <v>1.2403255473835202</v>
      </c>
      <c r="AJ63" s="49">
        <f t="shared" si="11"/>
        <v>0</v>
      </c>
      <c r="AK63" s="48">
        <f t="shared" si="12"/>
        <v>0</v>
      </c>
    </row>
    <row r="64" spans="2:37" x14ac:dyDescent="0.25">
      <c r="B64" s="2" t="s">
        <v>15</v>
      </c>
      <c r="C64" s="2" t="s">
        <v>58</v>
      </c>
      <c r="D64" s="2">
        <v>20141205</v>
      </c>
      <c r="E64" s="2">
        <v>1.65</v>
      </c>
      <c r="F64" s="2" t="s">
        <v>60</v>
      </c>
      <c r="G64" s="2">
        <v>62500</v>
      </c>
      <c r="H64" s="2" t="str">
        <f t="shared" si="2"/>
        <v>GLOBEX</v>
      </c>
      <c r="I64" s="2" t="s">
        <v>17</v>
      </c>
      <c r="J64" s="2" t="s">
        <v>16</v>
      </c>
      <c r="K64" s="2" t="str">
        <f t="shared" si="3"/>
        <v>6BZ4 C1650</v>
      </c>
      <c r="L64" s="2" t="s">
        <v>25</v>
      </c>
      <c r="M64" s="51"/>
      <c r="N64" s="2">
        <v>0</v>
      </c>
      <c r="O64" s="2">
        <v>0</v>
      </c>
      <c r="P64" s="2">
        <v>0</v>
      </c>
      <c r="Q64" s="2">
        <v>0</v>
      </c>
      <c r="R64" s="2">
        <v>-1</v>
      </c>
      <c r="S64" s="2">
        <v>0</v>
      </c>
      <c r="T64" s="2"/>
      <c r="U64" s="53">
        <v>1.7095647955773504E-4</v>
      </c>
      <c r="V64" s="52">
        <v>0.40427347041482165</v>
      </c>
      <c r="W64" s="2">
        <v>1.3016096373638784E-2</v>
      </c>
      <c r="X64" s="53">
        <v>0.89656273865530178</v>
      </c>
      <c r="Y64" s="2">
        <v>-4.916201945875079E-4</v>
      </c>
      <c r="Z64" s="34">
        <v>3.8703956722565386E-5</v>
      </c>
      <c r="AA64" s="2">
        <v>1.5650999999999999</v>
      </c>
      <c r="AB64" s="2">
        <f t="shared" si="4"/>
        <v>0</v>
      </c>
      <c r="AC64" s="2">
        <f t="shared" si="5"/>
        <v>0</v>
      </c>
      <c r="AD64" s="2">
        <f t="shared" si="6"/>
        <v>0</v>
      </c>
      <c r="AE64" s="57">
        <f t="shared" si="7"/>
        <v>0</v>
      </c>
      <c r="AF64" s="58">
        <f t="shared" si="13"/>
        <v>0</v>
      </c>
      <c r="AG64" s="29">
        <f t="shared" si="8"/>
        <v>0</v>
      </c>
      <c r="AH64">
        <f t="shared" si="9"/>
        <v>0</v>
      </c>
      <c r="AI64" s="49">
        <f t="shared" si="10"/>
        <v>1.7095647955773505</v>
      </c>
      <c r="AJ64" s="49">
        <f t="shared" si="11"/>
        <v>0</v>
      </c>
      <c r="AK64" s="48">
        <f t="shared" si="12"/>
        <v>0</v>
      </c>
    </row>
    <row r="65" spans="2:37" x14ac:dyDescent="0.25">
      <c r="B65" s="2" t="s">
        <v>15</v>
      </c>
      <c r="C65" s="2" t="s">
        <v>58</v>
      </c>
      <c r="D65" s="2">
        <v>20141205</v>
      </c>
      <c r="E65" s="2">
        <v>1.655</v>
      </c>
      <c r="F65" s="2" t="s">
        <v>60</v>
      </c>
      <c r="G65" s="2">
        <v>62500</v>
      </c>
      <c r="H65" s="2" t="str">
        <f t="shared" si="2"/>
        <v>GLOBEX</v>
      </c>
      <c r="I65" s="2" t="s">
        <v>17</v>
      </c>
      <c r="J65" s="2" t="s">
        <v>16</v>
      </c>
      <c r="K65" s="2" t="str">
        <f t="shared" si="3"/>
        <v>6BZ4 C1655</v>
      </c>
      <c r="L65" s="2" t="s">
        <v>25</v>
      </c>
      <c r="M65" s="51"/>
      <c r="N65" s="2">
        <v>0</v>
      </c>
      <c r="O65" s="2">
        <v>0</v>
      </c>
      <c r="P65" s="2">
        <v>0</v>
      </c>
      <c r="Q65" s="2">
        <v>0</v>
      </c>
      <c r="R65" s="2">
        <v>-1</v>
      </c>
      <c r="S65" s="2">
        <v>0</v>
      </c>
      <c r="T65" s="2"/>
      <c r="U65" s="53">
        <v>2.3165590829105819E-4</v>
      </c>
      <c r="V65" s="52">
        <v>0.44049227617840359</v>
      </c>
      <c r="W65" s="2">
        <v>1.5811261977233655E-2</v>
      </c>
      <c r="X65" s="53">
        <v>0.97073908073251758</v>
      </c>
      <c r="Y65" s="2">
        <v>-6.3194333685412407E-4</v>
      </c>
      <c r="Z65" s="34">
        <v>3.876200967410198E-5</v>
      </c>
      <c r="AA65" s="2">
        <v>1.5650999999999999</v>
      </c>
      <c r="AB65" s="2">
        <f t="shared" si="4"/>
        <v>0</v>
      </c>
      <c r="AC65" s="2">
        <f t="shared" si="5"/>
        <v>0</v>
      </c>
      <c r="AD65" s="2">
        <f t="shared" si="6"/>
        <v>0</v>
      </c>
      <c r="AE65" s="57">
        <f t="shared" si="7"/>
        <v>0</v>
      </c>
      <c r="AF65" s="58">
        <f t="shared" si="13"/>
        <v>0</v>
      </c>
      <c r="AG65" s="29">
        <f t="shared" si="8"/>
        <v>0</v>
      </c>
      <c r="AH65">
        <f t="shared" si="9"/>
        <v>0</v>
      </c>
      <c r="AI65" s="49">
        <f t="shared" si="10"/>
        <v>2.3165590829105818</v>
      </c>
      <c r="AJ65" s="49">
        <f t="shared" si="11"/>
        <v>0</v>
      </c>
      <c r="AK65" s="48">
        <f t="shared" si="12"/>
        <v>0</v>
      </c>
    </row>
    <row r="66" spans="2:37" x14ac:dyDescent="0.25">
      <c r="B66" s="2" t="s">
        <v>15</v>
      </c>
      <c r="C66" s="2" t="s">
        <v>58</v>
      </c>
      <c r="D66" s="2">
        <v>20141212</v>
      </c>
      <c r="E66" s="2">
        <v>1.51</v>
      </c>
      <c r="F66" s="2" t="s">
        <v>59</v>
      </c>
      <c r="G66" s="2">
        <v>62500</v>
      </c>
      <c r="H66" s="2" t="str">
        <f>I66</f>
        <v>GLOBEX</v>
      </c>
      <c r="I66" s="2" t="s">
        <v>17</v>
      </c>
      <c r="J66" s="2" t="s">
        <v>16</v>
      </c>
      <c r="K66" s="2" t="str">
        <f>CONCATENATE("6B2Z4 ",F66,E66*1000)</f>
        <v>6B2Z4 P1510</v>
      </c>
      <c r="L66" s="2" t="s">
        <v>122</v>
      </c>
      <c r="M66" s="51"/>
      <c r="N66" s="2">
        <v>0</v>
      </c>
      <c r="O66" s="2">
        <v>0</v>
      </c>
      <c r="P66" s="2">
        <v>0</v>
      </c>
      <c r="Q66" s="2">
        <v>0</v>
      </c>
      <c r="R66" s="2">
        <v>4.0000000000000002E-4</v>
      </c>
      <c r="S66" s="2">
        <v>25</v>
      </c>
      <c r="T66" s="2"/>
      <c r="U66" s="53">
        <v>1.4024361866305218E-4</v>
      </c>
      <c r="V66" s="52">
        <v>0.10908946559042221</v>
      </c>
      <c r="W66" s="2">
        <v>-1.5048388587889306E-2</v>
      </c>
      <c r="X66" s="53">
        <v>0</v>
      </c>
      <c r="Y66" s="2">
        <v>-5.8744395122650194E-5</v>
      </c>
      <c r="Z66" s="34">
        <v>1.0005822846616781E-4</v>
      </c>
      <c r="AA66" s="2">
        <v>1.5642</v>
      </c>
      <c r="AB66" s="2">
        <f t="shared" si="4"/>
        <v>0</v>
      </c>
      <c r="AC66" s="2">
        <f t="shared" si="5"/>
        <v>0</v>
      </c>
      <c r="AD66" s="2">
        <f t="shared" si="6"/>
        <v>0</v>
      </c>
      <c r="AE66" s="57">
        <f t="shared" si="7"/>
        <v>0</v>
      </c>
      <c r="AF66" s="58">
        <f t="shared" si="13"/>
        <v>0</v>
      </c>
      <c r="AG66" s="29">
        <f t="shared" si="8"/>
        <v>0</v>
      </c>
      <c r="AH66">
        <f t="shared" si="9"/>
        <v>0</v>
      </c>
      <c r="AI66" s="49">
        <f t="shared" si="10"/>
        <v>1.4024361866305217</v>
      </c>
      <c r="AJ66" s="49">
        <f t="shared" si="11"/>
        <v>0</v>
      </c>
      <c r="AK66" s="48">
        <f t="shared" ref="AK66:AK104" si="14">MAX(0,AJ66*6.25)</f>
        <v>0</v>
      </c>
    </row>
    <row r="67" spans="2:37" x14ac:dyDescent="0.25">
      <c r="B67" s="2" t="s">
        <v>15</v>
      </c>
      <c r="C67" s="2" t="s">
        <v>58</v>
      </c>
      <c r="D67" s="2">
        <v>20141212</v>
      </c>
      <c r="E67" s="2">
        <v>1.5149999999999999</v>
      </c>
      <c r="F67" s="2" t="s">
        <v>59</v>
      </c>
      <c r="G67" s="2">
        <v>62500</v>
      </c>
      <c r="H67" s="2" t="str">
        <f t="shared" ref="H67:H125" si="15">I67</f>
        <v>GLOBEX</v>
      </c>
      <c r="I67" s="2" t="s">
        <v>17</v>
      </c>
      <c r="J67" s="2" t="s">
        <v>16</v>
      </c>
      <c r="K67" s="2" t="str">
        <f t="shared" ref="K67:K125" si="16">CONCATENATE("6B2Z4 ",F67,E67*1000)</f>
        <v>6B2Z4 P1515</v>
      </c>
      <c r="L67" s="2" t="s">
        <v>122</v>
      </c>
      <c r="M67" s="51"/>
      <c r="N67" s="2">
        <v>0</v>
      </c>
      <c r="O67" s="2">
        <v>0</v>
      </c>
      <c r="P67" s="2">
        <v>0</v>
      </c>
      <c r="Q67" s="2">
        <v>0</v>
      </c>
      <c r="R67" s="2">
        <v>4.0000000000000002E-4</v>
      </c>
      <c r="S67" s="2">
        <v>25</v>
      </c>
      <c r="T67" s="2"/>
      <c r="U67" s="53">
        <v>1.7091252918472518E-4</v>
      </c>
      <c r="V67" s="52">
        <v>0.10347358242750815</v>
      </c>
      <c r="W67" s="2">
        <v>-1.8909580693521087E-2</v>
      </c>
      <c r="X67" s="53">
        <v>0</v>
      </c>
      <c r="Y67" s="2">
        <v>-6.8065663889373048E-5</v>
      </c>
      <c r="Z67" s="34">
        <v>1.4050543620535127E-4</v>
      </c>
      <c r="AA67" s="2">
        <v>1.5642</v>
      </c>
      <c r="AB67" s="2">
        <f t="shared" si="4"/>
        <v>0</v>
      </c>
      <c r="AC67" s="2">
        <f t="shared" si="5"/>
        <v>0</v>
      </c>
      <c r="AD67" s="2">
        <f t="shared" si="6"/>
        <v>0</v>
      </c>
      <c r="AE67" s="57">
        <f t="shared" si="7"/>
        <v>0</v>
      </c>
      <c r="AF67" s="58">
        <f t="shared" si="13"/>
        <v>0</v>
      </c>
      <c r="AG67" s="29">
        <f t="shared" si="8"/>
        <v>0</v>
      </c>
      <c r="AH67">
        <f t="shared" si="9"/>
        <v>0</v>
      </c>
      <c r="AI67" s="49">
        <f t="shared" si="10"/>
        <v>1.7091252918472517</v>
      </c>
      <c r="AJ67" s="49">
        <f t="shared" si="11"/>
        <v>0</v>
      </c>
      <c r="AK67" s="48">
        <f t="shared" si="14"/>
        <v>0</v>
      </c>
    </row>
    <row r="68" spans="2:37" x14ac:dyDescent="0.25">
      <c r="B68" s="2" t="s">
        <v>15</v>
      </c>
      <c r="C68" s="2" t="s">
        <v>58</v>
      </c>
      <c r="D68" s="2">
        <v>20141212</v>
      </c>
      <c r="E68" s="2">
        <v>1.52</v>
      </c>
      <c r="F68" s="2" t="s">
        <v>59</v>
      </c>
      <c r="G68" s="2">
        <v>62500</v>
      </c>
      <c r="H68" s="2" t="str">
        <f t="shared" si="15"/>
        <v>GLOBEX</v>
      </c>
      <c r="I68" s="2" t="s">
        <v>17</v>
      </c>
      <c r="J68" s="2" t="s">
        <v>16</v>
      </c>
      <c r="K68" s="2" t="str">
        <f t="shared" si="16"/>
        <v>6B2Z4 P1520</v>
      </c>
      <c r="L68" s="2" t="s">
        <v>122</v>
      </c>
      <c r="M68" s="51"/>
      <c r="N68" s="2">
        <v>0</v>
      </c>
      <c r="O68" s="2">
        <v>0</v>
      </c>
      <c r="P68" s="2">
        <v>0</v>
      </c>
      <c r="Q68" s="2">
        <v>-1</v>
      </c>
      <c r="R68" s="2">
        <v>5.0000000000000001E-4</v>
      </c>
      <c r="S68" s="2">
        <v>25</v>
      </c>
      <c r="T68" s="2"/>
      <c r="U68" s="53">
        <v>2.2087118979903026E-4</v>
      </c>
      <c r="V68" s="52">
        <v>9.8277391541415682E-2</v>
      </c>
      <c r="W68" s="2">
        <v>-2.485039263321118E-2</v>
      </c>
      <c r="X68" s="53">
        <v>0</v>
      </c>
      <c r="Y68" s="2">
        <v>-8.1461483749445217E-5</v>
      </c>
      <c r="Z68" s="34">
        <v>1.6841938704917933E-4</v>
      </c>
      <c r="AA68" s="2">
        <v>1.5642</v>
      </c>
      <c r="AB68" s="2">
        <f t="shared" si="4"/>
        <v>0</v>
      </c>
      <c r="AC68" s="2">
        <f t="shared" si="5"/>
        <v>0</v>
      </c>
      <c r="AD68" s="2">
        <f t="shared" si="6"/>
        <v>0</v>
      </c>
      <c r="AE68" s="57">
        <f t="shared" si="7"/>
        <v>0</v>
      </c>
      <c r="AF68" s="58">
        <f t="shared" si="13"/>
        <v>0</v>
      </c>
      <c r="AG68" s="29">
        <f t="shared" si="8"/>
        <v>0</v>
      </c>
      <c r="AH68">
        <f t="shared" si="9"/>
        <v>0</v>
      </c>
      <c r="AI68" s="49">
        <f t="shared" si="10"/>
        <v>2.2087118979903027</v>
      </c>
      <c r="AJ68" s="49">
        <f t="shared" si="11"/>
        <v>0</v>
      </c>
      <c r="AK68" s="48">
        <f t="shared" si="14"/>
        <v>0</v>
      </c>
    </row>
    <row r="69" spans="2:37" x14ac:dyDescent="0.25">
      <c r="B69" s="2" t="s">
        <v>15</v>
      </c>
      <c r="C69" s="2" t="s">
        <v>58</v>
      </c>
      <c r="D69" s="2">
        <v>20141212</v>
      </c>
      <c r="E69" s="2">
        <v>1.5249999999999999</v>
      </c>
      <c r="F69" s="2" t="s">
        <v>59</v>
      </c>
      <c r="G69" s="2">
        <v>62500</v>
      </c>
      <c r="H69" s="2" t="str">
        <f t="shared" si="15"/>
        <v>GLOBEX</v>
      </c>
      <c r="I69" s="2" t="s">
        <v>17</v>
      </c>
      <c r="J69" s="2" t="s">
        <v>16</v>
      </c>
      <c r="K69" s="2" t="str">
        <f t="shared" si="16"/>
        <v>6B2Z4 P1525</v>
      </c>
      <c r="L69" s="2" t="s">
        <v>122</v>
      </c>
      <c r="M69" s="51"/>
      <c r="N69" s="2">
        <v>0</v>
      </c>
      <c r="O69" s="2">
        <v>0</v>
      </c>
      <c r="P69" s="2">
        <v>0</v>
      </c>
      <c r="Q69" s="2">
        <v>-1</v>
      </c>
      <c r="R69" s="2">
        <v>5.9999999999999995E-4</v>
      </c>
      <c r="S69" s="2">
        <v>25</v>
      </c>
      <c r="T69" s="2"/>
      <c r="U69" s="53">
        <v>3.0525823040291824E-4</v>
      </c>
      <c r="V69" s="52">
        <v>9.3500892932148361E-2</v>
      </c>
      <c r="W69" s="2">
        <v>-3.4496333851781462E-2</v>
      </c>
      <c r="X69" s="53">
        <v>0</v>
      </c>
      <c r="Y69" s="2">
        <v>-1.0166154490831713E-4</v>
      </c>
      <c r="Z69" s="34">
        <v>2.1293197973217736E-4</v>
      </c>
      <c r="AA69" s="2">
        <v>1.5642</v>
      </c>
      <c r="AB69" s="2">
        <f t="shared" si="4"/>
        <v>0</v>
      </c>
      <c r="AC69" s="2">
        <f t="shared" si="5"/>
        <v>0</v>
      </c>
      <c r="AD69" s="2">
        <f t="shared" si="6"/>
        <v>0</v>
      </c>
      <c r="AE69" s="57">
        <f t="shared" si="7"/>
        <v>0</v>
      </c>
      <c r="AF69" s="58">
        <f t="shared" si="13"/>
        <v>0</v>
      </c>
      <c r="AG69" s="29">
        <f t="shared" si="8"/>
        <v>0</v>
      </c>
      <c r="AH69">
        <f t="shared" si="9"/>
        <v>0</v>
      </c>
      <c r="AI69" s="49">
        <f t="shared" si="10"/>
        <v>3.0525823040291824</v>
      </c>
      <c r="AJ69" s="49">
        <f t="shared" si="11"/>
        <v>0</v>
      </c>
      <c r="AK69" s="48">
        <f t="shared" si="14"/>
        <v>0</v>
      </c>
    </row>
    <row r="70" spans="2:37" x14ac:dyDescent="0.25">
      <c r="B70" s="2" t="s">
        <v>15</v>
      </c>
      <c r="C70" s="2" t="s">
        <v>58</v>
      </c>
      <c r="D70" s="2">
        <v>20141212</v>
      </c>
      <c r="E70" s="2">
        <v>1.53</v>
      </c>
      <c r="F70" s="2" t="s">
        <v>59</v>
      </c>
      <c r="G70" s="2">
        <v>62500</v>
      </c>
      <c r="H70" s="2" t="str">
        <f t="shared" si="15"/>
        <v>GLOBEX</v>
      </c>
      <c r="I70" s="2" t="s">
        <v>17</v>
      </c>
      <c r="J70" s="2" t="s">
        <v>16</v>
      </c>
      <c r="K70" s="2" t="str">
        <f t="shared" si="16"/>
        <v>6B2Z4 P1530</v>
      </c>
      <c r="L70" s="2" t="s">
        <v>122</v>
      </c>
      <c r="M70" s="51"/>
      <c r="N70" s="2">
        <v>0</v>
      </c>
      <c r="O70" s="2">
        <v>0</v>
      </c>
      <c r="P70" s="2">
        <v>25</v>
      </c>
      <c r="Q70" s="2">
        <v>1E-4</v>
      </c>
      <c r="R70" s="2">
        <v>6.9999999999999999E-4</v>
      </c>
      <c r="S70" s="2">
        <v>25</v>
      </c>
      <c r="T70" s="2"/>
      <c r="U70" s="53">
        <v>4.2430784877228365E-4</v>
      </c>
      <c r="V70" s="52">
        <v>8.9144086599702632E-2</v>
      </c>
      <c r="W70" s="2">
        <v>-4.7955376057874304E-2</v>
      </c>
      <c r="X70" s="53">
        <v>0</v>
      </c>
      <c r="Y70" s="2">
        <v>-1.2692565479226184E-4</v>
      </c>
      <c r="Z70" s="34">
        <v>2.7569349430633667E-4</v>
      </c>
      <c r="AA70" s="2">
        <v>1.5642</v>
      </c>
      <c r="AB70" s="2">
        <f t="shared" si="4"/>
        <v>0</v>
      </c>
      <c r="AC70" s="2">
        <f t="shared" si="5"/>
        <v>0</v>
      </c>
      <c r="AD70" s="2">
        <f t="shared" si="6"/>
        <v>0</v>
      </c>
      <c r="AE70" s="57">
        <f t="shared" si="7"/>
        <v>0</v>
      </c>
      <c r="AF70" s="58">
        <f t="shared" ref="AF70:AF101" si="17">IF(ISERR(AE70),0,AE70*M70)</f>
        <v>0</v>
      </c>
      <c r="AG70" s="29">
        <f t="shared" si="8"/>
        <v>0</v>
      </c>
      <c r="AH70">
        <f t="shared" si="9"/>
        <v>0</v>
      </c>
      <c r="AI70" s="49">
        <f t="shared" si="10"/>
        <v>4.243078487722836</v>
      </c>
      <c r="AJ70" s="49">
        <f t="shared" si="11"/>
        <v>0</v>
      </c>
      <c r="AK70" s="48">
        <f t="shared" si="14"/>
        <v>0</v>
      </c>
    </row>
    <row r="71" spans="2:37" x14ac:dyDescent="0.25">
      <c r="B71" s="2" t="s">
        <v>15</v>
      </c>
      <c r="C71" s="2" t="s">
        <v>58</v>
      </c>
      <c r="D71" s="2">
        <v>20141212</v>
      </c>
      <c r="E71" s="2">
        <v>1.5349999999999999</v>
      </c>
      <c r="F71" s="2" t="s">
        <v>59</v>
      </c>
      <c r="G71" s="2">
        <v>62500</v>
      </c>
      <c r="H71" s="2" t="str">
        <f t="shared" si="15"/>
        <v>GLOBEX</v>
      </c>
      <c r="I71" s="2" t="s">
        <v>17</v>
      </c>
      <c r="J71" s="2" t="s">
        <v>16</v>
      </c>
      <c r="K71" s="2" t="str">
        <f t="shared" si="16"/>
        <v>6B2Z4 P1535</v>
      </c>
      <c r="L71" s="2" t="s">
        <v>122</v>
      </c>
      <c r="M71" s="51"/>
      <c r="N71" s="2">
        <v>0</v>
      </c>
      <c r="O71" s="2">
        <v>0</v>
      </c>
      <c r="P71" s="2">
        <v>25</v>
      </c>
      <c r="Q71" s="2">
        <v>2.9999999999999997E-4</v>
      </c>
      <c r="R71" s="2">
        <v>1E-3</v>
      </c>
      <c r="S71" s="2">
        <v>25</v>
      </c>
      <c r="T71" s="2"/>
      <c r="U71" s="53">
        <v>6.1686464319775445E-4</v>
      </c>
      <c r="V71" s="52">
        <v>8.5206972544082049E-2</v>
      </c>
      <c r="W71" s="2">
        <v>-6.889121112523823E-2</v>
      </c>
      <c r="X71" s="53">
        <v>0</v>
      </c>
      <c r="Y71" s="2">
        <v>-1.6176339292787062E-4</v>
      </c>
      <c r="Z71" s="34">
        <v>3.6851100970617713E-4</v>
      </c>
      <c r="AA71" s="2">
        <v>1.5642</v>
      </c>
      <c r="AB71" s="2">
        <f t="shared" ref="AB71:AB125" si="18">W71*M71</f>
        <v>0</v>
      </c>
      <c r="AC71" s="2">
        <f t="shared" ref="AC71:AC125" si="19">AE71*M71</f>
        <v>0</v>
      </c>
      <c r="AD71" s="2">
        <f t="shared" ref="AD71:AD125" si="20">Y71*M71</f>
        <v>0</v>
      </c>
      <c r="AE71" s="57">
        <f t="shared" ref="AE71:AE125" si="21">BSGamma($AA$17,E71,D71,0.001,V71)</f>
        <v>0</v>
      </c>
      <c r="AF71" s="58">
        <f t="shared" si="17"/>
        <v>0</v>
      </c>
      <c r="AG71" s="29">
        <f t="shared" ref="AG71:AG125" si="22">IF(AE71 = 0,0,(Y71*-10000)/AE71)</f>
        <v>0</v>
      </c>
      <c r="AH71">
        <f t="shared" ref="AH71:AH125" si="23">IF(F71="C",MAX(0,$AA$14-E71),MAX(0,E71-$AA$14))*10000</f>
        <v>0</v>
      </c>
      <c r="AI71" s="49">
        <f t="shared" ref="AI71:AI125" si="24">MAX(0,(U71*10000)-AH71)</f>
        <v>6.1686464319775443</v>
      </c>
      <c r="AJ71" s="49">
        <f t="shared" ref="AJ71:AJ125" si="25">AI71*M71</f>
        <v>0</v>
      </c>
      <c r="AK71" s="48">
        <f t="shared" si="14"/>
        <v>0</v>
      </c>
    </row>
    <row r="72" spans="2:37" x14ac:dyDescent="0.25">
      <c r="B72" s="2" t="s">
        <v>15</v>
      </c>
      <c r="C72" s="2" t="s">
        <v>58</v>
      </c>
      <c r="D72" s="2">
        <v>20141212</v>
      </c>
      <c r="E72" s="2">
        <v>1.54</v>
      </c>
      <c r="F72" s="2" t="s">
        <v>59</v>
      </c>
      <c r="G72" s="2">
        <v>62500</v>
      </c>
      <c r="H72" s="2" t="str">
        <f t="shared" si="15"/>
        <v>GLOBEX</v>
      </c>
      <c r="I72" s="2" t="s">
        <v>17</v>
      </c>
      <c r="J72" s="2" t="s">
        <v>16</v>
      </c>
      <c r="K72" s="2" t="str">
        <f t="shared" si="16"/>
        <v>6B2Z4 P1540</v>
      </c>
      <c r="L72" s="2" t="s">
        <v>122</v>
      </c>
      <c r="M72" s="51"/>
      <c r="N72" s="2">
        <v>0</v>
      </c>
      <c r="O72" s="2">
        <v>0</v>
      </c>
      <c r="P72" s="2">
        <v>25</v>
      </c>
      <c r="Q72" s="2">
        <v>5.9999999999999995E-4</v>
      </c>
      <c r="R72" s="2">
        <v>1.2999999999999999E-3</v>
      </c>
      <c r="S72" s="2">
        <v>25</v>
      </c>
      <c r="T72" s="2"/>
      <c r="U72" s="53">
        <v>9.375124077932583E-4</v>
      </c>
      <c r="V72" s="52">
        <v>8.1689550765279506E-2</v>
      </c>
      <c r="W72" s="2">
        <v>-0.1011482523224258</v>
      </c>
      <c r="X72" s="53">
        <v>0</v>
      </c>
      <c r="Y72" s="2">
        <v>-2.061677808913667E-4</v>
      </c>
      <c r="Z72" s="34">
        <v>4.1707176381629556E-4</v>
      </c>
      <c r="AA72" s="2">
        <v>1.5642</v>
      </c>
      <c r="AB72" s="2">
        <f t="shared" si="18"/>
        <v>0</v>
      </c>
      <c r="AC72" s="2">
        <f t="shared" si="19"/>
        <v>0</v>
      </c>
      <c r="AD72" s="2">
        <f t="shared" si="20"/>
        <v>0</v>
      </c>
      <c r="AE72" s="57">
        <f t="shared" si="21"/>
        <v>0</v>
      </c>
      <c r="AF72" s="58">
        <f t="shared" si="17"/>
        <v>0</v>
      </c>
      <c r="AG72" s="29">
        <f t="shared" si="22"/>
        <v>0</v>
      </c>
      <c r="AH72">
        <f t="shared" si="23"/>
        <v>0</v>
      </c>
      <c r="AI72" s="49">
        <f t="shared" si="24"/>
        <v>9.3751240779325826</v>
      </c>
      <c r="AJ72" s="49">
        <f t="shared" si="25"/>
        <v>0</v>
      </c>
      <c r="AK72" s="48">
        <f t="shared" si="14"/>
        <v>0</v>
      </c>
    </row>
    <row r="73" spans="2:37" x14ac:dyDescent="0.25">
      <c r="B73" s="2" t="s">
        <v>15</v>
      </c>
      <c r="C73" s="2" t="s">
        <v>58</v>
      </c>
      <c r="D73" s="2">
        <v>20141212</v>
      </c>
      <c r="E73" s="2">
        <v>1.5449999999999999</v>
      </c>
      <c r="F73" s="2" t="s">
        <v>59</v>
      </c>
      <c r="G73" s="2">
        <v>62500</v>
      </c>
      <c r="H73" s="2" t="str">
        <f t="shared" si="15"/>
        <v>GLOBEX</v>
      </c>
      <c r="I73" s="2" t="s">
        <v>17</v>
      </c>
      <c r="J73" s="2" t="s">
        <v>16</v>
      </c>
      <c r="K73" s="2" t="str">
        <f t="shared" si="16"/>
        <v>6B2Z4 P1545</v>
      </c>
      <c r="L73" s="2" t="s">
        <v>122</v>
      </c>
      <c r="M73" s="51"/>
      <c r="N73" s="2">
        <v>0</v>
      </c>
      <c r="O73" s="2">
        <v>0</v>
      </c>
      <c r="P73" s="2">
        <v>25</v>
      </c>
      <c r="Q73" s="2">
        <v>1.1000000000000001E-3</v>
      </c>
      <c r="R73" s="2">
        <v>1.8E-3</v>
      </c>
      <c r="S73" s="2">
        <v>25</v>
      </c>
      <c r="T73" s="2"/>
      <c r="U73" s="53">
        <v>1.416978241784104E-3</v>
      </c>
      <c r="V73" s="52">
        <v>7.8591821263305661E-2</v>
      </c>
      <c r="W73" s="2">
        <v>-0.14660509614944628</v>
      </c>
      <c r="X73" s="53">
        <v>0</v>
      </c>
      <c r="Y73" s="2">
        <v>-2.5777221457805126E-4</v>
      </c>
      <c r="Z73" s="34">
        <v>5.7387567731013197E-4</v>
      </c>
      <c r="AA73" s="2">
        <v>1.5642</v>
      </c>
      <c r="AB73" s="2">
        <f t="shared" si="18"/>
        <v>0</v>
      </c>
      <c r="AC73" s="2">
        <f t="shared" si="19"/>
        <v>0</v>
      </c>
      <c r="AD73" s="2">
        <f t="shared" si="20"/>
        <v>0</v>
      </c>
      <c r="AE73" s="57">
        <f t="shared" si="21"/>
        <v>0</v>
      </c>
      <c r="AF73" s="58">
        <f t="shared" si="17"/>
        <v>0</v>
      </c>
      <c r="AG73" s="29">
        <f t="shared" si="22"/>
        <v>0</v>
      </c>
      <c r="AH73">
        <f t="shared" si="23"/>
        <v>0</v>
      </c>
      <c r="AI73" s="49">
        <f t="shared" si="24"/>
        <v>14.16978241784104</v>
      </c>
      <c r="AJ73" s="49">
        <f t="shared" si="25"/>
        <v>0</v>
      </c>
      <c r="AK73" s="48">
        <f t="shared" si="14"/>
        <v>0</v>
      </c>
    </row>
    <row r="74" spans="2:37" x14ac:dyDescent="0.25">
      <c r="B74" s="2" t="s">
        <v>15</v>
      </c>
      <c r="C74" s="2" t="s">
        <v>58</v>
      </c>
      <c r="D74" s="2">
        <v>20141212</v>
      </c>
      <c r="E74" s="2">
        <v>1.55</v>
      </c>
      <c r="F74" s="2" t="s">
        <v>59</v>
      </c>
      <c r="G74" s="2">
        <v>62500</v>
      </c>
      <c r="H74" s="2" t="str">
        <f t="shared" si="15"/>
        <v>GLOBEX</v>
      </c>
      <c r="I74" s="2" t="s">
        <v>17</v>
      </c>
      <c r="J74" s="2" t="s">
        <v>16</v>
      </c>
      <c r="K74" s="2" t="str">
        <f t="shared" si="16"/>
        <v>6B2Z4 P1550</v>
      </c>
      <c r="L74" s="2" t="s">
        <v>122</v>
      </c>
      <c r="M74" s="51"/>
      <c r="N74" s="2">
        <v>0</v>
      </c>
      <c r="O74" s="2">
        <v>0</v>
      </c>
      <c r="P74" s="2">
        <v>25</v>
      </c>
      <c r="Q74" s="2">
        <v>1.9E-3</v>
      </c>
      <c r="R74" s="2">
        <v>2.5999999999999999E-3</v>
      </c>
      <c r="S74" s="2">
        <v>25</v>
      </c>
      <c r="T74" s="2"/>
      <c r="U74" s="53">
        <v>2.6000000070780516E-3</v>
      </c>
      <c r="V74" s="52">
        <v>8.2106750773082798E-2</v>
      </c>
      <c r="W74" s="2">
        <v>-0.22845899713945739</v>
      </c>
      <c r="X74" s="53">
        <v>0</v>
      </c>
      <c r="Y74" s="2">
        <v>-3.5504937711312948E-4</v>
      </c>
      <c r="Z74" s="34">
        <v>7.3156742612437301E-4</v>
      </c>
      <c r="AA74" s="2">
        <v>1.5642</v>
      </c>
      <c r="AB74" s="2">
        <f t="shared" si="18"/>
        <v>0</v>
      </c>
      <c r="AC74" s="2">
        <f t="shared" si="19"/>
        <v>0</v>
      </c>
      <c r="AD74" s="2">
        <f t="shared" si="20"/>
        <v>0</v>
      </c>
      <c r="AE74" s="57">
        <f t="shared" si="21"/>
        <v>0</v>
      </c>
      <c r="AF74" s="58">
        <f t="shared" si="17"/>
        <v>0</v>
      </c>
      <c r="AG74" s="29">
        <f t="shared" si="22"/>
        <v>0</v>
      </c>
      <c r="AH74">
        <f t="shared" si="23"/>
        <v>0</v>
      </c>
      <c r="AI74" s="49">
        <f t="shared" si="24"/>
        <v>26.000000070780516</v>
      </c>
      <c r="AJ74" s="49">
        <f t="shared" si="25"/>
        <v>0</v>
      </c>
      <c r="AK74" s="48">
        <f t="shared" si="14"/>
        <v>0</v>
      </c>
    </row>
    <row r="75" spans="2:37" x14ac:dyDescent="0.25">
      <c r="B75" s="2" t="s">
        <v>15</v>
      </c>
      <c r="C75" s="2" t="s">
        <v>58</v>
      </c>
      <c r="D75" s="2">
        <v>20141212</v>
      </c>
      <c r="E75" s="2">
        <v>1.5549999999999999</v>
      </c>
      <c r="F75" s="2" t="s">
        <v>59</v>
      </c>
      <c r="G75" s="2">
        <v>62500</v>
      </c>
      <c r="H75" s="2" t="str">
        <f t="shared" si="15"/>
        <v>GLOBEX</v>
      </c>
      <c r="I75" s="2" t="s">
        <v>17</v>
      </c>
      <c r="J75" s="2" t="s">
        <v>16</v>
      </c>
      <c r="K75" s="2" t="str">
        <f t="shared" si="16"/>
        <v>6B2Z4 P1555</v>
      </c>
      <c r="L75" s="2" t="s">
        <v>122</v>
      </c>
      <c r="M75" s="51"/>
      <c r="N75" s="2">
        <v>0</v>
      </c>
      <c r="O75" s="2">
        <v>0</v>
      </c>
      <c r="P75" s="2">
        <v>25</v>
      </c>
      <c r="Q75" s="2">
        <v>3.0000000000000001E-3</v>
      </c>
      <c r="R75" s="2">
        <v>3.7000000000000002E-3</v>
      </c>
      <c r="S75" s="2">
        <v>25</v>
      </c>
      <c r="T75" s="2"/>
      <c r="U75" s="53">
        <v>3.7000000011175871E-3</v>
      </c>
      <c r="V75" s="52">
        <v>7.8934224134678738E-2</v>
      </c>
      <c r="W75" s="2">
        <v>-0.30734476741151529</v>
      </c>
      <c r="X75" s="53">
        <v>0</v>
      </c>
      <c r="Y75" s="2">
        <v>-3.9760947845931372E-4</v>
      </c>
      <c r="Z75" s="34">
        <v>8.6018280787818809E-4</v>
      </c>
      <c r="AA75" s="2">
        <v>1.5642</v>
      </c>
      <c r="AB75" s="2">
        <f t="shared" si="18"/>
        <v>0</v>
      </c>
      <c r="AC75" s="2">
        <f t="shared" si="19"/>
        <v>0</v>
      </c>
      <c r="AD75" s="2">
        <f t="shared" si="20"/>
        <v>0</v>
      </c>
      <c r="AE75" s="57">
        <f t="shared" si="21"/>
        <v>0</v>
      </c>
      <c r="AF75" s="58">
        <f t="shared" si="17"/>
        <v>0</v>
      </c>
      <c r="AG75" s="29">
        <f t="shared" si="22"/>
        <v>0</v>
      </c>
      <c r="AH75">
        <f t="shared" si="23"/>
        <v>0</v>
      </c>
      <c r="AI75" s="49">
        <f t="shared" si="24"/>
        <v>37.000000011175871</v>
      </c>
      <c r="AJ75" s="49">
        <f t="shared" si="25"/>
        <v>0</v>
      </c>
      <c r="AK75" s="48">
        <f t="shared" si="14"/>
        <v>0</v>
      </c>
    </row>
    <row r="76" spans="2:37" x14ac:dyDescent="0.25">
      <c r="B76" s="2" t="s">
        <v>15</v>
      </c>
      <c r="C76" s="2" t="s">
        <v>58</v>
      </c>
      <c r="D76" s="2">
        <v>20141212</v>
      </c>
      <c r="E76" s="2">
        <v>1.56</v>
      </c>
      <c r="F76" s="2" t="s">
        <v>59</v>
      </c>
      <c r="G76" s="2">
        <v>62500</v>
      </c>
      <c r="H76" s="2" t="str">
        <f t="shared" si="15"/>
        <v>GLOBEX</v>
      </c>
      <c r="I76" s="2" t="s">
        <v>17</v>
      </c>
      <c r="J76" s="2" t="s">
        <v>16</v>
      </c>
      <c r="K76" s="2" t="str">
        <f t="shared" si="16"/>
        <v>6B2Z4 P1560</v>
      </c>
      <c r="L76" s="2" t="s">
        <v>122</v>
      </c>
      <c r="M76" s="51"/>
      <c r="N76" s="2">
        <v>0</v>
      </c>
      <c r="O76" s="2">
        <v>0</v>
      </c>
      <c r="P76" s="2">
        <v>25</v>
      </c>
      <c r="Q76" s="2">
        <v>4.4999999999999997E-3</v>
      </c>
      <c r="R76" s="2">
        <v>5.3E-3</v>
      </c>
      <c r="S76" s="2">
        <v>25</v>
      </c>
      <c r="T76" s="2"/>
      <c r="U76" s="53">
        <v>5.2999998442828655E-3</v>
      </c>
      <c r="V76" s="52">
        <v>7.6751744999702859E-2</v>
      </c>
      <c r="W76" s="2">
        <v>-0.40536358511188464</v>
      </c>
      <c r="X76" s="53">
        <v>0</v>
      </c>
      <c r="Y76" s="2">
        <v>-4.2732813817634654E-4</v>
      </c>
      <c r="Z76" s="34">
        <v>9.3336399045366829E-4</v>
      </c>
      <c r="AA76" s="2">
        <v>1.5642</v>
      </c>
      <c r="AB76" s="2">
        <f t="shared" si="18"/>
        <v>0</v>
      </c>
      <c r="AC76" s="2">
        <f t="shared" si="19"/>
        <v>0</v>
      </c>
      <c r="AD76" s="2">
        <f t="shared" si="20"/>
        <v>0</v>
      </c>
      <c r="AE76" s="57">
        <f t="shared" si="21"/>
        <v>0</v>
      </c>
      <c r="AF76" s="58">
        <f t="shared" si="17"/>
        <v>0</v>
      </c>
      <c r="AG76" s="29">
        <f t="shared" si="22"/>
        <v>0</v>
      </c>
      <c r="AH76">
        <f t="shared" si="23"/>
        <v>0</v>
      </c>
      <c r="AI76" s="49">
        <f t="shared" si="24"/>
        <v>52.999998442828655</v>
      </c>
      <c r="AJ76" s="49">
        <f t="shared" si="25"/>
        <v>0</v>
      </c>
      <c r="AK76" s="48">
        <f t="shared" si="14"/>
        <v>0</v>
      </c>
    </row>
    <row r="77" spans="2:37" x14ac:dyDescent="0.25">
      <c r="B77" s="2" t="s">
        <v>15</v>
      </c>
      <c r="C77" s="2" t="s">
        <v>58</v>
      </c>
      <c r="D77" s="2">
        <v>20141212</v>
      </c>
      <c r="E77" s="2">
        <v>1.5649999999999999</v>
      </c>
      <c r="F77" s="2" t="s">
        <v>59</v>
      </c>
      <c r="G77" s="2">
        <v>62500</v>
      </c>
      <c r="H77" s="2" t="str">
        <f t="shared" si="15"/>
        <v>GLOBEX</v>
      </c>
      <c r="I77" s="2" t="s">
        <v>17</v>
      </c>
      <c r="J77" s="2" t="s">
        <v>16</v>
      </c>
      <c r="K77" s="2" t="str">
        <f t="shared" si="16"/>
        <v>6B2Z4 P1565</v>
      </c>
      <c r="L77" s="2" t="s">
        <v>122</v>
      </c>
      <c r="M77" s="51"/>
      <c r="N77" s="2">
        <v>0</v>
      </c>
      <c r="O77" s="2">
        <v>0</v>
      </c>
      <c r="P77" s="2">
        <v>20</v>
      </c>
      <c r="Q77" s="2">
        <v>6.6E-3</v>
      </c>
      <c r="R77" s="2">
        <v>7.4000000000000003E-3</v>
      </c>
      <c r="S77" s="2">
        <v>20</v>
      </c>
      <c r="T77" s="2"/>
      <c r="U77" s="53">
        <v>7.4000000022351742E-3</v>
      </c>
      <c r="V77" s="52">
        <v>7.4396303419425852E-2</v>
      </c>
      <c r="W77" s="2">
        <v>-0.5158690329125325</v>
      </c>
      <c r="X77" s="53">
        <v>0</v>
      </c>
      <c r="Y77" s="2">
        <v>-4.2621403421939149E-4</v>
      </c>
      <c r="Z77" s="34">
        <v>9.3486136098653271E-4</v>
      </c>
      <c r="AA77" s="2">
        <v>1.5642</v>
      </c>
      <c r="AB77" s="2">
        <f t="shared" si="18"/>
        <v>0</v>
      </c>
      <c r="AC77" s="2">
        <f t="shared" si="19"/>
        <v>0</v>
      </c>
      <c r="AD77" s="2">
        <f t="shared" si="20"/>
        <v>0</v>
      </c>
      <c r="AE77" s="57">
        <f t="shared" si="21"/>
        <v>0</v>
      </c>
      <c r="AF77" s="58">
        <f t="shared" si="17"/>
        <v>0</v>
      </c>
      <c r="AG77" s="29">
        <f t="shared" si="22"/>
        <v>0</v>
      </c>
      <c r="AH77">
        <f t="shared" si="23"/>
        <v>0</v>
      </c>
      <c r="AI77" s="49">
        <f t="shared" si="24"/>
        <v>74.000000022351742</v>
      </c>
      <c r="AJ77" s="49">
        <f t="shared" si="25"/>
        <v>0</v>
      </c>
      <c r="AK77" s="48">
        <f t="shared" si="14"/>
        <v>0</v>
      </c>
    </row>
    <row r="78" spans="2:37" x14ac:dyDescent="0.25">
      <c r="B78" s="2" t="s">
        <v>15</v>
      </c>
      <c r="C78" s="2" t="s">
        <v>58</v>
      </c>
      <c r="D78" s="2">
        <v>20141212</v>
      </c>
      <c r="E78" s="2">
        <v>1.57</v>
      </c>
      <c r="F78" s="2" t="s">
        <v>59</v>
      </c>
      <c r="G78" s="2">
        <v>62500</v>
      </c>
      <c r="H78" s="2" t="str">
        <f t="shared" si="15"/>
        <v>GLOBEX</v>
      </c>
      <c r="I78" s="2" t="s">
        <v>17</v>
      </c>
      <c r="J78" s="2" t="s">
        <v>16</v>
      </c>
      <c r="K78" s="2" t="str">
        <f t="shared" si="16"/>
        <v>6B2Z4 P1570</v>
      </c>
      <c r="L78" s="2" t="s">
        <v>122</v>
      </c>
      <c r="M78" s="51"/>
      <c r="N78" s="2">
        <v>8.0999999999999996E-3</v>
      </c>
      <c r="O78" s="2">
        <v>20</v>
      </c>
      <c r="P78" s="2">
        <v>20</v>
      </c>
      <c r="Q78" s="2">
        <v>9.2999999999999992E-3</v>
      </c>
      <c r="R78" s="2">
        <v>1.0200000000000001E-2</v>
      </c>
      <c r="S78" s="2">
        <v>20</v>
      </c>
      <c r="T78" s="2"/>
      <c r="U78" s="53">
        <v>9.849963790279654E-3</v>
      </c>
      <c r="V78" s="52">
        <v>6.9398557905767433E-2</v>
      </c>
      <c r="W78" s="2">
        <v>-0.63690171392061634</v>
      </c>
      <c r="X78" s="53">
        <v>0</v>
      </c>
      <c r="Y78" s="2">
        <v>-3.7354043882210003E-4</v>
      </c>
      <c r="Z78" s="34">
        <v>8.6433033212210582E-4</v>
      </c>
      <c r="AA78" s="2">
        <v>1.5642</v>
      </c>
      <c r="AB78" s="2">
        <f t="shared" si="18"/>
        <v>0</v>
      </c>
      <c r="AC78" s="2">
        <f t="shared" si="19"/>
        <v>0</v>
      </c>
      <c r="AD78" s="2">
        <f t="shared" si="20"/>
        <v>0</v>
      </c>
      <c r="AE78" s="57">
        <f t="shared" si="21"/>
        <v>0</v>
      </c>
      <c r="AF78" s="58">
        <f t="shared" si="17"/>
        <v>0</v>
      </c>
      <c r="AG78" s="29">
        <f t="shared" si="22"/>
        <v>0</v>
      </c>
      <c r="AH78">
        <f t="shared" si="23"/>
        <v>49.000000000001265</v>
      </c>
      <c r="AI78" s="49">
        <f t="shared" si="24"/>
        <v>49.499637902795271</v>
      </c>
      <c r="AJ78" s="49">
        <f t="shared" si="25"/>
        <v>0</v>
      </c>
      <c r="AK78" s="48">
        <f t="shared" si="14"/>
        <v>0</v>
      </c>
    </row>
    <row r="79" spans="2:37" x14ac:dyDescent="0.25">
      <c r="B79" s="2" t="s">
        <v>15</v>
      </c>
      <c r="C79" s="2" t="s">
        <v>58</v>
      </c>
      <c r="D79" s="2">
        <v>20141212</v>
      </c>
      <c r="E79" s="2">
        <v>1.575</v>
      </c>
      <c r="F79" s="2" t="s">
        <v>59</v>
      </c>
      <c r="G79" s="2">
        <v>62500</v>
      </c>
      <c r="H79" s="2" t="str">
        <f t="shared" si="15"/>
        <v>GLOBEX</v>
      </c>
      <c r="I79" s="2" t="s">
        <v>17</v>
      </c>
      <c r="J79" s="2" t="s">
        <v>16</v>
      </c>
      <c r="K79" s="2" t="str">
        <f t="shared" si="16"/>
        <v>6B2Z4 P1575</v>
      </c>
      <c r="L79" s="2" t="s">
        <v>122</v>
      </c>
      <c r="M79" s="51"/>
      <c r="N79" s="2">
        <v>0</v>
      </c>
      <c r="O79" s="2">
        <v>0</v>
      </c>
      <c r="P79" s="2">
        <v>20</v>
      </c>
      <c r="Q79" s="2">
        <v>1.2500000000000001E-2</v>
      </c>
      <c r="R79" s="2">
        <v>1.3899999999999999E-2</v>
      </c>
      <c r="S79" s="2">
        <v>20</v>
      </c>
      <c r="T79" s="2"/>
      <c r="U79" s="53">
        <v>1.3283389033889077E-2</v>
      </c>
      <c r="V79" s="52">
        <v>6.881898206473025E-2</v>
      </c>
      <c r="W79" s="2">
        <v>-0.74548194298778125</v>
      </c>
      <c r="X79" s="53">
        <v>0</v>
      </c>
      <c r="Y79" s="2">
        <v>-3.1622184771077586E-4</v>
      </c>
      <c r="Z79" s="34">
        <v>7.3745516222636226E-4</v>
      </c>
      <c r="AA79" s="2">
        <v>1.5642</v>
      </c>
      <c r="AB79" s="2">
        <f t="shared" si="18"/>
        <v>0</v>
      </c>
      <c r="AC79" s="2">
        <f t="shared" si="19"/>
        <v>0</v>
      </c>
      <c r="AD79" s="2">
        <f t="shared" si="20"/>
        <v>0</v>
      </c>
      <c r="AE79" s="57">
        <f t="shared" si="21"/>
        <v>0</v>
      </c>
      <c r="AF79" s="58">
        <f t="shared" si="17"/>
        <v>0</v>
      </c>
      <c r="AG79" s="29">
        <f t="shared" si="22"/>
        <v>0</v>
      </c>
      <c r="AH79">
        <f t="shared" si="23"/>
        <v>99.000000000000199</v>
      </c>
      <c r="AI79" s="49">
        <f t="shared" si="24"/>
        <v>33.833890338890569</v>
      </c>
      <c r="AJ79" s="49">
        <f t="shared" si="25"/>
        <v>0</v>
      </c>
      <c r="AK79" s="48">
        <f t="shared" si="14"/>
        <v>0</v>
      </c>
    </row>
    <row r="80" spans="2:37" x14ac:dyDescent="0.25">
      <c r="B80" s="2" t="s">
        <v>15</v>
      </c>
      <c r="C80" s="2" t="s">
        <v>58</v>
      </c>
      <c r="D80" s="2">
        <v>20141212</v>
      </c>
      <c r="E80" s="2">
        <v>1.58</v>
      </c>
      <c r="F80" s="2" t="s">
        <v>59</v>
      </c>
      <c r="G80" s="2">
        <v>62500</v>
      </c>
      <c r="H80" s="2" t="str">
        <f t="shared" si="15"/>
        <v>GLOBEX</v>
      </c>
      <c r="I80" s="2" t="s">
        <v>17</v>
      </c>
      <c r="J80" s="2" t="s">
        <v>16</v>
      </c>
      <c r="K80" s="2" t="str">
        <f t="shared" si="16"/>
        <v>6B2Z4 P1580</v>
      </c>
      <c r="L80" s="2" t="s">
        <v>122</v>
      </c>
      <c r="M80" s="51"/>
      <c r="N80" s="2">
        <v>0</v>
      </c>
      <c r="O80" s="2">
        <v>0</v>
      </c>
      <c r="P80" s="2">
        <v>20</v>
      </c>
      <c r="Q80" s="2">
        <v>1.6299999999999999E-2</v>
      </c>
      <c r="R80" s="2">
        <v>1.8100000000000002E-2</v>
      </c>
      <c r="S80" s="2">
        <v>20</v>
      </c>
      <c r="T80" s="2"/>
      <c r="U80" s="53">
        <v>1.7238446061206374E-2</v>
      </c>
      <c r="V80" s="52">
        <v>6.8659098500514659E-2</v>
      </c>
      <c r="W80" s="2">
        <v>-0.83383467431171088</v>
      </c>
      <c r="X80" s="53">
        <v>0</v>
      </c>
      <c r="Y80" s="2">
        <v>-2.4504692679877814E-4</v>
      </c>
      <c r="Z80" s="34">
        <v>5.803494090360975E-4</v>
      </c>
      <c r="AA80" s="2">
        <v>1.5642</v>
      </c>
      <c r="AB80" s="2">
        <f t="shared" si="18"/>
        <v>0</v>
      </c>
      <c r="AC80" s="2">
        <f t="shared" si="19"/>
        <v>0</v>
      </c>
      <c r="AD80" s="2">
        <f t="shared" si="20"/>
        <v>0</v>
      </c>
      <c r="AE80" s="57">
        <f t="shared" si="21"/>
        <v>0</v>
      </c>
      <c r="AF80" s="58">
        <f t="shared" si="17"/>
        <v>0</v>
      </c>
      <c r="AG80" s="29">
        <f t="shared" si="22"/>
        <v>0</v>
      </c>
      <c r="AH80">
        <f t="shared" si="23"/>
        <v>149.00000000000136</v>
      </c>
      <c r="AI80" s="49">
        <f t="shared" si="24"/>
        <v>23.384460612062384</v>
      </c>
      <c r="AJ80" s="49">
        <f t="shared" si="25"/>
        <v>0</v>
      </c>
      <c r="AK80" s="48">
        <f t="shared" si="14"/>
        <v>0</v>
      </c>
    </row>
    <row r="81" spans="2:37" x14ac:dyDescent="0.25">
      <c r="B81" s="2" t="s">
        <v>15</v>
      </c>
      <c r="C81" s="2" t="s">
        <v>58</v>
      </c>
      <c r="D81" s="2">
        <v>20141212</v>
      </c>
      <c r="E81" s="2">
        <v>1.585</v>
      </c>
      <c r="F81" s="2" t="s">
        <v>59</v>
      </c>
      <c r="G81" s="2">
        <v>62500</v>
      </c>
      <c r="H81" s="2" t="str">
        <f t="shared" si="15"/>
        <v>GLOBEX</v>
      </c>
      <c r="I81" s="2" t="s">
        <v>17</v>
      </c>
      <c r="J81" s="2" t="s">
        <v>16</v>
      </c>
      <c r="K81" s="2" t="str">
        <f t="shared" si="16"/>
        <v>6B2Z4 P1585</v>
      </c>
      <c r="L81" s="2" t="s">
        <v>122</v>
      </c>
      <c r="M81" s="51"/>
      <c r="N81" s="2">
        <v>0</v>
      </c>
      <c r="O81" s="2">
        <v>0</v>
      </c>
      <c r="P81" s="2">
        <v>20</v>
      </c>
      <c r="Q81" s="2">
        <v>2.0500000000000001E-2</v>
      </c>
      <c r="R81" s="2">
        <v>2.2599999999999999E-2</v>
      </c>
      <c r="S81" s="2">
        <v>20</v>
      </c>
      <c r="T81" s="2"/>
      <c r="U81" s="53">
        <v>2.1592768441763846E-2</v>
      </c>
      <c r="V81" s="52">
        <v>6.8918907213120661E-2</v>
      </c>
      <c r="W81" s="2">
        <v>-0.89843898729750027</v>
      </c>
      <c r="X81" s="53">
        <v>0.31230709313196536</v>
      </c>
      <c r="Y81" s="2">
        <v>-1.7512937547703081E-4</v>
      </c>
      <c r="Z81" s="34">
        <v>4.4260838687426585E-4</v>
      </c>
      <c r="AA81" s="2">
        <v>1.5642</v>
      </c>
      <c r="AB81" s="2">
        <f t="shared" si="18"/>
        <v>0</v>
      </c>
      <c r="AC81" s="2">
        <f t="shared" si="19"/>
        <v>0</v>
      </c>
      <c r="AD81" s="2">
        <f t="shared" si="20"/>
        <v>0</v>
      </c>
      <c r="AE81" s="57">
        <f t="shared" si="21"/>
        <v>0</v>
      </c>
      <c r="AF81" s="58">
        <f t="shared" si="17"/>
        <v>0</v>
      </c>
      <c r="AG81" s="29">
        <f t="shared" si="22"/>
        <v>0</v>
      </c>
      <c r="AH81">
        <f t="shared" si="23"/>
        <v>199.00000000000028</v>
      </c>
      <c r="AI81" s="49">
        <f t="shared" si="24"/>
        <v>16.927684417638176</v>
      </c>
      <c r="AJ81" s="49">
        <f t="shared" si="25"/>
        <v>0</v>
      </c>
      <c r="AK81" s="48">
        <f t="shared" si="14"/>
        <v>0</v>
      </c>
    </row>
    <row r="82" spans="2:37" x14ac:dyDescent="0.25">
      <c r="B82" s="2" t="s">
        <v>15</v>
      </c>
      <c r="C82" s="2" t="s">
        <v>58</v>
      </c>
      <c r="D82" s="2">
        <v>20141212</v>
      </c>
      <c r="E82" s="2">
        <v>1.59</v>
      </c>
      <c r="F82" s="2" t="s">
        <v>59</v>
      </c>
      <c r="G82" s="2">
        <v>62500</v>
      </c>
      <c r="H82" s="2" t="str">
        <f t="shared" si="15"/>
        <v>GLOBEX</v>
      </c>
      <c r="I82" s="2" t="s">
        <v>17</v>
      </c>
      <c r="J82" s="2" t="s">
        <v>16</v>
      </c>
      <c r="K82" s="2" t="str">
        <f t="shared" si="16"/>
        <v>6B2Z4 P1590</v>
      </c>
      <c r="L82" s="2" t="s">
        <v>122</v>
      </c>
      <c r="M82" s="51"/>
      <c r="N82" s="2">
        <v>0</v>
      </c>
      <c r="O82" s="2">
        <v>0</v>
      </c>
      <c r="P82" s="2">
        <v>20</v>
      </c>
      <c r="Q82" s="2">
        <v>2.5100000000000001E-2</v>
      </c>
      <c r="R82" s="2">
        <v>2.7300000000000001E-2</v>
      </c>
      <c r="S82" s="2">
        <v>20</v>
      </c>
      <c r="T82" s="2"/>
      <c r="U82" s="53">
        <v>2.6221137682861727E-2</v>
      </c>
      <c r="V82" s="52">
        <v>6.9598408202555362E-2</v>
      </c>
      <c r="W82" s="2">
        <v>-0.941242699965532</v>
      </c>
      <c r="X82" s="53">
        <v>1.4557493288944705E-10</v>
      </c>
      <c r="Y82" s="2">
        <v>-1.1700372223668011E-4</v>
      </c>
      <c r="Z82" s="34">
        <v>3.1968125444058887E-4</v>
      </c>
      <c r="AA82" s="2">
        <v>1.5642</v>
      </c>
      <c r="AB82" s="2">
        <f t="shared" si="18"/>
        <v>0</v>
      </c>
      <c r="AC82" s="2">
        <f t="shared" si="19"/>
        <v>0</v>
      </c>
      <c r="AD82" s="2">
        <f t="shared" si="20"/>
        <v>0</v>
      </c>
      <c r="AE82" s="57">
        <f t="shared" si="21"/>
        <v>0</v>
      </c>
      <c r="AF82" s="58">
        <f t="shared" si="17"/>
        <v>0</v>
      </c>
      <c r="AG82" s="29">
        <f t="shared" si="22"/>
        <v>0</v>
      </c>
      <c r="AH82">
        <f t="shared" si="23"/>
        <v>249.00000000000145</v>
      </c>
      <c r="AI82" s="49">
        <f t="shared" si="24"/>
        <v>13.21137682861584</v>
      </c>
      <c r="AJ82" s="49">
        <f t="shared" si="25"/>
        <v>0</v>
      </c>
      <c r="AK82" s="48">
        <f t="shared" si="14"/>
        <v>0</v>
      </c>
    </row>
    <row r="83" spans="2:37" x14ac:dyDescent="0.25">
      <c r="B83" s="2" t="s">
        <v>15</v>
      </c>
      <c r="C83" s="2" t="s">
        <v>58</v>
      </c>
      <c r="D83" s="2">
        <v>20141212</v>
      </c>
      <c r="E83" s="2">
        <v>1.595</v>
      </c>
      <c r="F83" s="2" t="s">
        <v>59</v>
      </c>
      <c r="G83" s="2">
        <v>62500</v>
      </c>
      <c r="H83" s="2" t="str">
        <f t="shared" si="15"/>
        <v>GLOBEX</v>
      </c>
      <c r="I83" s="2" t="s">
        <v>17</v>
      </c>
      <c r="J83" s="2" t="s">
        <v>16</v>
      </c>
      <c r="K83" s="2" t="str">
        <f t="shared" si="16"/>
        <v>6B2Z4 P1595</v>
      </c>
      <c r="L83" s="2" t="s">
        <v>122</v>
      </c>
      <c r="M83" s="51"/>
      <c r="N83" s="2">
        <v>0</v>
      </c>
      <c r="O83" s="2">
        <v>0</v>
      </c>
      <c r="P83" s="2">
        <v>20</v>
      </c>
      <c r="Q83" s="2">
        <v>2.9899999999999999E-2</v>
      </c>
      <c r="R83" s="2">
        <v>3.2099999999999997E-2</v>
      </c>
      <c r="S83" s="2">
        <v>20</v>
      </c>
      <c r="T83" s="2"/>
      <c r="U83" s="53">
        <v>3.101912880198604E-2</v>
      </c>
      <c r="V83" s="52">
        <v>7.0697601468808102E-2</v>
      </c>
      <c r="W83" s="2">
        <v>-0.96735155062787792</v>
      </c>
      <c r="X83" s="53">
        <v>0.95512081462560372</v>
      </c>
      <c r="Y83" s="2">
        <v>-7.4427053950772829E-5</v>
      </c>
      <c r="Z83" s="34">
        <v>2.2006132875511744E-4</v>
      </c>
      <c r="AA83" s="2">
        <v>1.5642</v>
      </c>
      <c r="AB83" s="2">
        <f t="shared" si="18"/>
        <v>0</v>
      </c>
      <c r="AC83" s="2">
        <f t="shared" si="19"/>
        <v>0</v>
      </c>
      <c r="AD83" s="2">
        <f t="shared" si="20"/>
        <v>0</v>
      </c>
      <c r="AE83" s="57">
        <f t="shared" si="21"/>
        <v>0</v>
      </c>
      <c r="AF83" s="58">
        <f t="shared" si="17"/>
        <v>0</v>
      </c>
      <c r="AG83" s="29">
        <f t="shared" si="22"/>
        <v>0</v>
      </c>
      <c r="AH83">
        <f t="shared" si="23"/>
        <v>299.0000000000004</v>
      </c>
      <c r="AI83" s="49">
        <f t="shared" si="24"/>
        <v>11.191288019859996</v>
      </c>
      <c r="AJ83" s="49">
        <f t="shared" si="25"/>
        <v>0</v>
      </c>
      <c r="AK83" s="48">
        <f t="shared" si="14"/>
        <v>0</v>
      </c>
    </row>
    <row r="84" spans="2:37" x14ac:dyDescent="0.25">
      <c r="B84" s="2" t="s">
        <v>15</v>
      </c>
      <c r="C84" s="2" t="s">
        <v>58</v>
      </c>
      <c r="D84" s="2">
        <v>20141212</v>
      </c>
      <c r="E84" s="2">
        <v>1.6</v>
      </c>
      <c r="F84" s="2" t="s">
        <v>59</v>
      </c>
      <c r="G84" s="2">
        <v>62500</v>
      </c>
      <c r="H84" s="2" t="str">
        <f t="shared" si="15"/>
        <v>GLOBEX</v>
      </c>
      <c r="I84" s="2" t="s">
        <v>17</v>
      </c>
      <c r="J84" s="2" t="s">
        <v>16</v>
      </c>
      <c r="K84" s="2" t="str">
        <f t="shared" si="16"/>
        <v>6B2Z4 P1600</v>
      </c>
      <c r="L84" s="2" t="s">
        <v>122</v>
      </c>
      <c r="M84" s="51"/>
      <c r="N84" s="2">
        <v>0</v>
      </c>
      <c r="O84" s="2">
        <v>0</v>
      </c>
      <c r="P84" s="2">
        <v>20</v>
      </c>
      <c r="Q84" s="2">
        <v>3.4799999999999998E-2</v>
      </c>
      <c r="R84" s="2">
        <v>3.7100000000000001E-2</v>
      </c>
      <c r="S84" s="2">
        <v>20</v>
      </c>
      <c r="T84" s="2"/>
      <c r="U84" s="53">
        <v>3.5913001313962231E-2</v>
      </c>
      <c r="V84" s="52">
        <v>7.2216487011885988E-2</v>
      </c>
      <c r="W84" s="2">
        <v>-0.98238765674169393</v>
      </c>
      <c r="X84" s="53">
        <v>8.8368733316568249E-2</v>
      </c>
      <c r="Y84" s="2">
        <v>-4.5882789192456088E-5</v>
      </c>
      <c r="Z84" s="34">
        <v>1.4465128217956008E-4</v>
      </c>
      <c r="AA84" s="2">
        <v>1.5642</v>
      </c>
      <c r="AB84" s="2">
        <f t="shared" si="18"/>
        <v>0</v>
      </c>
      <c r="AC84" s="2">
        <f t="shared" si="19"/>
        <v>0</v>
      </c>
      <c r="AD84" s="2">
        <f t="shared" si="20"/>
        <v>0</v>
      </c>
      <c r="AE84" s="57">
        <f t="shared" si="21"/>
        <v>0</v>
      </c>
      <c r="AF84" s="58">
        <f t="shared" si="17"/>
        <v>0</v>
      </c>
      <c r="AG84" s="29">
        <f t="shared" si="22"/>
        <v>0</v>
      </c>
      <c r="AH84">
        <f t="shared" si="23"/>
        <v>349.00000000000153</v>
      </c>
      <c r="AI84" s="49">
        <f t="shared" si="24"/>
        <v>10.130013139620758</v>
      </c>
      <c r="AJ84" s="49">
        <f t="shared" si="25"/>
        <v>0</v>
      </c>
      <c r="AK84" s="48">
        <f t="shared" si="14"/>
        <v>0</v>
      </c>
    </row>
    <row r="85" spans="2:37" x14ac:dyDescent="0.25">
      <c r="B85" s="2" t="s">
        <v>15</v>
      </c>
      <c r="C85" s="2" t="s">
        <v>58</v>
      </c>
      <c r="D85" s="2">
        <v>20141212</v>
      </c>
      <c r="E85" s="2">
        <v>1.605</v>
      </c>
      <c r="F85" s="2" t="s">
        <v>59</v>
      </c>
      <c r="G85" s="2">
        <v>62500</v>
      </c>
      <c r="H85" s="2" t="str">
        <f t="shared" si="15"/>
        <v>GLOBEX</v>
      </c>
      <c r="I85" s="2" t="s">
        <v>17</v>
      </c>
      <c r="J85" s="2" t="s">
        <v>16</v>
      </c>
      <c r="K85" s="2" t="str">
        <f t="shared" si="16"/>
        <v>6B2Z4 P1605</v>
      </c>
      <c r="L85" s="2" t="s">
        <v>122</v>
      </c>
      <c r="M85" s="51"/>
      <c r="N85" s="2">
        <v>0</v>
      </c>
      <c r="O85" s="2">
        <v>0</v>
      </c>
      <c r="P85" s="2">
        <v>20</v>
      </c>
      <c r="Q85" s="2">
        <v>3.9699999999999999E-2</v>
      </c>
      <c r="R85" s="2">
        <v>4.2000000000000003E-2</v>
      </c>
      <c r="S85" s="2">
        <v>20</v>
      </c>
      <c r="T85" s="2"/>
      <c r="U85" s="53">
        <v>4.0857647090208234E-2</v>
      </c>
      <c r="V85" s="52">
        <v>7.4155064831785467E-2</v>
      </c>
      <c r="W85" s="2">
        <v>-0.99081709690255992</v>
      </c>
      <c r="X85" s="53">
        <v>0.96871027631197282</v>
      </c>
      <c r="Y85" s="2">
        <v>-2.7631934819026774E-5</v>
      </c>
      <c r="Z85" s="34">
        <v>9.0414758917051197E-5</v>
      </c>
      <c r="AA85" s="2">
        <v>1.5642</v>
      </c>
      <c r="AB85" s="2">
        <f t="shared" si="18"/>
        <v>0</v>
      </c>
      <c r="AC85" s="2">
        <f t="shared" si="19"/>
        <v>0</v>
      </c>
      <c r="AD85" s="2">
        <f t="shared" si="20"/>
        <v>0</v>
      </c>
      <c r="AE85" s="57">
        <f t="shared" si="21"/>
        <v>0</v>
      </c>
      <c r="AF85" s="58">
        <f t="shared" si="17"/>
        <v>0</v>
      </c>
      <c r="AG85" s="29">
        <f t="shared" si="22"/>
        <v>0</v>
      </c>
      <c r="AH85">
        <f t="shared" si="23"/>
        <v>399.00000000000045</v>
      </c>
      <c r="AI85" s="49">
        <f t="shared" si="24"/>
        <v>9.5764709020818941</v>
      </c>
      <c r="AJ85" s="49">
        <f t="shared" si="25"/>
        <v>0</v>
      </c>
      <c r="AK85" s="48">
        <f t="shared" si="14"/>
        <v>0</v>
      </c>
    </row>
    <row r="86" spans="2:37" x14ac:dyDescent="0.25">
      <c r="B86" s="2" t="s">
        <v>15</v>
      </c>
      <c r="C86" s="2" t="s">
        <v>58</v>
      </c>
      <c r="D86" s="2">
        <v>20141212</v>
      </c>
      <c r="E86" s="2">
        <v>1.61</v>
      </c>
      <c r="F86" s="2" t="s">
        <v>59</v>
      </c>
      <c r="G86" s="2">
        <v>62500</v>
      </c>
      <c r="H86" s="2" t="str">
        <f t="shared" si="15"/>
        <v>GLOBEX</v>
      </c>
      <c r="I86" s="2" t="s">
        <v>17</v>
      </c>
      <c r="J86" s="2" t="s">
        <v>16</v>
      </c>
      <c r="K86" s="2" t="str">
        <f t="shared" si="16"/>
        <v>6B2Z4 P1610</v>
      </c>
      <c r="L86" s="2" t="s">
        <v>122</v>
      </c>
      <c r="M86" s="51"/>
      <c r="N86" s="2">
        <v>0</v>
      </c>
      <c r="O86" s="2">
        <v>0</v>
      </c>
      <c r="P86" s="2">
        <v>20</v>
      </c>
      <c r="Q86" s="2">
        <v>4.4699999999999997E-2</v>
      </c>
      <c r="R86" s="2">
        <v>4.7E-2</v>
      </c>
      <c r="S86" s="2">
        <v>20</v>
      </c>
      <c r="T86" s="2"/>
      <c r="U86" s="53">
        <v>4.5831666032853526E-2</v>
      </c>
      <c r="V86" s="52">
        <v>7.6513334928510091E-2</v>
      </c>
      <c r="W86" s="2">
        <v>-0.99506620802919665</v>
      </c>
      <c r="X86" s="53">
        <v>0.89302224548306097</v>
      </c>
      <c r="Y86" s="2">
        <v>-1.7196847431938451E-5</v>
      </c>
      <c r="Z86" s="34">
        <v>5.8489489376818693E-5</v>
      </c>
      <c r="AA86" s="2">
        <v>1.5642</v>
      </c>
      <c r="AB86" s="2">
        <f t="shared" si="18"/>
        <v>0</v>
      </c>
      <c r="AC86" s="2">
        <f t="shared" si="19"/>
        <v>0</v>
      </c>
      <c r="AD86" s="2">
        <f t="shared" si="20"/>
        <v>0</v>
      </c>
      <c r="AE86" s="57">
        <f t="shared" si="21"/>
        <v>0</v>
      </c>
      <c r="AF86" s="58">
        <f t="shared" si="17"/>
        <v>0</v>
      </c>
      <c r="AG86" s="29">
        <f t="shared" si="22"/>
        <v>0</v>
      </c>
      <c r="AH86">
        <f t="shared" si="23"/>
        <v>449.00000000000159</v>
      </c>
      <c r="AI86" s="49">
        <f t="shared" si="24"/>
        <v>9.3166603285336578</v>
      </c>
      <c r="AJ86" s="49">
        <f t="shared" si="25"/>
        <v>0</v>
      </c>
      <c r="AK86" s="48">
        <f t="shared" si="14"/>
        <v>0</v>
      </c>
    </row>
    <row r="87" spans="2:37" x14ac:dyDescent="0.25">
      <c r="B87" s="2" t="s">
        <v>15</v>
      </c>
      <c r="C87" s="2" t="s">
        <v>58</v>
      </c>
      <c r="D87" s="2">
        <v>20141212</v>
      </c>
      <c r="E87" s="2">
        <v>1.615</v>
      </c>
      <c r="F87" s="2" t="s">
        <v>59</v>
      </c>
      <c r="G87" s="2">
        <v>62500</v>
      </c>
      <c r="H87" s="2" t="str">
        <f t="shared" si="15"/>
        <v>GLOBEX</v>
      </c>
      <c r="I87" s="2" t="s">
        <v>17</v>
      </c>
      <c r="J87" s="2" t="s">
        <v>16</v>
      </c>
      <c r="K87" s="2" t="str">
        <f t="shared" si="16"/>
        <v>6B2Z4 P1615</v>
      </c>
      <c r="L87" s="2" t="s">
        <v>122</v>
      </c>
      <c r="M87" s="51"/>
      <c r="N87" s="2">
        <v>0</v>
      </c>
      <c r="O87" s="2">
        <v>0</v>
      </c>
      <c r="P87" s="2">
        <v>20</v>
      </c>
      <c r="Q87" s="2">
        <v>4.9700000000000001E-2</v>
      </c>
      <c r="R87" s="2">
        <v>5.1999999999999998E-2</v>
      </c>
      <c r="S87" s="2">
        <v>20</v>
      </c>
      <c r="T87" s="2"/>
      <c r="U87" s="53">
        <v>5.0818822908783166E-2</v>
      </c>
      <c r="V87" s="52">
        <v>7.9291297302056307E-2</v>
      </c>
      <c r="W87" s="2">
        <v>-0.99725158365350686</v>
      </c>
      <c r="X87" s="53">
        <v>0.55577517275093047</v>
      </c>
      <c r="Y87" s="2">
        <v>-1.1360915932008898E-5</v>
      </c>
      <c r="Z87" s="34">
        <v>3.9133684143988212E-5</v>
      </c>
      <c r="AA87" s="2">
        <v>1.5642</v>
      </c>
      <c r="AB87" s="2">
        <f t="shared" si="18"/>
        <v>0</v>
      </c>
      <c r="AC87" s="2">
        <f t="shared" si="19"/>
        <v>0</v>
      </c>
      <c r="AD87" s="2">
        <f t="shared" si="20"/>
        <v>0</v>
      </c>
      <c r="AE87" s="57">
        <f t="shared" si="21"/>
        <v>0</v>
      </c>
      <c r="AF87" s="58">
        <f t="shared" si="17"/>
        <v>0</v>
      </c>
      <c r="AG87" s="29">
        <f t="shared" si="22"/>
        <v>0</v>
      </c>
      <c r="AH87">
        <f t="shared" si="23"/>
        <v>499.00000000000057</v>
      </c>
      <c r="AI87" s="49">
        <f t="shared" si="24"/>
        <v>9.1882290878310755</v>
      </c>
      <c r="AJ87" s="49">
        <f t="shared" si="25"/>
        <v>0</v>
      </c>
      <c r="AK87" s="48">
        <f t="shared" si="14"/>
        <v>0</v>
      </c>
    </row>
    <row r="88" spans="2:37" x14ac:dyDescent="0.25">
      <c r="B88" s="2" t="s">
        <v>15</v>
      </c>
      <c r="C88" s="2" t="s">
        <v>58</v>
      </c>
      <c r="D88" s="2">
        <v>20141212</v>
      </c>
      <c r="E88" s="2">
        <v>1.62</v>
      </c>
      <c r="F88" s="2" t="s">
        <v>59</v>
      </c>
      <c r="G88" s="2">
        <v>62500</v>
      </c>
      <c r="H88" s="2" t="str">
        <f t="shared" si="15"/>
        <v>GLOBEX</v>
      </c>
      <c r="I88" s="2" t="s">
        <v>17</v>
      </c>
      <c r="J88" s="2" t="s">
        <v>16</v>
      </c>
      <c r="K88" s="2" t="str">
        <f t="shared" si="16"/>
        <v>6B2Z4 P1620</v>
      </c>
      <c r="L88" s="2" t="s">
        <v>122</v>
      </c>
      <c r="M88" s="51"/>
      <c r="N88" s="2">
        <v>0</v>
      </c>
      <c r="O88" s="2">
        <v>0</v>
      </c>
      <c r="P88" s="2">
        <v>0</v>
      </c>
      <c r="Q88" s="2">
        <v>0</v>
      </c>
      <c r="R88" s="2">
        <v>0</v>
      </c>
      <c r="S88" s="2">
        <v>0</v>
      </c>
      <c r="T88" s="2"/>
      <c r="U88" s="53">
        <v>5.5810241044231573E-2</v>
      </c>
      <c r="V88" s="52">
        <v>8.2488951952424117E-2</v>
      </c>
      <c r="W88" s="2">
        <v>-0.99872032790875331</v>
      </c>
      <c r="X88" s="53">
        <v>0.32862269706191033</v>
      </c>
      <c r="Y88" s="2">
        <v>-7.1170250806483598E-6</v>
      </c>
      <c r="Z88" s="34">
        <v>2.6133492212039588E-5</v>
      </c>
      <c r="AA88" s="2">
        <v>1.5642</v>
      </c>
      <c r="AB88" s="2">
        <f t="shared" si="18"/>
        <v>0</v>
      </c>
      <c r="AC88" s="2">
        <f t="shared" si="19"/>
        <v>0</v>
      </c>
      <c r="AD88" s="2">
        <f t="shared" si="20"/>
        <v>0</v>
      </c>
      <c r="AE88" s="57">
        <f t="shared" si="21"/>
        <v>0</v>
      </c>
      <c r="AF88" s="58">
        <f t="shared" si="17"/>
        <v>0</v>
      </c>
      <c r="AG88" s="29">
        <f t="shared" si="22"/>
        <v>0</v>
      </c>
      <c r="AH88">
        <f t="shared" si="23"/>
        <v>549.00000000000171</v>
      </c>
      <c r="AI88" s="49">
        <f t="shared" si="24"/>
        <v>9.102410442314067</v>
      </c>
      <c r="AJ88" s="49">
        <f t="shared" si="25"/>
        <v>0</v>
      </c>
      <c r="AK88" s="48">
        <f t="shared" si="14"/>
        <v>0</v>
      </c>
    </row>
    <row r="89" spans="2:37" x14ac:dyDescent="0.25">
      <c r="B89" s="2" t="s">
        <v>15</v>
      </c>
      <c r="C89" s="2" t="s">
        <v>58</v>
      </c>
      <c r="D89" s="2">
        <v>20141212</v>
      </c>
      <c r="E89" s="2">
        <v>1.625</v>
      </c>
      <c r="F89" s="2" t="s">
        <v>59</v>
      </c>
      <c r="G89" s="2">
        <v>62500</v>
      </c>
      <c r="H89" s="2" t="str">
        <f t="shared" si="15"/>
        <v>GLOBEX</v>
      </c>
      <c r="I89" s="2" t="s">
        <v>17</v>
      </c>
      <c r="J89" s="2" t="s">
        <v>16</v>
      </c>
      <c r="K89" s="2" t="str">
        <f t="shared" si="16"/>
        <v>6B2Z4 P1625</v>
      </c>
      <c r="L89" s="2" t="s">
        <v>122</v>
      </c>
      <c r="M89" s="51"/>
      <c r="N89" s="2">
        <v>0</v>
      </c>
      <c r="O89" s="2">
        <v>0</v>
      </c>
      <c r="P89" s="2">
        <v>0</v>
      </c>
      <c r="Q89" s="2">
        <v>0</v>
      </c>
      <c r="R89" s="2">
        <v>0</v>
      </c>
      <c r="S89" s="2">
        <v>0</v>
      </c>
      <c r="T89" s="2"/>
      <c r="U89" s="53">
        <v>6.080730140755982E-2</v>
      </c>
      <c r="V89" s="52">
        <v>8.6106298879613519E-2</v>
      </c>
      <c r="W89" s="2">
        <v>-0.99927152965490784</v>
      </c>
      <c r="X89" s="53">
        <v>0.23426743885702728</v>
      </c>
      <c r="Y89" s="2">
        <v>-5.4134136970684019E-6</v>
      </c>
      <c r="Z89" s="34">
        <v>1.8762684211678926E-5</v>
      </c>
      <c r="AA89" s="2">
        <v>1.5642</v>
      </c>
      <c r="AB89" s="2">
        <f t="shared" si="18"/>
        <v>0</v>
      </c>
      <c r="AC89" s="2">
        <f t="shared" si="19"/>
        <v>0</v>
      </c>
      <c r="AD89" s="2">
        <f t="shared" si="20"/>
        <v>0</v>
      </c>
      <c r="AE89" s="57">
        <f t="shared" si="21"/>
        <v>0</v>
      </c>
      <c r="AF89" s="58">
        <f t="shared" si="17"/>
        <v>0</v>
      </c>
      <c r="AG89" s="29">
        <f t="shared" si="22"/>
        <v>0</v>
      </c>
      <c r="AH89">
        <f t="shared" si="23"/>
        <v>599.00000000000068</v>
      </c>
      <c r="AI89" s="49">
        <f t="shared" si="24"/>
        <v>9.0730140755974844</v>
      </c>
      <c r="AJ89" s="49">
        <f t="shared" si="25"/>
        <v>0</v>
      </c>
      <c r="AK89" s="48">
        <f t="shared" si="14"/>
        <v>0</v>
      </c>
    </row>
    <row r="90" spans="2:37" x14ac:dyDescent="0.25">
      <c r="B90" s="2" t="s">
        <v>15</v>
      </c>
      <c r="C90" s="2" t="s">
        <v>58</v>
      </c>
      <c r="D90" s="2">
        <v>20141212</v>
      </c>
      <c r="E90" s="2">
        <v>1.63</v>
      </c>
      <c r="F90" s="2" t="s">
        <v>59</v>
      </c>
      <c r="G90" s="2">
        <v>62500</v>
      </c>
      <c r="H90" s="2" t="str">
        <f t="shared" si="15"/>
        <v>GLOBEX</v>
      </c>
      <c r="I90" s="2" t="s">
        <v>17</v>
      </c>
      <c r="J90" s="2" t="s">
        <v>16</v>
      </c>
      <c r="K90" s="2" t="str">
        <f t="shared" si="16"/>
        <v>6B2Z4 P1630</v>
      </c>
      <c r="L90" s="2" t="s">
        <v>122</v>
      </c>
      <c r="M90" s="51"/>
      <c r="N90" s="2">
        <v>0</v>
      </c>
      <c r="O90" s="2">
        <v>0</v>
      </c>
      <c r="P90" s="2">
        <v>0</v>
      </c>
      <c r="Q90" s="2">
        <v>0</v>
      </c>
      <c r="R90" s="2">
        <v>0</v>
      </c>
      <c r="S90" s="2">
        <v>0</v>
      </c>
      <c r="T90" s="2"/>
      <c r="U90" s="53">
        <v>6.5805048176177078E-2</v>
      </c>
      <c r="V90" s="52">
        <v>9.0143338083628066E-2</v>
      </c>
      <c r="W90" s="2">
        <v>-0.99968592676117185</v>
      </c>
      <c r="X90" s="53">
        <v>0.16573057236891009</v>
      </c>
      <c r="Y90" s="2">
        <v>-4.0743950792055731E-6</v>
      </c>
      <c r="Z90" s="34">
        <v>1.4424443326138681E-5</v>
      </c>
      <c r="AA90" s="2">
        <v>1.5642</v>
      </c>
      <c r="AB90" s="2">
        <f t="shared" si="18"/>
        <v>0</v>
      </c>
      <c r="AC90" s="2">
        <f t="shared" si="19"/>
        <v>0</v>
      </c>
      <c r="AD90" s="2">
        <f t="shared" si="20"/>
        <v>0</v>
      </c>
      <c r="AE90" s="57">
        <f t="shared" si="21"/>
        <v>0</v>
      </c>
      <c r="AF90" s="58">
        <f t="shared" si="17"/>
        <v>0</v>
      </c>
      <c r="AG90" s="29">
        <f t="shared" si="22"/>
        <v>0</v>
      </c>
      <c r="AH90">
        <f t="shared" si="23"/>
        <v>648.99999999999955</v>
      </c>
      <c r="AI90" s="49">
        <f t="shared" si="24"/>
        <v>9.0504817617712661</v>
      </c>
      <c r="AJ90" s="49">
        <f t="shared" si="25"/>
        <v>0</v>
      </c>
      <c r="AK90" s="48">
        <f t="shared" si="14"/>
        <v>0</v>
      </c>
    </row>
    <row r="91" spans="2:37" x14ac:dyDescent="0.25">
      <c r="B91" s="2" t="s">
        <v>15</v>
      </c>
      <c r="C91" s="2" t="s">
        <v>58</v>
      </c>
      <c r="D91" s="2">
        <v>20141212</v>
      </c>
      <c r="E91" s="2">
        <v>1.635</v>
      </c>
      <c r="F91" s="2" t="s">
        <v>59</v>
      </c>
      <c r="G91" s="2">
        <v>62500</v>
      </c>
      <c r="H91" s="2" t="str">
        <f t="shared" si="15"/>
        <v>GLOBEX</v>
      </c>
      <c r="I91" s="2" t="s">
        <v>17</v>
      </c>
      <c r="J91" s="2" t="s">
        <v>16</v>
      </c>
      <c r="K91" s="2" t="str">
        <f t="shared" si="16"/>
        <v>6B2Z4 P1635</v>
      </c>
      <c r="L91" s="2" t="s">
        <v>122</v>
      </c>
      <c r="M91" s="51"/>
      <c r="N91" s="2">
        <v>0</v>
      </c>
      <c r="O91" s="2">
        <v>0</v>
      </c>
      <c r="P91" s="2">
        <v>0</v>
      </c>
      <c r="Q91" s="2">
        <v>0</v>
      </c>
      <c r="R91" s="2">
        <v>0</v>
      </c>
      <c r="S91" s="2">
        <v>0</v>
      </c>
      <c r="T91" s="2"/>
      <c r="U91" s="53">
        <v>7.0803294364885874E-2</v>
      </c>
      <c r="V91" s="52">
        <v>9.4600069564467759E-2</v>
      </c>
      <c r="W91" s="2">
        <v>-0.999999999999999</v>
      </c>
      <c r="X91" s="53">
        <v>0.11570355845254587</v>
      </c>
      <c r="Y91" s="2">
        <v>-2.9997405643752208E-6</v>
      </c>
      <c r="Z91" s="34">
        <v>1.0671266081563324E-5</v>
      </c>
      <c r="AA91" s="2">
        <v>1.5642</v>
      </c>
      <c r="AB91" s="2">
        <f t="shared" si="18"/>
        <v>0</v>
      </c>
      <c r="AC91" s="2">
        <f t="shared" si="19"/>
        <v>0</v>
      </c>
      <c r="AD91" s="2">
        <f t="shared" si="20"/>
        <v>0</v>
      </c>
      <c r="AE91" s="57">
        <f t="shared" si="21"/>
        <v>0</v>
      </c>
      <c r="AF91" s="58">
        <f t="shared" si="17"/>
        <v>0</v>
      </c>
      <c r="AG91" s="29">
        <f t="shared" si="22"/>
        <v>0</v>
      </c>
      <c r="AH91">
        <f t="shared" si="23"/>
        <v>699.00000000000068</v>
      </c>
      <c r="AI91" s="49">
        <f t="shared" si="24"/>
        <v>9.0329436488580086</v>
      </c>
      <c r="AJ91" s="49">
        <f t="shared" si="25"/>
        <v>0</v>
      </c>
      <c r="AK91" s="48">
        <f t="shared" si="14"/>
        <v>0</v>
      </c>
    </row>
    <row r="92" spans="2:37" x14ac:dyDescent="0.25">
      <c r="B92" s="2" t="s">
        <v>15</v>
      </c>
      <c r="C92" s="2" t="s">
        <v>58</v>
      </c>
      <c r="D92" s="2">
        <v>20141212</v>
      </c>
      <c r="E92" s="2">
        <v>1.6400000000000001</v>
      </c>
      <c r="F92" s="2" t="s">
        <v>59</v>
      </c>
      <c r="G92" s="2">
        <v>62500</v>
      </c>
      <c r="H92" s="2" t="str">
        <f t="shared" si="15"/>
        <v>GLOBEX</v>
      </c>
      <c r="I92" s="2" t="s">
        <v>17</v>
      </c>
      <c r="J92" s="2" t="s">
        <v>16</v>
      </c>
      <c r="K92" s="2" t="str">
        <f t="shared" si="16"/>
        <v>6B2Z4 P1640</v>
      </c>
      <c r="L92" s="2" t="s">
        <v>122</v>
      </c>
      <c r="M92" s="51"/>
      <c r="N92" s="2">
        <v>0</v>
      </c>
      <c r="O92" s="2">
        <v>0</v>
      </c>
      <c r="P92" s="2">
        <v>0</v>
      </c>
      <c r="Q92" s="2">
        <v>0</v>
      </c>
      <c r="R92" s="2">
        <v>0</v>
      </c>
      <c r="S92" s="2">
        <v>0</v>
      </c>
      <c r="T92" s="2"/>
      <c r="U92" s="53">
        <v>7.5802867299009688E-2</v>
      </c>
      <c r="V92" s="52">
        <v>9.9476493322129045E-2</v>
      </c>
      <c r="W92" s="2">
        <v>-0.999999999999999</v>
      </c>
      <c r="X92" s="53">
        <v>9.717201547329514E-2</v>
      </c>
      <c r="Y92" s="2">
        <v>-2.7195614108035901E-6</v>
      </c>
      <c r="Z92" s="34">
        <v>8.8596744049485032E-6</v>
      </c>
      <c r="AA92" s="2">
        <v>1.5642</v>
      </c>
      <c r="AB92" s="2">
        <f t="shared" si="18"/>
        <v>0</v>
      </c>
      <c r="AC92" s="2">
        <f t="shared" si="19"/>
        <v>0</v>
      </c>
      <c r="AD92" s="2">
        <f t="shared" si="20"/>
        <v>0</v>
      </c>
      <c r="AE92" s="57">
        <f t="shared" si="21"/>
        <v>0</v>
      </c>
      <c r="AF92" s="58">
        <f t="shared" si="17"/>
        <v>0</v>
      </c>
      <c r="AG92" s="29">
        <f t="shared" si="22"/>
        <v>0</v>
      </c>
      <c r="AH92">
        <f t="shared" si="23"/>
        <v>749.00000000000193</v>
      </c>
      <c r="AI92" s="49">
        <f t="shared" si="24"/>
        <v>9.0286729900949467</v>
      </c>
      <c r="AJ92" s="49">
        <f t="shared" si="25"/>
        <v>0</v>
      </c>
      <c r="AK92" s="48">
        <f t="shared" si="14"/>
        <v>0</v>
      </c>
    </row>
    <row r="93" spans="2:37" x14ac:dyDescent="0.25">
      <c r="B93" s="2" t="s">
        <v>15</v>
      </c>
      <c r="C93" s="2" t="s">
        <v>58</v>
      </c>
      <c r="D93" s="2">
        <v>20141212</v>
      </c>
      <c r="E93" s="2">
        <v>1.645</v>
      </c>
      <c r="F93" s="2" t="s">
        <v>59</v>
      </c>
      <c r="G93" s="2">
        <v>62500</v>
      </c>
      <c r="H93" s="2" t="str">
        <f t="shared" si="15"/>
        <v>GLOBEX</v>
      </c>
      <c r="I93" s="2" t="s">
        <v>17</v>
      </c>
      <c r="J93" s="2" t="s">
        <v>16</v>
      </c>
      <c r="K93" s="2" t="str">
        <f t="shared" si="16"/>
        <v>6B2Z4 P1645</v>
      </c>
      <c r="L93" s="2" t="s">
        <v>122</v>
      </c>
      <c r="M93" s="51"/>
      <c r="N93" s="2">
        <v>0</v>
      </c>
      <c r="O93" s="2">
        <v>0</v>
      </c>
      <c r="P93" s="2">
        <v>0</v>
      </c>
      <c r="Q93" s="2">
        <v>0</v>
      </c>
      <c r="R93" s="2">
        <v>0</v>
      </c>
      <c r="S93" s="2">
        <v>0</v>
      </c>
      <c r="T93" s="2"/>
      <c r="U93" s="53">
        <v>8.0802648662578025E-2</v>
      </c>
      <c r="V93" s="52">
        <v>0.10477260935661192</v>
      </c>
      <c r="W93" s="2">
        <v>-0.999999999999999</v>
      </c>
      <c r="X93" s="53">
        <v>8.4850529324475107E-2</v>
      </c>
      <c r="Y93" s="2">
        <v>-2.5857661098615359E-6</v>
      </c>
      <c r="Z93" s="34">
        <v>8.0982375790794592E-6</v>
      </c>
      <c r="AA93" s="2">
        <v>1.5642</v>
      </c>
      <c r="AB93" s="2">
        <f t="shared" si="18"/>
        <v>0</v>
      </c>
      <c r="AC93" s="2">
        <f t="shared" si="19"/>
        <v>0</v>
      </c>
      <c r="AD93" s="2">
        <f t="shared" si="20"/>
        <v>0</v>
      </c>
      <c r="AE93" s="57">
        <f t="shared" si="21"/>
        <v>0</v>
      </c>
      <c r="AF93" s="58">
        <f t="shared" si="17"/>
        <v>0</v>
      </c>
      <c r="AG93" s="29">
        <f t="shared" si="22"/>
        <v>0</v>
      </c>
      <c r="AH93">
        <f t="shared" si="23"/>
        <v>799.0000000000008</v>
      </c>
      <c r="AI93" s="49">
        <f t="shared" si="24"/>
        <v>9.0264866257793983</v>
      </c>
      <c r="AJ93" s="49">
        <f t="shared" si="25"/>
        <v>0</v>
      </c>
      <c r="AK93" s="48">
        <f t="shared" si="14"/>
        <v>0</v>
      </c>
    </row>
    <row r="94" spans="2:37" x14ac:dyDescent="0.25">
      <c r="B94" s="2" t="s">
        <v>15</v>
      </c>
      <c r="C94" s="2" t="s">
        <v>58</v>
      </c>
      <c r="D94" s="2">
        <v>20141212</v>
      </c>
      <c r="E94" s="2">
        <v>1.65</v>
      </c>
      <c r="F94" s="2" t="s">
        <v>59</v>
      </c>
      <c r="G94" s="2">
        <v>62500</v>
      </c>
      <c r="H94" s="2" t="str">
        <f t="shared" si="15"/>
        <v>GLOBEX</v>
      </c>
      <c r="I94" s="2" t="s">
        <v>17</v>
      </c>
      <c r="J94" s="2" t="s">
        <v>16</v>
      </c>
      <c r="K94" s="2" t="str">
        <f t="shared" si="16"/>
        <v>6B2Z4 P1650</v>
      </c>
      <c r="L94" s="2" t="s">
        <v>122</v>
      </c>
      <c r="M94" s="51"/>
      <c r="N94" s="2">
        <v>0</v>
      </c>
      <c r="O94" s="2">
        <v>0</v>
      </c>
      <c r="P94" s="2">
        <v>0</v>
      </c>
      <c r="Q94" s="2">
        <v>0</v>
      </c>
      <c r="R94" s="2">
        <v>0</v>
      </c>
      <c r="S94" s="2">
        <v>0</v>
      </c>
      <c r="T94" s="2"/>
      <c r="U94" s="53">
        <v>8.5802592579225401E-2</v>
      </c>
      <c r="V94" s="52">
        <v>0.11048841766791995</v>
      </c>
      <c r="W94" s="2">
        <v>-0.999999999999999</v>
      </c>
      <c r="X94" s="53">
        <v>7.6854006162068209E-2</v>
      </c>
      <c r="Y94" s="2">
        <v>-2.5755545616893304E-6</v>
      </c>
      <c r="Z94" s="34">
        <v>7.6181248955392578E-6</v>
      </c>
      <c r="AA94" s="2">
        <v>1.5642</v>
      </c>
      <c r="AB94" s="2">
        <f t="shared" si="18"/>
        <v>0</v>
      </c>
      <c r="AC94" s="2">
        <f t="shared" si="19"/>
        <v>0</v>
      </c>
      <c r="AD94" s="2">
        <f t="shared" si="20"/>
        <v>0</v>
      </c>
      <c r="AE94" s="57">
        <f t="shared" si="21"/>
        <v>0</v>
      </c>
      <c r="AF94" s="58">
        <f t="shared" si="17"/>
        <v>0</v>
      </c>
      <c r="AG94" s="29">
        <f t="shared" si="22"/>
        <v>0</v>
      </c>
      <c r="AH94">
        <f t="shared" si="23"/>
        <v>848.99999999999977</v>
      </c>
      <c r="AI94" s="49">
        <f t="shared" si="24"/>
        <v>9.0259257922542702</v>
      </c>
      <c r="AJ94" s="49">
        <f t="shared" si="25"/>
        <v>0</v>
      </c>
      <c r="AK94" s="48">
        <f t="shared" si="14"/>
        <v>0</v>
      </c>
    </row>
    <row r="95" spans="2:37" x14ac:dyDescent="0.25">
      <c r="B95" s="2" t="s">
        <v>15</v>
      </c>
      <c r="C95" s="2" t="s">
        <v>58</v>
      </c>
      <c r="D95" s="2">
        <v>20141212</v>
      </c>
      <c r="E95" s="2">
        <v>1.655</v>
      </c>
      <c r="F95" s="2" t="s">
        <v>59</v>
      </c>
      <c r="G95" s="2">
        <v>62500</v>
      </c>
      <c r="H95" s="2" t="str">
        <f t="shared" si="15"/>
        <v>GLOBEX</v>
      </c>
      <c r="I95" s="2" t="s">
        <v>17</v>
      </c>
      <c r="J95" s="2" t="s">
        <v>16</v>
      </c>
      <c r="K95" s="2" t="str">
        <f t="shared" si="16"/>
        <v>6B2Z4 P1655</v>
      </c>
      <c r="L95" s="2" t="s">
        <v>122</v>
      </c>
      <c r="M95" s="51"/>
      <c r="N95" s="2">
        <v>0</v>
      </c>
      <c r="O95" s="2">
        <v>0</v>
      </c>
      <c r="P95" s="2">
        <v>0</v>
      </c>
      <c r="Q95" s="2">
        <v>0</v>
      </c>
      <c r="R95" s="2">
        <v>0</v>
      </c>
      <c r="S95" s="2">
        <v>0</v>
      </c>
      <c r="T95" s="2"/>
      <c r="U95" s="53">
        <v>9.0802697769349655E-2</v>
      </c>
      <c r="V95" s="52">
        <v>0.11662391825604956</v>
      </c>
      <c r="W95" s="2">
        <v>-0.999999999999999</v>
      </c>
      <c r="X95" s="53">
        <v>7.2216037511528886E-2</v>
      </c>
      <c r="Y95" s="2">
        <v>-2.6899540681410207E-6</v>
      </c>
      <c r="Z95" s="34">
        <v>7.4182551762641546E-6</v>
      </c>
      <c r="AA95" s="2">
        <v>1.5642</v>
      </c>
      <c r="AB95" s="2">
        <f t="shared" si="18"/>
        <v>0</v>
      </c>
      <c r="AC95" s="2">
        <f t="shared" si="19"/>
        <v>0</v>
      </c>
      <c r="AD95" s="2">
        <f t="shared" si="20"/>
        <v>0</v>
      </c>
      <c r="AE95" s="57">
        <f t="shared" si="21"/>
        <v>0</v>
      </c>
      <c r="AF95" s="58">
        <f t="shared" si="17"/>
        <v>0</v>
      </c>
      <c r="AG95" s="29">
        <f t="shared" si="22"/>
        <v>0</v>
      </c>
      <c r="AH95">
        <f t="shared" si="23"/>
        <v>899.00000000000091</v>
      </c>
      <c r="AI95" s="49">
        <f t="shared" si="24"/>
        <v>9.0269776934956099</v>
      </c>
      <c r="AJ95" s="49">
        <f t="shared" si="25"/>
        <v>0</v>
      </c>
      <c r="AK95" s="48">
        <f t="shared" si="14"/>
        <v>0</v>
      </c>
    </row>
    <row r="96" spans="2:37" x14ac:dyDescent="0.25">
      <c r="B96" s="2" t="s">
        <v>15</v>
      </c>
      <c r="C96" s="2" t="s">
        <v>58</v>
      </c>
      <c r="D96" s="2">
        <v>20141212</v>
      </c>
      <c r="E96" s="2">
        <v>1.51</v>
      </c>
      <c r="F96" s="2" t="s">
        <v>60</v>
      </c>
      <c r="G96" s="2">
        <v>62500</v>
      </c>
      <c r="H96" s="2" t="str">
        <f t="shared" si="15"/>
        <v>GLOBEX</v>
      </c>
      <c r="I96" s="2" t="s">
        <v>17</v>
      </c>
      <c r="J96" s="2" t="s">
        <v>16</v>
      </c>
      <c r="K96" s="2" t="str">
        <f t="shared" si="16"/>
        <v>6B2Z4 C1510</v>
      </c>
      <c r="L96" s="2" t="s">
        <v>122</v>
      </c>
      <c r="M96" s="51"/>
      <c r="N96" s="2">
        <v>0</v>
      </c>
      <c r="O96" s="2">
        <v>0</v>
      </c>
      <c r="P96" s="2">
        <v>0</v>
      </c>
      <c r="Q96" s="2">
        <v>0</v>
      </c>
      <c r="R96" s="2">
        <v>0</v>
      </c>
      <c r="S96" s="2">
        <v>0</v>
      </c>
      <c r="T96" s="2"/>
      <c r="U96" s="53">
        <v>5.4319785196485774E-2</v>
      </c>
      <c r="V96" s="52">
        <v>0.10723529180589253</v>
      </c>
      <c r="W96" s="2">
        <v>0.98707203057288928</v>
      </c>
      <c r="X96" s="53">
        <v>0</v>
      </c>
      <c r="Y96" s="2">
        <v>-5.2469350336438748E-5</v>
      </c>
      <c r="Z96" s="34">
        <v>9.4423028760788619E-5</v>
      </c>
      <c r="AA96" s="2">
        <v>1.5642</v>
      </c>
      <c r="AB96" s="2">
        <f t="shared" si="18"/>
        <v>0</v>
      </c>
      <c r="AC96" s="2">
        <f t="shared" si="19"/>
        <v>0</v>
      </c>
      <c r="AD96" s="2">
        <f t="shared" si="20"/>
        <v>0</v>
      </c>
      <c r="AE96" s="57">
        <f t="shared" si="21"/>
        <v>0</v>
      </c>
      <c r="AF96" s="58">
        <f t="shared" si="17"/>
        <v>0</v>
      </c>
      <c r="AG96" s="29">
        <f t="shared" si="22"/>
        <v>0</v>
      </c>
      <c r="AH96">
        <f t="shared" si="23"/>
        <v>550.99999999999932</v>
      </c>
      <c r="AI96" s="49">
        <f t="shared" si="24"/>
        <v>0</v>
      </c>
      <c r="AJ96" s="49">
        <f t="shared" si="25"/>
        <v>0</v>
      </c>
      <c r="AK96" s="48">
        <f t="shared" si="14"/>
        <v>0</v>
      </c>
    </row>
    <row r="97" spans="2:37" x14ac:dyDescent="0.25">
      <c r="B97" s="2" t="s">
        <v>15</v>
      </c>
      <c r="C97" s="2" t="s">
        <v>58</v>
      </c>
      <c r="D97" s="2">
        <v>20141212</v>
      </c>
      <c r="E97" s="2">
        <v>1.5149999999999999</v>
      </c>
      <c r="F97" s="2" t="s">
        <v>60</v>
      </c>
      <c r="G97" s="2">
        <v>62500</v>
      </c>
      <c r="H97" s="2" t="str">
        <f t="shared" si="15"/>
        <v>GLOBEX</v>
      </c>
      <c r="I97" s="2" t="s">
        <v>17</v>
      </c>
      <c r="J97" s="2" t="s">
        <v>16</v>
      </c>
      <c r="K97" s="2" t="str">
        <f t="shared" si="16"/>
        <v>6B2Z4 C1515</v>
      </c>
      <c r="L97" s="2" t="s">
        <v>122</v>
      </c>
      <c r="M97" s="51"/>
      <c r="N97" s="2">
        <v>0</v>
      </c>
      <c r="O97" s="2">
        <v>0</v>
      </c>
      <c r="P97" s="2">
        <v>0</v>
      </c>
      <c r="Q97" s="2">
        <v>0</v>
      </c>
      <c r="R97" s="2">
        <v>0</v>
      </c>
      <c r="S97" s="2">
        <v>0</v>
      </c>
      <c r="T97" s="2"/>
      <c r="U97" s="53">
        <v>4.9356611380239168E-2</v>
      </c>
      <c r="V97" s="52">
        <v>0.10224471891346454</v>
      </c>
      <c r="W97" s="2">
        <v>0.98271392014671832</v>
      </c>
      <c r="X97" s="53">
        <v>0</v>
      </c>
      <c r="Y97" s="2">
        <v>-6.3812852870000851E-5</v>
      </c>
      <c r="Z97" s="34">
        <v>1.3146516798166752E-4</v>
      </c>
      <c r="AA97" s="2">
        <v>1.5642</v>
      </c>
      <c r="AB97" s="2">
        <f t="shared" si="18"/>
        <v>0</v>
      </c>
      <c r="AC97" s="2">
        <f t="shared" si="19"/>
        <v>0</v>
      </c>
      <c r="AD97" s="2">
        <f t="shared" si="20"/>
        <v>0</v>
      </c>
      <c r="AE97" s="57">
        <f t="shared" si="21"/>
        <v>0</v>
      </c>
      <c r="AF97" s="58">
        <f t="shared" si="17"/>
        <v>0</v>
      </c>
      <c r="AG97" s="29">
        <f t="shared" si="22"/>
        <v>0</v>
      </c>
      <c r="AH97">
        <f t="shared" si="23"/>
        <v>501.00000000000034</v>
      </c>
      <c r="AI97" s="49">
        <f t="shared" si="24"/>
        <v>0</v>
      </c>
      <c r="AJ97" s="49">
        <f t="shared" si="25"/>
        <v>0</v>
      </c>
      <c r="AK97" s="48">
        <f t="shared" si="14"/>
        <v>0</v>
      </c>
    </row>
    <row r="98" spans="2:37" x14ac:dyDescent="0.25">
      <c r="B98" s="2" t="s">
        <v>15</v>
      </c>
      <c r="C98" s="2" t="s">
        <v>58</v>
      </c>
      <c r="D98" s="2">
        <v>20141212</v>
      </c>
      <c r="E98" s="2">
        <v>1.52</v>
      </c>
      <c r="F98" s="2" t="s">
        <v>60</v>
      </c>
      <c r="G98" s="2">
        <v>62500</v>
      </c>
      <c r="H98" s="2" t="str">
        <f t="shared" si="15"/>
        <v>GLOBEX</v>
      </c>
      <c r="I98" s="2" t="s">
        <v>17</v>
      </c>
      <c r="J98" s="2" t="s">
        <v>16</v>
      </c>
      <c r="K98" s="2" t="str">
        <f t="shared" si="16"/>
        <v>6B2Z4 C1520</v>
      </c>
      <c r="L98" s="2" t="s">
        <v>122</v>
      </c>
      <c r="M98" s="51"/>
      <c r="N98" s="2">
        <v>0</v>
      </c>
      <c r="O98" s="2">
        <v>0</v>
      </c>
      <c r="P98" s="2">
        <v>0</v>
      </c>
      <c r="Q98" s="2">
        <v>0</v>
      </c>
      <c r="R98" s="2">
        <v>0</v>
      </c>
      <c r="S98" s="2">
        <v>0</v>
      </c>
      <c r="T98" s="2"/>
      <c r="U98" s="53">
        <v>4.440670335962453E-2</v>
      </c>
      <c r="V98" s="52">
        <v>9.7579074379925856E-2</v>
      </c>
      <c r="W98" s="2">
        <v>0.9767743652221681</v>
      </c>
      <c r="X98" s="53">
        <v>0</v>
      </c>
      <c r="Y98" s="2">
        <v>-7.8007163637898805E-5</v>
      </c>
      <c r="Z98" s="34">
        <v>1.6841908281380741E-4</v>
      </c>
      <c r="AA98" s="2">
        <v>1.5642</v>
      </c>
      <c r="AB98" s="2">
        <f t="shared" si="18"/>
        <v>0</v>
      </c>
      <c r="AC98" s="2">
        <f t="shared" si="19"/>
        <v>0</v>
      </c>
      <c r="AD98" s="2">
        <f t="shared" si="20"/>
        <v>0</v>
      </c>
      <c r="AE98" s="57">
        <f t="shared" si="21"/>
        <v>0</v>
      </c>
      <c r="AF98" s="58">
        <f t="shared" si="17"/>
        <v>0</v>
      </c>
      <c r="AG98" s="29">
        <f t="shared" si="22"/>
        <v>0</v>
      </c>
      <c r="AH98">
        <f t="shared" si="23"/>
        <v>450.9999999999992</v>
      </c>
      <c r="AI98" s="49">
        <f t="shared" si="24"/>
        <v>0</v>
      </c>
      <c r="AJ98" s="49">
        <f t="shared" si="25"/>
        <v>0</v>
      </c>
      <c r="AK98" s="48">
        <f t="shared" si="14"/>
        <v>0</v>
      </c>
    </row>
    <row r="99" spans="2:37" x14ac:dyDescent="0.25">
      <c r="B99" s="2" t="s">
        <v>15</v>
      </c>
      <c r="C99" s="2" t="s">
        <v>58</v>
      </c>
      <c r="D99" s="2">
        <v>20141212</v>
      </c>
      <c r="E99" s="2">
        <v>1.5249999999999999</v>
      </c>
      <c r="F99" s="2" t="s">
        <v>60</v>
      </c>
      <c r="G99" s="2">
        <v>62500</v>
      </c>
      <c r="H99" s="2" t="str">
        <f t="shared" si="15"/>
        <v>GLOBEX</v>
      </c>
      <c r="I99" s="2" t="s">
        <v>17</v>
      </c>
      <c r="J99" s="2" t="s">
        <v>16</v>
      </c>
      <c r="K99" s="2" t="str">
        <f t="shared" si="16"/>
        <v>6B2Z4 C1525</v>
      </c>
      <c r="L99" s="2" t="s">
        <v>122</v>
      </c>
      <c r="M99" s="51"/>
      <c r="N99" s="2">
        <v>0</v>
      </c>
      <c r="O99" s="2">
        <v>0</v>
      </c>
      <c r="P99" s="2">
        <v>0</v>
      </c>
      <c r="Q99" s="2">
        <v>0</v>
      </c>
      <c r="R99" s="2">
        <v>0</v>
      </c>
      <c r="S99" s="2">
        <v>0</v>
      </c>
      <c r="T99" s="2"/>
      <c r="U99" s="53">
        <v>3.9498694572012154E-2</v>
      </c>
      <c r="V99" s="52">
        <v>9.3238358205276484E-2</v>
      </c>
      <c r="W99" s="2">
        <v>0.96650233880327663</v>
      </c>
      <c r="X99" s="53">
        <v>0</v>
      </c>
      <c r="Y99" s="2">
        <v>-1.0021199337090616E-4</v>
      </c>
      <c r="Z99" s="34">
        <v>2.1013366778226822E-4</v>
      </c>
      <c r="AA99" s="2">
        <v>1.5642</v>
      </c>
      <c r="AB99" s="2">
        <f t="shared" si="18"/>
        <v>0</v>
      </c>
      <c r="AC99" s="2">
        <f t="shared" si="19"/>
        <v>0</v>
      </c>
      <c r="AD99" s="2">
        <f t="shared" si="20"/>
        <v>0</v>
      </c>
      <c r="AE99" s="57">
        <f t="shared" si="21"/>
        <v>0</v>
      </c>
      <c r="AF99" s="58">
        <f t="shared" si="17"/>
        <v>0</v>
      </c>
      <c r="AG99" s="29">
        <f t="shared" si="22"/>
        <v>0</v>
      </c>
      <c r="AH99">
        <f t="shared" si="23"/>
        <v>401.00000000000023</v>
      </c>
      <c r="AI99" s="49">
        <f t="shared" si="24"/>
        <v>0</v>
      </c>
      <c r="AJ99" s="49">
        <f t="shared" si="25"/>
        <v>0</v>
      </c>
      <c r="AK99" s="48">
        <f t="shared" si="14"/>
        <v>0</v>
      </c>
    </row>
    <row r="100" spans="2:37" x14ac:dyDescent="0.25">
      <c r="B100" s="2" t="s">
        <v>15</v>
      </c>
      <c r="C100" s="2" t="s">
        <v>58</v>
      </c>
      <c r="D100" s="2">
        <v>20141212</v>
      </c>
      <c r="E100" s="2">
        <v>1.53</v>
      </c>
      <c r="F100" s="2" t="s">
        <v>60</v>
      </c>
      <c r="G100" s="2">
        <v>62500</v>
      </c>
      <c r="H100" s="2" t="str">
        <f t="shared" si="15"/>
        <v>GLOBEX</v>
      </c>
      <c r="I100" s="2" t="s">
        <v>17</v>
      </c>
      <c r="J100" s="2" t="s">
        <v>16</v>
      </c>
      <c r="K100" s="2" t="str">
        <f t="shared" si="16"/>
        <v>6B2Z4 C1530</v>
      </c>
      <c r="L100" s="2" t="s">
        <v>122</v>
      </c>
      <c r="M100" s="51"/>
      <c r="N100" s="2">
        <v>0</v>
      </c>
      <c r="O100" s="2">
        <v>0</v>
      </c>
      <c r="P100" s="2">
        <v>0</v>
      </c>
      <c r="Q100" s="2">
        <v>0</v>
      </c>
      <c r="R100" s="2">
        <v>0</v>
      </c>
      <c r="S100" s="2">
        <v>0</v>
      </c>
      <c r="T100" s="2"/>
      <c r="U100" s="53">
        <v>3.4624608160590938E-2</v>
      </c>
      <c r="V100" s="52">
        <v>8.9222570389523526E-2</v>
      </c>
      <c r="W100" s="2">
        <v>0.95251170745195557</v>
      </c>
      <c r="X100" s="53">
        <v>0</v>
      </c>
      <c r="Y100" s="2">
        <v>-1.271536281950097E-4</v>
      </c>
      <c r="Z100" s="34">
        <v>2.7569276046187502E-4</v>
      </c>
      <c r="AA100" s="2">
        <v>1.5642</v>
      </c>
      <c r="AB100" s="2">
        <f t="shared" si="18"/>
        <v>0</v>
      </c>
      <c r="AC100" s="2">
        <f t="shared" si="19"/>
        <v>0</v>
      </c>
      <c r="AD100" s="2">
        <f t="shared" si="20"/>
        <v>0</v>
      </c>
      <c r="AE100" s="57">
        <f t="shared" si="21"/>
        <v>0</v>
      </c>
      <c r="AF100" s="58">
        <f t="shared" si="17"/>
        <v>0</v>
      </c>
      <c r="AG100" s="29">
        <f t="shared" si="22"/>
        <v>0</v>
      </c>
      <c r="AH100">
        <f t="shared" si="23"/>
        <v>350.99999999999909</v>
      </c>
      <c r="AI100" s="49">
        <f t="shared" si="24"/>
        <v>0</v>
      </c>
      <c r="AJ100" s="49">
        <f t="shared" si="25"/>
        <v>0</v>
      </c>
      <c r="AK100" s="48">
        <f t="shared" si="14"/>
        <v>0</v>
      </c>
    </row>
    <row r="101" spans="2:37" x14ac:dyDescent="0.25">
      <c r="B101" s="2" t="s">
        <v>15</v>
      </c>
      <c r="C101" s="2" t="s">
        <v>58</v>
      </c>
      <c r="D101" s="2">
        <v>20141212</v>
      </c>
      <c r="E101" s="2">
        <v>1.5349999999999999</v>
      </c>
      <c r="F101" s="2" t="s">
        <v>60</v>
      </c>
      <c r="G101" s="2">
        <v>62500</v>
      </c>
      <c r="H101" s="2" t="str">
        <f t="shared" si="15"/>
        <v>GLOBEX</v>
      </c>
      <c r="I101" s="2" t="s">
        <v>17</v>
      </c>
      <c r="J101" s="2" t="s">
        <v>16</v>
      </c>
      <c r="K101" s="2" t="str">
        <f t="shared" si="16"/>
        <v>6B2Z4 C1535</v>
      </c>
      <c r="L101" s="2" t="s">
        <v>122</v>
      </c>
      <c r="M101" s="51"/>
      <c r="N101" s="2">
        <v>0</v>
      </c>
      <c r="O101" s="2">
        <v>0</v>
      </c>
      <c r="P101" s="2">
        <v>0</v>
      </c>
      <c r="Q101" s="2">
        <v>0</v>
      </c>
      <c r="R101" s="2">
        <v>0</v>
      </c>
      <c r="S101" s="2">
        <v>0</v>
      </c>
      <c r="T101" s="2"/>
      <c r="U101" s="53">
        <v>2.9824240434176308E-2</v>
      </c>
      <c r="V101" s="52">
        <v>8.5531710932656324E-2</v>
      </c>
      <c r="W101" s="2">
        <v>0.93109328133273772</v>
      </c>
      <c r="X101" s="53">
        <v>0</v>
      </c>
      <c r="Y101" s="2">
        <v>-1.6345104842675119E-4</v>
      </c>
      <c r="Z101" s="34">
        <v>3.7299240816645804E-4</v>
      </c>
      <c r="AA101" s="2">
        <v>1.5642</v>
      </c>
      <c r="AB101" s="2">
        <f t="shared" si="18"/>
        <v>0</v>
      </c>
      <c r="AC101" s="2">
        <f t="shared" si="19"/>
        <v>0</v>
      </c>
      <c r="AD101" s="2">
        <f t="shared" si="20"/>
        <v>0</v>
      </c>
      <c r="AE101" s="57">
        <f t="shared" si="21"/>
        <v>0</v>
      </c>
      <c r="AF101" s="58">
        <f t="shared" si="17"/>
        <v>0</v>
      </c>
      <c r="AG101" s="29">
        <f t="shared" si="22"/>
        <v>0</v>
      </c>
      <c r="AH101">
        <f t="shared" si="23"/>
        <v>301.00000000000017</v>
      </c>
      <c r="AI101" s="49">
        <f t="shared" si="24"/>
        <v>0</v>
      </c>
      <c r="AJ101" s="49">
        <f t="shared" si="25"/>
        <v>0</v>
      </c>
      <c r="AK101" s="48">
        <f t="shared" si="14"/>
        <v>0</v>
      </c>
    </row>
    <row r="102" spans="2:37" x14ac:dyDescent="0.25">
      <c r="B102" s="2" t="s">
        <v>15</v>
      </c>
      <c r="C102" s="2" t="s">
        <v>58</v>
      </c>
      <c r="D102" s="2">
        <v>20141212</v>
      </c>
      <c r="E102" s="2">
        <v>1.54</v>
      </c>
      <c r="F102" s="2" t="s">
        <v>60</v>
      </c>
      <c r="G102" s="2">
        <v>62500</v>
      </c>
      <c r="H102" s="2" t="str">
        <f t="shared" si="15"/>
        <v>GLOBEX</v>
      </c>
      <c r="I102" s="2" t="s">
        <v>17</v>
      </c>
      <c r="J102" s="2" t="s">
        <v>16</v>
      </c>
      <c r="K102" s="2" t="str">
        <f t="shared" si="16"/>
        <v>6B2Z4 C1540</v>
      </c>
      <c r="L102" s="2" t="s">
        <v>122</v>
      </c>
      <c r="M102" s="51"/>
      <c r="N102" s="2">
        <v>0</v>
      </c>
      <c r="O102" s="2">
        <v>0</v>
      </c>
      <c r="P102" s="2">
        <v>0</v>
      </c>
      <c r="Q102" s="2">
        <v>0</v>
      </c>
      <c r="R102" s="2">
        <v>0</v>
      </c>
      <c r="S102" s="2">
        <v>0</v>
      </c>
      <c r="T102" s="2"/>
      <c r="U102" s="53">
        <v>2.5155949349616805E-2</v>
      </c>
      <c r="V102" s="52">
        <v>8.2165779834681985E-2</v>
      </c>
      <c r="W102" s="2">
        <v>0.89819873517080717</v>
      </c>
      <c r="X102" s="53">
        <v>0</v>
      </c>
      <c r="Y102" s="2">
        <v>-2.0917589293509284E-4</v>
      </c>
      <c r="Z102" s="34">
        <v>4.2459505496081698E-4</v>
      </c>
      <c r="AA102" s="2">
        <v>1.5642</v>
      </c>
      <c r="AB102" s="2">
        <f t="shared" si="18"/>
        <v>0</v>
      </c>
      <c r="AC102" s="2">
        <f t="shared" si="19"/>
        <v>0</v>
      </c>
      <c r="AD102" s="2">
        <f t="shared" si="20"/>
        <v>0</v>
      </c>
      <c r="AE102" s="57">
        <f t="shared" si="21"/>
        <v>0</v>
      </c>
      <c r="AF102" s="58">
        <f t="shared" ref="AF102:AF125" si="26">IF(ISERR(AE102),0,AE102*M102)</f>
        <v>0</v>
      </c>
      <c r="AG102" s="29">
        <f t="shared" si="22"/>
        <v>0</v>
      </c>
      <c r="AH102">
        <f t="shared" si="23"/>
        <v>250.99999999999901</v>
      </c>
      <c r="AI102" s="49">
        <f t="shared" si="24"/>
        <v>0.55949349616903987</v>
      </c>
      <c r="AJ102" s="49">
        <f t="shared" si="25"/>
        <v>0</v>
      </c>
      <c r="AK102" s="48">
        <f t="shared" si="14"/>
        <v>0</v>
      </c>
    </row>
    <row r="103" spans="2:37" x14ac:dyDescent="0.25">
      <c r="B103" s="2" t="s">
        <v>15</v>
      </c>
      <c r="C103" s="2" t="s">
        <v>58</v>
      </c>
      <c r="D103" s="2">
        <v>20141212</v>
      </c>
      <c r="E103" s="2">
        <v>1.5449999999999999</v>
      </c>
      <c r="F103" s="2" t="s">
        <v>60</v>
      </c>
      <c r="G103" s="2">
        <v>62500</v>
      </c>
      <c r="H103" s="2" t="str">
        <f t="shared" si="15"/>
        <v>GLOBEX</v>
      </c>
      <c r="I103" s="2" t="s">
        <v>17</v>
      </c>
      <c r="J103" s="2" t="s">
        <v>16</v>
      </c>
      <c r="K103" s="2" t="str">
        <f t="shared" si="16"/>
        <v>6B2Z4 C1545</v>
      </c>
      <c r="L103" s="2" t="s">
        <v>122</v>
      </c>
      <c r="M103" s="51"/>
      <c r="N103" s="2">
        <v>0</v>
      </c>
      <c r="O103" s="2">
        <v>0</v>
      </c>
      <c r="P103" s="2">
        <v>0</v>
      </c>
      <c r="Q103" s="2">
        <v>0</v>
      </c>
      <c r="R103" s="2">
        <v>0</v>
      </c>
      <c r="S103" s="2">
        <v>0</v>
      </c>
      <c r="T103" s="2"/>
      <c r="U103" s="53">
        <v>2.0646510785923843E-2</v>
      </c>
      <c r="V103" s="52">
        <v>7.9124777095596954E-2</v>
      </c>
      <c r="W103" s="2">
        <v>0.85232660263713667</v>
      </c>
      <c r="X103" s="53">
        <v>0</v>
      </c>
      <c r="Y103" s="2">
        <v>-2.6134138565999206E-4</v>
      </c>
      <c r="Z103" s="34">
        <v>5.7387340318520649E-4</v>
      </c>
      <c r="AA103" s="2">
        <v>1.5642</v>
      </c>
      <c r="AB103" s="2">
        <f t="shared" si="18"/>
        <v>0</v>
      </c>
      <c r="AC103" s="2">
        <f t="shared" si="19"/>
        <v>0</v>
      </c>
      <c r="AD103" s="2">
        <f t="shared" si="20"/>
        <v>0</v>
      </c>
      <c r="AE103" s="57">
        <f t="shared" si="21"/>
        <v>0</v>
      </c>
      <c r="AF103" s="58">
        <f t="shared" si="26"/>
        <v>0</v>
      </c>
      <c r="AG103" s="29">
        <f t="shared" si="22"/>
        <v>0</v>
      </c>
      <c r="AH103">
        <f t="shared" si="23"/>
        <v>201.00000000000006</v>
      </c>
      <c r="AI103" s="49">
        <f t="shared" si="24"/>
        <v>5.4651078592383726</v>
      </c>
      <c r="AJ103" s="49">
        <f t="shared" si="25"/>
        <v>0</v>
      </c>
      <c r="AK103" s="48">
        <f t="shared" si="14"/>
        <v>0</v>
      </c>
    </row>
    <row r="104" spans="2:37" x14ac:dyDescent="0.25">
      <c r="B104" s="2" t="s">
        <v>15</v>
      </c>
      <c r="C104" s="2" t="s">
        <v>58</v>
      </c>
      <c r="D104" s="2">
        <v>20141212</v>
      </c>
      <c r="E104" s="2">
        <v>1.55</v>
      </c>
      <c r="F104" s="2" t="s">
        <v>60</v>
      </c>
      <c r="G104" s="2">
        <v>62500</v>
      </c>
      <c r="H104" s="2" t="str">
        <f t="shared" si="15"/>
        <v>GLOBEX</v>
      </c>
      <c r="I104" s="2" t="s">
        <v>17</v>
      </c>
      <c r="J104" s="2" t="s">
        <v>16</v>
      </c>
      <c r="K104" s="2" t="str">
        <f t="shared" si="16"/>
        <v>6B2Z4 C1550</v>
      </c>
      <c r="L104" s="2" t="s">
        <v>122</v>
      </c>
      <c r="M104" s="51"/>
      <c r="N104" s="2">
        <v>0</v>
      </c>
      <c r="O104" s="2">
        <v>0</v>
      </c>
      <c r="P104" s="2">
        <v>20</v>
      </c>
      <c r="Q104" s="2">
        <v>1.5699999999999999E-2</v>
      </c>
      <c r="R104" s="2">
        <v>1.72E-2</v>
      </c>
      <c r="S104" s="2">
        <v>20</v>
      </c>
      <c r="T104" s="2"/>
      <c r="U104" s="53">
        <v>1.7200000584125519E-2</v>
      </c>
      <c r="V104" s="52">
        <v>8.7588735445913224E-2</v>
      </c>
      <c r="W104" s="2">
        <v>0.75726981248408365</v>
      </c>
      <c r="X104" s="53">
        <v>0</v>
      </c>
      <c r="Y104" s="2">
        <v>-3.9156215779300965E-4</v>
      </c>
      <c r="Z104" s="34">
        <v>7.3156210508588948E-4</v>
      </c>
      <c r="AA104" s="2">
        <v>1.5642</v>
      </c>
      <c r="AB104" s="2">
        <f t="shared" si="18"/>
        <v>0</v>
      </c>
      <c r="AC104" s="2">
        <f t="shared" si="19"/>
        <v>0</v>
      </c>
      <c r="AD104" s="2">
        <f t="shared" si="20"/>
        <v>0</v>
      </c>
      <c r="AE104" s="57">
        <f t="shared" si="21"/>
        <v>0</v>
      </c>
      <c r="AF104" s="58">
        <f t="shared" si="26"/>
        <v>0</v>
      </c>
      <c r="AG104" s="29">
        <f t="shared" si="22"/>
        <v>0</v>
      </c>
      <c r="AH104">
        <f t="shared" si="23"/>
        <v>150.99999999999892</v>
      </c>
      <c r="AI104" s="49">
        <f t="shared" si="24"/>
        <v>21.000005841256268</v>
      </c>
      <c r="AJ104" s="49">
        <f t="shared" si="25"/>
        <v>0</v>
      </c>
      <c r="AK104" s="48">
        <f t="shared" si="14"/>
        <v>0</v>
      </c>
    </row>
    <row r="105" spans="2:37" x14ac:dyDescent="0.25">
      <c r="B105" s="2" t="s">
        <v>15</v>
      </c>
      <c r="C105" s="2" t="s">
        <v>58</v>
      </c>
      <c r="D105" s="2">
        <v>20141213</v>
      </c>
      <c r="E105" s="2">
        <v>1.5549999999999999</v>
      </c>
      <c r="F105" s="2" t="s">
        <v>60</v>
      </c>
      <c r="G105" s="2">
        <v>62500</v>
      </c>
      <c r="H105" s="2" t="str">
        <f t="shared" si="15"/>
        <v>GLOBEX</v>
      </c>
      <c r="I105" s="2" t="s">
        <v>17</v>
      </c>
      <c r="J105" s="2" t="s">
        <v>16</v>
      </c>
      <c r="K105" s="2" t="str">
        <f t="shared" si="16"/>
        <v>6B2Z4 C1555</v>
      </c>
      <c r="L105" s="2" t="s">
        <v>122</v>
      </c>
      <c r="M105" s="51"/>
      <c r="N105" s="2"/>
      <c r="O105" s="2"/>
      <c r="P105" s="2"/>
      <c r="Q105" s="2"/>
      <c r="R105" s="2"/>
      <c r="S105" s="2"/>
      <c r="T105" s="2"/>
      <c r="U105" s="53"/>
      <c r="V105" s="52"/>
      <c r="W105" s="2"/>
      <c r="X105" s="53"/>
      <c r="Y105" s="2"/>
      <c r="Z105" s="34"/>
      <c r="AA105" s="2"/>
      <c r="AB105" s="2">
        <f t="shared" si="18"/>
        <v>0</v>
      </c>
      <c r="AC105" s="2">
        <f t="shared" si="19"/>
        <v>0</v>
      </c>
      <c r="AD105" s="2">
        <f t="shared" si="20"/>
        <v>0</v>
      </c>
      <c r="AE105" s="57">
        <f t="shared" si="21"/>
        <v>0</v>
      </c>
      <c r="AF105" s="58">
        <f t="shared" si="26"/>
        <v>0</v>
      </c>
      <c r="AG105" s="29">
        <f t="shared" si="22"/>
        <v>0</v>
      </c>
      <c r="AH105">
        <f t="shared" si="23"/>
        <v>100.99999999999997</v>
      </c>
      <c r="AI105" s="49">
        <f t="shared" si="24"/>
        <v>0</v>
      </c>
      <c r="AJ105" s="49">
        <f t="shared" si="25"/>
        <v>0</v>
      </c>
      <c r="AK105" s="48">
        <f t="shared" ref="AK105:AK125" si="27">MAX(0,AJ105*6.25)</f>
        <v>0</v>
      </c>
    </row>
    <row r="106" spans="2:37" x14ac:dyDescent="0.25">
      <c r="B106" s="2" t="s">
        <v>15</v>
      </c>
      <c r="C106" s="2" t="s">
        <v>58</v>
      </c>
      <c r="D106" s="2">
        <v>20141214</v>
      </c>
      <c r="E106" s="2">
        <v>1.56</v>
      </c>
      <c r="F106" s="2" t="s">
        <v>60</v>
      </c>
      <c r="G106" s="2">
        <v>62500</v>
      </c>
      <c r="H106" s="2" t="str">
        <f t="shared" si="15"/>
        <v>GLOBEX</v>
      </c>
      <c r="I106" s="2" t="s">
        <v>17</v>
      </c>
      <c r="J106" s="2" t="s">
        <v>16</v>
      </c>
      <c r="K106" s="2" t="str">
        <f t="shared" si="16"/>
        <v>6B2Z4 C1560</v>
      </c>
      <c r="L106" s="2" t="s">
        <v>122</v>
      </c>
      <c r="M106" s="51"/>
      <c r="N106" s="2"/>
      <c r="O106" s="2"/>
      <c r="P106" s="2"/>
      <c r="Q106" s="2"/>
      <c r="R106" s="2"/>
      <c r="S106" s="2"/>
      <c r="T106" s="2"/>
      <c r="U106" s="53"/>
      <c r="V106" s="52"/>
      <c r="W106" s="2"/>
      <c r="X106" s="53"/>
      <c r="Y106" s="2"/>
      <c r="Z106" s="34"/>
      <c r="AA106" s="2"/>
      <c r="AB106" s="2">
        <f t="shared" si="18"/>
        <v>0</v>
      </c>
      <c r="AC106" s="2">
        <f t="shared" si="19"/>
        <v>0</v>
      </c>
      <c r="AD106" s="2">
        <f t="shared" si="20"/>
        <v>0</v>
      </c>
      <c r="AE106" s="57">
        <f t="shared" si="21"/>
        <v>0</v>
      </c>
      <c r="AF106" s="58">
        <f t="shared" si="26"/>
        <v>0</v>
      </c>
      <c r="AG106" s="29">
        <f t="shared" si="22"/>
        <v>0</v>
      </c>
      <c r="AH106">
        <f t="shared" si="23"/>
        <v>50.99999999999882</v>
      </c>
      <c r="AI106" s="49">
        <f t="shared" si="24"/>
        <v>0</v>
      </c>
      <c r="AJ106" s="49">
        <f t="shared" si="25"/>
        <v>0</v>
      </c>
      <c r="AK106" s="48">
        <f t="shared" si="27"/>
        <v>0</v>
      </c>
    </row>
    <row r="107" spans="2:37" x14ac:dyDescent="0.25">
      <c r="B107" s="2" t="s">
        <v>15</v>
      </c>
      <c r="C107" s="2" t="s">
        <v>58</v>
      </c>
      <c r="D107" s="2">
        <v>20141215</v>
      </c>
      <c r="E107" s="2">
        <v>1.5649999999999999</v>
      </c>
      <c r="F107" s="2" t="s">
        <v>60</v>
      </c>
      <c r="G107" s="2">
        <v>62500</v>
      </c>
      <c r="H107" s="2" t="str">
        <f t="shared" si="15"/>
        <v>GLOBEX</v>
      </c>
      <c r="I107" s="2" t="s">
        <v>17</v>
      </c>
      <c r="J107" s="2" t="s">
        <v>16</v>
      </c>
      <c r="K107" s="2" t="str">
        <f t="shared" si="16"/>
        <v>6B2Z4 C1565</v>
      </c>
      <c r="L107" s="2" t="s">
        <v>122</v>
      </c>
      <c r="M107" s="51"/>
      <c r="N107" s="2"/>
      <c r="O107" s="2"/>
      <c r="P107" s="2"/>
      <c r="Q107" s="2"/>
      <c r="R107" s="2"/>
      <c r="S107" s="2"/>
      <c r="T107" s="2"/>
      <c r="U107" s="53"/>
      <c r="V107" s="52"/>
      <c r="W107" s="2"/>
      <c r="X107" s="53"/>
      <c r="Y107" s="2"/>
      <c r="Z107" s="34"/>
      <c r="AA107" s="2"/>
      <c r="AB107" s="2">
        <f t="shared" si="18"/>
        <v>0</v>
      </c>
      <c r="AC107" s="2">
        <f t="shared" si="19"/>
        <v>0</v>
      </c>
      <c r="AD107" s="2">
        <f t="shared" si="20"/>
        <v>0</v>
      </c>
      <c r="AE107" s="57">
        <f t="shared" si="21"/>
        <v>0</v>
      </c>
      <c r="AF107" s="58">
        <f t="shared" si="26"/>
        <v>0</v>
      </c>
      <c r="AG107" s="29">
        <f t="shared" si="22"/>
        <v>0</v>
      </c>
      <c r="AH107">
        <f t="shared" si="23"/>
        <v>0.99999999999988987</v>
      </c>
      <c r="AI107" s="49">
        <f t="shared" si="24"/>
        <v>0</v>
      </c>
      <c r="AJ107" s="49">
        <f t="shared" si="25"/>
        <v>0</v>
      </c>
      <c r="AK107" s="48">
        <f t="shared" si="27"/>
        <v>0</v>
      </c>
    </row>
    <row r="108" spans="2:37" x14ac:dyDescent="0.25">
      <c r="B108" s="2" t="s">
        <v>15</v>
      </c>
      <c r="C108" s="2" t="s">
        <v>58</v>
      </c>
      <c r="D108" s="2">
        <v>20141216</v>
      </c>
      <c r="E108" s="2">
        <v>1.57</v>
      </c>
      <c r="F108" s="2" t="s">
        <v>60</v>
      </c>
      <c r="G108" s="2">
        <v>62500</v>
      </c>
      <c r="H108" s="2" t="str">
        <f t="shared" si="15"/>
        <v>GLOBEX</v>
      </c>
      <c r="I108" s="2" t="s">
        <v>17</v>
      </c>
      <c r="J108" s="2" t="s">
        <v>16</v>
      </c>
      <c r="K108" s="2" t="str">
        <f t="shared" si="16"/>
        <v>6B2Z4 C1570</v>
      </c>
      <c r="L108" s="2" t="s">
        <v>122</v>
      </c>
      <c r="M108" s="51"/>
      <c r="N108" s="2"/>
      <c r="O108" s="2"/>
      <c r="P108" s="2"/>
      <c r="Q108" s="2"/>
      <c r="R108" s="2"/>
      <c r="S108" s="2"/>
      <c r="T108" s="2"/>
      <c r="U108" s="53"/>
      <c r="V108" s="52"/>
      <c r="W108" s="2"/>
      <c r="X108" s="53"/>
      <c r="Y108" s="2"/>
      <c r="Z108" s="34"/>
      <c r="AA108" s="2"/>
      <c r="AB108" s="2">
        <f t="shared" si="18"/>
        <v>0</v>
      </c>
      <c r="AC108" s="2">
        <f t="shared" si="19"/>
        <v>0</v>
      </c>
      <c r="AD108" s="2">
        <f t="shared" si="20"/>
        <v>0</v>
      </c>
      <c r="AE108" s="57">
        <f t="shared" si="21"/>
        <v>0</v>
      </c>
      <c r="AF108" s="58">
        <f t="shared" si="26"/>
        <v>0</v>
      </c>
      <c r="AG108" s="29">
        <f t="shared" si="22"/>
        <v>0</v>
      </c>
      <c r="AH108">
        <f t="shared" si="23"/>
        <v>0</v>
      </c>
      <c r="AI108" s="49">
        <f t="shared" si="24"/>
        <v>0</v>
      </c>
      <c r="AJ108" s="49">
        <f t="shared" si="25"/>
        <v>0</v>
      </c>
      <c r="AK108" s="48">
        <f t="shared" si="27"/>
        <v>0</v>
      </c>
    </row>
    <row r="109" spans="2:37" x14ac:dyDescent="0.25">
      <c r="B109" s="2" t="s">
        <v>15</v>
      </c>
      <c r="C109" s="2" t="s">
        <v>58</v>
      </c>
      <c r="D109" s="2">
        <v>20141217</v>
      </c>
      <c r="E109" s="2">
        <v>1.575</v>
      </c>
      <c r="F109" s="2" t="s">
        <v>60</v>
      </c>
      <c r="G109" s="2">
        <v>62500</v>
      </c>
      <c r="H109" s="2" t="str">
        <f t="shared" si="15"/>
        <v>GLOBEX</v>
      </c>
      <c r="I109" s="2" t="s">
        <v>17</v>
      </c>
      <c r="J109" s="2" t="s">
        <v>16</v>
      </c>
      <c r="K109" s="2" t="str">
        <f t="shared" si="16"/>
        <v>6B2Z4 C1575</v>
      </c>
      <c r="L109" s="2" t="s">
        <v>122</v>
      </c>
      <c r="M109" s="51"/>
      <c r="N109" s="2"/>
      <c r="O109" s="2"/>
      <c r="P109" s="2"/>
      <c r="Q109" s="2"/>
      <c r="R109" s="2"/>
      <c r="S109" s="2"/>
      <c r="T109" s="2"/>
      <c r="U109" s="53"/>
      <c r="V109" s="52"/>
      <c r="W109" s="2"/>
      <c r="X109" s="53"/>
      <c r="Y109" s="2"/>
      <c r="Z109" s="34"/>
      <c r="AA109" s="2"/>
      <c r="AB109" s="2">
        <f t="shared" si="18"/>
        <v>0</v>
      </c>
      <c r="AC109" s="2">
        <f t="shared" si="19"/>
        <v>0</v>
      </c>
      <c r="AD109" s="2">
        <f t="shared" si="20"/>
        <v>0</v>
      </c>
      <c r="AE109" s="57">
        <f t="shared" si="21"/>
        <v>0</v>
      </c>
      <c r="AF109" s="58">
        <f t="shared" si="26"/>
        <v>0</v>
      </c>
      <c r="AG109" s="29">
        <f t="shared" si="22"/>
        <v>0</v>
      </c>
      <c r="AH109">
        <f t="shared" si="23"/>
        <v>0</v>
      </c>
      <c r="AI109" s="49">
        <f t="shared" si="24"/>
        <v>0</v>
      </c>
      <c r="AJ109" s="49">
        <f t="shared" si="25"/>
        <v>0</v>
      </c>
      <c r="AK109" s="48">
        <f t="shared" si="27"/>
        <v>0</v>
      </c>
    </row>
    <row r="110" spans="2:37" x14ac:dyDescent="0.25">
      <c r="B110" s="2" t="s">
        <v>15</v>
      </c>
      <c r="C110" s="2" t="s">
        <v>58</v>
      </c>
      <c r="D110" s="2">
        <v>20141218</v>
      </c>
      <c r="E110" s="2">
        <v>1.58</v>
      </c>
      <c r="F110" s="2" t="s">
        <v>60</v>
      </c>
      <c r="G110" s="2">
        <v>62500</v>
      </c>
      <c r="H110" s="2" t="str">
        <f t="shared" si="15"/>
        <v>GLOBEX</v>
      </c>
      <c r="I110" s="2" t="s">
        <v>17</v>
      </c>
      <c r="J110" s="2" t="s">
        <v>16</v>
      </c>
      <c r="K110" s="2" t="str">
        <f t="shared" si="16"/>
        <v>6B2Z4 C1580</v>
      </c>
      <c r="L110" s="2" t="s">
        <v>122</v>
      </c>
      <c r="M110" s="51"/>
      <c r="N110" s="2"/>
      <c r="O110" s="2"/>
      <c r="P110" s="2"/>
      <c r="Q110" s="2"/>
      <c r="R110" s="2"/>
      <c r="S110" s="2"/>
      <c r="T110" s="2"/>
      <c r="U110" s="53"/>
      <c r="V110" s="52"/>
      <c r="W110" s="2"/>
      <c r="X110" s="53"/>
      <c r="Y110" s="2"/>
      <c r="Z110" s="34"/>
      <c r="AA110" s="2"/>
      <c r="AB110" s="2">
        <f t="shared" si="18"/>
        <v>0</v>
      </c>
      <c r="AC110" s="2">
        <f t="shared" si="19"/>
        <v>0</v>
      </c>
      <c r="AD110" s="2">
        <f t="shared" si="20"/>
        <v>0</v>
      </c>
      <c r="AE110" s="57">
        <f t="shared" si="21"/>
        <v>0</v>
      </c>
      <c r="AF110" s="58">
        <f t="shared" si="26"/>
        <v>0</v>
      </c>
      <c r="AG110" s="29">
        <f t="shared" si="22"/>
        <v>0</v>
      </c>
      <c r="AH110">
        <f t="shared" si="23"/>
        <v>0</v>
      </c>
      <c r="AI110" s="49">
        <f t="shared" si="24"/>
        <v>0</v>
      </c>
      <c r="AJ110" s="49">
        <f t="shared" si="25"/>
        <v>0</v>
      </c>
      <c r="AK110" s="48">
        <f t="shared" si="27"/>
        <v>0</v>
      </c>
    </row>
    <row r="111" spans="2:37" x14ac:dyDescent="0.25">
      <c r="B111" s="2" t="s">
        <v>15</v>
      </c>
      <c r="C111" s="2" t="s">
        <v>58</v>
      </c>
      <c r="D111" s="2">
        <v>20141219</v>
      </c>
      <c r="E111" s="2">
        <v>1.585</v>
      </c>
      <c r="F111" s="2" t="s">
        <v>60</v>
      </c>
      <c r="G111" s="2">
        <v>62500</v>
      </c>
      <c r="H111" s="2" t="str">
        <f t="shared" si="15"/>
        <v>GLOBEX</v>
      </c>
      <c r="I111" s="2" t="s">
        <v>17</v>
      </c>
      <c r="J111" s="2" t="s">
        <v>16</v>
      </c>
      <c r="K111" s="2" t="str">
        <f t="shared" si="16"/>
        <v>6B2Z4 C1585</v>
      </c>
      <c r="L111" s="2" t="s">
        <v>122</v>
      </c>
      <c r="M111" s="51"/>
      <c r="N111" s="2"/>
      <c r="O111" s="2"/>
      <c r="P111" s="2"/>
      <c r="Q111" s="2"/>
      <c r="R111" s="2"/>
      <c r="S111" s="2"/>
      <c r="T111" s="2"/>
      <c r="U111" s="53"/>
      <c r="V111" s="52"/>
      <c r="W111" s="2"/>
      <c r="X111" s="53"/>
      <c r="Y111" s="2"/>
      <c r="Z111" s="34"/>
      <c r="AA111" s="2"/>
      <c r="AB111" s="2">
        <f t="shared" si="18"/>
        <v>0</v>
      </c>
      <c r="AC111" s="2">
        <f t="shared" si="19"/>
        <v>0</v>
      </c>
      <c r="AD111" s="2">
        <f t="shared" si="20"/>
        <v>0</v>
      </c>
      <c r="AE111" s="57">
        <f t="shared" si="21"/>
        <v>0</v>
      </c>
      <c r="AF111" s="58">
        <f t="shared" si="26"/>
        <v>0</v>
      </c>
      <c r="AG111" s="29">
        <f t="shared" si="22"/>
        <v>0</v>
      </c>
      <c r="AH111">
        <f t="shared" si="23"/>
        <v>0</v>
      </c>
      <c r="AI111" s="49">
        <f t="shared" si="24"/>
        <v>0</v>
      </c>
      <c r="AJ111" s="49">
        <f t="shared" si="25"/>
        <v>0</v>
      </c>
      <c r="AK111" s="48">
        <f t="shared" si="27"/>
        <v>0</v>
      </c>
    </row>
    <row r="112" spans="2:37" x14ac:dyDescent="0.25">
      <c r="B112" s="2" t="s">
        <v>15</v>
      </c>
      <c r="C112" s="2" t="s">
        <v>58</v>
      </c>
      <c r="D112" s="2">
        <v>20141220</v>
      </c>
      <c r="E112" s="2">
        <v>1.59</v>
      </c>
      <c r="F112" s="2" t="s">
        <v>60</v>
      </c>
      <c r="G112" s="2">
        <v>62500</v>
      </c>
      <c r="H112" s="2" t="str">
        <f t="shared" si="15"/>
        <v>GLOBEX</v>
      </c>
      <c r="I112" s="2" t="s">
        <v>17</v>
      </c>
      <c r="J112" s="2" t="s">
        <v>16</v>
      </c>
      <c r="K112" s="2" t="str">
        <f t="shared" si="16"/>
        <v>6B2Z4 C1590</v>
      </c>
      <c r="L112" s="2" t="s">
        <v>122</v>
      </c>
      <c r="M112" s="51"/>
      <c r="N112" s="2"/>
      <c r="O112" s="2"/>
      <c r="P112" s="2"/>
      <c r="Q112" s="2"/>
      <c r="R112" s="2"/>
      <c r="S112" s="2"/>
      <c r="T112" s="2"/>
      <c r="U112" s="53"/>
      <c r="V112" s="52"/>
      <c r="W112" s="2"/>
      <c r="X112" s="53"/>
      <c r="Y112" s="2"/>
      <c r="Z112" s="34"/>
      <c r="AA112" s="2"/>
      <c r="AB112" s="2">
        <f t="shared" si="18"/>
        <v>0</v>
      </c>
      <c r="AC112" s="2">
        <f t="shared" si="19"/>
        <v>0</v>
      </c>
      <c r="AD112" s="2">
        <f t="shared" si="20"/>
        <v>0</v>
      </c>
      <c r="AE112" s="57">
        <f t="shared" si="21"/>
        <v>0</v>
      </c>
      <c r="AF112" s="58">
        <f t="shared" si="26"/>
        <v>0</v>
      </c>
      <c r="AG112" s="29">
        <f t="shared" si="22"/>
        <v>0</v>
      </c>
      <c r="AH112">
        <f t="shared" si="23"/>
        <v>0</v>
      </c>
      <c r="AI112" s="49">
        <f t="shared" si="24"/>
        <v>0</v>
      </c>
      <c r="AJ112" s="49">
        <f t="shared" si="25"/>
        <v>0</v>
      </c>
      <c r="AK112" s="48">
        <f t="shared" si="27"/>
        <v>0</v>
      </c>
    </row>
    <row r="113" spans="2:37" x14ac:dyDescent="0.25">
      <c r="B113" s="2" t="s">
        <v>15</v>
      </c>
      <c r="C113" s="2" t="s">
        <v>58</v>
      </c>
      <c r="D113" s="2">
        <v>20141221</v>
      </c>
      <c r="E113" s="2">
        <v>1.595</v>
      </c>
      <c r="F113" s="2" t="s">
        <v>60</v>
      </c>
      <c r="G113" s="2">
        <v>62500</v>
      </c>
      <c r="H113" s="2" t="str">
        <f t="shared" si="15"/>
        <v>GLOBEX</v>
      </c>
      <c r="I113" s="2" t="s">
        <v>17</v>
      </c>
      <c r="J113" s="2" t="s">
        <v>16</v>
      </c>
      <c r="K113" s="2" t="str">
        <f t="shared" si="16"/>
        <v>6B2Z4 C1595</v>
      </c>
      <c r="L113" s="2" t="s">
        <v>122</v>
      </c>
      <c r="M113" s="51"/>
      <c r="N113" s="2"/>
      <c r="O113" s="2"/>
      <c r="P113" s="2"/>
      <c r="Q113" s="2"/>
      <c r="R113" s="2"/>
      <c r="S113" s="2"/>
      <c r="T113" s="2"/>
      <c r="U113" s="53"/>
      <c r="V113" s="52"/>
      <c r="W113" s="2"/>
      <c r="X113" s="53"/>
      <c r="Y113" s="2"/>
      <c r="Z113" s="34"/>
      <c r="AA113" s="2"/>
      <c r="AB113" s="2">
        <f t="shared" si="18"/>
        <v>0</v>
      </c>
      <c r="AC113" s="2">
        <f t="shared" si="19"/>
        <v>0</v>
      </c>
      <c r="AD113" s="2">
        <f t="shared" si="20"/>
        <v>0</v>
      </c>
      <c r="AE113" s="57">
        <f t="shared" si="21"/>
        <v>0</v>
      </c>
      <c r="AF113" s="58">
        <f t="shared" si="26"/>
        <v>0</v>
      </c>
      <c r="AG113" s="29">
        <f t="shared" si="22"/>
        <v>0</v>
      </c>
      <c r="AH113">
        <f t="shared" si="23"/>
        <v>0</v>
      </c>
      <c r="AI113" s="49">
        <f t="shared" si="24"/>
        <v>0</v>
      </c>
      <c r="AJ113" s="49">
        <f t="shared" si="25"/>
        <v>0</v>
      </c>
      <c r="AK113" s="48">
        <f t="shared" si="27"/>
        <v>0</v>
      </c>
    </row>
    <row r="114" spans="2:37" x14ac:dyDescent="0.25">
      <c r="B114" s="2" t="s">
        <v>15</v>
      </c>
      <c r="C114" s="2" t="s">
        <v>58</v>
      </c>
      <c r="D114" s="2">
        <v>20141222</v>
      </c>
      <c r="E114" s="2">
        <v>1.6</v>
      </c>
      <c r="F114" s="2" t="s">
        <v>60</v>
      </c>
      <c r="G114" s="2">
        <v>62500</v>
      </c>
      <c r="H114" s="2" t="str">
        <f t="shared" si="15"/>
        <v>GLOBEX</v>
      </c>
      <c r="I114" s="2" t="s">
        <v>17</v>
      </c>
      <c r="J114" s="2" t="s">
        <v>16</v>
      </c>
      <c r="K114" s="2" t="str">
        <f t="shared" si="16"/>
        <v>6B2Z4 C1600</v>
      </c>
      <c r="L114" s="2" t="s">
        <v>122</v>
      </c>
      <c r="M114" s="51"/>
      <c r="N114" s="2"/>
      <c r="O114" s="2"/>
      <c r="P114" s="2"/>
      <c r="Q114" s="2"/>
      <c r="R114" s="2"/>
      <c r="S114" s="2"/>
      <c r="T114" s="2"/>
      <c r="U114" s="53"/>
      <c r="V114" s="52"/>
      <c r="W114" s="2"/>
      <c r="X114" s="53"/>
      <c r="Y114" s="2"/>
      <c r="Z114" s="34"/>
      <c r="AA114" s="2"/>
      <c r="AB114" s="2">
        <f t="shared" si="18"/>
        <v>0</v>
      </c>
      <c r="AC114" s="2">
        <f t="shared" si="19"/>
        <v>0</v>
      </c>
      <c r="AD114" s="2">
        <f t="shared" si="20"/>
        <v>0</v>
      </c>
      <c r="AE114" s="57">
        <f t="shared" si="21"/>
        <v>0</v>
      </c>
      <c r="AF114" s="58">
        <f t="shared" si="26"/>
        <v>0</v>
      </c>
      <c r="AG114" s="29">
        <f t="shared" si="22"/>
        <v>0</v>
      </c>
      <c r="AH114">
        <f t="shared" si="23"/>
        <v>0</v>
      </c>
      <c r="AI114" s="49">
        <f t="shared" si="24"/>
        <v>0</v>
      </c>
      <c r="AJ114" s="49">
        <f t="shared" si="25"/>
        <v>0</v>
      </c>
      <c r="AK114" s="48">
        <f t="shared" si="27"/>
        <v>0</v>
      </c>
    </row>
    <row r="115" spans="2:37" x14ac:dyDescent="0.25">
      <c r="B115" s="2" t="s">
        <v>15</v>
      </c>
      <c r="C115" s="2" t="s">
        <v>58</v>
      </c>
      <c r="D115" s="2">
        <v>20141223</v>
      </c>
      <c r="E115" s="2">
        <v>1.605</v>
      </c>
      <c r="F115" s="2" t="s">
        <v>60</v>
      </c>
      <c r="G115" s="2">
        <v>62500</v>
      </c>
      <c r="H115" s="2" t="str">
        <f t="shared" si="15"/>
        <v>GLOBEX</v>
      </c>
      <c r="I115" s="2" t="s">
        <v>17</v>
      </c>
      <c r="J115" s="2" t="s">
        <v>16</v>
      </c>
      <c r="K115" s="2" t="str">
        <f t="shared" si="16"/>
        <v>6B2Z4 C1605</v>
      </c>
      <c r="L115" s="2" t="s">
        <v>122</v>
      </c>
      <c r="M115" s="51"/>
      <c r="N115" s="2"/>
      <c r="O115" s="2"/>
      <c r="P115" s="2"/>
      <c r="Q115" s="2"/>
      <c r="R115" s="2"/>
      <c r="S115" s="2"/>
      <c r="T115" s="2"/>
      <c r="U115" s="53"/>
      <c r="V115" s="52"/>
      <c r="W115" s="2"/>
      <c r="X115" s="53"/>
      <c r="Y115" s="2"/>
      <c r="Z115" s="34"/>
      <c r="AA115" s="2"/>
      <c r="AB115" s="2">
        <f t="shared" si="18"/>
        <v>0</v>
      </c>
      <c r="AC115" s="2">
        <f t="shared" si="19"/>
        <v>0</v>
      </c>
      <c r="AD115" s="2">
        <f t="shared" si="20"/>
        <v>0</v>
      </c>
      <c r="AE115" s="57">
        <f t="shared" si="21"/>
        <v>0</v>
      </c>
      <c r="AF115" s="58">
        <f t="shared" si="26"/>
        <v>0</v>
      </c>
      <c r="AG115" s="29">
        <f t="shared" si="22"/>
        <v>0</v>
      </c>
      <c r="AH115">
        <f t="shared" si="23"/>
        <v>0</v>
      </c>
      <c r="AI115" s="49">
        <f t="shared" si="24"/>
        <v>0</v>
      </c>
      <c r="AJ115" s="49">
        <f t="shared" si="25"/>
        <v>0</v>
      </c>
      <c r="AK115" s="48">
        <f t="shared" si="27"/>
        <v>0</v>
      </c>
    </row>
    <row r="116" spans="2:37" x14ac:dyDescent="0.25">
      <c r="B116" s="2" t="s">
        <v>15</v>
      </c>
      <c r="C116" s="2" t="s">
        <v>58</v>
      </c>
      <c r="D116" s="2">
        <v>20141224</v>
      </c>
      <c r="E116" s="2">
        <v>1.61</v>
      </c>
      <c r="F116" s="2" t="s">
        <v>60</v>
      </c>
      <c r="G116" s="2">
        <v>62500</v>
      </c>
      <c r="H116" s="2" t="str">
        <f t="shared" si="15"/>
        <v>GLOBEX</v>
      </c>
      <c r="I116" s="2" t="s">
        <v>17</v>
      </c>
      <c r="J116" s="2" t="s">
        <v>16</v>
      </c>
      <c r="K116" s="2" t="str">
        <f t="shared" si="16"/>
        <v>6B2Z4 C1610</v>
      </c>
      <c r="L116" s="2" t="s">
        <v>122</v>
      </c>
      <c r="M116" s="51"/>
      <c r="N116" s="2"/>
      <c r="O116" s="2"/>
      <c r="P116" s="2"/>
      <c r="Q116" s="2"/>
      <c r="R116" s="2"/>
      <c r="S116" s="2"/>
      <c r="T116" s="2"/>
      <c r="U116" s="53"/>
      <c r="V116" s="52"/>
      <c r="W116" s="2"/>
      <c r="X116" s="53"/>
      <c r="Y116" s="2"/>
      <c r="Z116" s="34"/>
      <c r="AA116" s="2"/>
      <c r="AB116" s="2">
        <f t="shared" si="18"/>
        <v>0</v>
      </c>
      <c r="AC116" s="2">
        <f t="shared" si="19"/>
        <v>0</v>
      </c>
      <c r="AD116" s="2">
        <f t="shared" si="20"/>
        <v>0</v>
      </c>
      <c r="AE116" s="57">
        <f t="shared" si="21"/>
        <v>0</v>
      </c>
      <c r="AF116" s="58">
        <f t="shared" si="26"/>
        <v>0</v>
      </c>
      <c r="AG116" s="29">
        <f t="shared" si="22"/>
        <v>0</v>
      </c>
      <c r="AH116">
        <f t="shared" si="23"/>
        <v>0</v>
      </c>
      <c r="AI116" s="49">
        <f t="shared" si="24"/>
        <v>0</v>
      </c>
      <c r="AJ116" s="49">
        <f t="shared" si="25"/>
        <v>0</v>
      </c>
      <c r="AK116" s="48">
        <f t="shared" si="27"/>
        <v>0</v>
      </c>
    </row>
    <row r="117" spans="2:37" x14ac:dyDescent="0.25">
      <c r="B117" s="2" t="s">
        <v>15</v>
      </c>
      <c r="C117" s="2" t="s">
        <v>58</v>
      </c>
      <c r="D117" s="2">
        <v>20141225</v>
      </c>
      <c r="E117" s="2">
        <v>1.615</v>
      </c>
      <c r="F117" s="2" t="s">
        <v>60</v>
      </c>
      <c r="G117" s="2">
        <v>62500</v>
      </c>
      <c r="H117" s="2" t="str">
        <f t="shared" si="15"/>
        <v>GLOBEX</v>
      </c>
      <c r="I117" s="2" t="s">
        <v>17</v>
      </c>
      <c r="J117" s="2" t="s">
        <v>16</v>
      </c>
      <c r="K117" s="2" t="str">
        <f t="shared" si="16"/>
        <v>6B2Z4 C1615</v>
      </c>
      <c r="L117" s="2" t="s">
        <v>122</v>
      </c>
      <c r="M117" s="51"/>
      <c r="N117" s="2"/>
      <c r="O117" s="2"/>
      <c r="P117" s="2"/>
      <c r="Q117" s="2"/>
      <c r="R117" s="2"/>
      <c r="S117" s="2"/>
      <c r="T117" s="2"/>
      <c r="U117" s="53"/>
      <c r="V117" s="52"/>
      <c r="W117" s="2"/>
      <c r="X117" s="53"/>
      <c r="Y117" s="2"/>
      <c r="Z117" s="34"/>
      <c r="AA117" s="2"/>
      <c r="AB117" s="2">
        <f t="shared" si="18"/>
        <v>0</v>
      </c>
      <c r="AC117" s="2">
        <f t="shared" si="19"/>
        <v>0</v>
      </c>
      <c r="AD117" s="2">
        <f t="shared" si="20"/>
        <v>0</v>
      </c>
      <c r="AE117" s="57">
        <f t="shared" si="21"/>
        <v>0</v>
      </c>
      <c r="AF117" s="58">
        <f t="shared" si="26"/>
        <v>0</v>
      </c>
      <c r="AG117" s="29">
        <f t="shared" si="22"/>
        <v>0</v>
      </c>
      <c r="AH117">
        <f t="shared" si="23"/>
        <v>0</v>
      </c>
      <c r="AI117" s="49">
        <f t="shared" si="24"/>
        <v>0</v>
      </c>
      <c r="AJ117" s="49">
        <f t="shared" si="25"/>
        <v>0</v>
      </c>
      <c r="AK117" s="48">
        <f t="shared" si="27"/>
        <v>0</v>
      </c>
    </row>
    <row r="118" spans="2:37" x14ac:dyDescent="0.25">
      <c r="B118" s="2" t="s">
        <v>15</v>
      </c>
      <c r="C118" s="2" t="s">
        <v>58</v>
      </c>
      <c r="D118" s="2">
        <v>20141226</v>
      </c>
      <c r="E118" s="2">
        <v>1.62</v>
      </c>
      <c r="F118" s="2" t="s">
        <v>60</v>
      </c>
      <c r="G118" s="2">
        <v>62500</v>
      </c>
      <c r="H118" s="2" t="str">
        <f t="shared" si="15"/>
        <v>GLOBEX</v>
      </c>
      <c r="I118" s="2" t="s">
        <v>17</v>
      </c>
      <c r="J118" s="2" t="s">
        <v>16</v>
      </c>
      <c r="K118" s="2" t="str">
        <f t="shared" si="16"/>
        <v>6B2Z4 C1620</v>
      </c>
      <c r="L118" s="2" t="s">
        <v>122</v>
      </c>
      <c r="M118" s="51"/>
      <c r="N118" s="2"/>
      <c r="O118" s="2"/>
      <c r="P118" s="2"/>
      <c r="Q118" s="2"/>
      <c r="R118" s="2"/>
      <c r="S118" s="2"/>
      <c r="T118" s="2"/>
      <c r="U118" s="53"/>
      <c r="V118" s="52"/>
      <c r="W118" s="2"/>
      <c r="X118" s="53"/>
      <c r="Y118" s="2"/>
      <c r="Z118" s="34"/>
      <c r="AA118" s="2"/>
      <c r="AB118" s="2">
        <f t="shared" si="18"/>
        <v>0</v>
      </c>
      <c r="AC118" s="2">
        <f t="shared" si="19"/>
        <v>0</v>
      </c>
      <c r="AD118" s="2">
        <f t="shared" si="20"/>
        <v>0</v>
      </c>
      <c r="AE118" s="57">
        <f t="shared" si="21"/>
        <v>0</v>
      </c>
      <c r="AF118" s="58">
        <f t="shared" si="26"/>
        <v>0</v>
      </c>
      <c r="AG118" s="29">
        <f t="shared" si="22"/>
        <v>0</v>
      </c>
      <c r="AH118">
        <f t="shared" si="23"/>
        <v>0</v>
      </c>
      <c r="AI118" s="49">
        <f t="shared" si="24"/>
        <v>0</v>
      </c>
      <c r="AJ118" s="49">
        <f t="shared" si="25"/>
        <v>0</v>
      </c>
      <c r="AK118" s="48">
        <f t="shared" si="27"/>
        <v>0</v>
      </c>
    </row>
    <row r="119" spans="2:37" x14ac:dyDescent="0.25">
      <c r="B119" s="2" t="s">
        <v>15</v>
      </c>
      <c r="C119" s="2" t="s">
        <v>58</v>
      </c>
      <c r="D119" s="2">
        <v>20141227</v>
      </c>
      <c r="E119" s="2">
        <v>1.625</v>
      </c>
      <c r="F119" s="2" t="s">
        <v>60</v>
      </c>
      <c r="G119" s="2">
        <v>62500</v>
      </c>
      <c r="H119" s="2" t="str">
        <f t="shared" si="15"/>
        <v>GLOBEX</v>
      </c>
      <c r="I119" s="2" t="s">
        <v>17</v>
      </c>
      <c r="J119" s="2" t="s">
        <v>16</v>
      </c>
      <c r="K119" s="2" t="str">
        <f t="shared" si="16"/>
        <v>6B2Z4 C1625</v>
      </c>
      <c r="L119" s="2" t="s">
        <v>122</v>
      </c>
      <c r="M119" s="51"/>
      <c r="N119" s="2"/>
      <c r="O119" s="2"/>
      <c r="P119" s="2"/>
      <c r="Q119" s="2"/>
      <c r="R119" s="2"/>
      <c r="S119" s="2"/>
      <c r="T119" s="2"/>
      <c r="U119" s="53"/>
      <c r="V119" s="52"/>
      <c r="W119" s="2"/>
      <c r="X119" s="53"/>
      <c r="Y119" s="2"/>
      <c r="Z119" s="34"/>
      <c r="AA119" s="2"/>
      <c r="AB119" s="2">
        <f t="shared" si="18"/>
        <v>0</v>
      </c>
      <c r="AC119" s="2">
        <f t="shared" si="19"/>
        <v>0</v>
      </c>
      <c r="AD119" s="2">
        <f t="shared" si="20"/>
        <v>0</v>
      </c>
      <c r="AE119" s="57">
        <f t="shared" si="21"/>
        <v>0</v>
      </c>
      <c r="AF119" s="58">
        <f t="shared" si="26"/>
        <v>0</v>
      </c>
      <c r="AG119" s="29">
        <f t="shared" si="22"/>
        <v>0</v>
      </c>
      <c r="AH119">
        <f t="shared" si="23"/>
        <v>0</v>
      </c>
      <c r="AI119" s="49">
        <f t="shared" si="24"/>
        <v>0</v>
      </c>
      <c r="AJ119" s="49">
        <f t="shared" si="25"/>
        <v>0</v>
      </c>
      <c r="AK119" s="48">
        <f t="shared" si="27"/>
        <v>0</v>
      </c>
    </row>
    <row r="120" spans="2:37" x14ac:dyDescent="0.25">
      <c r="B120" s="2" t="s">
        <v>15</v>
      </c>
      <c r="C120" s="2" t="s">
        <v>58</v>
      </c>
      <c r="D120" s="2">
        <v>20141228</v>
      </c>
      <c r="E120" s="2">
        <v>1.63</v>
      </c>
      <c r="F120" s="2" t="s">
        <v>60</v>
      </c>
      <c r="G120" s="2">
        <v>62500</v>
      </c>
      <c r="H120" s="2" t="str">
        <f t="shared" si="15"/>
        <v>GLOBEX</v>
      </c>
      <c r="I120" s="2" t="s">
        <v>17</v>
      </c>
      <c r="J120" s="2" t="s">
        <v>16</v>
      </c>
      <c r="K120" s="2" t="str">
        <f t="shared" si="16"/>
        <v>6B2Z4 C1630</v>
      </c>
      <c r="L120" s="2" t="s">
        <v>122</v>
      </c>
      <c r="M120" s="51"/>
      <c r="N120" s="2"/>
      <c r="O120" s="2"/>
      <c r="P120" s="2"/>
      <c r="Q120" s="2"/>
      <c r="R120" s="2"/>
      <c r="S120" s="2"/>
      <c r="T120" s="2"/>
      <c r="U120" s="53"/>
      <c r="V120" s="52"/>
      <c r="W120" s="2"/>
      <c r="X120" s="53"/>
      <c r="Y120" s="2"/>
      <c r="Z120" s="34"/>
      <c r="AA120" s="2"/>
      <c r="AB120" s="2">
        <f t="shared" si="18"/>
        <v>0</v>
      </c>
      <c r="AC120" s="2">
        <f t="shared" si="19"/>
        <v>0</v>
      </c>
      <c r="AD120" s="2">
        <f t="shared" si="20"/>
        <v>0</v>
      </c>
      <c r="AE120" s="57">
        <f t="shared" si="21"/>
        <v>0</v>
      </c>
      <c r="AF120" s="58">
        <f t="shared" si="26"/>
        <v>0</v>
      </c>
      <c r="AG120" s="29">
        <f t="shared" si="22"/>
        <v>0</v>
      </c>
      <c r="AH120">
        <f t="shared" si="23"/>
        <v>0</v>
      </c>
      <c r="AI120" s="49">
        <f t="shared" si="24"/>
        <v>0</v>
      </c>
      <c r="AJ120" s="49">
        <f t="shared" si="25"/>
        <v>0</v>
      </c>
      <c r="AK120" s="48">
        <f t="shared" si="27"/>
        <v>0</v>
      </c>
    </row>
    <row r="121" spans="2:37" x14ac:dyDescent="0.25">
      <c r="B121" s="2" t="s">
        <v>15</v>
      </c>
      <c r="C121" s="2" t="s">
        <v>58</v>
      </c>
      <c r="D121" s="2">
        <v>20141229</v>
      </c>
      <c r="E121" s="2">
        <v>1.635</v>
      </c>
      <c r="F121" s="2" t="s">
        <v>60</v>
      </c>
      <c r="G121" s="2">
        <v>62500</v>
      </c>
      <c r="H121" s="2" t="str">
        <f t="shared" si="15"/>
        <v>GLOBEX</v>
      </c>
      <c r="I121" s="2" t="s">
        <v>17</v>
      </c>
      <c r="J121" s="2" t="s">
        <v>16</v>
      </c>
      <c r="K121" s="2" t="str">
        <f t="shared" si="16"/>
        <v>6B2Z4 C1635</v>
      </c>
      <c r="L121" s="2" t="s">
        <v>122</v>
      </c>
      <c r="M121" s="51"/>
      <c r="N121" s="2"/>
      <c r="O121" s="2"/>
      <c r="P121" s="2"/>
      <c r="Q121" s="2"/>
      <c r="R121" s="2"/>
      <c r="S121" s="2"/>
      <c r="T121" s="2"/>
      <c r="U121" s="53"/>
      <c r="V121" s="52"/>
      <c r="W121" s="2"/>
      <c r="X121" s="53"/>
      <c r="Y121" s="2"/>
      <c r="Z121" s="34"/>
      <c r="AA121" s="2"/>
      <c r="AB121" s="2">
        <f t="shared" si="18"/>
        <v>0</v>
      </c>
      <c r="AC121" s="2">
        <f t="shared" si="19"/>
        <v>0</v>
      </c>
      <c r="AD121" s="2">
        <f t="shared" si="20"/>
        <v>0</v>
      </c>
      <c r="AE121" s="57">
        <f t="shared" si="21"/>
        <v>0</v>
      </c>
      <c r="AF121" s="58">
        <f t="shared" si="26"/>
        <v>0</v>
      </c>
      <c r="AG121" s="29">
        <f t="shared" si="22"/>
        <v>0</v>
      </c>
      <c r="AH121">
        <f t="shared" si="23"/>
        <v>0</v>
      </c>
      <c r="AI121" s="49">
        <f t="shared" si="24"/>
        <v>0</v>
      </c>
      <c r="AJ121" s="49">
        <f t="shared" si="25"/>
        <v>0</v>
      </c>
      <c r="AK121" s="48">
        <f t="shared" si="27"/>
        <v>0</v>
      </c>
    </row>
    <row r="122" spans="2:37" x14ac:dyDescent="0.25">
      <c r="B122" s="2" t="s">
        <v>15</v>
      </c>
      <c r="C122" s="2" t="s">
        <v>58</v>
      </c>
      <c r="D122" s="2">
        <v>20141230</v>
      </c>
      <c r="E122" s="2">
        <v>1.6400000000000001</v>
      </c>
      <c r="F122" s="2" t="s">
        <v>60</v>
      </c>
      <c r="G122" s="2">
        <v>62500</v>
      </c>
      <c r="H122" s="2" t="str">
        <f t="shared" si="15"/>
        <v>GLOBEX</v>
      </c>
      <c r="I122" s="2" t="s">
        <v>17</v>
      </c>
      <c r="J122" s="2" t="s">
        <v>16</v>
      </c>
      <c r="K122" s="2" t="str">
        <f t="shared" si="16"/>
        <v>6B2Z4 C1640</v>
      </c>
      <c r="L122" s="2" t="s">
        <v>122</v>
      </c>
      <c r="M122" s="51"/>
      <c r="N122" s="2"/>
      <c r="O122" s="2"/>
      <c r="P122" s="2"/>
      <c r="Q122" s="2"/>
      <c r="R122" s="2"/>
      <c r="S122" s="2"/>
      <c r="T122" s="2"/>
      <c r="U122" s="53"/>
      <c r="V122" s="52"/>
      <c r="W122" s="2"/>
      <c r="X122" s="53"/>
      <c r="Y122" s="2"/>
      <c r="Z122" s="34"/>
      <c r="AA122" s="2"/>
      <c r="AB122" s="2">
        <f t="shared" si="18"/>
        <v>0</v>
      </c>
      <c r="AC122" s="2">
        <f t="shared" si="19"/>
        <v>0</v>
      </c>
      <c r="AD122" s="2">
        <f t="shared" si="20"/>
        <v>0</v>
      </c>
      <c r="AE122" s="57">
        <f t="shared" si="21"/>
        <v>0</v>
      </c>
      <c r="AF122" s="58">
        <f t="shared" si="26"/>
        <v>0</v>
      </c>
      <c r="AG122" s="29">
        <f t="shared" si="22"/>
        <v>0</v>
      </c>
      <c r="AH122">
        <f t="shared" si="23"/>
        <v>0</v>
      </c>
      <c r="AI122" s="49">
        <f t="shared" si="24"/>
        <v>0</v>
      </c>
      <c r="AJ122" s="49">
        <f t="shared" si="25"/>
        <v>0</v>
      </c>
      <c r="AK122" s="48">
        <f t="shared" si="27"/>
        <v>0</v>
      </c>
    </row>
    <row r="123" spans="2:37" x14ac:dyDescent="0.25">
      <c r="B123" s="2" t="s">
        <v>15</v>
      </c>
      <c r="C123" s="2" t="s">
        <v>58</v>
      </c>
      <c r="D123" s="2">
        <v>20141231</v>
      </c>
      <c r="E123" s="2">
        <v>1.645</v>
      </c>
      <c r="F123" s="2" t="s">
        <v>60</v>
      </c>
      <c r="G123" s="2">
        <v>62500</v>
      </c>
      <c r="H123" s="2" t="str">
        <f t="shared" si="15"/>
        <v>GLOBEX</v>
      </c>
      <c r="I123" s="2" t="s">
        <v>17</v>
      </c>
      <c r="J123" s="2" t="s">
        <v>16</v>
      </c>
      <c r="K123" s="2" t="str">
        <f t="shared" si="16"/>
        <v>6B2Z4 C1645</v>
      </c>
      <c r="L123" s="2" t="s">
        <v>122</v>
      </c>
      <c r="M123" s="51"/>
      <c r="N123" s="2"/>
      <c r="O123" s="2"/>
      <c r="P123" s="2"/>
      <c r="Q123" s="2"/>
      <c r="R123" s="2"/>
      <c r="S123" s="2"/>
      <c r="T123" s="2"/>
      <c r="U123" s="53"/>
      <c r="V123" s="52"/>
      <c r="W123" s="2"/>
      <c r="X123" s="53"/>
      <c r="Y123" s="2"/>
      <c r="Z123" s="34"/>
      <c r="AA123" s="2"/>
      <c r="AB123" s="2">
        <f t="shared" si="18"/>
        <v>0</v>
      </c>
      <c r="AC123" s="2">
        <f t="shared" si="19"/>
        <v>0</v>
      </c>
      <c r="AD123" s="2">
        <f t="shared" si="20"/>
        <v>0</v>
      </c>
      <c r="AE123" s="57">
        <f t="shared" si="21"/>
        <v>0</v>
      </c>
      <c r="AF123" s="58">
        <f t="shared" si="26"/>
        <v>0</v>
      </c>
      <c r="AG123" s="29">
        <f t="shared" si="22"/>
        <v>0</v>
      </c>
      <c r="AH123">
        <f t="shared" si="23"/>
        <v>0</v>
      </c>
      <c r="AI123" s="49">
        <f t="shared" si="24"/>
        <v>0</v>
      </c>
      <c r="AJ123" s="49">
        <f t="shared" si="25"/>
        <v>0</v>
      </c>
      <c r="AK123" s="48">
        <f t="shared" si="27"/>
        <v>0</v>
      </c>
    </row>
    <row r="124" spans="2:37" x14ac:dyDescent="0.25">
      <c r="B124" s="2" t="s">
        <v>15</v>
      </c>
      <c r="C124" s="2" t="s">
        <v>58</v>
      </c>
      <c r="D124" s="2">
        <v>20141232</v>
      </c>
      <c r="E124" s="2">
        <v>1.65</v>
      </c>
      <c r="F124" s="2" t="s">
        <v>60</v>
      </c>
      <c r="G124" s="2">
        <v>62500</v>
      </c>
      <c r="H124" s="2" t="str">
        <f t="shared" si="15"/>
        <v>GLOBEX</v>
      </c>
      <c r="I124" s="2" t="s">
        <v>17</v>
      </c>
      <c r="J124" s="2" t="s">
        <v>16</v>
      </c>
      <c r="K124" s="2" t="str">
        <f t="shared" si="16"/>
        <v>6B2Z4 C1650</v>
      </c>
      <c r="L124" s="2" t="s">
        <v>122</v>
      </c>
      <c r="M124" s="51"/>
      <c r="N124" s="2"/>
      <c r="O124" s="2"/>
      <c r="P124" s="2"/>
      <c r="Q124" s="2"/>
      <c r="R124" s="2"/>
      <c r="S124" s="2"/>
      <c r="T124" s="2"/>
      <c r="U124" s="53"/>
      <c r="V124" s="52"/>
      <c r="W124" s="2"/>
      <c r="X124" s="53"/>
      <c r="Y124" s="2"/>
      <c r="Z124" s="34"/>
      <c r="AA124" s="2"/>
      <c r="AB124" s="2">
        <f t="shared" si="18"/>
        <v>0</v>
      </c>
      <c r="AC124" s="2">
        <f t="shared" si="19"/>
        <v>0</v>
      </c>
      <c r="AD124" s="2">
        <f t="shared" si="20"/>
        <v>0</v>
      </c>
      <c r="AE124" s="57">
        <f t="shared" si="21"/>
        <v>0</v>
      </c>
      <c r="AF124" s="58">
        <f t="shared" si="26"/>
        <v>0</v>
      </c>
      <c r="AG124" s="29">
        <f t="shared" si="22"/>
        <v>0</v>
      </c>
      <c r="AH124">
        <f t="shared" si="23"/>
        <v>0</v>
      </c>
      <c r="AI124" s="49">
        <f t="shared" si="24"/>
        <v>0</v>
      </c>
      <c r="AJ124" s="49">
        <f t="shared" si="25"/>
        <v>0</v>
      </c>
      <c r="AK124" s="48">
        <f t="shared" si="27"/>
        <v>0</v>
      </c>
    </row>
    <row r="125" spans="2:37" x14ac:dyDescent="0.25">
      <c r="B125" s="2" t="s">
        <v>15</v>
      </c>
      <c r="C125" s="2" t="s">
        <v>58</v>
      </c>
      <c r="D125" s="2">
        <v>20141233</v>
      </c>
      <c r="E125" s="2">
        <v>1.655</v>
      </c>
      <c r="F125" s="2" t="s">
        <v>60</v>
      </c>
      <c r="G125" s="2">
        <v>62500</v>
      </c>
      <c r="H125" s="2" t="str">
        <f t="shared" si="15"/>
        <v>GLOBEX</v>
      </c>
      <c r="I125" s="2" t="s">
        <v>17</v>
      </c>
      <c r="J125" s="2" t="s">
        <v>16</v>
      </c>
      <c r="K125" s="2" t="str">
        <f t="shared" si="16"/>
        <v>6B2Z4 C1655</v>
      </c>
      <c r="L125" s="2" t="s">
        <v>122</v>
      </c>
      <c r="M125" s="51"/>
      <c r="N125" s="2"/>
      <c r="O125" s="2"/>
      <c r="P125" s="2"/>
      <c r="Q125" s="2"/>
      <c r="R125" s="2"/>
      <c r="S125" s="2"/>
      <c r="T125" s="2"/>
      <c r="U125" s="53"/>
      <c r="V125" s="52"/>
      <c r="W125" s="2"/>
      <c r="X125" s="53"/>
      <c r="Y125" s="2"/>
      <c r="Z125" s="34"/>
      <c r="AA125" s="2"/>
      <c r="AB125" s="2">
        <f t="shared" si="18"/>
        <v>0</v>
      </c>
      <c r="AC125" s="2">
        <f t="shared" si="19"/>
        <v>0</v>
      </c>
      <c r="AD125" s="2">
        <f t="shared" si="20"/>
        <v>0</v>
      </c>
      <c r="AE125" s="57">
        <f t="shared" si="21"/>
        <v>0</v>
      </c>
      <c r="AF125" s="58">
        <f t="shared" si="26"/>
        <v>0</v>
      </c>
      <c r="AG125" s="29">
        <f t="shared" si="22"/>
        <v>0</v>
      </c>
      <c r="AH125">
        <f t="shared" si="23"/>
        <v>0</v>
      </c>
      <c r="AI125" s="49">
        <f t="shared" si="24"/>
        <v>0</v>
      </c>
      <c r="AJ125" s="49">
        <f t="shared" si="25"/>
        <v>0</v>
      </c>
      <c r="AK125" s="48">
        <f t="shared" si="27"/>
        <v>0</v>
      </c>
    </row>
  </sheetData>
  <dataConsolidate link="1"/>
  <mergeCells count="5">
    <mergeCell ref="B4:P4"/>
    <mergeCell ref="Q4:S4"/>
    <mergeCell ref="T4:AA4"/>
    <mergeCell ref="AB4:AD4"/>
    <mergeCell ref="AE1:AK1"/>
  </mergeCells>
  <conditionalFormatting sqref="AG6:AG125">
    <cfRule type="top10" dxfId="0" priority="1" rank="10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3313" r:id="rId4" name="cmbSubscribeWatchlist">
          <controlPr defaultSize="0" autoLine="0" r:id="rId5">
            <anchor moveWithCells="1">
              <from>
                <xdr:col>3</xdr:col>
                <xdr:colOff>9525</xdr:colOff>
                <xdr:row>0</xdr:row>
                <xdr:rowOff>57150</xdr:rowOff>
              </from>
              <to>
                <xdr:col>5</xdr:col>
                <xdr:colOff>9525</xdr:colOff>
                <xdr:row>2</xdr:row>
                <xdr:rowOff>9525</xdr:rowOff>
              </to>
            </anchor>
          </controlPr>
        </control>
      </mc:Choice>
      <mc:Fallback>
        <control shapeId="13313" r:id="rId4" name="cmbSubscribeWatchlist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B15"/>
  <sheetViews>
    <sheetView workbookViewId="0">
      <selection activeCell="A15" sqref="A15"/>
    </sheetView>
  </sheetViews>
  <sheetFormatPr defaultRowHeight="15" x14ac:dyDescent="0.25"/>
  <cols>
    <col min="1" max="1" width="29.85546875" customWidth="1"/>
  </cols>
  <sheetData>
    <row r="1" spans="1:2" x14ac:dyDescent="0.25">
      <c r="A1" t="s">
        <v>175</v>
      </c>
      <c r="B1">
        <v>100</v>
      </c>
    </row>
    <row r="2" spans="1:2" x14ac:dyDescent="0.25">
      <c r="A2" t="s">
        <v>176</v>
      </c>
      <c r="B2">
        <v>1029</v>
      </c>
    </row>
    <row r="3" spans="1:2" x14ac:dyDescent="0.25">
      <c r="A3" t="s">
        <v>177</v>
      </c>
      <c r="B3">
        <v>71</v>
      </c>
    </row>
    <row r="4" spans="1:2" x14ac:dyDescent="0.25">
      <c r="A4" t="s">
        <v>178</v>
      </c>
      <c r="B4">
        <v>91</v>
      </c>
    </row>
    <row r="5" spans="1:2" x14ac:dyDescent="0.25">
      <c r="A5" t="s">
        <v>181</v>
      </c>
      <c r="B5">
        <v>1E-4</v>
      </c>
    </row>
    <row r="6" spans="1:2" x14ac:dyDescent="0.25">
      <c r="A6" t="s">
        <v>182</v>
      </c>
      <c r="B6">
        <v>59</v>
      </c>
    </row>
    <row r="7" spans="1:2" x14ac:dyDescent="0.25">
      <c r="A7" t="s">
        <v>183</v>
      </c>
      <c r="B7">
        <v>5</v>
      </c>
    </row>
    <row r="8" spans="1:2" x14ac:dyDescent="0.25">
      <c r="A8" t="s">
        <v>190</v>
      </c>
      <c r="B8">
        <v>35</v>
      </c>
    </row>
    <row r="9" spans="1:2" x14ac:dyDescent="0.25">
      <c r="A9" t="s">
        <v>191</v>
      </c>
      <c r="B9">
        <v>17</v>
      </c>
    </row>
    <row r="10" spans="1:2" x14ac:dyDescent="0.25">
      <c r="A10" t="s">
        <v>202</v>
      </c>
      <c r="B10">
        <v>64</v>
      </c>
    </row>
    <row r="11" spans="1:2" x14ac:dyDescent="0.25">
      <c r="A11" t="s">
        <v>203</v>
      </c>
      <c r="B11">
        <v>65</v>
      </c>
    </row>
    <row r="12" spans="1:2" x14ac:dyDescent="0.25">
      <c r="A12" t="s">
        <v>213</v>
      </c>
      <c r="B12">
        <v>16</v>
      </c>
    </row>
    <row r="13" spans="1:2" x14ac:dyDescent="0.25">
      <c r="A13" t="s">
        <v>214</v>
      </c>
      <c r="B13">
        <v>13</v>
      </c>
    </row>
    <row r="14" spans="1:2" x14ac:dyDescent="0.25">
      <c r="A14" t="s">
        <v>222</v>
      </c>
      <c r="B14">
        <v>36</v>
      </c>
    </row>
    <row r="15" spans="1:2" x14ac:dyDescent="0.25">
      <c r="A15" t="s">
        <v>223</v>
      </c>
      <c r="B15">
        <v>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>
      <selection sqref="A1:XFD1048576"/>
    </sheetView>
  </sheetViews>
  <sheetFormatPr defaultColWidth="13.7109375" defaultRowHeight="15" x14ac:dyDescent="0.25"/>
  <cols>
    <col min="1" max="1" width="15" customWidth="1"/>
    <col min="3" max="3" width="15.85546875" customWidth="1"/>
    <col min="6" max="6" width="21" customWidth="1"/>
    <col min="7" max="7" width="29.85546875" customWidth="1"/>
  </cols>
  <sheetData>
    <row r="1" spans="1:1" x14ac:dyDescent="0.25">
      <c r="A1" s="27" t="s">
        <v>221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V94"/>
  <sheetViews>
    <sheetView workbookViewId="0">
      <selection activeCell="B39" sqref="B39"/>
    </sheetView>
  </sheetViews>
  <sheetFormatPr defaultRowHeight="15" x14ac:dyDescent="0.25"/>
  <cols>
    <col min="12" max="12" width="10.28515625" customWidth="1"/>
    <col min="13" max="13" width="9.5703125" customWidth="1"/>
    <col min="14" max="14" width="10.5703125" customWidth="1"/>
    <col min="15" max="15" width="10.85546875" customWidth="1"/>
    <col min="40" max="40" width="11.7109375" customWidth="1"/>
  </cols>
  <sheetData>
    <row r="1" spans="1:48" x14ac:dyDescent="0.25">
      <c r="A1" s="125" t="s">
        <v>57</v>
      </c>
      <c r="B1" s="109"/>
      <c r="C1" s="109"/>
      <c r="D1" s="109"/>
      <c r="E1" s="109"/>
      <c r="F1" s="109"/>
      <c r="G1" s="109"/>
      <c r="H1" s="109"/>
      <c r="I1" s="109"/>
      <c r="J1" s="109"/>
      <c r="K1" s="109"/>
      <c r="L1" s="109"/>
      <c r="M1" s="109"/>
      <c r="N1" s="109"/>
      <c r="O1" s="109"/>
      <c r="P1" s="109"/>
      <c r="Q1" s="109"/>
      <c r="R1" s="109"/>
      <c r="S1" s="109"/>
      <c r="T1" s="109"/>
      <c r="U1" s="109"/>
      <c r="V1" s="109"/>
      <c r="W1" s="109"/>
      <c r="X1" s="109"/>
      <c r="Y1" s="109"/>
      <c r="Z1" s="109"/>
      <c r="AA1" s="109"/>
      <c r="AB1" s="109"/>
      <c r="AC1" s="109"/>
      <c r="AD1" s="109"/>
      <c r="AE1" s="109"/>
      <c r="AF1" s="109"/>
      <c r="AG1" s="109"/>
      <c r="AH1" s="109"/>
      <c r="AI1" s="109"/>
      <c r="AJ1" s="109"/>
      <c r="AK1" s="109"/>
      <c r="AL1" s="109"/>
      <c r="AM1" s="109"/>
      <c r="AN1" s="109"/>
      <c r="AO1" s="23"/>
      <c r="AP1" s="23"/>
      <c r="AQ1" s="23"/>
      <c r="AR1" s="23"/>
      <c r="AS1" s="23"/>
      <c r="AT1" s="23"/>
      <c r="AU1" s="23"/>
      <c r="AV1" s="24"/>
    </row>
    <row r="2" spans="1:48" x14ac:dyDescent="0.25">
      <c r="A2" s="132" t="s">
        <v>26</v>
      </c>
      <c r="B2" s="130"/>
      <c r="C2" s="130"/>
      <c r="D2" s="130"/>
      <c r="E2" s="130"/>
      <c r="F2" s="130"/>
      <c r="G2" s="130"/>
      <c r="H2" s="130"/>
      <c r="I2" s="130"/>
      <c r="J2" s="130"/>
      <c r="K2" s="130"/>
      <c r="L2" s="133"/>
      <c r="M2" s="134" t="s">
        <v>27</v>
      </c>
      <c r="N2" s="134"/>
      <c r="O2" s="134"/>
      <c r="P2" s="134"/>
      <c r="Q2" s="134"/>
      <c r="R2" s="134" t="s">
        <v>28</v>
      </c>
      <c r="S2" s="134"/>
      <c r="T2" s="134"/>
      <c r="U2" s="134"/>
      <c r="V2" s="134"/>
      <c r="W2" s="134"/>
      <c r="X2" s="134"/>
      <c r="Y2" s="107" t="s">
        <v>41</v>
      </c>
      <c r="Z2" s="108"/>
      <c r="AA2" s="108"/>
      <c r="AB2" s="108"/>
      <c r="AC2" s="108"/>
      <c r="AD2" s="108"/>
      <c r="AE2" s="108"/>
      <c r="AF2" s="108"/>
      <c r="AG2" s="108"/>
      <c r="AH2" s="108"/>
      <c r="AI2" s="108"/>
      <c r="AJ2" s="108"/>
      <c r="AK2" s="108"/>
      <c r="AL2" s="135"/>
      <c r="AM2" s="135"/>
      <c r="AN2" s="135"/>
    </row>
    <row r="3" spans="1:48" x14ac:dyDescent="0.25">
      <c r="A3" s="14" t="s">
        <v>0</v>
      </c>
      <c r="B3" s="14" t="s">
        <v>1</v>
      </c>
      <c r="C3" s="14" t="s">
        <v>2</v>
      </c>
      <c r="D3" s="14" t="s">
        <v>3</v>
      </c>
      <c r="E3" s="14" t="s">
        <v>4</v>
      </c>
      <c r="F3" s="14" t="s">
        <v>5</v>
      </c>
      <c r="G3" s="14" t="s">
        <v>6</v>
      </c>
      <c r="H3" s="14" t="s">
        <v>30</v>
      </c>
      <c r="I3" s="14" t="s">
        <v>8</v>
      </c>
      <c r="J3" s="14" t="s">
        <v>9</v>
      </c>
      <c r="K3" s="14" t="s">
        <v>10</v>
      </c>
      <c r="L3" s="14" t="s">
        <v>31</v>
      </c>
      <c r="M3" s="14" t="s">
        <v>32</v>
      </c>
      <c r="N3" s="14" t="s">
        <v>33</v>
      </c>
      <c r="O3" s="14" t="s">
        <v>34</v>
      </c>
      <c r="P3" s="14" t="s">
        <v>35</v>
      </c>
      <c r="Q3" s="14" t="s">
        <v>55</v>
      </c>
      <c r="R3" s="14" t="s">
        <v>36</v>
      </c>
      <c r="S3" s="14" t="s">
        <v>12</v>
      </c>
      <c r="T3" s="14" t="s">
        <v>37</v>
      </c>
      <c r="U3" s="14" t="s">
        <v>38</v>
      </c>
      <c r="V3" s="14" t="s">
        <v>39</v>
      </c>
      <c r="W3" s="14" t="s">
        <v>40</v>
      </c>
      <c r="X3" s="14" t="s">
        <v>56</v>
      </c>
      <c r="Y3" s="14" t="s">
        <v>42</v>
      </c>
      <c r="Z3" s="14" t="s">
        <v>43</v>
      </c>
      <c r="AA3" s="14" t="s">
        <v>44</v>
      </c>
      <c r="AB3" s="14" t="s">
        <v>29</v>
      </c>
      <c r="AC3" s="14" t="s">
        <v>6</v>
      </c>
      <c r="AD3" s="14" t="s">
        <v>45</v>
      </c>
      <c r="AE3" s="14" t="s">
        <v>33</v>
      </c>
      <c r="AF3" s="14" t="s">
        <v>46</v>
      </c>
      <c r="AG3" s="14" t="s">
        <v>47</v>
      </c>
      <c r="AH3" s="14" t="s">
        <v>48</v>
      </c>
      <c r="AI3" s="14" t="s">
        <v>49</v>
      </c>
      <c r="AJ3" s="14" t="s">
        <v>50</v>
      </c>
      <c r="AK3" s="14" t="s">
        <v>51</v>
      </c>
      <c r="AL3" s="14" t="s">
        <v>52</v>
      </c>
      <c r="AM3" s="14" t="s">
        <v>53</v>
      </c>
      <c r="AN3" s="14" t="s">
        <v>54</v>
      </c>
    </row>
    <row r="4" spans="1:48" x14ac:dyDescent="0.25">
      <c r="A4" s="2"/>
      <c r="B4" s="2"/>
      <c r="C4" s="2"/>
      <c r="D4" s="15"/>
      <c r="E4" s="2"/>
      <c r="F4" s="2"/>
      <c r="G4" s="2"/>
      <c r="H4" s="2"/>
      <c r="I4" s="2"/>
      <c r="J4" s="2"/>
      <c r="K4" s="2"/>
      <c r="L4" s="2"/>
      <c r="M4" s="16"/>
      <c r="N4" s="16"/>
      <c r="O4" s="16"/>
      <c r="P4" s="16"/>
      <c r="Q4" s="16"/>
      <c r="R4" s="2"/>
      <c r="S4" s="2"/>
      <c r="T4" s="2"/>
      <c r="U4" s="2"/>
      <c r="V4" s="2"/>
      <c r="W4" s="2"/>
      <c r="X4" s="2"/>
      <c r="Y4" s="16"/>
      <c r="Z4" s="20"/>
      <c r="AA4" s="16"/>
      <c r="AB4" s="16"/>
      <c r="AC4" s="16"/>
      <c r="AD4" s="16"/>
      <c r="AE4" s="16"/>
      <c r="AF4" s="16"/>
      <c r="AG4" s="16"/>
      <c r="AH4" s="16"/>
      <c r="AI4" s="16"/>
      <c r="AJ4" s="16"/>
      <c r="AK4" s="16"/>
      <c r="AL4" s="16"/>
      <c r="AM4" s="16"/>
      <c r="AN4" s="16"/>
    </row>
    <row r="5" spans="1:48" x14ac:dyDescent="0.25">
      <c r="A5" s="2"/>
      <c r="B5" s="2"/>
      <c r="C5" s="2"/>
      <c r="D5" s="15"/>
      <c r="E5" s="2"/>
      <c r="F5" s="2"/>
      <c r="G5" s="2"/>
      <c r="H5" s="2"/>
      <c r="I5" s="2"/>
      <c r="J5" s="2"/>
      <c r="K5" s="2"/>
      <c r="L5" s="2"/>
      <c r="M5" s="16"/>
      <c r="N5" s="16"/>
      <c r="O5" s="16"/>
      <c r="P5" s="21"/>
      <c r="Q5" s="16"/>
      <c r="R5" s="2"/>
      <c r="S5" s="2"/>
      <c r="T5" s="2"/>
      <c r="U5" s="2"/>
      <c r="V5" s="2"/>
      <c r="W5" s="2"/>
      <c r="X5" s="2"/>
      <c r="Y5" s="16"/>
      <c r="Z5" s="20"/>
      <c r="AA5" s="16"/>
      <c r="AB5" s="21"/>
      <c r="AC5" s="16"/>
      <c r="AD5" s="16"/>
      <c r="AE5" s="16"/>
      <c r="AF5" s="16"/>
      <c r="AG5" s="16"/>
      <c r="AH5" s="16"/>
      <c r="AI5" s="16"/>
      <c r="AJ5" s="16"/>
      <c r="AK5" s="16"/>
      <c r="AL5" s="16"/>
      <c r="AM5" s="16"/>
      <c r="AN5" s="16"/>
    </row>
    <row r="6" spans="1:48" x14ac:dyDescent="0.25">
      <c r="A6" s="2"/>
      <c r="B6" s="2"/>
      <c r="C6" s="2"/>
      <c r="D6" s="15"/>
      <c r="E6" s="2"/>
      <c r="F6" s="2"/>
      <c r="G6" s="2"/>
      <c r="H6" s="2"/>
      <c r="I6" s="2"/>
      <c r="J6" s="2"/>
      <c r="K6" s="2"/>
      <c r="L6" s="2"/>
      <c r="M6" s="16"/>
      <c r="N6" s="16"/>
      <c r="O6" s="16"/>
      <c r="P6" s="21"/>
      <c r="Q6" s="16"/>
      <c r="R6" s="2"/>
      <c r="S6" s="2"/>
      <c r="T6" s="2"/>
      <c r="U6" s="2"/>
      <c r="V6" s="2"/>
      <c r="W6" s="2"/>
      <c r="X6" s="2"/>
      <c r="Y6" s="16"/>
      <c r="Z6" s="20"/>
      <c r="AA6" s="16"/>
      <c r="AB6" s="21"/>
      <c r="AC6" s="16"/>
      <c r="AD6" s="16"/>
      <c r="AE6" s="16"/>
      <c r="AF6" s="16"/>
      <c r="AG6" s="16"/>
      <c r="AH6" s="16"/>
      <c r="AI6" s="16"/>
      <c r="AJ6" s="16"/>
      <c r="AK6" s="16"/>
      <c r="AL6" s="16"/>
      <c r="AM6" s="16"/>
      <c r="AN6" s="16"/>
    </row>
    <row r="7" spans="1:48" x14ac:dyDescent="0.25">
      <c r="A7" s="2"/>
      <c r="B7" s="2"/>
      <c r="C7" s="2"/>
      <c r="D7" s="15"/>
      <c r="E7" s="2"/>
      <c r="F7" s="2"/>
      <c r="G7" s="2"/>
      <c r="H7" s="2"/>
      <c r="I7" s="2"/>
      <c r="J7" s="2"/>
      <c r="K7" s="2"/>
      <c r="L7" s="2"/>
      <c r="M7" s="16"/>
      <c r="N7" s="16"/>
      <c r="O7" s="16"/>
      <c r="P7" s="21"/>
      <c r="Q7" s="16"/>
      <c r="R7" s="2"/>
      <c r="S7" s="2"/>
      <c r="T7" s="2"/>
      <c r="U7" s="2"/>
      <c r="V7" s="2"/>
      <c r="W7" s="2"/>
      <c r="X7" s="2"/>
      <c r="Y7" s="16"/>
      <c r="Z7" s="20"/>
      <c r="AA7" s="16"/>
      <c r="AB7" s="21"/>
      <c r="AC7" s="16"/>
      <c r="AD7" s="16"/>
      <c r="AE7" s="16"/>
      <c r="AF7" s="16"/>
      <c r="AG7" s="16"/>
      <c r="AH7" s="16"/>
      <c r="AI7" s="16"/>
      <c r="AJ7" s="16"/>
      <c r="AK7" s="16"/>
      <c r="AL7" s="16"/>
      <c r="AM7" s="16"/>
      <c r="AN7" s="16"/>
    </row>
    <row r="8" spans="1:48" x14ac:dyDescent="0.25">
      <c r="A8" s="2"/>
      <c r="B8" s="2"/>
      <c r="C8" s="2"/>
      <c r="D8" s="15"/>
      <c r="E8" s="2"/>
      <c r="F8" s="2"/>
      <c r="G8" s="2"/>
      <c r="H8" s="2"/>
      <c r="I8" s="2"/>
      <c r="J8" s="2"/>
      <c r="K8" s="2"/>
      <c r="L8" s="2"/>
      <c r="M8" s="16"/>
      <c r="N8" s="16"/>
      <c r="O8" s="16"/>
      <c r="P8" s="21"/>
      <c r="Q8" s="16"/>
      <c r="R8" s="2"/>
      <c r="S8" s="2"/>
      <c r="T8" s="2"/>
      <c r="U8" s="2"/>
      <c r="V8" s="2"/>
      <c r="W8" s="2"/>
      <c r="X8" s="2"/>
      <c r="Y8" s="16"/>
      <c r="Z8" s="20"/>
      <c r="AA8" s="16"/>
      <c r="AB8" s="21"/>
      <c r="AC8" s="16"/>
      <c r="AD8" s="16"/>
      <c r="AE8" s="16"/>
      <c r="AF8" s="16"/>
      <c r="AG8" s="16"/>
      <c r="AH8" s="16"/>
      <c r="AI8" s="16"/>
      <c r="AJ8" s="16"/>
      <c r="AK8" s="16"/>
      <c r="AL8" s="16"/>
      <c r="AM8" s="16"/>
      <c r="AN8" s="16"/>
    </row>
    <row r="9" spans="1:48" x14ac:dyDescent="0.25">
      <c r="A9" s="2"/>
      <c r="B9" s="2"/>
      <c r="C9" s="2"/>
      <c r="D9" s="15"/>
      <c r="E9" s="2"/>
      <c r="F9" s="2"/>
      <c r="G9" s="2"/>
      <c r="H9" s="2"/>
      <c r="I9" s="2"/>
      <c r="J9" s="2"/>
      <c r="K9" s="2"/>
      <c r="L9" s="2"/>
      <c r="M9" s="16"/>
      <c r="N9" s="16"/>
      <c r="O9" s="16"/>
      <c r="P9" s="21"/>
      <c r="Q9" s="16"/>
      <c r="R9" s="2"/>
      <c r="S9" s="2"/>
      <c r="T9" s="2"/>
      <c r="U9" s="2"/>
      <c r="V9" s="2"/>
      <c r="W9" s="2"/>
      <c r="X9" s="2"/>
      <c r="Y9" s="16"/>
      <c r="Z9" s="20"/>
      <c r="AA9" s="16"/>
      <c r="AB9" s="21"/>
      <c r="AC9" s="16"/>
      <c r="AD9" s="16"/>
      <c r="AE9" s="16"/>
      <c r="AF9" s="16"/>
      <c r="AG9" s="16"/>
      <c r="AH9" s="16"/>
      <c r="AI9" s="16"/>
      <c r="AJ9" s="16"/>
      <c r="AK9" s="16"/>
      <c r="AL9" s="16"/>
      <c r="AM9" s="16"/>
      <c r="AN9" s="16"/>
    </row>
    <row r="10" spans="1:48" x14ac:dyDescent="0.25">
      <c r="A10" s="2"/>
      <c r="B10" s="2"/>
      <c r="C10" s="2"/>
      <c r="D10" s="15"/>
      <c r="E10" s="2"/>
      <c r="F10" s="2"/>
      <c r="G10" s="2"/>
      <c r="H10" s="2"/>
      <c r="I10" s="2"/>
      <c r="J10" s="2"/>
      <c r="K10" s="2"/>
      <c r="L10" s="2"/>
      <c r="M10" s="16"/>
      <c r="N10" s="16"/>
      <c r="O10" s="16"/>
      <c r="P10" s="21"/>
      <c r="Q10" s="16"/>
      <c r="R10" s="2"/>
      <c r="S10" s="2"/>
      <c r="T10" s="2"/>
      <c r="U10" s="2"/>
      <c r="V10" s="2"/>
      <c r="W10" s="2"/>
      <c r="X10" s="2"/>
      <c r="Y10" s="16"/>
      <c r="Z10" s="20"/>
      <c r="AA10" s="16"/>
      <c r="AB10" s="21"/>
      <c r="AC10" s="16"/>
      <c r="AD10" s="16"/>
      <c r="AE10" s="16"/>
      <c r="AF10" s="16"/>
      <c r="AG10" s="16"/>
      <c r="AH10" s="16"/>
      <c r="AI10" s="16"/>
      <c r="AJ10" s="16"/>
      <c r="AK10" s="16"/>
      <c r="AL10" s="16"/>
      <c r="AM10" s="16"/>
      <c r="AN10" s="16"/>
    </row>
    <row r="11" spans="1:48" x14ac:dyDescent="0.25">
      <c r="A11" s="2"/>
      <c r="B11" s="2"/>
      <c r="C11" s="2"/>
      <c r="D11" s="15"/>
      <c r="E11" s="2"/>
      <c r="F11" s="2"/>
      <c r="G11" s="2"/>
      <c r="H11" s="2"/>
      <c r="I11" s="2"/>
      <c r="J11" s="2"/>
      <c r="K11" s="2"/>
      <c r="L11" s="2"/>
      <c r="M11" s="16"/>
      <c r="N11" s="16"/>
      <c r="O11" s="16"/>
      <c r="P11" s="21"/>
      <c r="Q11" s="16"/>
      <c r="R11" s="2"/>
      <c r="S11" s="2"/>
      <c r="T11" s="2"/>
      <c r="U11" s="2"/>
      <c r="V11" s="2"/>
      <c r="W11" s="2"/>
      <c r="X11" s="2"/>
      <c r="Y11" s="16"/>
      <c r="Z11" s="20"/>
      <c r="AA11" s="16"/>
      <c r="AB11" s="21"/>
      <c r="AC11" s="16"/>
      <c r="AD11" s="16"/>
      <c r="AE11" s="16"/>
      <c r="AF11" s="16"/>
      <c r="AG11" s="16"/>
      <c r="AH11" s="16"/>
      <c r="AI11" s="16"/>
      <c r="AJ11" s="16"/>
      <c r="AK11" s="16"/>
      <c r="AL11" s="16"/>
      <c r="AM11" s="16"/>
      <c r="AN11" s="16"/>
    </row>
    <row r="12" spans="1:48" x14ac:dyDescent="0.25">
      <c r="A12" s="2"/>
      <c r="B12" s="2"/>
      <c r="C12" s="2"/>
      <c r="D12" s="15"/>
      <c r="E12" s="2"/>
      <c r="F12" s="2"/>
      <c r="G12" s="2"/>
      <c r="H12" s="2"/>
      <c r="I12" s="2"/>
      <c r="J12" s="2"/>
      <c r="K12" s="2"/>
      <c r="L12" s="2"/>
      <c r="M12" s="16"/>
      <c r="N12" s="16"/>
      <c r="O12" s="16"/>
      <c r="P12" s="21"/>
      <c r="Q12" s="16"/>
      <c r="R12" s="2"/>
      <c r="S12" s="2"/>
      <c r="T12" s="2"/>
      <c r="U12" s="2"/>
      <c r="V12" s="2"/>
      <c r="W12" s="2"/>
      <c r="X12" s="2"/>
      <c r="Y12" s="16"/>
      <c r="Z12" s="20"/>
      <c r="AA12" s="16"/>
      <c r="AB12" s="21"/>
      <c r="AC12" s="16"/>
      <c r="AD12" s="16"/>
      <c r="AE12" s="16"/>
      <c r="AF12" s="16"/>
      <c r="AG12" s="16"/>
      <c r="AH12" s="16"/>
      <c r="AI12" s="16"/>
      <c r="AJ12" s="16"/>
      <c r="AK12" s="16"/>
      <c r="AL12" s="16"/>
      <c r="AM12" s="16"/>
      <c r="AN12" s="16"/>
    </row>
    <row r="13" spans="1:48" x14ac:dyDescent="0.25">
      <c r="A13" s="2"/>
      <c r="B13" s="2"/>
      <c r="C13" s="2"/>
      <c r="D13" s="15"/>
      <c r="E13" s="2"/>
      <c r="F13" s="2"/>
      <c r="G13" s="2"/>
      <c r="H13" s="2"/>
      <c r="I13" s="2"/>
      <c r="J13" s="2"/>
      <c r="K13" s="2"/>
      <c r="L13" s="2"/>
      <c r="M13" s="16"/>
      <c r="N13" s="16"/>
      <c r="O13" s="16"/>
      <c r="P13" s="21"/>
      <c r="Q13" s="16"/>
      <c r="R13" s="2"/>
      <c r="S13" s="2"/>
      <c r="T13" s="2"/>
      <c r="U13" s="2"/>
      <c r="V13" s="2"/>
      <c r="W13" s="2"/>
      <c r="X13" s="2"/>
      <c r="Y13" s="16"/>
      <c r="Z13" s="20"/>
      <c r="AA13" s="16"/>
      <c r="AB13" s="21"/>
      <c r="AC13" s="16"/>
      <c r="AD13" s="16"/>
      <c r="AE13" s="16"/>
      <c r="AF13" s="16"/>
      <c r="AG13" s="16"/>
      <c r="AH13" s="16"/>
      <c r="AI13" s="16"/>
      <c r="AJ13" s="16"/>
      <c r="AK13" s="16"/>
      <c r="AL13" s="16"/>
      <c r="AM13" s="16"/>
      <c r="AN13" s="16"/>
    </row>
    <row r="14" spans="1:48" x14ac:dyDescent="0.25">
      <c r="A14" s="2"/>
      <c r="B14" s="2"/>
      <c r="C14" s="2"/>
      <c r="D14" s="15"/>
      <c r="E14" s="2"/>
      <c r="F14" s="2"/>
      <c r="G14" s="2"/>
      <c r="H14" s="2"/>
      <c r="I14" s="2"/>
      <c r="J14" s="2"/>
      <c r="K14" s="2"/>
      <c r="L14" s="2"/>
      <c r="M14" s="16"/>
      <c r="N14" s="16"/>
      <c r="O14" s="16"/>
      <c r="P14" s="21"/>
      <c r="Q14" s="16"/>
      <c r="R14" s="2"/>
      <c r="S14" s="2"/>
      <c r="T14" s="2"/>
      <c r="U14" s="2"/>
      <c r="V14" s="2"/>
      <c r="W14" s="2"/>
      <c r="X14" s="2"/>
      <c r="Y14" s="16"/>
      <c r="Z14" s="20"/>
      <c r="AA14" s="16"/>
      <c r="AB14" s="21"/>
      <c r="AC14" s="16"/>
      <c r="AD14" s="16"/>
      <c r="AE14" s="16"/>
      <c r="AF14" s="16"/>
      <c r="AG14" s="16"/>
      <c r="AH14" s="16"/>
      <c r="AI14" s="16"/>
      <c r="AJ14" s="16"/>
      <c r="AK14" s="16"/>
      <c r="AL14" s="16"/>
      <c r="AM14" s="16"/>
      <c r="AN14" s="16"/>
    </row>
    <row r="15" spans="1:48" x14ac:dyDescent="0.25">
      <c r="A15" s="2"/>
      <c r="B15" s="2"/>
      <c r="C15" s="2"/>
      <c r="D15" s="15"/>
      <c r="E15" s="2"/>
      <c r="F15" s="2"/>
      <c r="G15" s="2"/>
      <c r="H15" s="2"/>
      <c r="I15" s="2"/>
      <c r="J15" s="2"/>
      <c r="K15" s="2"/>
      <c r="L15" s="2"/>
      <c r="M15" s="16"/>
      <c r="N15" s="16"/>
      <c r="O15" s="16"/>
      <c r="P15" s="21"/>
      <c r="Q15" s="16"/>
      <c r="R15" s="2"/>
      <c r="S15" s="2"/>
      <c r="T15" s="2"/>
      <c r="U15" s="2"/>
      <c r="V15" s="2"/>
      <c r="W15" s="2"/>
      <c r="X15" s="2"/>
      <c r="Y15" s="16"/>
      <c r="Z15" s="20"/>
      <c r="AA15" s="16"/>
      <c r="AB15" s="21"/>
      <c r="AC15" s="16"/>
      <c r="AD15" s="16"/>
      <c r="AE15" s="16"/>
      <c r="AF15" s="16"/>
      <c r="AG15" s="16"/>
      <c r="AH15" s="16"/>
      <c r="AI15" s="16"/>
      <c r="AJ15" s="16"/>
      <c r="AK15" s="16"/>
      <c r="AL15" s="16"/>
      <c r="AM15" s="16"/>
      <c r="AN15" s="16"/>
    </row>
    <row r="16" spans="1:48" x14ac:dyDescent="0.25">
      <c r="A16" s="2"/>
      <c r="B16" s="2"/>
      <c r="C16" s="2"/>
      <c r="D16" s="15"/>
      <c r="E16" s="2"/>
      <c r="F16" s="2"/>
      <c r="G16" s="2"/>
      <c r="H16" s="2"/>
      <c r="I16" s="2"/>
      <c r="J16" s="2"/>
      <c r="K16" s="2"/>
      <c r="L16" s="2"/>
      <c r="M16" s="16"/>
      <c r="N16" s="16"/>
      <c r="O16" s="16"/>
      <c r="P16" s="21"/>
      <c r="Q16" s="16"/>
      <c r="R16" s="2"/>
      <c r="S16" s="2"/>
      <c r="T16" s="2"/>
      <c r="U16" s="2"/>
      <c r="V16" s="2"/>
      <c r="W16" s="2"/>
      <c r="X16" s="2"/>
      <c r="Y16" s="16"/>
      <c r="Z16" s="20"/>
      <c r="AA16" s="16"/>
      <c r="AB16" s="21"/>
      <c r="AC16" s="16"/>
      <c r="AD16" s="16"/>
      <c r="AE16" s="16"/>
      <c r="AF16" s="16"/>
      <c r="AG16" s="16"/>
      <c r="AH16" s="16"/>
      <c r="AI16" s="16"/>
      <c r="AJ16" s="16"/>
      <c r="AK16" s="16"/>
      <c r="AL16" s="16"/>
      <c r="AM16" s="16"/>
      <c r="AN16" s="16"/>
    </row>
    <row r="17" spans="1:40" x14ac:dyDescent="0.25">
      <c r="A17" s="2"/>
      <c r="B17" s="2"/>
      <c r="C17" s="2"/>
      <c r="D17" s="15"/>
      <c r="E17" s="2"/>
      <c r="F17" s="2"/>
      <c r="G17" s="2"/>
      <c r="H17" s="2"/>
      <c r="I17" s="2"/>
      <c r="J17" s="2"/>
      <c r="K17" s="2"/>
      <c r="L17" s="2"/>
      <c r="M17" s="16"/>
      <c r="N17" s="16"/>
      <c r="O17" s="16"/>
      <c r="P17" s="21"/>
      <c r="Q17" s="16"/>
      <c r="R17" s="2"/>
      <c r="S17" s="2"/>
      <c r="T17" s="2"/>
      <c r="U17" s="2"/>
      <c r="V17" s="2"/>
      <c r="W17" s="2"/>
      <c r="X17" s="2"/>
      <c r="Y17" s="16"/>
      <c r="Z17" s="20"/>
      <c r="AA17" s="16"/>
      <c r="AB17" s="21"/>
      <c r="AC17" s="16"/>
      <c r="AD17" s="16"/>
      <c r="AE17" s="16"/>
      <c r="AF17" s="16"/>
      <c r="AG17" s="16"/>
      <c r="AH17" s="16"/>
      <c r="AI17" s="16"/>
      <c r="AJ17" s="16"/>
      <c r="AK17" s="16"/>
      <c r="AL17" s="16"/>
      <c r="AM17" s="16"/>
      <c r="AN17" s="16"/>
    </row>
    <row r="18" spans="1:40" x14ac:dyDescent="0.25">
      <c r="A18" s="2"/>
      <c r="B18" s="2"/>
      <c r="C18" s="2"/>
      <c r="D18" s="15"/>
      <c r="E18" s="2"/>
      <c r="F18" s="2"/>
      <c r="G18" s="2"/>
      <c r="H18" s="2"/>
      <c r="I18" s="2"/>
      <c r="J18" s="2"/>
      <c r="K18" s="2"/>
      <c r="L18" s="2"/>
      <c r="M18" s="16"/>
      <c r="N18" s="16"/>
      <c r="O18" s="16"/>
      <c r="P18" s="21"/>
      <c r="Q18" s="16"/>
      <c r="R18" s="2"/>
      <c r="S18" s="2"/>
      <c r="T18" s="2"/>
      <c r="U18" s="2"/>
      <c r="V18" s="2"/>
      <c r="W18" s="2"/>
      <c r="X18" s="2"/>
      <c r="Y18" s="16"/>
      <c r="Z18" s="20"/>
      <c r="AA18" s="16"/>
      <c r="AB18" s="21"/>
      <c r="AC18" s="16"/>
      <c r="AD18" s="16"/>
      <c r="AE18" s="16"/>
      <c r="AF18" s="16"/>
      <c r="AG18" s="16"/>
      <c r="AH18" s="16"/>
      <c r="AI18" s="16"/>
      <c r="AJ18" s="16"/>
      <c r="AK18" s="16"/>
      <c r="AL18" s="16"/>
      <c r="AM18" s="16"/>
      <c r="AN18" s="16"/>
    </row>
    <row r="19" spans="1:40" x14ac:dyDescent="0.25">
      <c r="A19" s="2"/>
      <c r="B19" s="2"/>
      <c r="C19" s="2"/>
      <c r="D19" s="15"/>
      <c r="E19" s="2"/>
      <c r="F19" s="2"/>
      <c r="G19" s="2"/>
      <c r="H19" s="2"/>
      <c r="I19" s="2"/>
      <c r="J19" s="2"/>
      <c r="K19" s="2"/>
      <c r="L19" s="2"/>
      <c r="M19" s="16"/>
      <c r="N19" s="16"/>
      <c r="O19" s="16"/>
      <c r="P19" s="21"/>
      <c r="Q19" s="16"/>
      <c r="R19" s="2"/>
      <c r="S19" s="2"/>
      <c r="T19" s="2"/>
      <c r="U19" s="2"/>
      <c r="V19" s="2"/>
      <c r="W19" s="2"/>
      <c r="X19" s="2"/>
      <c r="Y19" s="16"/>
      <c r="Z19" s="20"/>
      <c r="AA19" s="16"/>
      <c r="AB19" s="21"/>
      <c r="AC19" s="16"/>
      <c r="AD19" s="16"/>
      <c r="AE19" s="16"/>
      <c r="AF19" s="16"/>
      <c r="AG19" s="16"/>
      <c r="AH19" s="16"/>
      <c r="AI19" s="16"/>
      <c r="AJ19" s="16"/>
      <c r="AK19" s="16"/>
      <c r="AL19" s="16"/>
      <c r="AM19" s="16"/>
      <c r="AN19" s="16"/>
    </row>
    <row r="20" spans="1:40" x14ac:dyDescent="0.25">
      <c r="A20" s="2"/>
      <c r="B20" s="2"/>
      <c r="C20" s="2"/>
      <c r="D20" s="15"/>
      <c r="E20" s="2"/>
      <c r="F20" s="2"/>
      <c r="G20" s="2"/>
      <c r="H20" s="2"/>
      <c r="I20" s="2"/>
      <c r="J20" s="2"/>
      <c r="K20" s="2"/>
      <c r="L20" s="2"/>
      <c r="M20" s="16"/>
      <c r="N20" s="16"/>
      <c r="O20" s="16"/>
      <c r="P20" s="21"/>
      <c r="Q20" s="16"/>
      <c r="R20" s="2"/>
      <c r="S20" s="2"/>
      <c r="T20" s="2"/>
      <c r="U20" s="2"/>
      <c r="V20" s="2"/>
      <c r="W20" s="2"/>
      <c r="X20" s="2"/>
      <c r="Y20" s="16"/>
      <c r="Z20" s="20"/>
      <c r="AA20" s="16"/>
      <c r="AB20" s="21"/>
      <c r="AC20" s="16"/>
      <c r="AD20" s="16"/>
      <c r="AE20" s="16"/>
      <c r="AF20" s="16"/>
      <c r="AG20" s="16"/>
      <c r="AH20" s="16"/>
      <c r="AI20" s="16"/>
      <c r="AJ20" s="16"/>
      <c r="AK20" s="16"/>
      <c r="AL20" s="16"/>
      <c r="AM20" s="16"/>
      <c r="AN20" s="16"/>
    </row>
    <row r="21" spans="1:40" x14ac:dyDescent="0.25">
      <c r="A21" s="2"/>
      <c r="B21" s="2"/>
      <c r="C21" s="2"/>
      <c r="D21" s="15"/>
      <c r="E21" s="2"/>
      <c r="F21" s="2"/>
      <c r="G21" s="2"/>
      <c r="H21" s="2"/>
      <c r="I21" s="2"/>
      <c r="J21" s="2"/>
      <c r="K21" s="2"/>
      <c r="L21" s="2"/>
      <c r="M21" s="16"/>
      <c r="N21" s="16"/>
      <c r="O21" s="16"/>
      <c r="P21" s="21"/>
      <c r="Q21" s="16"/>
      <c r="R21" s="2"/>
      <c r="S21" s="2"/>
      <c r="T21" s="2"/>
      <c r="U21" s="2"/>
      <c r="V21" s="2"/>
      <c r="W21" s="2"/>
      <c r="X21" s="2"/>
      <c r="Y21" s="16"/>
      <c r="Z21" s="20"/>
      <c r="AA21" s="16"/>
      <c r="AB21" s="21"/>
      <c r="AC21" s="16"/>
      <c r="AD21" s="16"/>
      <c r="AE21" s="16"/>
      <c r="AF21" s="16"/>
      <c r="AG21" s="16"/>
      <c r="AH21" s="16"/>
      <c r="AI21" s="16"/>
      <c r="AJ21" s="16"/>
      <c r="AK21" s="16"/>
      <c r="AL21" s="16"/>
      <c r="AM21" s="16"/>
      <c r="AN21" s="16"/>
    </row>
    <row r="22" spans="1:40" x14ac:dyDescent="0.25">
      <c r="A22" s="2"/>
      <c r="B22" s="2"/>
      <c r="C22" s="2"/>
      <c r="D22" s="15"/>
      <c r="E22" s="2"/>
      <c r="F22" s="2"/>
      <c r="G22" s="2"/>
      <c r="H22" s="2"/>
      <c r="I22" s="2"/>
      <c r="J22" s="2"/>
      <c r="K22" s="2"/>
      <c r="L22" s="2"/>
      <c r="M22" s="16"/>
      <c r="N22" s="16"/>
      <c r="O22" s="16"/>
      <c r="P22" s="21"/>
      <c r="Q22" s="16"/>
      <c r="R22" s="2"/>
      <c r="S22" s="2"/>
      <c r="T22" s="2"/>
      <c r="U22" s="2"/>
      <c r="V22" s="2"/>
      <c r="W22" s="2"/>
      <c r="X22" s="2"/>
      <c r="Y22" s="16"/>
      <c r="Z22" s="20"/>
      <c r="AA22" s="16"/>
      <c r="AB22" s="21"/>
      <c r="AC22" s="16"/>
      <c r="AD22" s="16"/>
      <c r="AE22" s="16"/>
      <c r="AF22" s="16"/>
      <c r="AG22" s="16"/>
      <c r="AH22" s="16"/>
      <c r="AI22" s="16"/>
      <c r="AJ22" s="16"/>
      <c r="AK22" s="16"/>
      <c r="AL22" s="16"/>
      <c r="AM22" s="16"/>
      <c r="AN22" s="16"/>
    </row>
    <row r="23" spans="1:40" x14ac:dyDescent="0.25">
      <c r="A23" s="2"/>
      <c r="B23" s="2"/>
      <c r="C23" s="2"/>
      <c r="D23" s="15"/>
      <c r="E23" s="2"/>
      <c r="F23" s="2"/>
      <c r="G23" s="2"/>
      <c r="H23" s="2"/>
      <c r="I23" s="2"/>
      <c r="J23" s="2"/>
      <c r="K23" s="2"/>
      <c r="L23" s="2"/>
      <c r="M23" s="16"/>
      <c r="N23" s="16"/>
      <c r="O23" s="16"/>
      <c r="P23" s="21"/>
      <c r="Q23" s="16"/>
      <c r="R23" s="2"/>
      <c r="S23" s="2"/>
      <c r="T23" s="2"/>
      <c r="U23" s="2"/>
      <c r="V23" s="2"/>
      <c r="W23" s="2"/>
      <c r="X23" s="2"/>
      <c r="Y23" s="16"/>
      <c r="Z23" s="20"/>
      <c r="AA23" s="16"/>
      <c r="AB23" s="21"/>
      <c r="AC23" s="16"/>
      <c r="AD23" s="16"/>
      <c r="AE23" s="16"/>
      <c r="AF23" s="16"/>
      <c r="AG23" s="16"/>
      <c r="AH23" s="16"/>
      <c r="AI23" s="16"/>
      <c r="AJ23" s="16"/>
      <c r="AK23" s="16"/>
      <c r="AL23" s="16"/>
      <c r="AM23" s="16"/>
      <c r="AN23" s="16"/>
    </row>
    <row r="24" spans="1:40" x14ac:dyDescent="0.25">
      <c r="A24" s="2"/>
      <c r="B24" s="2"/>
      <c r="C24" s="2"/>
      <c r="D24" s="15"/>
      <c r="E24" s="2"/>
      <c r="F24" s="2"/>
      <c r="G24" s="2"/>
      <c r="H24" s="2"/>
      <c r="I24" s="2"/>
      <c r="J24" s="2"/>
      <c r="K24" s="2"/>
      <c r="L24" s="2"/>
      <c r="M24" s="16"/>
      <c r="N24" s="16"/>
      <c r="O24" s="16"/>
      <c r="P24" s="21"/>
      <c r="Q24" s="16"/>
      <c r="R24" s="2"/>
      <c r="S24" s="2"/>
      <c r="T24" s="2"/>
      <c r="U24" s="2"/>
      <c r="V24" s="2"/>
      <c r="W24" s="2"/>
      <c r="X24" s="2"/>
      <c r="Y24" s="16"/>
      <c r="Z24" s="20"/>
      <c r="AA24" s="16"/>
      <c r="AB24" s="21"/>
      <c r="AC24" s="16"/>
      <c r="AD24" s="16"/>
      <c r="AE24" s="16"/>
      <c r="AF24" s="16"/>
      <c r="AG24" s="16"/>
      <c r="AH24" s="16"/>
      <c r="AI24" s="16"/>
      <c r="AJ24" s="16"/>
      <c r="AK24" s="16"/>
      <c r="AL24" s="16"/>
      <c r="AM24" s="16"/>
      <c r="AN24" s="16"/>
    </row>
    <row r="25" spans="1:40" x14ac:dyDescent="0.25">
      <c r="A25" s="2"/>
      <c r="B25" s="2"/>
      <c r="C25" s="2"/>
      <c r="D25" s="15"/>
      <c r="E25" s="2"/>
      <c r="F25" s="2"/>
      <c r="G25" s="2"/>
      <c r="H25" s="2"/>
      <c r="I25" s="2"/>
      <c r="J25" s="2"/>
      <c r="K25" s="2"/>
      <c r="L25" s="2"/>
      <c r="M25" s="16"/>
      <c r="N25" s="16"/>
      <c r="O25" s="16"/>
      <c r="P25" s="21"/>
      <c r="Q25" s="16"/>
      <c r="R25" s="2"/>
      <c r="S25" s="2"/>
      <c r="T25" s="2"/>
      <c r="U25" s="2"/>
      <c r="V25" s="2"/>
      <c r="W25" s="2"/>
      <c r="X25" s="2"/>
      <c r="Y25" s="16"/>
      <c r="Z25" s="20"/>
      <c r="AA25" s="16"/>
      <c r="AB25" s="21"/>
      <c r="AC25" s="16"/>
      <c r="AD25" s="16"/>
      <c r="AE25" s="16"/>
      <c r="AF25" s="16"/>
      <c r="AG25" s="16"/>
      <c r="AH25" s="16"/>
      <c r="AI25" s="16"/>
      <c r="AJ25" s="16"/>
      <c r="AK25" s="16"/>
      <c r="AL25" s="16"/>
      <c r="AM25" s="16"/>
      <c r="AN25" s="16"/>
    </row>
    <row r="26" spans="1:40" x14ac:dyDescent="0.25">
      <c r="A26" s="2"/>
      <c r="B26" s="2"/>
      <c r="C26" s="2"/>
      <c r="D26" s="15"/>
      <c r="E26" s="2"/>
      <c r="F26" s="2"/>
      <c r="G26" s="2"/>
      <c r="H26" s="2"/>
      <c r="I26" s="2"/>
      <c r="J26" s="2"/>
      <c r="K26" s="2"/>
      <c r="L26" s="2"/>
      <c r="M26" s="16"/>
      <c r="N26" s="16"/>
      <c r="O26" s="16"/>
      <c r="P26" s="21"/>
      <c r="Q26" s="16"/>
      <c r="R26" s="2"/>
      <c r="S26" s="2"/>
      <c r="T26" s="2"/>
      <c r="U26" s="2"/>
      <c r="V26" s="2"/>
      <c r="W26" s="2"/>
      <c r="X26" s="2"/>
      <c r="Y26" s="16"/>
      <c r="Z26" s="20"/>
      <c r="AA26" s="16"/>
      <c r="AB26" s="21"/>
      <c r="AC26" s="16"/>
      <c r="AD26" s="16"/>
      <c r="AE26" s="16"/>
      <c r="AF26" s="16"/>
      <c r="AG26" s="16"/>
      <c r="AH26" s="16"/>
      <c r="AI26" s="16"/>
      <c r="AJ26" s="16"/>
      <c r="AK26" s="16"/>
      <c r="AL26" s="16"/>
      <c r="AM26" s="16"/>
      <c r="AN26" s="16"/>
    </row>
    <row r="27" spans="1:40" x14ac:dyDescent="0.25">
      <c r="A27" s="2"/>
      <c r="B27" s="2"/>
      <c r="C27" s="2"/>
      <c r="D27" s="15"/>
      <c r="E27" s="2"/>
      <c r="F27" s="2"/>
      <c r="G27" s="2"/>
      <c r="H27" s="2"/>
      <c r="I27" s="2"/>
      <c r="J27" s="2"/>
      <c r="K27" s="2"/>
      <c r="L27" s="2"/>
      <c r="M27" s="16"/>
      <c r="N27" s="16"/>
      <c r="O27" s="16"/>
      <c r="P27" s="21"/>
      <c r="Q27" s="16"/>
      <c r="R27" s="2"/>
      <c r="S27" s="2"/>
      <c r="T27" s="2"/>
      <c r="U27" s="2"/>
      <c r="V27" s="2"/>
      <c r="W27" s="2"/>
      <c r="X27" s="2"/>
      <c r="Y27" s="16"/>
      <c r="Z27" s="20"/>
      <c r="AA27" s="16"/>
      <c r="AB27" s="21"/>
      <c r="AC27" s="16"/>
      <c r="AD27" s="16"/>
      <c r="AE27" s="16"/>
      <c r="AF27" s="16"/>
      <c r="AG27" s="16"/>
      <c r="AH27" s="16"/>
      <c r="AI27" s="16"/>
      <c r="AJ27" s="16"/>
      <c r="AK27" s="16"/>
      <c r="AL27" s="16"/>
      <c r="AM27" s="16"/>
      <c r="AN27" s="16"/>
    </row>
    <row r="28" spans="1:40" x14ac:dyDescent="0.25">
      <c r="A28" s="2"/>
      <c r="B28" s="2"/>
      <c r="C28" s="2"/>
      <c r="D28" s="15"/>
      <c r="E28" s="2"/>
      <c r="F28" s="2"/>
      <c r="G28" s="2"/>
      <c r="H28" s="2"/>
      <c r="I28" s="2"/>
      <c r="J28" s="2"/>
      <c r="K28" s="2"/>
      <c r="L28" s="2"/>
      <c r="M28" s="16"/>
      <c r="N28" s="16"/>
      <c r="O28" s="16"/>
      <c r="P28" s="21"/>
      <c r="Q28" s="16"/>
      <c r="R28" s="2"/>
      <c r="S28" s="2"/>
      <c r="T28" s="2"/>
      <c r="U28" s="2"/>
      <c r="V28" s="2"/>
      <c r="W28" s="2"/>
      <c r="X28" s="2"/>
      <c r="Y28" s="16"/>
      <c r="Z28" s="20"/>
      <c r="AA28" s="16"/>
      <c r="AB28" s="21"/>
      <c r="AC28" s="16"/>
      <c r="AD28" s="16"/>
      <c r="AE28" s="16"/>
      <c r="AF28" s="16"/>
      <c r="AG28" s="16"/>
      <c r="AH28" s="16"/>
      <c r="AI28" s="16"/>
      <c r="AJ28" s="16"/>
      <c r="AK28" s="16"/>
      <c r="AL28" s="16"/>
      <c r="AM28" s="16"/>
      <c r="AN28" s="16"/>
    </row>
    <row r="29" spans="1:40" x14ac:dyDescent="0.25">
      <c r="A29" s="2"/>
      <c r="B29" s="2"/>
      <c r="C29" s="2"/>
      <c r="D29" s="15"/>
      <c r="E29" s="2"/>
      <c r="F29" s="2"/>
      <c r="G29" s="2"/>
      <c r="H29" s="2"/>
      <c r="I29" s="2"/>
      <c r="J29" s="2"/>
      <c r="K29" s="2"/>
      <c r="L29" s="2"/>
      <c r="M29" s="16"/>
      <c r="N29" s="16"/>
      <c r="O29" s="16"/>
      <c r="P29" s="21"/>
      <c r="Q29" s="16"/>
      <c r="R29" s="2"/>
      <c r="S29" s="2"/>
      <c r="T29" s="2"/>
      <c r="U29" s="2"/>
      <c r="V29" s="2"/>
      <c r="W29" s="2"/>
      <c r="X29" s="2"/>
      <c r="Y29" s="16"/>
      <c r="Z29" s="20"/>
      <c r="AA29" s="16"/>
      <c r="AB29" s="21"/>
      <c r="AC29" s="16"/>
      <c r="AD29" s="16"/>
      <c r="AE29" s="16"/>
      <c r="AF29" s="16"/>
      <c r="AG29" s="16"/>
      <c r="AH29" s="16"/>
      <c r="AI29" s="16"/>
      <c r="AJ29" s="16"/>
      <c r="AK29" s="16"/>
      <c r="AL29" s="16"/>
      <c r="AM29" s="16"/>
      <c r="AN29" s="16"/>
    </row>
    <row r="30" spans="1:40" x14ac:dyDescent="0.25">
      <c r="A30" s="2"/>
      <c r="B30" s="2"/>
      <c r="C30" s="2"/>
      <c r="D30" s="15"/>
      <c r="E30" s="2"/>
      <c r="F30" s="2"/>
      <c r="G30" s="2"/>
      <c r="H30" s="2"/>
      <c r="I30" s="2"/>
      <c r="J30" s="2"/>
      <c r="K30" s="2"/>
      <c r="L30" s="2"/>
      <c r="M30" s="16"/>
      <c r="N30" s="16"/>
      <c r="O30" s="16"/>
      <c r="P30" s="21"/>
      <c r="Q30" s="16"/>
      <c r="R30" s="2"/>
      <c r="S30" s="2"/>
      <c r="T30" s="2"/>
      <c r="U30" s="2"/>
      <c r="V30" s="2"/>
      <c r="W30" s="2"/>
      <c r="X30" s="2"/>
      <c r="Y30" s="16"/>
      <c r="Z30" s="20"/>
      <c r="AA30" s="16"/>
      <c r="AB30" s="21"/>
      <c r="AC30" s="16"/>
      <c r="AD30" s="16"/>
      <c r="AE30" s="16"/>
      <c r="AF30" s="16"/>
      <c r="AG30" s="16"/>
      <c r="AH30" s="16"/>
      <c r="AI30" s="16"/>
      <c r="AJ30" s="16"/>
      <c r="AK30" s="16"/>
      <c r="AL30" s="16"/>
      <c r="AM30" s="16"/>
      <c r="AN30" s="16"/>
    </row>
    <row r="31" spans="1:40" x14ac:dyDescent="0.25">
      <c r="A31" s="2"/>
      <c r="B31" s="2"/>
      <c r="C31" s="2"/>
      <c r="D31" s="15"/>
      <c r="E31" s="2"/>
      <c r="F31" s="2"/>
      <c r="G31" s="2"/>
      <c r="H31" s="2"/>
      <c r="I31" s="2"/>
      <c r="J31" s="2"/>
      <c r="K31" s="2"/>
      <c r="L31" s="2"/>
      <c r="M31" s="16"/>
      <c r="N31" s="16"/>
      <c r="O31" s="16"/>
      <c r="P31" s="21"/>
      <c r="Q31" s="16"/>
      <c r="R31" s="2"/>
      <c r="S31" s="2"/>
      <c r="T31" s="2"/>
      <c r="U31" s="2"/>
      <c r="V31" s="2"/>
      <c r="W31" s="2"/>
      <c r="X31" s="2"/>
      <c r="Y31" s="16"/>
      <c r="Z31" s="20"/>
      <c r="AA31" s="16"/>
      <c r="AB31" s="21"/>
      <c r="AC31" s="16"/>
      <c r="AD31" s="16"/>
      <c r="AE31" s="16"/>
      <c r="AF31" s="16"/>
      <c r="AG31" s="16"/>
      <c r="AH31" s="16"/>
      <c r="AI31" s="16"/>
      <c r="AJ31" s="16"/>
      <c r="AK31" s="16"/>
      <c r="AL31" s="16"/>
      <c r="AM31" s="16"/>
      <c r="AN31" s="16"/>
    </row>
    <row r="32" spans="1:40" x14ac:dyDescent="0.25">
      <c r="A32" s="2"/>
      <c r="B32" s="2"/>
      <c r="C32" s="2"/>
      <c r="D32" s="15"/>
      <c r="E32" s="2"/>
      <c r="F32" s="2"/>
      <c r="G32" s="2"/>
      <c r="H32" s="2"/>
      <c r="I32" s="2"/>
      <c r="J32" s="2"/>
      <c r="K32" s="2"/>
      <c r="L32" s="2"/>
      <c r="M32" s="16"/>
      <c r="N32" s="16"/>
      <c r="O32" s="16"/>
      <c r="P32" s="21"/>
      <c r="Q32" s="16"/>
      <c r="R32" s="2"/>
      <c r="S32" s="2"/>
      <c r="T32" s="2"/>
      <c r="U32" s="2"/>
      <c r="V32" s="2"/>
      <c r="W32" s="2"/>
      <c r="X32" s="2"/>
      <c r="Y32" s="16"/>
      <c r="Z32" s="20"/>
      <c r="AA32" s="16"/>
      <c r="AB32" s="21"/>
      <c r="AC32" s="16"/>
      <c r="AD32" s="16"/>
      <c r="AE32" s="16"/>
      <c r="AF32" s="16"/>
      <c r="AG32" s="16"/>
      <c r="AH32" s="16"/>
      <c r="AI32" s="16"/>
      <c r="AJ32" s="16"/>
      <c r="AK32" s="16"/>
      <c r="AL32" s="16"/>
      <c r="AM32" s="16"/>
      <c r="AN32" s="16"/>
    </row>
    <row r="33" spans="1:40" x14ac:dyDescent="0.25">
      <c r="A33" s="2"/>
      <c r="B33" s="2"/>
      <c r="C33" s="2"/>
      <c r="D33" s="15"/>
      <c r="E33" s="2"/>
      <c r="F33" s="2"/>
      <c r="G33" s="2"/>
      <c r="H33" s="2"/>
      <c r="I33" s="2"/>
      <c r="J33" s="2"/>
      <c r="K33" s="2"/>
      <c r="L33" s="2"/>
      <c r="M33" s="16"/>
      <c r="N33" s="16"/>
      <c r="O33" s="16"/>
      <c r="P33" s="21"/>
      <c r="Q33" s="16"/>
      <c r="R33" s="2"/>
      <c r="S33" s="2"/>
      <c r="T33" s="2"/>
      <c r="U33" s="2"/>
      <c r="V33" s="2"/>
      <c r="W33" s="2"/>
      <c r="X33" s="2"/>
      <c r="Y33" s="16"/>
      <c r="Z33" s="20"/>
      <c r="AA33" s="16"/>
      <c r="AB33" s="21"/>
      <c r="AC33" s="16"/>
      <c r="AD33" s="16"/>
      <c r="AE33" s="16"/>
      <c r="AF33" s="16"/>
      <c r="AG33" s="16"/>
      <c r="AH33" s="16"/>
      <c r="AI33" s="16"/>
      <c r="AJ33" s="16"/>
      <c r="AK33" s="16"/>
      <c r="AL33" s="16"/>
      <c r="AM33" s="16"/>
      <c r="AN33" s="16"/>
    </row>
    <row r="34" spans="1:40" x14ac:dyDescent="0.25">
      <c r="A34" s="2"/>
      <c r="B34" s="2"/>
      <c r="C34" s="2"/>
      <c r="D34" s="15"/>
      <c r="E34" s="2"/>
      <c r="F34" s="2"/>
      <c r="G34" s="2"/>
      <c r="H34" s="2"/>
      <c r="I34" s="2"/>
      <c r="J34" s="2"/>
      <c r="K34" s="2"/>
      <c r="L34" s="2"/>
      <c r="M34" s="16"/>
      <c r="N34" s="16"/>
      <c r="O34" s="16"/>
      <c r="P34" s="21"/>
      <c r="Q34" s="16"/>
      <c r="R34" s="2"/>
      <c r="S34" s="2"/>
      <c r="T34" s="2"/>
      <c r="U34" s="2"/>
      <c r="V34" s="2"/>
      <c r="W34" s="2"/>
      <c r="X34" s="2"/>
      <c r="Y34" s="16"/>
      <c r="Z34" s="20"/>
      <c r="AA34" s="16"/>
      <c r="AB34" s="21"/>
      <c r="AC34" s="16"/>
      <c r="AD34" s="16"/>
      <c r="AE34" s="16"/>
      <c r="AF34" s="16"/>
      <c r="AG34" s="16"/>
      <c r="AH34" s="16"/>
      <c r="AI34" s="16"/>
      <c r="AJ34" s="16"/>
      <c r="AK34" s="16"/>
      <c r="AL34" s="16"/>
      <c r="AM34" s="16"/>
      <c r="AN34" s="16"/>
    </row>
    <row r="35" spans="1:40" x14ac:dyDescent="0.25">
      <c r="A35" s="2"/>
      <c r="B35" s="2"/>
      <c r="C35" s="2"/>
      <c r="D35" s="15"/>
      <c r="E35" s="2"/>
      <c r="F35" s="2"/>
      <c r="G35" s="2"/>
      <c r="H35" s="2"/>
      <c r="I35" s="2"/>
      <c r="J35" s="2"/>
      <c r="K35" s="2"/>
      <c r="L35" s="2"/>
      <c r="M35" s="16"/>
      <c r="N35" s="16"/>
      <c r="O35" s="16"/>
      <c r="P35" s="21"/>
      <c r="Q35" s="16"/>
      <c r="R35" s="2"/>
      <c r="S35" s="2"/>
      <c r="T35" s="2"/>
      <c r="U35" s="2"/>
      <c r="V35" s="2"/>
      <c r="W35" s="2"/>
      <c r="X35" s="2"/>
      <c r="Y35" s="16"/>
      <c r="Z35" s="20"/>
      <c r="AA35" s="16"/>
      <c r="AB35" s="21"/>
      <c r="AC35" s="16"/>
      <c r="AD35" s="16"/>
      <c r="AE35" s="16"/>
      <c r="AF35" s="16"/>
      <c r="AG35" s="16"/>
      <c r="AH35" s="16"/>
      <c r="AI35" s="16"/>
      <c r="AJ35" s="16"/>
      <c r="AK35" s="16"/>
      <c r="AL35" s="16"/>
      <c r="AM35" s="16"/>
      <c r="AN35" s="16"/>
    </row>
    <row r="36" spans="1:40" x14ac:dyDescent="0.25">
      <c r="A36" s="2"/>
      <c r="B36" s="2"/>
      <c r="C36" s="2"/>
      <c r="D36" s="15"/>
      <c r="E36" s="2"/>
      <c r="F36" s="2"/>
      <c r="G36" s="2"/>
      <c r="H36" s="2"/>
      <c r="I36" s="2"/>
      <c r="J36" s="2"/>
      <c r="K36" s="2"/>
      <c r="L36" s="2"/>
      <c r="M36" s="16"/>
      <c r="N36" s="16"/>
      <c r="O36" s="16"/>
      <c r="P36" s="21"/>
      <c r="Q36" s="16"/>
      <c r="R36" s="2"/>
      <c r="S36" s="2"/>
      <c r="T36" s="2"/>
      <c r="U36" s="2"/>
      <c r="V36" s="2"/>
      <c r="W36" s="2"/>
      <c r="X36" s="2"/>
      <c r="Y36" s="16"/>
      <c r="Z36" s="20"/>
      <c r="AA36" s="16"/>
      <c r="AB36" s="21"/>
      <c r="AC36" s="16"/>
      <c r="AD36" s="16"/>
      <c r="AE36" s="16"/>
      <c r="AF36" s="16"/>
      <c r="AG36" s="16"/>
      <c r="AH36" s="16"/>
      <c r="AI36" s="16"/>
      <c r="AJ36" s="16"/>
      <c r="AK36" s="16"/>
      <c r="AL36" s="16"/>
      <c r="AM36" s="16"/>
      <c r="AN36" s="16"/>
    </row>
    <row r="37" spans="1:40" x14ac:dyDescent="0.25">
      <c r="A37" s="2"/>
      <c r="B37" s="2"/>
      <c r="C37" s="2"/>
      <c r="D37" s="15"/>
      <c r="E37" s="2"/>
      <c r="F37" s="2"/>
      <c r="G37" s="2"/>
      <c r="H37" s="2"/>
      <c r="I37" s="2"/>
      <c r="J37" s="2"/>
      <c r="K37" s="2"/>
      <c r="L37" s="2"/>
      <c r="M37" s="16"/>
      <c r="N37" s="16"/>
      <c r="O37" s="16"/>
      <c r="P37" s="21"/>
      <c r="Q37" s="16"/>
      <c r="R37" s="2"/>
      <c r="S37" s="2"/>
      <c r="T37" s="2"/>
      <c r="U37" s="2"/>
      <c r="V37" s="2"/>
      <c r="W37" s="2"/>
      <c r="X37" s="2"/>
      <c r="Y37" s="16"/>
      <c r="Z37" s="20"/>
      <c r="AA37" s="16"/>
      <c r="AB37" s="21"/>
      <c r="AC37" s="16"/>
      <c r="AD37" s="16"/>
      <c r="AE37" s="16"/>
      <c r="AF37" s="16"/>
      <c r="AG37" s="16"/>
      <c r="AH37" s="16"/>
      <c r="AI37" s="16"/>
      <c r="AJ37" s="16"/>
      <c r="AK37" s="16"/>
      <c r="AL37" s="16"/>
      <c r="AM37" s="16"/>
      <c r="AN37" s="16"/>
    </row>
    <row r="38" spans="1:40" x14ac:dyDescent="0.25">
      <c r="A38" s="2"/>
      <c r="B38" s="2"/>
      <c r="C38" s="2"/>
      <c r="D38" s="15"/>
      <c r="E38" s="2"/>
      <c r="F38" s="2"/>
      <c r="G38" s="2"/>
      <c r="H38" s="2"/>
      <c r="I38" s="2"/>
      <c r="J38" s="2"/>
      <c r="K38" s="2"/>
      <c r="L38" s="2"/>
      <c r="M38" s="16"/>
      <c r="N38" s="16"/>
      <c r="O38" s="16"/>
      <c r="P38" s="21"/>
      <c r="Q38" s="16"/>
      <c r="R38" s="2"/>
      <c r="S38" s="2"/>
      <c r="T38" s="2"/>
      <c r="U38" s="2"/>
      <c r="V38" s="2"/>
      <c r="W38" s="2"/>
      <c r="X38" s="2"/>
      <c r="Y38" s="16"/>
      <c r="Z38" s="20"/>
      <c r="AA38" s="16"/>
      <c r="AB38" s="21"/>
      <c r="AC38" s="16"/>
      <c r="AD38" s="16"/>
      <c r="AE38" s="16"/>
      <c r="AF38" s="16"/>
      <c r="AG38" s="16"/>
      <c r="AH38" s="16"/>
      <c r="AI38" s="16"/>
      <c r="AJ38" s="16"/>
      <c r="AK38" s="16"/>
      <c r="AL38" s="16"/>
      <c r="AM38" s="16"/>
      <c r="AN38" s="16"/>
    </row>
    <row r="39" spans="1:40" x14ac:dyDescent="0.25">
      <c r="A39" s="2"/>
      <c r="B39" s="2"/>
      <c r="C39" s="2"/>
      <c r="D39" s="15"/>
      <c r="E39" s="2"/>
      <c r="F39" s="2"/>
      <c r="G39" s="2"/>
      <c r="H39" s="2"/>
      <c r="I39" s="2"/>
      <c r="J39" s="2"/>
      <c r="K39" s="2"/>
      <c r="L39" s="2"/>
      <c r="M39" s="16"/>
      <c r="N39" s="16"/>
      <c r="O39" s="16"/>
      <c r="P39" s="21"/>
      <c r="Q39" s="16"/>
      <c r="R39" s="2"/>
      <c r="S39" s="2"/>
      <c r="T39" s="2"/>
      <c r="U39" s="2"/>
      <c r="V39" s="2"/>
      <c r="W39" s="2"/>
      <c r="X39" s="2"/>
      <c r="Y39" s="16"/>
      <c r="Z39" s="20"/>
      <c r="AA39" s="16"/>
      <c r="AB39" s="21"/>
      <c r="AC39" s="16"/>
      <c r="AD39" s="16"/>
      <c r="AE39" s="16"/>
      <c r="AF39" s="16"/>
      <c r="AG39" s="16"/>
      <c r="AH39" s="16"/>
      <c r="AI39" s="16"/>
      <c r="AJ39" s="16"/>
      <c r="AK39" s="16"/>
      <c r="AL39" s="16"/>
      <c r="AM39" s="16"/>
      <c r="AN39" s="16"/>
    </row>
    <row r="40" spans="1:40" x14ac:dyDescent="0.25">
      <c r="A40" s="2"/>
      <c r="B40" s="2"/>
      <c r="C40" s="2"/>
      <c r="D40" s="15"/>
      <c r="E40" s="2"/>
      <c r="F40" s="2"/>
      <c r="G40" s="2"/>
      <c r="H40" s="2"/>
      <c r="I40" s="2"/>
      <c r="J40" s="2"/>
      <c r="K40" s="2"/>
      <c r="L40" s="2"/>
      <c r="M40" s="16"/>
      <c r="N40" s="16"/>
      <c r="O40" s="16"/>
      <c r="P40" s="21"/>
      <c r="Q40" s="16"/>
      <c r="R40" s="2"/>
      <c r="S40" s="2"/>
      <c r="T40" s="2"/>
      <c r="U40" s="2"/>
      <c r="V40" s="2"/>
      <c r="W40" s="2"/>
      <c r="X40" s="2"/>
      <c r="Y40" s="16"/>
      <c r="Z40" s="20"/>
      <c r="AA40" s="16"/>
      <c r="AB40" s="21"/>
      <c r="AC40" s="16"/>
      <c r="AD40" s="16"/>
      <c r="AE40" s="16"/>
      <c r="AF40" s="16"/>
      <c r="AG40" s="16"/>
      <c r="AH40" s="16"/>
      <c r="AI40" s="16"/>
      <c r="AJ40" s="16"/>
      <c r="AK40" s="16"/>
      <c r="AL40" s="16"/>
      <c r="AM40" s="16"/>
      <c r="AN40" s="16"/>
    </row>
    <row r="41" spans="1:40" x14ac:dyDescent="0.25">
      <c r="A41" s="2"/>
      <c r="B41" s="2"/>
      <c r="C41" s="2"/>
      <c r="D41" s="15"/>
      <c r="E41" s="2"/>
      <c r="F41" s="2"/>
      <c r="G41" s="2"/>
      <c r="H41" s="2"/>
      <c r="I41" s="2"/>
      <c r="J41" s="2"/>
      <c r="K41" s="2"/>
      <c r="L41" s="2"/>
      <c r="M41" s="16"/>
      <c r="N41" s="16"/>
      <c r="O41" s="16"/>
      <c r="P41" s="21"/>
      <c r="Q41" s="16"/>
      <c r="R41" s="2"/>
      <c r="S41" s="2"/>
      <c r="T41" s="2"/>
      <c r="U41" s="2"/>
      <c r="V41" s="2"/>
      <c r="W41" s="2"/>
      <c r="X41" s="2"/>
      <c r="Y41" s="16"/>
      <c r="Z41" s="20"/>
      <c r="AA41" s="16"/>
      <c r="AB41" s="21"/>
      <c r="AC41" s="16"/>
      <c r="AD41" s="16"/>
      <c r="AE41" s="16"/>
      <c r="AF41" s="16"/>
      <c r="AG41" s="16"/>
      <c r="AH41" s="16"/>
      <c r="AI41" s="16"/>
      <c r="AJ41" s="16"/>
      <c r="AK41" s="16"/>
      <c r="AL41" s="16"/>
      <c r="AM41" s="16"/>
      <c r="AN41" s="16"/>
    </row>
    <row r="42" spans="1:40" x14ac:dyDescent="0.25">
      <c r="A42" s="2"/>
      <c r="B42" s="2"/>
      <c r="C42" s="2"/>
      <c r="D42" s="15"/>
      <c r="E42" s="2"/>
      <c r="F42" s="2"/>
      <c r="G42" s="2"/>
      <c r="H42" s="2"/>
      <c r="I42" s="2"/>
      <c r="J42" s="2"/>
      <c r="K42" s="2"/>
      <c r="L42" s="2"/>
      <c r="M42" s="16"/>
      <c r="N42" s="16"/>
      <c r="O42" s="16"/>
      <c r="P42" s="21"/>
      <c r="Q42" s="16"/>
      <c r="R42" s="2"/>
      <c r="S42" s="2"/>
      <c r="T42" s="2"/>
      <c r="U42" s="2"/>
      <c r="V42" s="2"/>
      <c r="W42" s="2"/>
      <c r="X42" s="2"/>
      <c r="Y42" s="16"/>
      <c r="Z42" s="20"/>
      <c r="AA42" s="16"/>
      <c r="AB42" s="21"/>
      <c r="AC42" s="16"/>
      <c r="AD42" s="16"/>
      <c r="AE42" s="16"/>
      <c r="AF42" s="16"/>
      <c r="AG42" s="16"/>
      <c r="AH42" s="16"/>
      <c r="AI42" s="16"/>
      <c r="AJ42" s="16"/>
      <c r="AK42" s="16"/>
      <c r="AL42" s="16"/>
      <c r="AM42" s="16"/>
      <c r="AN42" s="16"/>
    </row>
    <row r="43" spans="1:40" x14ac:dyDescent="0.25">
      <c r="A43" s="2"/>
      <c r="B43" s="2"/>
      <c r="C43" s="2"/>
      <c r="D43" s="15"/>
      <c r="E43" s="2"/>
      <c r="F43" s="2"/>
      <c r="G43" s="2"/>
      <c r="H43" s="2"/>
      <c r="I43" s="2"/>
      <c r="J43" s="2"/>
      <c r="K43" s="2"/>
      <c r="L43" s="2"/>
      <c r="M43" s="16"/>
      <c r="N43" s="16"/>
      <c r="O43" s="16"/>
      <c r="P43" s="21"/>
      <c r="Q43" s="16"/>
      <c r="R43" s="2"/>
      <c r="S43" s="2"/>
      <c r="T43" s="2"/>
      <c r="U43" s="2"/>
      <c r="V43" s="2"/>
      <c r="W43" s="2"/>
      <c r="X43" s="2"/>
      <c r="Y43" s="16"/>
      <c r="Z43" s="20"/>
      <c r="AA43" s="16"/>
      <c r="AB43" s="21"/>
      <c r="AC43" s="16"/>
      <c r="AD43" s="16"/>
      <c r="AE43" s="16"/>
      <c r="AF43" s="16"/>
      <c r="AG43" s="16"/>
      <c r="AH43" s="16"/>
      <c r="AI43" s="16"/>
      <c r="AJ43" s="16"/>
      <c r="AK43" s="16"/>
      <c r="AL43" s="16"/>
      <c r="AM43" s="16"/>
      <c r="AN43" s="16"/>
    </row>
    <row r="44" spans="1:40" x14ac:dyDescent="0.25">
      <c r="A44" s="2"/>
      <c r="B44" s="2"/>
      <c r="C44" s="2"/>
      <c r="D44" s="15"/>
      <c r="E44" s="2"/>
      <c r="F44" s="2"/>
      <c r="G44" s="2"/>
      <c r="H44" s="2"/>
      <c r="I44" s="2"/>
      <c r="J44" s="2"/>
      <c r="K44" s="2"/>
      <c r="L44" s="2"/>
      <c r="M44" s="16"/>
      <c r="N44" s="16"/>
      <c r="O44" s="16"/>
      <c r="P44" s="21"/>
      <c r="Q44" s="16"/>
      <c r="R44" s="2"/>
      <c r="S44" s="2"/>
      <c r="T44" s="2"/>
      <c r="U44" s="2"/>
      <c r="V44" s="2"/>
      <c r="W44" s="2"/>
      <c r="X44" s="2"/>
      <c r="Y44" s="16"/>
      <c r="Z44" s="20"/>
      <c r="AA44" s="16"/>
      <c r="AB44" s="21"/>
      <c r="AC44" s="16"/>
      <c r="AD44" s="16"/>
      <c r="AE44" s="16"/>
      <c r="AF44" s="16"/>
      <c r="AG44" s="16"/>
      <c r="AH44" s="16"/>
      <c r="AI44" s="16"/>
      <c r="AJ44" s="16"/>
      <c r="AK44" s="16"/>
      <c r="AL44" s="16"/>
      <c r="AM44" s="16"/>
      <c r="AN44" s="16"/>
    </row>
    <row r="45" spans="1:40" x14ac:dyDescent="0.25">
      <c r="A45" s="2"/>
      <c r="B45" s="2"/>
      <c r="C45" s="2"/>
      <c r="D45" s="15"/>
      <c r="E45" s="2"/>
      <c r="F45" s="2"/>
      <c r="G45" s="2"/>
      <c r="H45" s="2"/>
      <c r="I45" s="2"/>
      <c r="J45" s="2"/>
      <c r="K45" s="2"/>
      <c r="L45" s="2"/>
      <c r="M45" s="16"/>
      <c r="N45" s="16"/>
      <c r="O45" s="16"/>
      <c r="P45" s="21"/>
      <c r="Q45" s="16"/>
      <c r="R45" s="2"/>
      <c r="S45" s="2"/>
      <c r="T45" s="2"/>
      <c r="U45" s="2"/>
      <c r="V45" s="2"/>
      <c r="W45" s="2"/>
      <c r="X45" s="2"/>
      <c r="Y45" s="16"/>
      <c r="Z45" s="20"/>
      <c r="AA45" s="16"/>
      <c r="AB45" s="21"/>
      <c r="AC45" s="16"/>
      <c r="AD45" s="16"/>
      <c r="AE45" s="16"/>
      <c r="AF45" s="16"/>
      <c r="AG45" s="16"/>
      <c r="AH45" s="16"/>
      <c r="AI45" s="16"/>
      <c r="AJ45" s="16"/>
      <c r="AK45" s="16"/>
      <c r="AL45" s="16"/>
      <c r="AM45" s="16"/>
      <c r="AN45" s="16"/>
    </row>
    <row r="46" spans="1:40" x14ac:dyDescent="0.25">
      <c r="A46" s="2"/>
      <c r="B46" s="2"/>
      <c r="C46" s="2"/>
      <c r="D46" s="15"/>
      <c r="E46" s="2"/>
      <c r="F46" s="2"/>
      <c r="G46" s="2"/>
      <c r="H46" s="2"/>
      <c r="I46" s="2"/>
      <c r="J46" s="2"/>
      <c r="K46" s="2"/>
      <c r="L46" s="2"/>
      <c r="M46" s="16"/>
      <c r="N46" s="16"/>
      <c r="O46" s="16"/>
      <c r="P46" s="21"/>
      <c r="Q46" s="16"/>
      <c r="R46" s="2"/>
      <c r="S46" s="2"/>
      <c r="T46" s="2"/>
      <c r="U46" s="2"/>
      <c r="V46" s="2"/>
      <c r="W46" s="2"/>
      <c r="X46" s="2"/>
      <c r="Y46" s="16"/>
      <c r="Z46" s="20"/>
      <c r="AA46" s="16"/>
      <c r="AB46" s="21"/>
      <c r="AC46" s="16"/>
      <c r="AD46" s="16"/>
      <c r="AE46" s="16"/>
      <c r="AF46" s="16"/>
      <c r="AG46" s="16"/>
      <c r="AH46" s="16"/>
      <c r="AI46" s="16"/>
      <c r="AJ46" s="16"/>
      <c r="AK46" s="16"/>
      <c r="AL46" s="16"/>
      <c r="AM46" s="16"/>
      <c r="AN46" s="16"/>
    </row>
    <row r="47" spans="1:40" x14ac:dyDescent="0.25">
      <c r="A47" s="2"/>
      <c r="B47" s="2"/>
      <c r="C47" s="2"/>
      <c r="D47" s="15"/>
      <c r="E47" s="2"/>
      <c r="F47" s="2"/>
      <c r="G47" s="2"/>
      <c r="H47" s="2"/>
      <c r="I47" s="2"/>
      <c r="J47" s="2"/>
      <c r="K47" s="2"/>
      <c r="L47" s="2"/>
      <c r="M47" s="16"/>
      <c r="N47" s="16"/>
      <c r="O47" s="16"/>
      <c r="P47" s="21"/>
      <c r="Q47" s="16"/>
      <c r="R47" s="2"/>
      <c r="S47" s="2"/>
      <c r="T47" s="2"/>
      <c r="U47" s="2"/>
      <c r="V47" s="2"/>
      <c r="W47" s="2"/>
      <c r="X47" s="2"/>
      <c r="Y47" s="16"/>
      <c r="Z47" s="20"/>
      <c r="AA47" s="16"/>
      <c r="AB47" s="21"/>
      <c r="AC47" s="16"/>
      <c r="AD47" s="16"/>
      <c r="AE47" s="16"/>
      <c r="AF47" s="16"/>
      <c r="AG47" s="16"/>
      <c r="AH47" s="16"/>
      <c r="AI47" s="16"/>
      <c r="AJ47" s="16"/>
      <c r="AK47" s="16"/>
      <c r="AL47" s="16"/>
      <c r="AM47" s="16"/>
      <c r="AN47" s="16"/>
    </row>
    <row r="48" spans="1:40" x14ac:dyDescent="0.25">
      <c r="A48" s="2"/>
      <c r="B48" s="2"/>
      <c r="C48" s="2"/>
      <c r="D48" s="15"/>
      <c r="E48" s="2"/>
      <c r="F48" s="2"/>
      <c r="G48" s="2"/>
      <c r="H48" s="2"/>
      <c r="I48" s="2"/>
      <c r="J48" s="2"/>
      <c r="K48" s="2"/>
      <c r="L48" s="2"/>
      <c r="M48" s="16"/>
      <c r="N48" s="16"/>
      <c r="O48" s="16"/>
      <c r="P48" s="21"/>
      <c r="Q48" s="16"/>
      <c r="R48" s="2"/>
      <c r="S48" s="2"/>
      <c r="T48" s="2"/>
      <c r="U48" s="2"/>
      <c r="V48" s="2"/>
      <c r="W48" s="2"/>
      <c r="X48" s="2"/>
      <c r="Y48" s="16"/>
      <c r="Z48" s="20"/>
      <c r="AA48" s="16"/>
      <c r="AB48" s="21"/>
      <c r="AC48" s="16"/>
      <c r="AD48" s="16"/>
      <c r="AE48" s="16"/>
      <c r="AF48" s="16"/>
      <c r="AG48" s="16"/>
      <c r="AH48" s="16"/>
      <c r="AI48" s="16"/>
      <c r="AJ48" s="16"/>
      <c r="AK48" s="16"/>
      <c r="AL48" s="16"/>
      <c r="AM48" s="16"/>
      <c r="AN48" s="16"/>
    </row>
    <row r="49" spans="1:40" x14ac:dyDescent="0.25">
      <c r="A49" s="2"/>
      <c r="B49" s="2"/>
      <c r="C49" s="2"/>
      <c r="D49" s="15"/>
      <c r="E49" s="2"/>
      <c r="F49" s="2"/>
      <c r="G49" s="2"/>
      <c r="H49" s="2"/>
      <c r="I49" s="2"/>
      <c r="J49" s="2"/>
      <c r="K49" s="2"/>
      <c r="L49" s="2"/>
      <c r="M49" s="16"/>
      <c r="N49" s="16"/>
      <c r="O49" s="16"/>
      <c r="P49" s="21"/>
      <c r="Q49" s="16"/>
      <c r="R49" s="2"/>
      <c r="S49" s="2"/>
      <c r="T49" s="2"/>
      <c r="U49" s="2"/>
      <c r="V49" s="2"/>
      <c r="W49" s="2"/>
      <c r="X49" s="2"/>
      <c r="Y49" s="16"/>
      <c r="Z49" s="20"/>
      <c r="AA49" s="16"/>
      <c r="AB49" s="21"/>
      <c r="AC49" s="16"/>
      <c r="AD49" s="16"/>
      <c r="AE49" s="16"/>
      <c r="AF49" s="16"/>
      <c r="AG49" s="16"/>
      <c r="AH49" s="16"/>
      <c r="AI49" s="16"/>
      <c r="AJ49" s="16"/>
      <c r="AK49" s="16"/>
      <c r="AL49" s="16"/>
      <c r="AM49" s="16"/>
      <c r="AN49" s="16"/>
    </row>
    <row r="50" spans="1:40" x14ac:dyDescent="0.25">
      <c r="A50" s="2"/>
      <c r="B50" s="2"/>
      <c r="C50" s="2"/>
      <c r="D50" s="15"/>
      <c r="E50" s="2"/>
      <c r="F50" s="2"/>
      <c r="G50" s="2"/>
      <c r="H50" s="2"/>
      <c r="I50" s="2"/>
      <c r="J50" s="2"/>
      <c r="K50" s="2"/>
      <c r="L50" s="2"/>
      <c r="M50" s="16"/>
      <c r="N50" s="16"/>
      <c r="O50" s="16"/>
      <c r="P50" s="21"/>
      <c r="Q50" s="16"/>
      <c r="R50" s="2"/>
      <c r="S50" s="2"/>
      <c r="T50" s="2"/>
      <c r="U50" s="2"/>
      <c r="V50" s="2"/>
      <c r="W50" s="2"/>
      <c r="X50" s="2"/>
      <c r="Y50" s="16"/>
      <c r="Z50" s="20"/>
      <c r="AA50" s="16"/>
      <c r="AB50" s="21"/>
      <c r="AC50" s="16"/>
      <c r="AD50" s="16"/>
      <c r="AE50" s="16"/>
      <c r="AF50" s="16"/>
      <c r="AG50" s="16"/>
      <c r="AH50" s="16"/>
      <c r="AI50" s="16"/>
      <c r="AJ50" s="16"/>
      <c r="AK50" s="16"/>
      <c r="AL50" s="16"/>
      <c r="AM50" s="16"/>
      <c r="AN50" s="16"/>
    </row>
    <row r="51" spans="1:40" x14ac:dyDescent="0.25">
      <c r="A51" s="2"/>
      <c r="B51" s="2"/>
      <c r="C51" s="2"/>
      <c r="D51" s="15"/>
      <c r="E51" s="2"/>
      <c r="F51" s="2"/>
      <c r="G51" s="2"/>
      <c r="H51" s="2"/>
      <c r="I51" s="2"/>
      <c r="J51" s="2"/>
      <c r="K51" s="2"/>
      <c r="L51" s="2"/>
      <c r="M51" s="16"/>
      <c r="N51" s="16"/>
      <c r="O51" s="16"/>
      <c r="P51" s="21"/>
      <c r="Q51" s="16"/>
      <c r="R51" s="2"/>
      <c r="S51" s="2"/>
      <c r="T51" s="2"/>
      <c r="U51" s="2"/>
      <c r="V51" s="2"/>
      <c r="W51" s="2"/>
      <c r="X51" s="2"/>
      <c r="Y51" s="16"/>
      <c r="Z51" s="20"/>
      <c r="AA51" s="16"/>
      <c r="AB51" s="21"/>
      <c r="AC51" s="16"/>
      <c r="AD51" s="16"/>
      <c r="AE51" s="16"/>
      <c r="AF51" s="16"/>
      <c r="AG51" s="16"/>
      <c r="AH51" s="16"/>
      <c r="AI51" s="16"/>
      <c r="AJ51" s="16"/>
      <c r="AK51" s="16"/>
      <c r="AL51" s="16"/>
      <c r="AM51" s="16"/>
      <c r="AN51" s="16"/>
    </row>
    <row r="52" spans="1:40" x14ac:dyDescent="0.25">
      <c r="A52" s="2"/>
      <c r="B52" s="2"/>
      <c r="C52" s="2"/>
      <c r="D52" s="15"/>
      <c r="E52" s="2"/>
      <c r="F52" s="2"/>
      <c r="G52" s="2"/>
      <c r="H52" s="2"/>
      <c r="I52" s="2"/>
      <c r="J52" s="2"/>
      <c r="K52" s="2"/>
      <c r="L52" s="2"/>
      <c r="M52" s="16"/>
      <c r="N52" s="16"/>
      <c r="O52" s="16"/>
      <c r="P52" s="21"/>
      <c r="Q52" s="16"/>
      <c r="R52" s="2"/>
      <c r="S52" s="2"/>
      <c r="T52" s="2"/>
      <c r="U52" s="2"/>
      <c r="V52" s="2"/>
      <c r="W52" s="2"/>
      <c r="X52" s="2"/>
      <c r="Y52" s="16"/>
      <c r="Z52" s="20"/>
      <c r="AA52" s="16"/>
      <c r="AB52" s="21"/>
      <c r="AC52" s="16"/>
      <c r="AD52" s="16"/>
      <c r="AE52" s="16"/>
      <c r="AF52" s="16"/>
      <c r="AG52" s="16"/>
      <c r="AH52" s="16"/>
      <c r="AI52" s="16"/>
      <c r="AJ52" s="16"/>
      <c r="AK52" s="16"/>
      <c r="AL52" s="16"/>
      <c r="AM52" s="16"/>
      <c r="AN52" s="16"/>
    </row>
    <row r="53" spans="1:40" x14ac:dyDescent="0.25">
      <c r="A53" s="2"/>
      <c r="B53" s="2"/>
      <c r="C53" s="2"/>
      <c r="D53" s="15"/>
      <c r="E53" s="2"/>
      <c r="F53" s="2"/>
      <c r="G53" s="2"/>
      <c r="H53" s="2"/>
      <c r="I53" s="2"/>
      <c r="J53" s="2"/>
      <c r="K53" s="2"/>
      <c r="L53" s="2"/>
      <c r="M53" s="16"/>
      <c r="N53" s="16"/>
      <c r="O53" s="16"/>
      <c r="P53" s="21"/>
      <c r="Q53" s="16"/>
      <c r="R53" s="2"/>
      <c r="S53" s="2"/>
      <c r="T53" s="2"/>
      <c r="U53" s="2"/>
      <c r="V53" s="2"/>
      <c r="W53" s="2"/>
      <c r="X53" s="2"/>
      <c r="Y53" s="16"/>
      <c r="Z53" s="20"/>
      <c r="AA53" s="16"/>
      <c r="AB53" s="21"/>
      <c r="AC53" s="16"/>
      <c r="AD53" s="16"/>
      <c r="AE53" s="16"/>
      <c r="AF53" s="16"/>
      <c r="AG53" s="16"/>
      <c r="AH53" s="16"/>
      <c r="AI53" s="16"/>
      <c r="AJ53" s="16"/>
      <c r="AK53" s="16"/>
      <c r="AL53" s="16"/>
      <c r="AM53" s="16"/>
      <c r="AN53" s="16"/>
    </row>
    <row r="54" spans="1:40" x14ac:dyDescent="0.25">
      <c r="A54" s="2"/>
      <c r="B54" s="2"/>
      <c r="C54" s="2"/>
      <c r="D54" s="15"/>
      <c r="E54" s="2"/>
      <c r="F54" s="2"/>
      <c r="G54" s="2"/>
      <c r="H54" s="2"/>
      <c r="I54" s="2"/>
      <c r="J54" s="2"/>
      <c r="K54" s="2"/>
      <c r="L54" s="2"/>
      <c r="M54" s="16"/>
      <c r="N54" s="16"/>
      <c r="O54" s="16"/>
      <c r="P54" s="21"/>
      <c r="Q54" s="16"/>
      <c r="R54" s="2"/>
      <c r="S54" s="2"/>
      <c r="T54" s="2"/>
      <c r="U54" s="2"/>
      <c r="V54" s="2"/>
      <c r="W54" s="2"/>
      <c r="X54" s="2"/>
      <c r="Y54" s="16"/>
      <c r="Z54" s="20"/>
      <c r="AA54" s="16"/>
      <c r="AB54" s="21"/>
      <c r="AC54" s="16"/>
      <c r="AD54" s="16"/>
      <c r="AE54" s="16"/>
      <c r="AF54" s="16"/>
      <c r="AG54" s="16"/>
      <c r="AH54" s="16"/>
      <c r="AI54" s="16"/>
      <c r="AJ54" s="16"/>
      <c r="AK54" s="16"/>
      <c r="AL54" s="16"/>
      <c r="AM54" s="16"/>
      <c r="AN54" s="16"/>
    </row>
    <row r="55" spans="1:40" x14ac:dyDescent="0.25">
      <c r="A55" s="2"/>
      <c r="B55" s="2"/>
      <c r="C55" s="2"/>
      <c r="D55" s="15"/>
      <c r="E55" s="2"/>
      <c r="F55" s="2"/>
      <c r="G55" s="2"/>
      <c r="H55" s="2"/>
      <c r="I55" s="2"/>
      <c r="J55" s="2"/>
      <c r="K55" s="2"/>
      <c r="L55" s="2"/>
      <c r="M55" s="16"/>
      <c r="N55" s="16"/>
      <c r="O55" s="16"/>
      <c r="P55" s="21"/>
      <c r="Q55" s="16"/>
      <c r="R55" s="2"/>
      <c r="S55" s="2"/>
      <c r="T55" s="2"/>
      <c r="U55" s="2"/>
      <c r="V55" s="2"/>
      <c r="W55" s="2"/>
      <c r="X55" s="2"/>
      <c r="Y55" s="16"/>
      <c r="Z55" s="20"/>
      <c r="AA55" s="16"/>
      <c r="AB55" s="21"/>
      <c r="AC55" s="16"/>
      <c r="AD55" s="16"/>
      <c r="AE55" s="16"/>
      <c r="AF55" s="16"/>
      <c r="AG55" s="16"/>
      <c r="AH55" s="16"/>
      <c r="AI55" s="16"/>
      <c r="AJ55" s="16"/>
      <c r="AK55" s="16"/>
      <c r="AL55" s="16"/>
      <c r="AM55" s="16"/>
      <c r="AN55" s="16"/>
    </row>
    <row r="56" spans="1:40" x14ac:dyDescent="0.25">
      <c r="A56" s="2"/>
      <c r="B56" s="2"/>
      <c r="C56" s="2"/>
      <c r="D56" s="15"/>
      <c r="E56" s="2"/>
      <c r="F56" s="2"/>
      <c r="G56" s="2"/>
      <c r="H56" s="2"/>
      <c r="I56" s="2"/>
      <c r="J56" s="2"/>
      <c r="K56" s="2"/>
      <c r="L56" s="2"/>
      <c r="M56" s="16"/>
      <c r="N56" s="16"/>
      <c r="O56" s="16"/>
      <c r="P56" s="21"/>
      <c r="Q56" s="16"/>
      <c r="R56" s="2"/>
      <c r="S56" s="2"/>
      <c r="T56" s="2"/>
      <c r="U56" s="2"/>
      <c r="V56" s="2"/>
      <c r="W56" s="2"/>
      <c r="X56" s="2"/>
      <c r="Y56" s="16"/>
      <c r="Z56" s="20"/>
      <c r="AA56" s="16"/>
      <c r="AB56" s="21"/>
      <c r="AC56" s="16"/>
      <c r="AD56" s="16"/>
      <c r="AE56" s="16"/>
      <c r="AF56" s="16"/>
      <c r="AG56" s="16"/>
      <c r="AH56" s="16"/>
      <c r="AI56" s="16"/>
      <c r="AJ56" s="16"/>
      <c r="AK56" s="16"/>
      <c r="AL56" s="16"/>
      <c r="AM56" s="16"/>
      <c r="AN56" s="16"/>
    </row>
    <row r="57" spans="1:40" x14ac:dyDescent="0.25">
      <c r="A57" s="2"/>
      <c r="B57" s="2"/>
      <c r="C57" s="2"/>
      <c r="D57" s="15"/>
      <c r="E57" s="2"/>
      <c r="F57" s="2"/>
      <c r="G57" s="2"/>
      <c r="H57" s="2"/>
      <c r="I57" s="2"/>
      <c r="J57" s="2"/>
      <c r="K57" s="2"/>
      <c r="L57" s="2"/>
      <c r="M57" s="16"/>
      <c r="N57" s="16"/>
      <c r="O57" s="16"/>
      <c r="P57" s="21"/>
      <c r="Q57" s="16"/>
      <c r="R57" s="2"/>
      <c r="S57" s="2"/>
      <c r="T57" s="2"/>
      <c r="U57" s="2"/>
      <c r="V57" s="2"/>
      <c r="W57" s="2"/>
      <c r="X57" s="2"/>
      <c r="Y57" s="16"/>
      <c r="Z57" s="20"/>
      <c r="AA57" s="16"/>
      <c r="AB57" s="21"/>
      <c r="AC57" s="16"/>
      <c r="AD57" s="16"/>
      <c r="AE57" s="16"/>
      <c r="AF57" s="16"/>
      <c r="AG57" s="16"/>
      <c r="AH57" s="16"/>
      <c r="AI57" s="16"/>
      <c r="AJ57" s="16"/>
      <c r="AK57" s="16"/>
      <c r="AL57" s="16"/>
      <c r="AM57" s="16"/>
      <c r="AN57" s="16"/>
    </row>
    <row r="58" spans="1:40" x14ac:dyDescent="0.25">
      <c r="A58" s="2"/>
      <c r="B58" s="2"/>
      <c r="C58" s="2"/>
      <c r="D58" s="15"/>
      <c r="E58" s="2"/>
      <c r="F58" s="2"/>
      <c r="G58" s="2"/>
      <c r="H58" s="2"/>
      <c r="I58" s="2"/>
      <c r="J58" s="2"/>
      <c r="K58" s="2"/>
      <c r="L58" s="2"/>
      <c r="M58" s="16"/>
      <c r="N58" s="16"/>
      <c r="O58" s="16"/>
      <c r="P58" s="21"/>
      <c r="Q58" s="16"/>
      <c r="R58" s="2"/>
      <c r="S58" s="2"/>
      <c r="T58" s="2"/>
      <c r="U58" s="2"/>
      <c r="V58" s="2"/>
      <c r="W58" s="2"/>
      <c r="X58" s="2"/>
      <c r="Y58" s="16"/>
      <c r="Z58" s="20"/>
      <c r="AA58" s="16"/>
      <c r="AB58" s="21"/>
      <c r="AC58" s="16"/>
      <c r="AD58" s="16"/>
      <c r="AE58" s="16"/>
      <c r="AF58" s="16"/>
      <c r="AG58" s="16"/>
      <c r="AH58" s="16"/>
      <c r="AI58" s="16"/>
      <c r="AJ58" s="16"/>
      <c r="AK58" s="16"/>
      <c r="AL58" s="16"/>
      <c r="AM58" s="16"/>
      <c r="AN58" s="16"/>
    </row>
    <row r="59" spans="1:40" x14ac:dyDescent="0.25">
      <c r="A59" s="2"/>
      <c r="B59" s="2"/>
      <c r="C59" s="2"/>
      <c r="D59" s="15"/>
      <c r="E59" s="2"/>
      <c r="F59" s="2"/>
      <c r="G59" s="2"/>
      <c r="H59" s="2"/>
      <c r="I59" s="2"/>
      <c r="J59" s="2"/>
      <c r="K59" s="2"/>
      <c r="L59" s="2"/>
      <c r="M59" s="16"/>
      <c r="N59" s="16"/>
      <c r="O59" s="16"/>
      <c r="P59" s="21"/>
      <c r="Q59" s="16"/>
      <c r="R59" s="2"/>
      <c r="S59" s="2"/>
      <c r="T59" s="2"/>
      <c r="U59" s="2"/>
      <c r="V59" s="2"/>
      <c r="W59" s="2"/>
      <c r="X59" s="2"/>
      <c r="Y59" s="16"/>
      <c r="Z59" s="20"/>
      <c r="AA59" s="16"/>
      <c r="AB59" s="21"/>
      <c r="AC59" s="16"/>
      <c r="AD59" s="16"/>
      <c r="AE59" s="16"/>
      <c r="AF59" s="16"/>
      <c r="AG59" s="16"/>
      <c r="AH59" s="16"/>
      <c r="AI59" s="16"/>
      <c r="AJ59" s="16"/>
      <c r="AK59" s="16"/>
      <c r="AL59" s="16"/>
      <c r="AM59" s="16"/>
      <c r="AN59" s="16"/>
    </row>
    <row r="60" spans="1:40" x14ac:dyDescent="0.25">
      <c r="A60" s="2"/>
      <c r="B60" s="2"/>
      <c r="C60" s="2"/>
      <c r="D60" s="15"/>
      <c r="E60" s="2"/>
      <c r="F60" s="2"/>
      <c r="G60" s="2"/>
      <c r="H60" s="2"/>
      <c r="I60" s="2"/>
      <c r="J60" s="2"/>
      <c r="K60" s="2"/>
      <c r="L60" s="2"/>
      <c r="M60" s="16"/>
      <c r="N60" s="16"/>
      <c r="O60" s="16"/>
      <c r="P60" s="21"/>
      <c r="Q60" s="16"/>
      <c r="R60" s="2"/>
      <c r="S60" s="2"/>
      <c r="T60" s="2"/>
      <c r="U60" s="2"/>
      <c r="V60" s="2"/>
      <c r="W60" s="2"/>
      <c r="X60" s="2"/>
      <c r="Y60" s="16"/>
      <c r="Z60" s="20"/>
      <c r="AA60" s="16"/>
      <c r="AB60" s="21"/>
      <c r="AC60" s="16"/>
      <c r="AD60" s="16"/>
      <c r="AE60" s="16"/>
      <c r="AF60" s="16"/>
      <c r="AG60" s="16"/>
      <c r="AH60" s="16"/>
      <c r="AI60" s="16"/>
      <c r="AJ60" s="16"/>
      <c r="AK60" s="16"/>
      <c r="AL60" s="16"/>
      <c r="AM60" s="16"/>
      <c r="AN60" s="16"/>
    </row>
    <row r="61" spans="1:40" x14ac:dyDescent="0.25">
      <c r="A61" s="2"/>
      <c r="B61" s="2"/>
      <c r="C61" s="2"/>
      <c r="D61" s="15"/>
      <c r="E61" s="2"/>
      <c r="F61" s="2"/>
      <c r="G61" s="2"/>
      <c r="H61" s="2"/>
      <c r="I61" s="2"/>
      <c r="J61" s="2"/>
      <c r="K61" s="2"/>
      <c r="L61" s="2"/>
      <c r="M61" s="16"/>
      <c r="N61" s="16"/>
      <c r="O61" s="16"/>
      <c r="P61" s="21"/>
      <c r="Q61" s="16"/>
      <c r="R61" s="2"/>
      <c r="S61" s="2"/>
      <c r="T61" s="2"/>
      <c r="U61" s="2"/>
      <c r="V61" s="2"/>
      <c r="W61" s="2"/>
      <c r="X61" s="2"/>
      <c r="Y61" s="16"/>
      <c r="Z61" s="20"/>
      <c r="AA61" s="16"/>
      <c r="AB61" s="21"/>
      <c r="AC61" s="16"/>
      <c r="AD61" s="16"/>
      <c r="AE61" s="16"/>
      <c r="AF61" s="16"/>
      <c r="AG61" s="16"/>
      <c r="AH61" s="16"/>
      <c r="AI61" s="16"/>
      <c r="AJ61" s="16"/>
      <c r="AK61" s="16"/>
      <c r="AL61" s="16"/>
      <c r="AM61" s="16"/>
      <c r="AN61" s="16"/>
    </row>
    <row r="62" spans="1:40" x14ac:dyDescent="0.25">
      <c r="A62" s="2"/>
      <c r="B62" s="2"/>
      <c r="C62" s="2"/>
      <c r="D62" s="15"/>
      <c r="E62" s="2"/>
      <c r="F62" s="2"/>
      <c r="G62" s="2"/>
      <c r="H62" s="2"/>
      <c r="I62" s="2"/>
      <c r="J62" s="2"/>
      <c r="K62" s="2"/>
      <c r="L62" s="2"/>
      <c r="M62" s="16"/>
      <c r="N62" s="16"/>
      <c r="O62" s="16"/>
      <c r="P62" s="21"/>
      <c r="Q62" s="16"/>
      <c r="R62" s="2"/>
      <c r="S62" s="2"/>
      <c r="T62" s="2"/>
      <c r="U62" s="2"/>
      <c r="V62" s="2"/>
      <c r="W62" s="2"/>
      <c r="X62" s="2"/>
      <c r="Y62" s="16"/>
      <c r="Z62" s="20"/>
      <c r="AA62" s="16"/>
      <c r="AB62" s="21"/>
      <c r="AC62" s="16"/>
      <c r="AD62" s="16"/>
      <c r="AE62" s="16"/>
      <c r="AF62" s="16"/>
      <c r="AG62" s="16"/>
      <c r="AH62" s="16"/>
      <c r="AI62" s="16"/>
      <c r="AJ62" s="16"/>
      <c r="AK62" s="16"/>
      <c r="AL62" s="16"/>
      <c r="AM62" s="16"/>
      <c r="AN62" s="16"/>
    </row>
    <row r="63" spans="1:40" x14ac:dyDescent="0.25">
      <c r="A63" s="2"/>
      <c r="B63" s="2"/>
      <c r="C63" s="2"/>
      <c r="D63" s="15"/>
      <c r="E63" s="2"/>
      <c r="F63" s="2"/>
      <c r="G63" s="2"/>
      <c r="H63" s="2"/>
      <c r="I63" s="2"/>
      <c r="J63" s="2"/>
      <c r="K63" s="2"/>
      <c r="L63" s="2"/>
      <c r="M63" s="16"/>
      <c r="N63" s="16"/>
      <c r="O63" s="16"/>
      <c r="P63" s="21"/>
      <c r="Q63" s="16"/>
      <c r="R63" s="2"/>
      <c r="S63" s="2"/>
      <c r="T63" s="2"/>
      <c r="U63" s="2"/>
      <c r="V63" s="2"/>
      <c r="W63" s="2"/>
      <c r="X63" s="2"/>
      <c r="Y63" s="16"/>
      <c r="Z63" s="20"/>
      <c r="AA63" s="16"/>
      <c r="AB63" s="21"/>
      <c r="AC63" s="16"/>
      <c r="AD63" s="16"/>
      <c r="AE63" s="16"/>
      <c r="AF63" s="16"/>
      <c r="AG63" s="16"/>
      <c r="AH63" s="16"/>
      <c r="AI63" s="16"/>
      <c r="AJ63" s="16"/>
      <c r="AK63" s="16"/>
      <c r="AL63" s="16"/>
      <c r="AM63" s="16"/>
      <c r="AN63" s="16"/>
    </row>
    <row r="64" spans="1:40" x14ac:dyDescent="0.25">
      <c r="A64" s="2"/>
      <c r="B64" s="2"/>
      <c r="C64" s="2"/>
      <c r="D64" s="15"/>
      <c r="E64" s="2"/>
      <c r="F64" s="2"/>
      <c r="G64" s="2"/>
      <c r="H64" s="2"/>
      <c r="I64" s="2"/>
      <c r="J64" s="2"/>
      <c r="K64" s="2"/>
      <c r="L64" s="2"/>
      <c r="M64" s="16"/>
      <c r="N64" s="16"/>
      <c r="O64" s="16"/>
      <c r="P64" s="21"/>
      <c r="Q64" s="16"/>
      <c r="R64" s="2"/>
      <c r="S64" s="2"/>
      <c r="T64" s="2"/>
      <c r="U64" s="2"/>
      <c r="V64" s="2"/>
      <c r="W64" s="2"/>
      <c r="X64" s="2"/>
      <c r="Y64" s="16"/>
      <c r="Z64" s="20"/>
      <c r="AA64" s="16"/>
      <c r="AB64" s="21"/>
      <c r="AC64" s="16"/>
      <c r="AD64" s="16"/>
      <c r="AE64" s="16"/>
      <c r="AF64" s="16"/>
      <c r="AG64" s="16"/>
      <c r="AH64" s="16"/>
      <c r="AI64" s="16"/>
      <c r="AJ64" s="16"/>
      <c r="AK64" s="16"/>
      <c r="AL64" s="16"/>
      <c r="AM64" s="16"/>
      <c r="AN64" s="16"/>
    </row>
    <row r="65" spans="1:40" x14ac:dyDescent="0.25">
      <c r="A65" s="2"/>
      <c r="B65" s="2"/>
      <c r="C65" s="2"/>
      <c r="D65" s="15"/>
      <c r="E65" s="2"/>
      <c r="F65" s="2"/>
      <c r="G65" s="2"/>
      <c r="H65" s="2"/>
      <c r="I65" s="2"/>
      <c r="J65" s="2"/>
      <c r="K65" s="2"/>
      <c r="L65" s="2"/>
      <c r="M65" s="16"/>
      <c r="N65" s="16"/>
      <c r="O65" s="16"/>
      <c r="P65" s="21"/>
      <c r="Q65" s="16"/>
      <c r="R65" s="2"/>
      <c r="S65" s="2"/>
      <c r="T65" s="2"/>
      <c r="U65" s="2"/>
      <c r="V65" s="2"/>
      <c r="W65" s="2"/>
      <c r="X65" s="2"/>
      <c r="Y65" s="16"/>
      <c r="Z65" s="20"/>
      <c r="AA65" s="16"/>
      <c r="AB65" s="21"/>
      <c r="AC65" s="16"/>
      <c r="AD65" s="16"/>
      <c r="AE65" s="16"/>
      <c r="AF65" s="16"/>
      <c r="AG65" s="16"/>
      <c r="AH65" s="16"/>
      <c r="AI65" s="16"/>
      <c r="AJ65" s="16"/>
      <c r="AK65" s="16"/>
      <c r="AL65" s="16"/>
      <c r="AM65" s="16"/>
      <c r="AN65" s="16"/>
    </row>
    <row r="66" spans="1:40" x14ac:dyDescent="0.25">
      <c r="A66" s="2"/>
      <c r="B66" s="2"/>
      <c r="C66" s="2"/>
      <c r="D66" s="15"/>
      <c r="E66" s="2"/>
      <c r="F66" s="2"/>
      <c r="G66" s="2"/>
      <c r="H66" s="2"/>
      <c r="I66" s="2"/>
      <c r="J66" s="2"/>
      <c r="K66" s="2"/>
      <c r="L66" s="2"/>
      <c r="M66" s="16"/>
      <c r="N66" s="16"/>
      <c r="O66" s="16"/>
      <c r="P66" s="21"/>
      <c r="Q66" s="16"/>
      <c r="R66" s="2"/>
      <c r="S66" s="2"/>
      <c r="T66" s="2"/>
      <c r="U66" s="2"/>
      <c r="V66" s="2"/>
      <c r="W66" s="2"/>
      <c r="X66" s="2"/>
      <c r="Y66" s="16"/>
      <c r="Z66" s="20"/>
      <c r="AA66" s="16"/>
      <c r="AB66" s="21"/>
      <c r="AC66" s="16"/>
      <c r="AD66" s="16"/>
      <c r="AE66" s="16"/>
      <c r="AF66" s="16"/>
      <c r="AG66" s="16"/>
      <c r="AH66" s="16"/>
      <c r="AI66" s="16"/>
      <c r="AJ66" s="16"/>
      <c r="AK66" s="16"/>
      <c r="AL66" s="16"/>
      <c r="AM66" s="16"/>
      <c r="AN66" s="16"/>
    </row>
    <row r="67" spans="1:40" x14ac:dyDescent="0.25">
      <c r="A67" s="2"/>
      <c r="B67" s="2"/>
      <c r="C67" s="2"/>
      <c r="D67" s="15"/>
      <c r="E67" s="2"/>
      <c r="F67" s="2"/>
      <c r="G67" s="2"/>
      <c r="H67" s="2"/>
      <c r="I67" s="2"/>
      <c r="J67" s="2"/>
      <c r="K67" s="2"/>
      <c r="L67" s="2"/>
      <c r="M67" s="16"/>
      <c r="N67" s="16"/>
      <c r="O67" s="16"/>
      <c r="P67" s="21"/>
      <c r="Q67" s="16"/>
      <c r="R67" s="2"/>
      <c r="S67" s="2"/>
      <c r="T67" s="2"/>
      <c r="U67" s="2"/>
      <c r="V67" s="2"/>
      <c r="W67" s="2"/>
      <c r="X67" s="2"/>
      <c r="Y67" s="16"/>
      <c r="Z67" s="20"/>
      <c r="AA67" s="16"/>
      <c r="AB67" s="21"/>
      <c r="AC67" s="16"/>
      <c r="AD67" s="16"/>
      <c r="AE67" s="16"/>
      <c r="AF67" s="16"/>
      <c r="AG67" s="16"/>
      <c r="AH67" s="16"/>
      <c r="AI67" s="16"/>
      <c r="AJ67" s="16"/>
      <c r="AK67" s="16"/>
      <c r="AL67" s="16"/>
      <c r="AM67" s="16"/>
      <c r="AN67" s="16"/>
    </row>
    <row r="68" spans="1:40" x14ac:dyDescent="0.25">
      <c r="A68" s="2"/>
      <c r="B68" s="2"/>
      <c r="C68" s="2"/>
      <c r="D68" s="15"/>
      <c r="E68" s="2"/>
      <c r="F68" s="2"/>
      <c r="G68" s="2"/>
      <c r="H68" s="2"/>
      <c r="I68" s="2"/>
      <c r="J68" s="2"/>
      <c r="K68" s="2"/>
      <c r="L68" s="2"/>
      <c r="M68" s="16"/>
      <c r="N68" s="16"/>
      <c r="O68" s="16"/>
      <c r="P68" s="21"/>
      <c r="Q68" s="16"/>
      <c r="R68" s="2"/>
      <c r="S68" s="2"/>
      <c r="T68" s="2"/>
      <c r="U68" s="2"/>
      <c r="V68" s="2"/>
      <c r="W68" s="2"/>
      <c r="X68" s="2"/>
      <c r="Y68" s="16"/>
      <c r="Z68" s="20"/>
      <c r="AA68" s="16"/>
      <c r="AB68" s="21"/>
      <c r="AC68" s="16"/>
      <c r="AD68" s="16"/>
      <c r="AE68" s="16"/>
      <c r="AF68" s="16"/>
      <c r="AG68" s="16"/>
      <c r="AH68" s="16"/>
      <c r="AI68" s="16"/>
      <c r="AJ68" s="16"/>
      <c r="AK68" s="16"/>
      <c r="AL68" s="16"/>
      <c r="AM68" s="16"/>
      <c r="AN68" s="16"/>
    </row>
    <row r="69" spans="1:40" x14ac:dyDescent="0.25">
      <c r="A69" s="2"/>
      <c r="B69" s="2"/>
      <c r="C69" s="2"/>
      <c r="D69" s="15"/>
      <c r="E69" s="2"/>
      <c r="F69" s="2"/>
      <c r="G69" s="2"/>
      <c r="H69" s="2"/>
      <c r="I69" s="2"/>
      <c r="J69" s="2"/>
      <c r="K69" s="2"/>
      <c r="L69" s="2"/>
      <c r="M69" s="16"/>
      <c r="N69" s="16"/>
      <c r="O69" s="16"/>
      <c r="P69" s="21"/>
      <c r="Q69" s="16"/>
      <c r="R69" s="2"/>
      <c r="S69" s="2"/>
      <c r="T69" s="2"/>
      <c r="U69" s="2"/>
      <c r="V69" s="2"/>
      <c r="W69" s="2"/>
      <c r="X69" s="2"/>
      <c r="Y69" s="16"/>
      <c r="Z69" s="20"/>
      <c r="AA69" s="16"/>
      <c r="AB69" s="21"/>
      <c r="AC69" s="16"/>
      <c r="AD69" s="16"/>
      <c r="AE69" s="16"/>
      <c r="AF69" s="16"/>
      <c r="AG69" s="16"/>
      <c r="AH69" s="16"/>
      <c r="AI69" s="16"/>
      <c r="AJ69" s="16"/>
      <c r="AK69" s="16"/>
      <c r="AL69" s="16"/>
      <c r="AM69" s="16"/>
      <c r="AN69" s="16"/>
    </row>
    <row r="70" spans="1:40" x14ac:dyDescent="0.25">
      <c r="A70" s="2"/>
      <c r="B70" s="2"/>
      <c r="C70" s="2"/>
      <c r="D70" s="15"/>
      <c r="E70" s="2"/>
      <c r="F70" s="2"/>
      <c r="G70" s="2"/>
      <c r="H70" s="2"/>
      <c r="I70" s="2"/>
      <c r="J70" s="2"/>
      <c r="K70" s="2"/>
      <c r="L70" s="2"/>
      <c r="M70" s="16"/>
      <c r="N70" s="16"/>
      <c r="O70" s="16"/>
      <c r="P70" s="21"/>
      <c r="Q70" s="16"/>
      <c r="R70" s="2"/>
      <c r="S70" s="2"/>
      <c r="T70" s="2"/>
      <c r="U70" s="2"/>
      <c r="V70" s="2"/>
      <c r="W70" s="2"/>
      <c r="X70" s="2"/>
      <c r="Y70" s="16"/>
      <c r="Z70" s="20"/>
      <c r="AA70" s="16"/>
      <c r="AB70" s="21"/>
      <c r="AC70" s="16"/>
      <c r="AD70" s="16"/>
      <c r="AE70" s="16"/>
      <c r="AF70" s="16"/>
      <c r="AG70" s="16"/>
      <c r="AH70" s="16"/>
      <c r="AI70" s="16"/>
      <c r="AJ70" s="16"/>
      <c r="AK70" s="16"/>
      <c r="AL70" s="16"/>
      <c r="AM70" s="16"/>
      <c r="AN70" s="16"/>
    </row>
    <row r="71" spans="1:40" x14ac:dyDescent="0.25">
      <c r="A71" s="2"/>
      <c r="B71" s="2"/>
      <c r="C71" s="2"/>
      <c r="D71" s="15"/>
      <c r="E71" s="2"/>
      <c r="F71" s="2"/>
      <c r="G71" s="2"/>
      <c r="H71" s="2"/>
      <c r="I71" s="2"/>
      <c r="J71" s="2"/>
      <c r="K71" s="2"/>
      <c r="L71" s="2"/>
      <c r="M71" s="16"/>
      <c r="N71" s="16"/>
      <c r="O71" s="16"/>
      <c r="P71" s="21"/>
      <c r="Q71" s="16"/>
      <c r="R71" s="2"/>
      <c r="S71" s="2"/>
      <c r="T71" s="2"/>
      <c r="U71" s="2"/>
      <c r="V71" s="2"/>
      <c r="W71" s="2"/>
      <c r="X71" s="2"/>
      <c r="Y71" s="16"/>
      <c r="Z71" s="20"/>
      <c r="AA71" s="16"/>
      <c r="AB71" s="21"/>
      <c r="AC71" s="16"/>
      <c r="AD71" s="16"/>
      <c r="AE71" s="16"/>
      <c r="AF71" s="16"/>
      <c r="AG71" s="16"/>
      <c r="AH71" s="16"/>
      <c r="AI71" s="16"/>
      <c r="AJ71" s="16"/>
      <c r="AK71" s="16"/>
      <c r="AL71" s="16"/>
      <c r="AM71" s="16"/>
      <c r="AN71" s="16"/>
    </row>
    <row r="72" spans="1:40" x14ac:dyDescent="0.25">
      <c r="A72" s="2"/>
      <c r="B72" s="2"/>
      <c r="C72" s="2"/>
      <c r="D72" s="15"/>
      <c r="E72" s="2"/>
      <c r="F72" s="2"/>
      <c r="G72" s="2"/>
      <c r="H72" s="2"/>
      <c r="I72" s="2"/>
      <c r="J72" s="2"/>
      <c r="K72" s="2"/>
      <c r="L72" s="2"/>
      <c r="M72" s="16"/>
      <c r="N72" s="16"/>
      <c r="O72" s="16"/>
      <c r="P72" s="21"/>
      <c r="Q72" s="16"/>
      <c r="R72" s="2"/>
      <c r="S72" s="2"/>
      <c r="T72" s="2"/>
      <c r="U72" s="2"/>
      <c r="V72" s="2"/>
      <c r="W72" s="2"/>
      <c r="X72" s="2"/>
      <c r="Y72" s="16"/>
      <c r="Z72" s="20"/>
      <c r="AA72" s="16"/>
      <c r="AB72" s="21"/>
      <c r="AC72" s="16"/>
      <c r="AD72" s="16"/>
      <c r="AE72" s="16"/>
      <c r="AF72" s="16"/>
      <c r="AG72" s="16"/>
      <c r="AH72" s="16"/>
      <c r="AI72" s="16"/>
      <c r="AJ72" s="16"/>
      <c r="AK72" s="16"/>
      <c r="AL72" s="16"/>
      <c r="AM72" s="16"/>
      <c r="AN72" s="16"/>
    </row>
    <row r="73" spans="1:40" x14ac:dyDescent="0.25">
      <c r="A73" s="2"/>
      <c r="B73" s="2"/>
      <c r="C73" s="2"/>
      <c r="D73" s="15"/>
      <c r="E73" s="2"/>
      <c r="F73" s="2"/>
      <c r="G73" s="2"/>
      <c r="H73" s="2"/>
      <c r="I73" s="2"/>
      <c r="J73" s="2"/>
      <c r="K73" s="2"/>
      <c r="L73" s="2"/>
      <c r="M73" s="16"/>
      <c r="N73" s="16"/>
      <c r="O73" s="16"/>
      <c r="P73" s="21"/>
      <c r="Q73" s="16"/>
      <c r="R73" s="2"/>
      <c r="S73" s="2"/>
      <c r="T73" s="2"/>
      <c r="U73" s="2"/>
      <c r="V73" s="2"/>
      <c r="W73" s="2"/>
      <c r="X73" s="2"/>
      <c r="Y73" s="16"/>
      <c r="Z73" s="20"/>
      <c r="AA73" s="16"/>
      <c r="AB73" s="21"/>
      <c r="AC73" s="16"/>
      <c r="AD73" s="16"/>
      <c r="AE73" s="16"/>
      <c r="AF73" s="16"/>
      <c r="AG73" s="16"/>
      <c r="AH73" s="16"/>
      <c r="AI73" s="16"/>
      <c r="AJ73" s="16"/>
      <c r="AK73" s="16"/>
      <c r="AL73" s="16"/>
      <c r="AM73" s="16"/>
      <c r="AN73" s="16"/>
    </row>
    <row r="74" spans="1:40" x14ac:dyDescent="0.25">
      <c r="A74" s="2"/>
      <c r="B74" s="2"/>
      <c r="C74" s="2"/>
      <c r="D74" s="15"/>
      <c r="E74" s="2"/>
      <c r="F74" s="2"/>
      <c r="G74" s="2"/>
      <c r="H74" s="2"/>
      <c r="I74" s="2"/>
      <c r="J74" s="2"/>
      <c r="K74" s="2"/>
      <c r="L74" s="2"/>
      <c r="M74" s="16"/>
      <c r="N74" s="16"/>
      <c r="O74" s="16"/>
      <c r="P74" s="21"/>
      <c r="Q74" s="16"/>
      <c r="R74" s="2"/>
      <c r="S74" s="2"/>
      <c r="T74" s="2"/>
      <c r="U74" s="2"/>
      <c r="V74" s="2"/>
      <c r="W74" s="2"/>
      <c r="X74" s="2"/>
      <c r="Y74" s="16"/>
      <c r="Z74" s="20"/>
      <c r="AA74" s="16"/>
      <c r="AB74" s="21"/>
      <c r="AC74" s="16"/>
      <c r="AD74" s="16"/>
      <c r="AE74" s="16"/>
      <c r="AF74" s="16"/>
      <c r="AG74" s="16"/>
      <c r="AH74" s="16"/>
      <c r="AI74" s="16"/>
      <c r="AJ74" s="16"/>
      <c r="AK74" s="16"/>
      <c r="AL74" s="16"/>
      <c r="AM74" s="16"/>
      <c r="AN74" s="16"/>
    </row>
    <row r="75" spans="1:40" x14ac:dyDescent="0.25">
      <c r="A75" s="2"/>
      <c r="B75" s="2"/>
      <c r="C75" s="2"/>
      <c r="D75" s="15"/>
      <c r="E75" s="2"/>
      <c r="F75" s="2"/>
      <c r="G75" s="2"/>
      <c r="H75" s="2"/>
      <c r="I75" s="2"/>
      <c r="J75" s="2"/>
      <c r="K75" s="2"/>
      <c r="L75" s="2"/>
      <c r="M75" s="16"/>
      <c r="N75" s="16"/>
      <c r="O75" s="16"/>
      <c r="P75" s="21"/>
      <c r="Q75" s="16"/>
      <c r="R75" s="2"/>
      <c r="S75" s="2"/>
      <c r="T75" s="2"/>
      <c r="U75" s="2"/>
      <c r="V75" s="2"/>
      <c r="W75" s="2"/>
      <c r="X75" s="2"/>
      <c r="Y75" s="16"/>
      <c r="Z75" s="20"/>
      <c r="AA75" s="16"/>
      <c r="AB75" s="21"/>
      <c r="AC75" s="16"/>
      <c r="AD75" s="16"/>
      <c r="AE75" s="16"/>
      <c r="AF75" s="16"/>
      <c r="AG75" s="16"/>
      <c r="AH75" s="16"/>
      <c r="AI75" s="16"/>
      <c r="AJ75" s="16"/>
      <c r="AK75" s="16"/>
      <c r="AL75" s="16"/>
      <c r="AM75" s="16"/>
      <c r="AN75" s="16"/>
    </row>
    <row r="76" spans="1:40" x14ac:dyDescent="0.25">
      <c r="A76" s="2"/>
      <c r="B76" s="2"/>
      <c r="C76" s="2"/>
      <c r="D76" s="15"/>
      <c r="E76" s="2"/>
      <c r="F76" s="2"/>
      <c r="G76" s="2"/>
      <c r="H76" s="2"/>
      <c r="I76" s="2"/>
      <c r="J76" s="2"/>
      <c r="K76" s="2"/>
      <c r="L76" s="2"/>
      <c r="M76" s="16"/>
      <c r="N76" s="16"/>
      <c r="O76" s="16"/>
      <c r="P76" s="21"/>
      <c r="Q76" s="16"/>
      <c r="R76" s="2"/>
      <c r="S76" s="2"/>
      <c r="T76" s="2"/>
      <c r="U76" s="2"/>
      <c r="V76" s="2"/>
      <c r="W76" s="2"/>
      <c r="X76" s="2"/>
      <c r="Y76" s="16"/>
      <c r="Z76" s="20"/>
      <c r="AA76" s="16"/>
      <c r="AB76" s="21"/>
      <c r="AC76" s="16"/>
      <c r="AD76" s="16"/>
      <c r="AE76" s="16"/>
      <c r="AF76" s="16"/>
      <c r="AG76" s="16"/>
      <c r="AH76" s="16"/>
      <c r="AI76" s="16"/>
      <c r="AJ76" s="16"/>
      <c r="AK76" s="16"/>
      <c r="AL76" s="16"/>
      <c r="AM76" s="16"/>
      <c r="AN76" s="16"/>
    </row>
    <row r="77" spans="1:40" x14ac:dyDescent="0.25">
      <c r="A77" s="2"/>
      <c r="B77" s="2"/>
      <c r="C77" s="2"/>
      <c r="D77" s="15"/>
      <c r="E77" s="2"/>
      <c r="F77" s="2"/>
      <c r="G77" s="2"/>
      <c r="H77" s="2"/>
      <c r="I77" s="2"/>
      <c r="J77" s="2"/>
      <c r="K77" s="2"/>
      <c r="L77" s="2"/>
      <c r="M77" s="16"/>
      <c r="N77" s="16"/>
      <c r="O77" s="16"/>
      <c r="P77" s="21"/>
      <c r="Q77" s="16"/>
      <c r="R77" s="2"/>
      <c r="S77" s="2"/>
      <c r="T77" s="2"/>
      <c r="U77" s="2"/>
      <c r="V77" s="2"/>
      <c r="W77" s="2"/>
      <c r="X77" s="2"/>
      <c r="Y77" s="16"/>
      <c r="Z77" s="20"/>
      <c r="AA77" s="16"/>
      <c r="AB77" s="21"/>
      <c r="AC77" s="16"/>
      <c r="AD77" s="16"/>
      <c r="AE77" s="16"/>
      <c r="AF77" s="16"/>
      <c r="AG77" s="16"/>
      <c r="AH77" s="16"/>
      <c r="AI77" s="16"/>
      <c r="AJ77" s="16"/>
      <c r="AK77" s="16"/>
      <c r="AL77" s="16"/>
      <c r="AM77" s="16"/>
      <c r="AN77" s="16"/>
    </row>
    <row r="78" spans="1:40" x14ac:dyDescent="0.25">
      <c r="A78" s="2"/>
      <c r="B78" s="2"/>
      <c r="C78" s="2"/>
      <c r="D78" s="15"/>
      <c r="E78" s="2"/>
      <c r="F78" s="2"/>
      <c r="G78" s="2"/>
      <c r="H78" s="2"/>
      <c r="I78" s="2"/>
      <c r="J78" s="2"/>
      <c r="K78" s="2"/>
      <c r="L78" s="2"/>
      <c r="M78" s="16"/>
      <c r="N78" s="16"/>
      <c r="O78" s="16"/>
      <c r="P78" s="21"/>
      <c r="Q78" s="16"/>
      <c r="R78" s="2"/>
      <c r="S78" s="2"/>
      <c r="T78" s="2"/>
      <c r="U78" s="2"/>
      <c r="V78" s="2"/>
      <c r="W78" s="2"/>
      <c r="X78" s="2"/>
      <c r="Y78" s="16"/>
      <c r="Z78" s="20"/>
      <c r="AA78" s="16"/>
      <c r="AB78" s="21"/>
      <c r="AC78" s="16"/>
      <c r="AD78" s="16"/>
      <c r="AE78" s="16"/>
      <c r="AF78" s="16"/>
      <c r="AG78" s="16"/>
      <c r="AH78" s="16"/>
      <c r="AI78" s="16"/>
      <c r="AJ78" s="16"/>
      <c r="AK78" s="16"/>
      <c r="AL78" s="16"/>
      <c r="AM78" s="16"/>
      <c r="AN78" s="16"/>
    </row>
    <row r="79" spans="1:40" x14ac:dyDescent="0.25">
      <c r="A79" s="2"/>
      <c r="B79" s="2"/>
      <c r="C79" s="2"/>
      <c r="D79" s="15"/>
      <c r="E79" s="2"/>
      <c r="F79" s="2"/>
      <c r="G79" s="2"/>
      <c r="H79" s="2"/>
      <c r="I79" s="2"/>
      <c r="J79" s="2"/>
      <c r="K79" s="2"/>
      <c r="L79" s="2"/>
      <c r="M79" s="16"/>
      <c r="N79" s="16"/>
      <c r="O79" s="16"/>
      <c r="P79" s="21"/>
      <c r="Q79" s="16"/>
      <c r="R79" s="2"/>
      <c r="S79" s="2"/>
      <c r="T79" s="2"/>
      <c r="U79" s="2"/>
      <c r="V79" s="2"/>
      <c r="W79" s="2"/>
      <c r="X79" s="2"/>
      <c r="Y79" s="16"/>
      <c r="Z79" s="20"/>
      <c r="AA79" s="16"/>
      <c r="AB79" s="21"/>
      <c r="AC79" s="16"/>
      <c r="AD79" s="16"/>
      <c r="AE79" s="16"/>
      <c r="AF79" s="16"/>
      <c r="AG79" s="16"/>
      <c r="AH79" s="16"/>
      <c r="AI79" s="16"/>
      <c r="AJ79" s="16"/>
      <c r="AK79" s="16"/>
      <c r="AL79" s="16"/>
      <c r="AM79" s="16"/>
      <c r="AN79" s="16"/>
    </row>
    <row r="80" spans="1:40" x14ac:dyDescent="0.25">
      <c r="A80" s="2"/>
      <c r="B80" s="2"/>
      <c r="C80" s="2"/>
      <c r="D80" s="15"/>
      <c r="E80" s="2"/>
      <c r="F80" s="2"/>
      <c r="G80" s="2"/>
      <c r="H80" s="2"/>
      <c r="I80" s="2"/>
      <c r="J80" s="2"/>
      <c r="K80" s="2"/>
      <c r="L80" s="2"/>
      <c r="M80" s="16"/>
      <c r="N80" s="16"/>
      <c r="O80" s="16"/>
      <c r="P80" s="21"/>
      <c r="Q80" s="16"/>
      <c r="R80" s="2"/>
      <c r="S80" s="2"/>
      <c r="T80" s="2"/>
      <c r="U80" s="2"/>
      <c r="V80" s="2"/>
      <c r="W80" s="2"/>
      <c r="X80" s="2"/>
      <c r="Y80" s="16"/>
      <c r="Z80" s="20"/>
      <c r="AA80" s="16"/>
      <c r="AB80" s="21"/>
      <c r="AC80" s="16"/>
      <c r="AD80" s="16"/>
      <c r="AE80" s="16"/>
      <c r="AF80" s="16"/>
      <c r="AG80" s="16"/>
      <c r="AH80" s="16"/>
      <c r="AI80" s="16"/>
      <c r="AJ80" s="16"/>
      <c r="AK80" s="16"/>
      <c r="AL80" s="16"/>
      <c r="AM80" s="16"/>
      <c r="AN80" s="16"/>
    </row>
    <row r="81" spans="1:40" x14ac:dyDescent="0.25">
      <c r="A81" s="2"/>
      <c r="B81" s="2"/>
      <c r="C81" s="2"/>
      <c r="D81" s="15"/>
      <c r="E81" s="2"/>
      <c r="F81" s="2"/>
      <c r="G81" s="2"/>
      <c r="H81" s="2"/>
      <c r="I81" s="2"/>
      <c r="J81" s="2"/>
      <c r="K81" s="2"/>
      <c r="L81" s="2"/>
      <c r="M81" s="16"/>
      <c r="N81" s="16"/>
      <c r="O81" s="16"/>
      <c r="P81" s="21"/>
      <c r="Q81" s="16"/>
      <c r="R81" s="2"/>
      <c r="S81" s="2"/>
      <c r="T81" s="2"/>
      <c r="U81" s="2"/>
      <c r="V81" s="2"/>
      <c r="W81" s="2"/>
      <c r="X81" s="2"/>
      <c r="Y81" s="16"/>
      <c r="Z81" s="20"/>
      <c r="AA81" s="16"/>
      <c r="AB81" s="21"/>
      <c r="AC81" s="16"/>
      <c r="AD81" s="16"/>
      <c r="AE81" s="16"/>
      <c r="AF81" s="16"/>
      <c r="AG81" s="16"/>
      <c r="AH81" s="16"/>
      <c r="AI81" s="16"/>
      <c r="AJ81" s="16"/>
      <c r="AK81" s="16"/>
      <c r="AL81" s="16"/>
      <c r="AM81" s="16"/>
      <c r="AN81" s="16"/>
    </row>
    <row r="82" spans="1:40" x14ac:dyDescent="0.25">
      <c r="A82" s="2"/>
      <c r="B82" s="2"/>
      <c r="C82" s="2"/>
      <c r="D82" s="15"/>
      <c r="E82" s="2"/>
      <c r="F82" s="2"/>
      <c r="G82" s="2"/>
      <c r="H82" s="2"/>
      <c r="I82" s="2"/>
      <c r="J82" s="2"/>
      <c r="K82" s="2"/>
      <c r="L82" s="2"/>
      <c r="M82" s="16"/>
      <c r="N82" s="16"/>
      <c r="O82" s="16"/>
      <c r="P82" s="21"/>
      <c r="Q82" s="16"/>
      <c r="R82" s="2"/>
      <c r="S82" s="2"/>
      <c r="T82" s="2"/>
      <c r="U82" s="2"/>
      <c r="V82" s="2"/>
      <c r="W82" s="2"/>
      <c r="X82" s="2"/>
      <c r="Y82" s="16"/>
      <c r="Z82" s="20"/>
      <c r="AA82" s="16"/>
      <c r="AB82" s="21"/>
      <c r="AC82" s="16"/>
      <c r="AD82" s="16"/>
      <c r="AE82" s="16"/>
      <c r="AF82" s="16"/>
      <c r="AG82" s="16"/>
      <c r="AH82" s="16"/>
      <c r="AI82" s="16"/>
      <c r="AJ82" s="16"/>
      <c r="AK82" s="16"/>
      <c r="AL82" s="16"/>
      <c r="AM82" s="16"/>
      <c r="AN82" s="16"/>
    </row>
    <row r="83" spans="1:40" x14ac:dyDescent="0.25">
      <c r="A83" s="2"/>
      <c r="B83" s="2"/>
      <c r="C83" s="2"/>
      <c r="D83" s="15"/>
      <c r="E83" s="2"/>
      <c r="F83" s="2"/>
      <c r="G83" s="2"/>
      <c r="H83" s="2"/>
      <c r="I83" s="2"/>
      <c r="J83" s="2"/>
      <c r="K83" s="2"/>
      <c r="L83" s="2"/>
      <c r="M83" s="16"/>
      <c r="N83" s="16"/>
      <c r="O83" s="16"/>
      <c r="P83" s="21"/>
      <c r="Q83" s="16"/>
      <c r="R83" s="2"/>
      <c r="S83" s="2"/>
      <c r="T83" s="2"/>
      <c r="U83" s="2"/>
      <c r="V83" s="2"/>
      <c r="W83" s="2"/>
      <c r="X83" s="2"/>
      <c r="Y83" s="16"/>
      <c r="Z83" s="20"/>
      <c r="AA83" s="16"/>
      <c r="AB83" s="21"/>
      <c r="AC83" s="16"/>
      <c r="AD83" s="16"/>
      <c r="AE83" s="16"/>
      <c r="AF83" s="16"/>
      <c r="AG83" s="16"/>
      <c r="AH83" s="16"/>
      <c r="AI83" s="16"/>
      <c r="AJ83" s="16"/>
      <c r="AK83" s="16"/>
      <c r="AL83" s="16"/>
      <c r="AM83" s="16"/>
      <c r="AN83" s="16"/>
    </row>
    <row r="84" spans="1:40" x14ac:dyDescent="0.25">
      <c r="A84" s="2"/>
      <c r="B84" s="2"/>
      <c r="C84" s="2"/>
      <c r="D84" s="15"/>
      <c r="E84" s="2"/>
      <c r="F84" s="2"/>
      <c r="G84" s="2"/>
      <c r="H84" s="2"/>
      <c r="I84" s="2"/>
      <c r="J84" s="2"/>
      <c r="K84" s="2"/>
      <c r="L84" s="2"/>
      <c r="M84" s="16"/>
      <c r="N84" s="16"/>
      <c r="O84" s="16"/>
      <c r="P84" s="21"/>
      <c r="Q84" s="16"/>
      <c r="R84" s="2"/>
      <c r="S84" s="2"/>
      <c r="T84" s="2"/>
      <c r="U84" s="2"/>
      <c r="V84" s="2"/>
      <c r="W84" s="2"/>
      <c r="X84" s="2"/>
      <c r="Y84" s="16"/>
      <c r="Z84" s="20"/>
      <c r="AA84" s="16"/>
      <c r="AB84" s="21"/>
      <c r="AC84" s="16"/>
      <c r="AD84" s="16"/>
      <c r="AE84" s="16"/>
      <c r="AF84" s="16"/>
      <c r="AG84" s="16"/>
      <c r="AH84" s="16"/>
      <c r="AI84" s="16"/>
      <c r="AJ84" s="16"/>
      <c r="AK84" s="16"/>
      <c r="AL84" s="16"/>
      <c r="AM84" s="16"/>
      <c r="AN84" s="16"/>
    </row>
    <row r="85" spans="1:40" x14ac:dyDescent="0.25">
      <c r="A85" s="2"/>
      <c r="B85" s="2"/>
      <c r="C85" s="2"/>
      <c r="D85" s="15"/>
      <c r="E85" s="2"/>
      <c r="F85" s="2"/>
      <c r="G85" s="2"/>
      <c r="H85" s="2"/>
      <c r="I85" s="2"/>
      <c r="J85" s="2"/>
      <c r="K85" s="2"/>
      <c r="L85" s="2"/>
      <c r="M85" s="16"/>
      <c r="N85" s="16"/>
      <c r="O85" s="16"/>
      <c r="P85" s="21"/>
      <c r="Q85" s="16"/>
      <c r="R85" s="2"/>
      <c r="S85" s="2"/>
      <c r="T85" s="2"/>
      <c r="U85" s="2"/>
      <c r="V85" s="2"/>
      <c r="W85" s="2"/>
      <c r="X85" s="2"/>
      <c r="Y85" s="16"/>
      <c r="Z85" s="20"/>
      <c r="AA85" s="16"/>
      <c r="AB85" s="21"/>
      <c r="AC85" s="16"/>
      <c r="AD85" s="16"/>
      <c r="AE85" s="16"/>
      <c r="AF85" s="16"/>
      <c r="AG85" s="16"/>
      <c r="AH85" s="16"/>
      <c r="AI85" s="16"/>
      <c r="AJ85" s="16"/>
      <c r="AK85" s="16"/>
      <c r="AL85" s="16"/>
      <c r="AM85" s="16"/>
      <c r="AN85" s="16"/>
    </row>
    <row r="86" spans="1:40" x14ac:dyDescent="0.25">
      <c r="A86" s="2"/>
      <c r="B86" s="2"/>
      <c r="C86" s="2"/>
      <c r="D86" s="15"/>
      <c r="E86" s="2"/>
      <c r="F86" s="2"/>
      <c r="G86" s="2"/>
      <c r="H86" s="2"/>
      <c r="I86" s="2"/>
      <c r="J86" s="2"/>
      <c r="K86" s="2"/>
      <c r="L86" s="2"/>
      <c r="M86" s="16"/>
      <c r="N86" s="16"/>
      <c r="O86" s="16"/>
      <c r="P86" s="21"/>
      <c r="Q86" s="16"/>
      <c r="R86" s="2"/>
      <c r="S86" s="2"/>
      <c r="T86" s="2"/>
      <c r="U86" s="2"/>
      <c r="V86" s="2"/>
      <c r="W86" s="2"/>
      <c r="X86" s="2"/>
      <c r="Y86" s="16"/>
      <c r="Z86" s="20"/>
      <c r="AA86" s="16"/>
      <c r="AB86" s="21"/>
      <c r="AC86" s="16"/>
      <c r="AD86" s="16"/>
      <c r="AE86" s="16"/>
      <c r="AF86" s="16"/>
      <c r="AG86" s="16"/>
      <c r="AH86" s="16"/>
      <c r="AI86" s="16"/>
      <c r="AJ86" s="16"/>
      <c r="AK86" s="16"/>
      <c r="AL86" s="16"/>
      <c r="AM86" s="16"/>
      <c r="AN86" s="16"/>
    </row>
    <row r="87" spans="1:40" x14ac:dyDescent="0.25">
      <c r="A87" s="2"/>
      <c r="B87" s="2"/>
      <c r="C87" s="2"/>
      <c r="D87" s="15"/>
      <c r="E87" s="2"/>
      <c r="F87" s="2"/>
      <c r="G87" s="2"/>
      <c r="H87" s="2"/>
      <c r="I87" s="2"/>
      <c r="J87" s="2"/>
      <c r="K87" s="2"/>
      <c r="L87" s="2"/>
      <c r="M87" s="16"/>
      <c r="N87" s="16"/>
      <c r="O87" s="16"/>
      <c r="P87" s="21"/>
      <c r="Q87" s="16"/>
      <c r="R87" s="2"/>
      <c r="S87" s="2"/>
      <c r="T87" s="2"/>
      <c r="U87" s="2"/>
      <c r="V87" s="2"/>
      <c r="W87" s="2"/>
      <c r="X87" s="2"/>
      <c r="Y87" s="16"/>
      <c r="Z87" s="20"/>
      <c r="AA87" s="16"/>
      <c r="AB87" s="21"/>
      <c r="AC87" s="16"/>
      <c r="AD87" s="16"/>
      <c r="AE87" s="16"/>
      <c r="AF87" s="16"/>
      <c r="AG87" s="16"/>
      <c r="AH87" s="16"/>
      <c r="AI87" s="16"/>
      <c r="AJ87" s="16"/>
      <c r="AK87" s="16"/>
      <c r="AL87" s="16"/>
      <c r="AM87" s="16"/>
      <c r="AN87" s="16"/>
    </row>
    <row r="88" spans="1:40" x14ac:dyDescent="0.25">
      <c r="A88" s="2"/>
      <c r="B88" s="2"/>
      <c r="C88" s="2"/>
      <c r="D88" s="15"/>
      <c r="E88" s="2"/>
      <c r="F88" s="2"/>
      <c r="G88" s="2"/>
      <c r="H88" s="2"/>
      <c r="I88" s="2"/>
      <c r="J88" s="2"/>
      <c r="K88" s="2"/>
      <c r="L88" s="2"/>
      <c r="M88" s="16"/>
      <c r="N88" s="16"/>
      <c r="O88" s="16"/>
      <c r="P88" s="21"/>
      <c r="Q88" s="16"/>
      <c r="R88" s="2"/>
      <c r="S88" s="2"/>
      <c r="T88" s="2"/>
      <c r="U88" s="2"/>
      <c r="V88" s="2"/>
      <c r="W88" s="2"/>
      <c r="X88" s="2"/>
      <c r="Y88" s="16"/>
      <c r="Z88" s="20"/>
      <c r="AA88" s="16"/>
      <c r="AB88" s="21"/>
      <c r="AC88" s="16"/>
      <c r="AD88" s="16"/>
      <c r="AE88" s="16"/>
      <c r="AF88" s="16"/>
      <c r="AG88" s="16"/>
      <c r="AH88" s="16"/>
      <c r="AI88" s="16"/>
      <c r="AJ88" s="16"/>
      <c r="AK88" s="16"/>
      <c r="AL88" s="16"/>
      <c r="AM88" s="16"/>
      <c r="AN88" s="16"/>
    </row>
    <row r="89" spans="1:40" x14ac:dyDescent="0.25">
      <c r="A89" s="2"/>
      <c r="B89" s="2"/>
      <c r="C89" s="2"/>
      <c r="D89" s="15"/>
      <c r="E89" s="2"/>
      <c r="F89" s="2"/>
      <c r="G89" s="2"/>
      <c r="H89" s="2"/>
      <c r="I89" s="2"/>
      <c r="J89" s="2"/>
      <c r="K89" s="2"/>
      <c r="L89" s="2"/>
      <c r="M89" s="16"/>
      <c r="N89" s="16"/>
      <c r="O89" s="16"/>
      <c r="P89" s="21"/>
      <c r="Q89" s="16"/>
      <c r="R89" s="2"/>
      <c r="S89" s="2"/>
      <c r="T89" s="2"/>
      <c r="U89" s="2"/>
      <c r="V89" s="2"/>
      <c r="W89" s="2"/>
      <c r="X89" s="2"/>
      <c r="Y89" s="16"/>
      <c r="Z89" s="20"/>
      <c r="AA89" s="16"/>
      <c r="AB89" s="21"/>
      <c r="AC89" s="16"/>
      <c r="AD89" s="16"/>
      <c r="AE89" s="16"/>
      <c r="AF89" s="16"/>
      <c r="AG89" s="16"/>
      <c r="AH89" s="16"/>
      <c r="AI89" s="16"/>
      <c r="AJ89" s="16"/>
      <c r="AK89" s="16"/>
      <c r="AL89" s="16"/>
      <c r="AM89" s="16"/>
      <c r="AN89" s="16"/>
    </row>
    <row r="90" spans="1:40" x14ac:dyDescent="0.25">
      <c r="A90" s="2"/>
      <c r="B90" s="2"/>
      <c r="C90" s="2"/>
      <c r="D90" s="15"/>
      <c r="E90" s="2"/>
      <c r="F90" s="2"/>
      <c r="G90" s="2"/>
      <c r="H90" s="2"/>
      <c r="I90" s="2"/>
      <c r="J90" s="2"/>
      <c r="K90" s="2"/>
      <c r="L90" s="2"/>
      <c r="M90" s="16"/>
      <c r="N90" s="16"/>
      <c r="O90" s="16"/>
      <c r="P90" s="21"/>
      <c r="Q90" s="16"/>
      <c r="R90" s="2"/>
      <c r="S90" s="2"/>
      <c r="T90" s="2"/>
      <c r="U90" s="2"/>
      <c r="V90" s="2"/>
      <c r="W90" s="2"/>
      <c r="X90" s="2"/>
      <c r="Y90" s="16"/>
      <c r="Z90" s="20"/>
      <c r="AA90" s="16"/>
      <c r="AB90" s="21"/>
      <c r="AC90" s="16"/>
      <c r="AD90" s="16"/>
      <c r="AE90" s="16"/>
      <c r="AF90" s="16"/>
      <c r="AG90" s="16"/>
      <c r="AH90" s="16"/>
      <c r="AI90" s="16"/>
      <c r="AJ90" s="16"/>
      <c r="AK90" s="16"/>
      <c r="AL90" s="16"/>
      <c r="AM90" s="16"/>
      <c r="AN90" s="16"/>
    </row>
    <row r="91" spans="1:40" x14ac:dyDescent="0.25">
      <c r="A91" s="2"/>
      <c r="B91" s="2"/>
      <c r="C91" s="2"/>
      <c r="D91" s="15"/>
      <c r="E91" s="2"/>
      <c r="F91" s="2"/>
      <c r="G91" s="2"/>
      <c r="H91" s="2"/>
      <c r="I91" s="2"/>
      <c r="J91" s="2"/>
      <c r="K91" s="2"/>
      <c r="L91" s="2"/>
      <c r="M91" s="16"/>
      <c r="N91" s="16"/>
      <c r="O91" s="16"/>
      <c r="P91" s="21"/>
      <c r="Q91" s="16"/>
      <c r="R91" s="2"/>
      <c r="S91" s="2"/>
      <c r="T91" s="2"/>
      <c r="U91" s="2"/>
      <c r="V91" s="2"/>
      <c r="W91" s="2"/>
      <c r="X91" s="2"/>
      <c r="Y91" s="16"/>
      <c r="Z91" s="20"/>
      <c r="AA91" s="16"/>
      <c r="AB91" s="21"/>
      <c r="AC91" s="16"/>
      <c r="AD91" s="16"/>
      <c r="AE91" s="16"/>
      <c r="AF91" s="16"/>
      <c r="AG91" s="16"/>
      <c r="AH91" s="16"/>
      <c r="AI91" s="16"/>
      <c r="AJ91" s="16"/>
      <c r="AK91" s="16"/>
      <c r="AL91" s="16"/>
      <c r="AM91" s="16"/>
      <c r="AN91" s="16"/>
    </row>
    <row r="92" spans="1:40" x14ac:dyDescent="0.25">
      <c r="A92" s="2"/>
      <c r="B92" s="2"/>
      <c r="C92" s="2"/>
      <c r="D92" s="15"/>
      <c r="E92" s="2"/>
      <c r="F92" s="2"/>
      <c r="G92" s="2"/>
      <c r="H92" s="2"/>
      <c r="I92" s="2"/>
      <c r="J92" s="2"/>
      <c r="K92" s="2"/>
      <c r="L92" s="2"/>
      <c r="M92" s="16"/>
      <c r="N92" s="16"/>
      <c r="O92" s="16"/>
      <c r="P92" s="21"/>
      <c r="Q92" s="16"/>
      <c r="R92" s="2"/>
      <c r="S92" s="2"/>
      <c r="T92" s="2"/>
      <c r="U92" s="2"/>
      <c r="V92" s="2"/>
      <c r="W92" s="2"/>
      <c r="X92" s="2"/>
      <c r="Y92" s="16"/>
      <c r="Z92" s="20"/>
      <c r="AA92" s="16"/>
      <c r="AB92" s="21"/>
      <c r="AC92" s="16"/>
      <c r="AD92" s="16"/>
      <c r="AE92" s="16"/>
      <c r="AF92" s="16"/>
      <c r="AG92" s="16"/>
      <c r="AH92" s="16"/>
      <c r="AI92" s="16"/>
      <c r="AJ92" s="16"/>
      <c r="AK92" s="16"/>
      <c r="AL92" s="16"/>
      <c r="AM92" s="16"/>
      <c r="AN92" s="16"/>
    </row>
    <row r="93" spans="1:40" x14ac:dyDescent="0.25">
      <c r="A93" s="2"/>
      <c r="B93" s="2"/>
      <c r="C93" s="2"/>
      <c r="D93" s="15"/>
      <c r="E93" s="2"/>
      <c r="F93" s="2"/>
      <c r="G93" s="2"/>
      <c r="H93" s="2"/>
      <c r="I93" s="2"/>
      <c r="J93" s="2"/>
      <c r="K93" s="2"/>
      <c r="L93" s="2"/>
      <c r="M93" s="16"/>
      <c r="N93" s="16"/>
      <c r="O93" s="16"/>
      <c r="P93" s="21"/>
      <c r="Q93" s="16"/>
      <c r="R93" s="2"/>
      <c r="S93" s="2"/>
      <c r="T93" s="2"/>
      <c r="U93" s="2"/>
      <c r="V93" s="2"/>
      <c r="W93" s="2"/>
      <c r="X93" s="2"/>
      <c r="Y93" s="16"/>
      <c r="Z93" s="20"/>
      <c r="AA93" s="16"/>
      <c r="AB93" s="21"/>
      <c r="AC93" s="16"/>
      <c r="AD93" s="16"/>
      <c r="AE93" s="16"/>
      <c r="AF93" s="16"/>
      <c r="AG93" s="16"/>
      <c r="AH93" s="16"/>
      <c r="AI93" s="16"/>
      <c r="AJ93" s="16"/>
      <c r="AK93" s="16"/>
      <c r="AL93" s="16"/>
      <c r="AM93" s="16"/>
      <c r="AN93" s="16"/>
    </row>
    <row r="94" spans="1:40" x14ac:dyDescent="0.25">
      <c r="A94" s="2"/>
      <c r="B94" s="2"/>
      <c r="C94" s="2"/>
      <c r="D94" s="15"/>
      <c r="E94" s="2"/>
      <c r="F94" s="2"/>
      <c r="G94" s="2"/>
      <c r="H94" s="2"/>
      <c r="I94" s="2"/>
      <c r="J94" s="2"/>
      <c r="K94" s="2"/>
      <c r="L94" s="2"/>
      <c r="M94" s="16"/>
      <c r="N94" s="16"/>
      <c r="O94" s="16"/>
      <c r="P94" s="21"/>
      <c r="Q94" s="16"/>
      <c r="R94" s="2"/>
      <c r="S94" s="2"/>
      <c r="T94" s="2"/>
      <c r="U94" s="2"/>
      <c r="V94" s="2"/>
      <c r="W94" s="2"/>
      <c r="X94" s="2"/>
      <c r="Y94" s="16"/>
      <c r="Z94" s="20"/>
      <c r="AA94" s="16"/>
      <c r="AB94" s="21"/>
      <c r="AC94" s="16"/>
      <c r="AD94" s="16"/>
      <c r="AE94" s="16"/>
      <c r="AF94" s="16"/>
      <c r="AG94" s="16"/>
      <c r="AH94" s="16"/>
      <c r="AI94" s="16"/>
      <c r="AJ94" s="16"/>
      <c r="AK94" s="16"/>
      <c r="AL94" s="16"/>
      <c r="AM94" s="16"/>
      <c r="AN94" s="16"/>
    </row>
  </sheetData>
  <mergeCells count="5">
    <mergeCell ref="A2:L2"/>
    <mergeCell ref="M2:Q2"/>
    <mergeCell ref="R2:X2"/>
    <mergeCell ref="Y2:AN2"/>
    <mergeCell ref="A1:AN1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S17"/>
  <sheetViews>
    <sheetView topLeftCell="L4" workbookViewId="0">
      <selection activeCell="S17" sqref="A1:S17"/>
    </sheetView>
  </sheetViews>
  <sheetFormatPr defaultRowHeight="15" x14ac:dyDescent="0.25"/>
  <cols>
    <col min="1" max="1" width="18" customWidth="1"/>
    <col min="2" max="2" width="20" customWidth="1"/>
    <col min="4" max="4" width="13.85546875" customWidth="1"/>
    <col min="5" max="5" width="13.28515625" customWidth="1"/>
    <col min="6" max="6" width="35.28515625" customWidth="1"/>
    <col min="7" max="7" width="22" customWidth="1"/>
    <col min="9" max="9" width="10.85546875" customWidth="1"/>
    <col min="10" max="10" width="11.85546875" customWidth="1"/>
    <col min="11" max="11" width="14.28515625" customWidth="1"/>
    <col min="12" max="12" width="17.140625" customWidth="1"/>
    <col min="13" max="13" width="13" customWidth="1"/>
    <col min="14" max="14" width="12.5703125" customWidth="1"/>
    <col min="17" max="17" width="12" customWidth="1"/>
    <col min="18" max="18" width="36.42578125" customWidth="1"/>
    <col min="19" max="19" width="23" customWidth="1"/>
  </cols>
  <sheetData>
    <row r="1" spans="1:19" x14ac:dyDescent="0.25">
      <c r="A1" t="s">
        <v>77</v>
      </c>
      <c r="B1" t="s">
        <v>78</v>
      </c>
      <c r="C1" t="s">
        <v>79</v>
      </c>
      <c r="D1" t="s">
        <v>80</v>
      </c>
      <c r="E1" t="s">
        <v>81</v>
      </c>
      <c r="F1" t="s">
        <v>82</v>
      </c>
      <c r="G1" t="s">
        <v>83</v>
      </c>
      <c r="H1" t="s">
        <v>84</v>
      </c>
      <c r="I1" t="s">
        <v>85</v>
      </c>
      <c r="J1" t="s">
        <v>86</v>
      </c>
      <c r="K1" t="s">
        <v>87</v>
      </c>
      <c r="L1" t="s">
        <v>88</v>
      </c>
      <c r="M1" t="s">
        <v>89</v>
      </c>
      <c r="N1" t="s">
        <v>90</v>
      </c>
      <c r="O1" t="s">
        <v>91</v>
      </c>
      <c r="P1" t="s">
        <v>92</v>
      </c>
      <c r="Q1" t="s">
        <v>93</v>
      </c>
      <c r="R1" t="s">
        <v>94</v>
      </c>
      <c r="S1" t="s">
        <v>95</v>
      </c>
    </row>
    <row r="2" spans="1:19" x14ac:dyDescent="0.25">
      <c r="A2">
        <v>118903009</v>
      </c>
      <c r="B2" t="s">
        <v>73</v>
      </c>
      <c r="C2" t="s">
        <v>16</v>
      </c>
      <c r="E2">
        <v>20140616</v>
      </c>
      <c r="F2" t="s">
        <v>96</v>
      </c>
      <c r="G2" t="s">
        <v>97</v>
      </c>
      <c r="H2" t="s">
        <v>25</v>
      </c>
      <c r="I2">
        <v>1E-4</v>
      </c>
      <c r="J2">
        <v>62500</v>
      </c>
      <c r="K2">
        <v>1</v>
      </c>
      <c r="L2" t="s">
        <v>17</v>
      </c>
      <c r="M2">
        <v>0</v>
      </c>
      <c r="N2" t="s">
        <v>24</v>
      </c>
      <c r="O2">
        <v>0</v>
      </c>
      <c r="P2" t="s">
        <v>15</v>
      </c>
      <c r="Q2" t="s">
        <v>25</v>
      </c>
      <c r="R2" t="s">
        <v>98</v>
      </c>
      <c r="S2">
        <v>12087797</v>
      </c>
    </row>
    <row r="3" spans="1:19" x14ac:dyDescent="0.25">
      <c r="A3">
        <v>139782041</v>
      </c>
      <c r="B3" t="s">
        <v>61</v>
      </c>
      <c r="C3" t="s">
        <v>16</v>
      </c>
      <c r="E3">
        <v>20140606</v>
      </c>
      <c r="F3" t="s">
        <v>96</v>
      </c>
      <c r="G3" t="s">
        <v>97</v>
      </c>
      <c r="H3" t="s">
        <v>25</v>
      </c>
      <c r="I3">
        <v>1E-4</v>
      </c>
      <c r="J3">
        <v>62500</v>
      </c>
      <c r="K3">
        <v>1</v>
      </c>
      <c r="L3" t="s">
        <v>17</v>
      </c>
      <c r="M3" t="s">
        <v>59</v>
      </c>
      <c r="N3" t="s">
        <v>58</v>
      </c>
      <c r="O3">
        <v>1.605</v>
      </c>
      <c r="P3" t="s">
        <v>15</v>
      </c>
      <c r="Q3" t="s">
        <v>25</v>
      </c>
      <c r="R3" t="s">
        <v>98</v>
      </c>
      <c r="S3">
        <v>118903009</v>
      </c>
    </row>
    <row r="4" spans="1:19" x14ac:dyDescent="0.25">
      <c r="A4">
        <v>129090171</v>
      </c>
      <c r="B4" t="s">
        <v>62</v>
      </c>
      <c r="C4" t="s">
        <v>16</v>
      </c>
      <c r="E4">
        <v>20140606</v>
      </c>
      <c r="F4" t="s">
        <v>96</v>
      </c>
      <c r="G4" t="s">
        <v>97</v>
      </c>
      <c r="H4" t="s">
        <v>25</v>
      </c>
      <c r="I4">
        <v>1E-4</v>
      </c>
      <c r="J4">
        <v>62500</v>
      </c>
      <c r="K4">
        <v>1</v>
      </c>
      <c r="L4" t="s">
        <v>17</v>
      </c>
      <c r="M4" t="s">
        <v>59</v>
      </c>
      <c r="N4" t="s">
        <v>58</v>
      </c>
      <c r="O4">
        <v>1.61</v>
      </c>
      <c r="P4" t="s">
        <v>15</v>
      </c>
      <c r="Q4" t="s">
        <v>25</v>
      </c>
      <c r="R4" t="s">
        <v>98</v>
      </c>
      <c r="S4">
        <v>118903009</v>
      </c>
    </row>
    <row r="5" spans="1:19" x14ac:dyDescent="0.25">
      <c r="A5">
        <v>139783580</v>
      </c>
      <c r="B5" t="s">
        <v>63</v>
      </c>
      <c r="C5" t="s">
        <v>16</v>
      </c>
      <c r="E5">
        <v>20140606</v>
      </c>
      <c r="F5" t="s">
        <v>96</v>
      </c>
      <c r="G5" t="s">
        <v>97</v>
      </c>
      <c r="H5" t="s">
        <v>25</v>
      </c>
      <c r="I5">
        <v>1E-4</v>
      </c>
      <c r="J5">
        <v>62500</v>
      </c>
      <c r="K5">
        <v>1</v>
      </c>
      <c r="L5" t="s">
        <v>17</v>
      </c>
      <c r="M5" t="s">
        <v>59</v>
      </c>
      <c r="N5" t="s">
        <v>58</v>
      </c>
      <c r="O5">
        <v>1.615</v>
      </c>
      <c r="P5" t="s">
        <v>15</v>
      </c>
      <c r="Q5" t="s">
        <v>25</v>
      </c>
      <c r="R5" t="s">
        <v>98</v>
      </c>
      <c r="S5">
        <v>118903009</v>
      </c>
    </row>
    <row r="6" spans="1:19" x14ac:dyDescent="0.25">
      <c r="A6">
        <v>129090077</v>
      </c>
      <c r="B6" t="s">
        <v>64</v>
      </c>
      <c r="C6" t="s">
        <v>16</v>
      </c>
      <c r="E6">
        <v>20140606</v>
      </c>
      <c r="F6" t="s">
        <v>96</v>
      </c>
      <c r="G6" t="s">
        <v>97</v>
      </c>
      <c r="H6" t="s">
        <v>25</v>
      </c>
      <c r="I6">
        <v>1E-4</v>
      </c>
      <c r="J6">
        <v>62500</v>
      </c>
      <c r="K6">
        <v>1</v>
      </c>
      <c r="L6" t="s">
        <v>17</v>
      </c>
      <c r="M6" t="s">
        <v>59</v>
      </c>
      <c r="N6" t="s">
        <v>58</v>
      </c>
      <c r="O6">
        <v>1.64</v>
      </c>
      <c r="P6" t="s">
        <v>15</v>
      </c>
      <c r="Q6" t="s">
        <v>25</v>
      </c>
      <c r="R6" t="s">
        <v>98</v>
      </c>
      <c r="S6">
        <v>118903009</v>
      </c>
    </row>
    <row r="7" spans="1:19" x14ac:dyDescent="0.25">
      <c r="A7">
        <v>139782285</v>
      </c>
      <c r="B7" t="s">
        <v>65</v>
      </c>
      <c r="C7" t="s">
        <v>16</v>
      </c>
      <c r="E7">
        <v>20140606</v>
      </c>
      <c r="F7" t="s">
        <v>96</v>
      </c>
      <c r="G7" t="s">
        <v>97</v>
      </c>
      <c r="H7" t="s">
        <v>25</v>
      </c>
      <c r="I7">
        <v>1E-4</v>
      </c>
      <c r="J7">
        <v>62500</v>
      </c>
      <c r="K7">
        <v>1</v>
      </c>
      <c r="L7" t="s">
        <v>17</v>
      </c>
      <c r="M7" t="s">
        <v>60</v>
      </c>
      <c r="N7" t="s">
        <v>58</v>
      </c>
      <c r="O7">
        <v>1.645</v>
      </c>
      <c r="P7" t="s">
        <v>15</v>
      </c>
      <c r="Q7" t="s">
        <v>25</v>
      </c>
      <c r="R7" t="s">
        <v>98</v>
      </c>
      <c r="S7">
        <v>118903009</v>
      </c>
    </row>
    <row r="8" spans="1:19" x14ac:dyDescent="0.25">
      <c r="A8">
        <v>129090202</v>
      </c>
      <c r="B8" t="s">
        <v>66</v>
      </c>
      <c r="C8" t="s">
        <v>16</v>
      </c>
      <c r="E8">
        <v>20140606</v>
      </c>
      <c r="F8" t="s">
        <v>96</v>
      </c>
      <c r="G8" t="s">
        <v>97</v>
      </c>
      <c r="H8" t="s">
        <v>25</v>
      </c>
      <c r="I8">
        <v>1E-4</v>
      </c>
      <c r="J8">
        <v>62500</v>
      </c>
      <c r="K8">
        <v>1</v>
      </c>
      <c r="L8" t="s">
        <v>17</v>
      </c>
      <c r="M8" t="s">
        <v>60</v>
      </c>
      <c r="N8" t="s">
        <v>58</v>
      </c>
      <c r="O8">
        <v>1.65</v>
      </c>
      <c r="P8" t="s">
        <v>15</v>
      </c>
      <c r="Q8" t="s">
        <v>25</v>
      </c>
      <c r="R8" t="s">
        <v>98</v>
      </c>
      <c r="S8">
        <v>118903009</v>
      </c>
    </row>
    <row r="9" spans="1:19" x14ac:dyDescent="0.25">
      <c r="A9">
        <v>139782264</v>
      </c>
      <c r="B9" t="s">
        <v>67</v>
      </c>
      <c r="C9" t="s">
        <v>16</v>
      </c>
      <c r="E9">
        <v>20140606</v>
      </c>
      <c r="F9" t="s">
        <v>96</v>
      </c>
      <c r="G9" t="s">
        <v>97</v>
      </c>
      <c r="H9" t="s">
        <v>25</v>
      </c>
      <c r="I9">
        <v>1E-4</v>
      </c>
      <c r="J9">
        <v>62500</v>
      </c>
      <c r="K9">
        <v>1</v>
      </c>
      <c r="L9" t="s">
        <v>17</v>
      </c>
      <c r="M9" t="s">
        <v>59</v>
      </c>
      <c r="N9" t="s">
        <v>58</v>
      </c>
      <c r="O9">
        <v>1.645</v>
      </c>
      <c r="P9" t="s">
        <v>15</v>
      </c>
      <c r="Q9" t="s">
        <v>25</v>
      </c>
      <c r="R9" t="s">
        <v>98</v>
      </c>
      <c r="S9">
        <v>118903009</v>
      </c>
    </row>
    <row r="10" spans="1:19" x14ac:dyDescent="0.25">
      <c r="A10">
        <v>129090285</v>
      </c>
      <c r="B10" t="s">
        <v>68</v>
      </c>
      <c r="C10" t="s">
        <v>16</v>
      </c>
      <c r="E10">
        <v>20140606</v>
      </c>
      <c r="F10" t="s">
        <v>96</v>
      </c>
      <c r="G10" t="s">
        <v>97</v>
      </c>
      <c r="H10" t="s">
        <v>25</v>
      </c>
      <c r="I10">
        <v>1E-4</v>
      </c>
      <c r="J10">
        <v>62500</v>
      </c>
      <c r="K10">
        <v>1</v>
      </c>
      <c r="L10" t="s">
        <v>17</v>
      </c>
      <c r="M10" t="s">
        <v>59</v>
      </c>
      <c r="N10" t="s">
        <v>58</v>
      </c>
      <c r="O10">
        <v>1.65</v>
      </c>
      <c r="P10" t="s">
        <v>15</v>
      </c>
      <c r="Q10" t="s">
        <v>25</v>
      </c>
      <c r="R10" t="s">
        <v>98</v>
      </c>
      <c r="S10">
        <v>118903009</v>
      </c>
    </row>
    <row r="11" spans="1:19" x14ac:dyDescent="0.25">
      <c r="A11">
        <v>139781555</v>
      </c>
      <c r="B11" t="s">
        <v>69</v>
      </c>
      <c r="C11" t="s">
        <v>16</v>
      </c>
      <c r="E11">
        <v>20140606</v>
      </c>
      <c r="F11" t="s">
        <v>96</v>
      </c>
      <c r="G11" t="s">
        <v>97</v>
      </c>
      <c r="H11" t="s">
        <v>25</v>
      </c>
      <c r="I11">
        <v>1E-4</v>
      </c>
      <c r="J11">
        <v>62500</v>
      </c>
      <c r="K11">
        <v>1</v>
      </c>
      <c r="L11" t="s">
        <v>17</v>
      </c>
      <c r="M11" t="s">
        <v>60</v>
      </c>
      <c r="N11" t="s">
        <v>58</v>
      </c>
      <c r="O11">
        <v>1.655</v>
      </c>
      <c r="P11" t="s">
        <v>15</v>
      </c>
      <c r="Q11" t="s">
        <v>25</v>
      </c>
      <c r="R11" t="s">
        <v>98</v>
      </c>
      <c r="S11">
        <v>118903009</v>
      </c>
    </row>
    <row r="12" spans="1:19" x14ac:dyDescent="0.25">
      <c r="A12">
        <v>129090190</v>
      </c>
      <c r="B12" t="s">
        <v>70</v>
      </c>
      <c r="C12" t="s">
        <v>16</v>
      </c>
      <c r="E12">
        <v>20140606</v>
      </c>
      <c r="F12" t="s">
        <v>96</v>
      </c>
      <c r="G12" t="s">
        <v>97</v>
      </c>
      <c r="H12" t="s">
        <v>25</v>
      </c>
      <c r="I12">
        <v>1E-4</v>
      </c>
      <c r="J12">
        <v>62500</v>
      </c>
      <c r="K12">
        <v>1</v>
      </c>
      <c r="L12" t="s">
        <v>17</v>
      </c>
      <c r="M12" t="s">
        <v>60</v>
      </c>
      <c r="N12" t="s">
        <v>58</v>
      </c>
      <c r="O12">
        <v>1.66</v>
      </c>
      <c r="P12" t="s">
        <v>15</v>
      </c>
      <c r="Q12" t="s">
        <v>25</v>
      </c>
      <c r="R12" t="s">
        <v>98</v>
      </c>
      <c r="S12">
        <v>118903009</v>
      </c>
    </row>
    <row r="13" spans="1:19" x14ac:dyDescent="0.25">
      <c r="A13">
        <v>129090140</v>
      </c>
      <c r="B13" t="s">
        <v>71</v>
      </c>
      <c r="C13" t="s">
        <v>16</v>
      </c>
      <c r="E13">
        <v>20140606</v>
      </c>
      <c r="F13" t="s">
        <v>96</v>
      </c>
      <c r="G13" t="s">
        <v>97</v>
      </c>
      <c r="H13" t="s">
        <v>25</v>
      </c>
      <c r="I13">
        <v>1E-4</v>
      </c>
      <c r="J13">
        <v>62500</v>
      </c>
      <c r="K13">
        <v>1</v>
      </c>
      <c r="L13" t="s">
        <v>17</v>
      </c>
      <c r="M13" t="s">
        <v>59</v>
      </c>
      <c r="N13" t="s">
        <v>58</v>
      </c>
      <c r="O13">
        <v>1.66</v>
      </c>
      <c r="P13" t="s">
        <v>15</v>
      </c>
      <c r="Q13" t="s">
        <v>25</v>
      </c>
      <c r="R13" t="s">
        <v>98</v>
      </c>
      <c r="S13">
        <v>118903009</v>
      </c>
    </row>
    <row r="14" spans="1:19" x14ac:dyDescent="0.25">
      <c r="A14">
        <v>129090084</v>
      </c>
      <c r="B14" t="s">
        <v>72</v>
      </c>
      <c r="C14" t="s">
        <v>16</v>
      </c>
      <c r="E14">
        <v>20140606</v>
      </c>
      <c r="F14" t="s">
        <v>96</v>
      </c>
      <c r="G14" t="s">
        <v>97</v>
      </c>
      <c r="H14" t="s">
        <v>25</v>
      </c>
      <c r="I14">
        <v>1E-4</v>
      </c>
      <c r="J14">
        <v>62500</v>
      </c>
      <c r="K14">
        <v>1</v>
      </c>
      <c r="L14" t="s">
        <v>17</v>
      </c>
      <c r="M14" t="s">
        <v>60</v>
      </c>
      <c r="N14" t="s">
        <v>58</v>
      </c>
      <c r="O14">
        <v>1.67</v>
      </c>
      <c r="P14" t="s">
        <v>15</v>
      </c>
      <c r="Q14" t="s">
        <v>25</v>
      </c>
      <c r="R14" t="s">
        <v>98</v>
      </c>
      <c r="S14">
        <v>118903009</v>
      </c>
    </row>
    <row r="15" spans="1:19" x14ac:dyDescent="0.25">
      <c r="A15">
        <v>139782641</v>
      </c>
      <c r="B15" t="s">
        <v>74</v>
      </c>
      <c r="C15" t="s">
        <v>16</v>
      </c>
      <c r="E15">
        <v>20140606</v>
      </c>
      <c r="F15" t="s">
        <v>96</v>
      </c>
      <c r="G15" t="s">
        <v>97</v>
      </c>
      <c r="H15" t="s">
        <v>25</v>
      </c>
      <c r="I15">
        <v>1E-4</v>
      </c>
      <c r="J15">
        <v>62500</v>
      </c>
      <c r="K15">
        <v>1</v>
      </c>
      <c r="L15" t="s">
        <v>17</v>
      </c>
      <c r="M15" t="s">
        <v>60</v>
      </c>
      <c r="N15" t="s">
        <v>58</v>
      </c>
      <c r="O15">
        <v>1.675</v>
      </c>
      <c r="P15" t="s">
        <v>15</v>
      </c>
      <c r="Q15" t="s">
        <v>25</v>
      </c>
      <c r="R15" t="s">
        <v>98</v>
      </c>
      <c r="S15">
        <v>118903009</v>
      </c>
    </row>
    <row r="16" spans="1:19" x14ac:dyDescent="0.25">
      <c r="A16">
        <v>129090240</v>
      </c>
      <c r="B16" t="s">
        <v>75</v>
      </c>
      <c r="C16" t="s">
        <v>16</v>
      </c>
      <c r="E16">
        <v>20140606</v>
      </c>
      <c r="F16" t="s">
        <v>96</v>
      </c>
      <c r="G16" t="s">
        <v>97</v>
      </c>
      <c r="H16" t="s">
        <v>25</v>
      </c>
      <c r="I16">
        <v>1E-4</v>
      </c>
      <c r="J16">
        <v>62500</v>
      </c>
      <c r="K16">
        <v>1</v>
      </c>
      <c r="L16" t="s">
        <v>17</v>
      </c>
      <c r="M16" t="s">
        <v>60</v>
      </c>
      <c r="N16" t="s">
        <v>58</v>
      </c>
      <c r="O16">
        <v>1.68</v>
      </c>
      <c r="P16" t="s">
        <v>15</v>
      </c>
      <c r="Q16" t="s">
        <v>25</v>
      </c>
      <c r="R16" t="s">
        <v>98</v>
      </c>
      <c r="S16">
        <v>118903009</v>
      </c>
    </row>
    <row r="17" spans="1:19" x14ac:dyDescent="0.25">
      <c r="A17">
        <v>139781633</v>
      </c>
      <c r="B17" t="s">
        <v>76</v>
      </c>
      <c r="C17" t="s">
        <v>16</v>
      </c>
      <c r="E17">
        <v>20140606</v>
      </c>
      <c r="F17" t="s">
        <v>96</v>
      </c>
      <c r="G17" t="s">
        <v>97</v>
      </c>
      <c r="H17" t="s">
        <v>25</v>
      </c>
      <c r="I17">
        <v>1E-4</v>
      </c>
      <c r="J17">
        <v>62500</v>
      </c>
      <c r="K17">
        <v>1</v>
      </c>
      <c r="L17" t="s">
        <v>17</v>
      </c>
      <c r="M17" t="s">
        <v>59</v>
      </c>
      <c r="N17" t="s">
        <v>58</v>
      </c>
      <c r="O17">
        <v>1.675</v>
      </c>
      <c r="P17" t="s">
        <v>15</v>
      </c>
      <c r="Q17" t="s">
        <v>25</v>
      </c>
      <c r="R17" t="s">
        <v>98</v>
      </c>
      <c r="S17">
        <v>118903009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Sheet1</vt:lpstr>
      <vt:lpstr>Watchlist</vt:lpstr>
      <vt:lpstr>Config</vt:lpstr>
      <vt:lpstr>Log</vt:lpstr>
      <vt:lpstr>OrderHistory</vt:lpstr>
      <vt:lpstr>Contracts</vt:lpstr>
    </vt:vector>
  </TitlesOfParts>
  <Company>GETCO LLC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rsmith</dc:creator>
  <cp:lastModifiedBy>AFT</cp:lastModifiedBy>
  <dcterms:created xsi:type="dcterms:W3CDTF">2014-01-13T23:28:27Z</dcterms:created>
  <dcterms:modified xsi:type="dcterms:W3CDTF">2015-02-11T12:02:11Z</dcterms:modified>
</cp:coreProperties>
</file>