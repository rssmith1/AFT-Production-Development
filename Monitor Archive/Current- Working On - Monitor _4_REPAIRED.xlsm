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37" i="13"/>
  <c r="AE33" i="13"/>
  <c r="AE86" i="13"/>
  <c r="AE56" i="13"/>
  <c r="AE79" i="13"/>
  <c r="AE43" i="13"/>
  <c r="AE22" i="13"/>
  <c r="AE57" i="13"/>
  <c r="AA61" i="15"/>
  <c r="AE16" i="13"/>
  <c r="AE19" i="13"/>
  <c r="AA53" i="15"/>
  <c r="AE102" i="13"/>
  <c r="AE87" i="13"/>
  <c r="AE11" i="13"/>
  <c r="AE36" i="13"/>
  <c r="AE10" i="13"/>
  <c r="AE39" i="13"/>
  <c r="AE106" i="13"/>
  <c r="F43" i="15"/>
  <c r="AE107" i="13"/>
  <c r="AE77" i="13"/>
  <c r="AE17" i="13"/>
  <c r="AE80" i="13"/>
  <c r="AE32" i="13"/>
  <c r="AE35" i="13"/>
  <c r="AE46" i="13"/>
  <c r="AE63" i="13"/>
  <c r="AE9" i="13"/>
  <c r="AE82" i="13"/>
  <c r="H43" i="15"/>
  <c r="AA56" i="15"/>
  <c r="AA62" i="15"/>
  <c r="AE108" i="13"/>
  <c r="AE66" i="13"/>
  <c r="AE54" i="13"/>
  <c r="AA63" i="15"/>
  <c r="AA65" i="15"/>
  <c r="AE83" i="13"/>
  <c r="AE122" i="13"/>
  <c r="AE28" i="13"/>
  <c r="AE21" i="13"/>
  <c r="AA49" i="15"/>
  <c r="AE61" i="13"/>
  <c r="AE41" i="13"/>
  <c r="AE68" i="13"/>
  <c r="AE24" i="13"/>
  <c r="AE52" i="13"/>
  <c r="AE76" i="13"/>
  <c r="AA51" i="15"/>
  <c r="AE110" i="13"/>
  <c r="AE23" i="13"/>
  <c r="AE121" i="13"/>
  <c r="AE62" i="13"/>
  <c r="AE115" i="13"/>
  <c r="AE120" i="13"/>
  <c r="AE104" i="13"/>
  <c r="AE113" i="13"/>
  <c r="AE92" i="13"/>
  <c r="D43" i="15"/>
  <c r="AA54" i="15"/>
  <c r="AE118" i="13"/>
  <c r="AE44" i="13"/>
  <c r="AA58" i="15"/>
  <c r="AE65" i="13"/>
  <c r="AE88" i="13"/>
  <c r="AE98" i="13"/>
  <c r="AE119" i="13"/>
  <c r="AE99" i="13"/>
  <c r="AE64" i="13"/>
  <c r="AE112" i="13"/>
  <c r="AA52" i="15"/>
  <c r="AE101" i="13"/>
  <c r="AE51" i="13"/>
  <c r="AA59" i="15"/>
  <c r="AE29" i="13"/>
  <c r="AE71" i="13"/>
  <c r="AE18" i="13"/>
  <c r="AE93" i="13"/>
  <c r="AE58" i="13"/>
  <c r="AE6" i="13"/>
  <c r="AE90" i="13"/>
  <c r="AA55" i="15"/>
  <c r="AE125" i="13"/>
  <c r="B43" i="15"/>
  <c r="AE25" i="13"/>
  <c r="AE55" i="13"/>
  <c r="AE15" i="13"/>
  <c r="AE95" i="13"/>
  <c r="AE91" i="13"/>
  <c r="AE73" i="13"/>
  <c r="AE45" i="13"/>
  <c r="AE78" i="13"/>
  <c r="AE42" i="13"/>
  <c r="AE81" i="13"/>
  <c r="AE103" i="13"/>
  <c r="AA64" i="15"/>
  <c r="AA57" i="15"/>
  <c r="AE31" i="13"/>
  <c r="AE67" i="13"/>
  <c r="AE38" i="13"/>
  <c r="AE48" i="13"/>
  <c r="AE69" i="13"/>
  <c r="AE74" i="13"/>
  <c r="AE12" i="13"/>
  <c r="AA50" i="15"/>
  <c r="AE96" i="13"/>
  <c r="AE89" i="13"/>
  <c r="AE114" i="13"/>
  <c r="AE49" i="13"/>
  <c r="AE72" i="13"/>
  <c r="AE124" i="13"/>
  <c r="AE30" i="13"/>
  <c r="AE40" i="13"/>
  <c r="AE105" i="13"/>
  <c r="AE26" i="13"/>
  <c r="AE59" i="13"/>
  <c r="AA48" i="15"/>
  <c r="AE75" i="13"/>
  <c r="AE53" i="13"/>
  <c r="AE111" i="13"/>
  <c r="AE116" i="13"/>
  <c r="AE13" i="13"/>
  <c r="AE8" i="13"/>
  <c r="AE20" i="13"/>
  <c r="AE7" i="13"/>
  <c r="AE70" i="13"/>
  <c r="AE50" i="13"/>
  <c r="AA67" i="15"/>
  <c r="AA68" i="15"/>
  <c r="AA60" i="15"/>
  <c r="AE97" i="13"/>
  <c r="AE94" i="13"/>
  <c r="AA66" i="15"/>
  <c r="AE84" i="13"/>
  <c r="AE117" i="13"/>
  <c r="AE85" i="13"/>
  <c r="AE123" i="13"/>
  <c r="AE60" i="13"/>
  <c r="AE34" i="13"/>
  <c r="AE27" i="13"/>
  <c r="AE100" i="13"/>
  <c r="AE47" i="13"/>
  <c r="AE14" i="13"/>
  <c r="AE109" i="13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3" i="15"/>
  <c r="Z54" i="15"/>
  <c r="Z68" i="15"/>
  <c r="Z56" i="15"/>
  <c r="Z50" i="15"/>
  <c r="Z65" i="15"/>
  <c r="Z62" i="15"/>
  <c r="Z60" i="15"/>
  <c r="Z49" i="15"/>
  <c r="Z51" i="15"/>
  <c r="Z53" i="15"/>
  <c r="Z66" i="15"/>
  <c r="Z52" i="15"/>
  <c r="Z55" i="15"/>
  <c r="Z48" i="15"/>
  <c r="Z58" i="15"/>
  <c r="Z67" i="15"/>
  <c r="Z59" i="15"/>
  <c r="Z64" i="15"/>
  <c r="Z61" i="15"/>
  <c r="Z57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R19" i="15"/>
  <c r="S19" i="15"/>
  <c r="R20" i="15" l="1"/>
  <c r="S22" i="15" s="1"/>
  <c r="S20" i="15"/>
  <c r="S23" i="15" s="1"/>
  <c r="R23" i="15"/>
  <c r="R22" i="15"/>
</calcChain>
</file>

<file path=xl/sharedStrings.xml><?xml version="1.0" encoding="utf-8"?>
<sst xmlns="http://schemas.openxmlformats.org/spreadsheetml/2006/main" count="1201" uniqueCount="235">
  <si>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</si>
  <si>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</si>
  <si>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</si>
  <si>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</si>
  <si>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</si>
  <si>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</si>
  <si>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</si>
  <si>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</si>
  <si>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</si>
  <si>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</si>
  <si>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</si>
  <si>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</si>
  <si>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</si>
  <si>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</si>
  <si>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</si>
  <si>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</si>
  <si>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</si>
  <si>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</si>
  <si>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</si>
  <si>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</si>
  <si>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</si>
  <si>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</si>
  <si>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</si>
  <si>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</si>
  <si>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</si>
  <si>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</si>
  <si>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</si>
  <si>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</si>
  <si>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</si>
  <si>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</si>
  <si>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</si>
  <si>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</si>
  <si>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</si>
  <si>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</si>
  <si>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</si>
  <si>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</si>
  <si>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</si>
  <si>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</si>
  <si>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</si>
  <si>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</si>
  <si>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</si>
  <si>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</si>
  <si>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</si>
  <si>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</si>
  <si>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</si>
  <si>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</si>
  <si>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</si>
  <si>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</si>
  <si>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</si>
  <si>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</si>
  <si>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</si>
  <si>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</si>
  <si>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</si>
  <si>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</si>
  <si>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</si>
  <si>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</si>
  <si>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</si>
  <si>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</si>
  <si>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</si>
  <si>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</si>
  <si>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</si>
  <si>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</si>
  <si>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</si>
  <si>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</si>
  <si>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</si>
  <si>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</si>
  <si>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</si>
  <si>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</si>
  <si>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</si>
  <si>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</si>
  <si>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</si>
  <si>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</si>
  <si>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</si>
  <si>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</si>
  <si>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</si>
  <si>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</si>
  <si>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</si>
  <si>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</si>
  <si>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</si>
  <si>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</si>
  <si>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</si>
  <si>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</si>
  <si>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</si>
  <si>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</si>
  <si>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</si>
  <si>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</si>
  <si>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</si>
  <si>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</si>
  <si>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</si>
  <si>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</si>
  <si>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</si>
  <si>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</si>
  <si>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</si>
  <si>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</si>
  <si>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</si>
  <si>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</si>
  <si>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</si>
  <si>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</si>
  <si>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</si>
  <si>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</si>
  <si>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</si>
  <si>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</si>
  <si>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</si>
  <si>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</si>
  <si>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</si>
  <si>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</si>
  <si>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</si>
  <si>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</si>
  <si>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</si>
  <si>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</si>
  <si>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</si>
  <si>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</si>
  <si>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</si>
  <si>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</si>
  <si>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</si>
  <si>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</si>
  <si>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</si>
  <si>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</si>
  <si>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</si>
  <si>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</si>
  <si>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</si>
  <si>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</si>
  <si>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</si>
  <si>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</si>
  <si>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</si>
  <si>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</si>
  <si>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</si>
  <si>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</si>
  <si>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</si>
  <si>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</si>
  <si>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</si>
  <si>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</si>
  <si>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</si>
  <si>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</si>
  <si>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</si>
  <si>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</si>
  <si>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</si>
  <si>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</si>
  <si>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</si>
  <si>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</si>
  <si>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</si>
  <si>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</si>
  <si>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</si>
  <si>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</si>
  <si>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</si>
  <si>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</si>
  <si>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</si>
  <si>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</si>
  <si>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</si>
  <si>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</si>
  <si>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</si>
  <si>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</si>
  <si>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</si>
  <si>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</si>
  <si>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</si>
  <si>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</si>
  <si>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</si>
  <si>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</si>
  <si>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</si>
  <si>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</si>
  <si>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</si>
  <si>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</si>
  <si>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</si>
  <si>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</si>
  <si>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</si>
  <si>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</si>
  <si>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</si>
  <si>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</si>
  <si>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</si>
  <si>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</si>
  <si>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</si>
  <si>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</si>
  <si>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</si>
  <si>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</si>
  <si>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</si>
  <si>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</si>
  <si>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</si>
  <si>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</si>
  <si>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</si>
  <si>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</si>
  <si>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</si>
  <si>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</si>
  <si>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</si>
  <si>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</si>
  <si>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</si>
  <si>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</si>
  <si>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</si>
  <si>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</si>
  <si>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</si>
  <si>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</si>
  <si>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</si>
  <si>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</si>
  <si>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</si>
  <si>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</si>
  <si>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</si>
  <si>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</si>
  <si>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</si>
  <si>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</si>
  <si>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</si>
  <si>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</si>
  <si>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</si>
  <si>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</si>
  <si>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</si>
  <si>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</si>
  <si>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</si>
  <si>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</si>
  <si>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</si>
  <si>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</si>
  <si>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</si>
  <si>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</si>
  <si>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</si>
  <si>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</si>
  <si>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</si>
  <si>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Rebalance on Startup</t>
  </si>
  <si>
    <t>Y</t>
  </si>
  <si>
    <t>AutoHedger</t>
  </si>
  <si>
    <t>Distance to Strike</t>
  </si>
  <si>
    <t>Distannce To Trigger</t>
  </si>
  <si>
    <t>Distance to Trigger</t>
  </si>
  <si>
    <t>Not Ready</t>
  </si>
  <si>
    <t>Subscribed</t>
  </si>
  <si>
    <t>TWS Control NOT connected</t>
  </si>
  <si>
    <t>2015-2-9 17:8:7.244: Main - Initialize - initializing...</t>
  </si>
  <si>
    <t>2015-2-9 17:8:7.250: in initialize sheet</t>
  </si>
  <si>
    <t>2015-2-9 17:8:7.252: in initialize sheet 2</t>
  </si>
  <si>
    <t xml:space="preserve">2015-2-9 17:8:7.255: in initialize sheet 3 </t>
  </si>
  <si>
    <t>2015-2-9 17:8:7.257: in initialize sheet 4</t>
  </si>
  <si>
    <t>2015-2-9 17:8:7.259: Initialize Sheet - an error occurred - 438 Object doesn't support this property or method</t>
  </si>
  <si>
    <t>2015-2-9 17:8:7.260: in initialize sheet 5</t>
  </si>
  <si>
    <t>2015-2-9 17:8:7.261: in initialize sheet 6</t>
  </si>
  <si>
    <t>2015-2-9 17:8:7.262: in initialize sheet 7</t>
  </si>
  <si>
    <t>2015-2-9 17:8:7.263: Initialize Sheet - an error occurred - -2147024809 The item with the specified name wasn't found.</t>
  </si>
  <si>
    <t>2015-2-9 17:8:7.265: in initialize sheet 8</t>
  </si>
  <si>
    <t>2015-2-9 17:8:7.266: Initialize Sheet - an error occurred - -2147024809 The item with the specified name wasn't found.</t>
  </si>
  <si>
    <t>2015-2-9 17:8:7.267: in initialize sheet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</si>
</sst>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2" fillId="2" borderId="2" xfId="0" applyFont="1" applyFill="1" applyBorder="1" applyAlignment="1">
      <alignment wrapText="1"/>
    </xf>
    <xf numFmtId="1" fontId="17" fillId="10" borderId="0" xfId="0" applyNumberFormat="1" applyFont="1" applyFill="1" applyBorder="1" applyAlignment="1">
      <alignment horizontal="right"/>
    </xf>
    <xf numFmtId="0" fontId="19" fillId="10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righ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13" fillId="6" borderId="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809625</xdr:colOff>
      <xdr:row>0</xdr:row>
      <xdr:rowOff>0</xdr:rowOff>
    </xdr:from>
    <xdr:to>
      <xdr:col>2</xdr:col>
      <xdr:colOff>57150</xdr:colOff>
      <xdr:row>1</xdr:row>
      <xdr:rowOff>114300</xdr:rowOff>
    </xdr:to>
    <xdr:sp macro="" textlink="">
      <xdr:nvSpPr>
        <xdr:cNvPr id="14338" name="cmbSubscribeAccountInfo" hidden="1">
          <a:extLst>
            <a:ext uri="{63B3BB69-23CF-44E3-9099-C40C66FF867C}">
              <a14:compatExt xmlns:a14="http://schemas.microsoft.com/office/drawing/2010/main" spid="_x0000_s143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304800</xdr:colOff>
      <xdr:row>0</xdr:row>
      <xdr:rowOff>0</xdr:rowOff>
    </xdr:from>
    <xdr:to>
      <xdr:col>3</xdr:col>
      <xdr:colOff>381000</xdr:colOff>
      <xdr:row>1</xdr:row>
      <xdr:rowOff>114300</xdr:rowOff>
    </xdr:to>
    <xdr:sp macro="" textlink="">
      <xdr:nvSpPr>
        <xdr:cNvPr id="14339" name="cmbSubscribePortfolio" hidden="1">
          <a:extLst>
            <a:ext uri="{63B3BB69-23CF-44E3-9099-C40C66FF867C}">
              <a14:compatExt xmlns:a14="http://schemas.microsoft.com/office/drawing/2010/main" spid="_x0000_s143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9525</xdr:colOff>
      <xdr:row>2</xdr:row>
      <xdr:rowOff>0</xdr:rowOff>
    </xdr:from>
    <xdr:to>
      <xdr:col>0</xdr:col>
      <xdr:colOff>1190625</xdr:colOff>
      <xdr:row>3</xdr:row>
      <xdr:rowOff>85725</xdr:rowOff>
    </xdr:to>
    <xdr:sp macro="" textlink="">
      <xdr:nvSpPr>
        <xdr:cNvPr id="14340" name="CommandButton1" hidden="1">
          <a:extLst>
            <a:ext uri="{63B3BB69-23CF-44E3-9099-C40C66FF867C}">
              <a14:compatExt xmlns:a14="http://schemas.microsoft.com/office/drawing/2010/main" spid="_x0000_s143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266700</xdr:colOff>
      <xdr:row>0</xdr:row>
      <xdr:rowOff>9525</xdr:rowOff>
    </xdr:from>
    <xdr:to>
      <xdr:col>4</xdr:col>
      <xdr:colOff>200025</xdr:colOff>
      <xdr:row>1</xdr:row>
      <xdr:rowOff>114300</xdr:rowOff>
    </xdr:to>
    <xdr:sp macro="" textlink="">
      <xdr:nvSpPr>
        <xdr:cNvPr id="14343" name="cmbEnableAutoHedge" hidden="1">
          <a:extLst>
            <a:ext uri="{63B3BB69-23CF-44E3-9099-C40C66FF867C}">
              <a14:compatExt xmlns:a14="http://schemas.microsoft.com/office/drawing/2010/main" spid="_x0000_s1434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20</xdr:col>
      <xdr:colOff>828675</xdr:colOff>
      <xdr:row>0</xdr:row>
      <xdr:rowOff>19050</xdr:rowOff>
    </xdr:from>
    <xdr:to>
      <xdr:col>21</xdr:col>
      <xdr:colOff>1200150</xdr:colOff>
      <xdr:row>1</xdr:row>
      <xdr:rowOff>152400</xdr:rowOff>
    </xdr:to>
    <xdr:sp macro="" textlink="">
      <xdr:nvSpPr>
        <xdr:cNvPr id="14344" name="cmbDumpContracts" hidden="1">
          <a:extLst>
            <a:ext uri="{63B3BB69-23CF-44E3-9099-C40C66FF867C}">
              <a14:compatExt xmlns:a14="http://schemas.microsoft.com/office/drawing/2010/main" spid="_x0000_s1434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523875</xdr:colOff>
      <xdr:row>10</xdr:row>
      <xdr:rowOff>19050</xdr:rowOff>
    </xdr:from>
    <xdr:to>
      <xdr:col>3</xdr:col>
      <xdr:colOff>257175</xdr:colOff>
      <xdr:row>11</xdr:row>
      <xdr:rowOff>47625</xdr:rowOff>
    </xdr:to>
    <xdr:sp macro="" textlink="">
      <xdr:nvSpPr>
        <xdr:cNvPr id="14345" name="cbPreserveContract" hidden="1">
          <a:extLst>
            <a:ext uri="{63B3BB69-23CF-44E3-9099-C40C66FF867C}">
              <a14:compatExt xmlns:a14="http://schemas.microsoft.com/office/drawing/2010/main" spid="_x0000_s1434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219075</xdr:colOff>
      <xdr:row>0</xdr:row>
      <xdr:rowOff>19050</xdr:rowOff>
    </xdr:from>
    <xdr:to>
      <xdr:col>5</xdr:col>
      <xdr:colOff>923925</xdr:colOff>
      <xdr:row>1</xdr:row>
      <xdr:rowOff>114300</xdr:rowOff>
    </xdr:to>
    <xdr:sp macro="" textlink="">
      <xdr:nvSpPr>
        <xdr:cNvPr id="14346" name="cmbEnableAutoStop" hidden="1">
          <a:extLst>
            <a:ext uri="{63B3BB69-23CF-44E3-9099-C40C66FF867C}">
              <a14:compatExt xmlns:a14="http://schemas.microsoft.com/office/drawing/2010/main" spid="_x0000_s1434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809625</xdr:colOff>
          <xdr:row>1</xdr:row>
          <xdr:rowOff>133350</xdr:rowOff>
        </xdr:to>
        <xdr:sp macro="" textlink="">
          <xdr:nvSpPr>
            <xdr:cNvPr id="14347" name="cmbConnect2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304800</xdr:colOff>
      <xdr:row>0</xdr:row>
      <xdr:rowOff>0</xdr:rowOff>
    </xdr:from>
    <xdr:to>
      <xdr:col>3</xdr:col>
      <xdr:colOff>381000</xdr:colOff>
      <xdr:row>1</xdr:row>
      <xdr:rowOff>114300</xdr:rowOff>
    </xdr:to>
    <xdr:pic>
      <xdr:nvPicPr>
        <xdr:cNvPr id="3" name="cmbSubscribePortfoli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0"/>
          <a:ext cx="16573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2</xdr:row>
      <xdr:rowOff>0</xdr:rowOff>
    </xdr:from>
    <xdr:to>
      <xdr:col>0</xdr:col>
      <xdr:colOff>1190625</xdr:colOff>
      <xdr:row>3</xdr:row>
      <xdr:rowOff>85725</xdr:rowOff>
    </xdr:to>
    <xdr:pic>
      <xdr:nvPicPr>
        <xdr:cNvPr id="4" name="CommandButton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1000"/>
          <a:ext cx="11811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828675</xdr:colOff>
      <xdr:row>0</xdr:row>
      <xdr:rowOff>19050</xdr:rowOff>
    </xdr:from>
    <xdr:to>
      <xdr:col>21</xdr:col>
      <xdr:colOff>1200150</xdr:colOff>
      <xdr:row>1</xdr:row>
      <xdr:rowOff>152400</xdr:rowOff>
    </xdr:to>
    <xdr:pic>
      <xdr:nvPicPr>
        <xdr:cNvPr id="6" name="cmbDumpContracts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55200" y="19050"/>
          <a:ext cx="12096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523875</xdr:colOff>
      <xdr:row>10</xdr:row>
      <xdr:rowOff>19050</xdr:rowOff>
    </xdr:from>
    <xdr:to>
      <xdr:col>3</xdr:col>
      <xdr:colOff>257175</xdr:colOff>
      <xdr:row>11</xdr:row>
      <xdr:rowOff>47625</xdr:rowOff>
    </xdr:to>
    <xdr:pic>
      <xdr:nvPicPr>
        <xdr:cNvPr id="7" name="cbPreserveContrac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2238375"/>
          <a:ext cx="19621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57150</xdr:rowOff>
        </xdr:from>
        <xdr:to>
          <xdr:col>4</xdr:col>
          <xdr:colOff>400050</xdr:colOff>
          <xdr:row>1</xdr:row>
          <xdr:rowOff>171450</xdr:rowOff>
        </xdr:to>
        <xdr:sp macro="" textlink="">
          <xdr:nvSpPr>
            <xdr:cNvPr id="14348" name="cmbEnableAutoHedge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0</xdr:row>
          <xdr:rowOff>57150</xdr:rowOff>
        </xdr:from>
        <xdr:to>
          <xdr:col>5</xdr:col>
          <xdr:colOff>1038225</xdr:colOff>
          <xdr:row>1</xdr:row>
          <xdr:rowOff>142875</xdr:rowOff>
        </xdr:to>
        <xdr:sp macro="" textlink="">
          <xdr:nvSpPr>
            <xdr:cNvPr id="14349" name="embEnableAutoStop2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951034</xdr:colOff>
          <xdr:row>0</xdr:row>
          <xdr:rowOff>0</xdr:rowOff>
        </xdr:from>
        <xdr:to>
          <xdr:col>2</xdr:col>
          <xdr:colOff>204421</xdr:colOff>
          <xdr:row>1</xdr:row>
          <xdr:rowOff>142875</xdr:rowOff>
        </xdr:to>
        <xdr:sp macro="" textlink="">
          <xdr:nvSpPr>
            <xdr:cNvPr id="14351" name="cmbSubscribePortfolio2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57150</xdr:rowOff>
    </xdr:from>
    <xdr:to>
      <xdr:col>5</xdr:col>
      <xdr:colOff>9525</xdr:colOff>
      <xdr:row>2</xdr:row>
      <xdr:rowOff>9525</xdr:rowOff>
    </xdr:to>
    <xdr:sp macro="" textlink="">
      <xdr:nvSpPr>
        <xdr:cNvPr id="13313" name="cmbSubscribeWatchlist" hidden="1">
          <a:extLst>
            <a:ext uri="{63B3BB69-23CF-44E3-9099-C40C66FF867C}">
              <a14:compatExt xmlns:a14="http://schemas.microsoft.com/office/drawing/2010/main" spid="_x0000_s133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9525</xdr:colOff>
      <xdr:row>0</xdr:row>
      <xdr:rowOff>57150</xdr:rowOff>
    </xdr:from>
    <xdr:to>
      <xdr:col>5</xdr:col>
      <xdr:colOff>9525</xdr:colOff>
      <xdr:row>2</xdr:row>
      <xdr:rowOff>9525</xdr:rowOff>
    </xdr:to>
    <xdr:pic>
      <xdr:nvPicPr>
        <xdr:cNvPr id="2" name="cmbSubscribeWatchlis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8325" y="57150"/>
          <a:ext cx="123825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C4" sqref="C4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C1">
        <v>3</v>
      </c>
      <c r="D1" t="s">
        <v>184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105" t="s">
        <v>124</v>
      </c>
      <c r="B6" s="105"/>
      <c r="C6" s="105"/>
      <c r="D6" s="105"/>
      <c r="E6" s="105" t="s">
        <v>125</v>
      </c>
      <c r="F6" s="105"/>
      <c r="G6" s="105" t="s">
        <v>126</v>
      </c>
      <c r="H6" s="105"/>
      <c r="I6" s="105" t="s">
        <v>127</v>
      </c>
      <c r="J6" s="105"/>
      <c r="K6" s="105" t="s">
        <v>128</v>
      </c>
      <c r="L6" s="105"/>
      <c r="M6" s="105" t="s">
        <v>129</v>
      </c>
      <c r="N6" s="105"/>
      <c r="O6" s="105"/>
      <c r="P6" s="105"/>
      <c r="Q6" s="105"/>
      <c r="R6" s="105"/>
      <c r="S6" s="105"/>
      <c r="T6" s="105"/>
      <c r="U6" s="51"/>
      <c r="V6" s="51"/>
      <c r="W6" s="51"/>
      <c r="AF6" s="30"/>
    </row>
    <row r="7" spans="1:36" x14ac:dyDescent="0.25">
      <c r="A7" s="106" t="s">
        <v>130</v>
      </c>
      <c r="B7" s="106"/>
      <c r="C7" s="106">
        <v>7497</v>
      </c>
      <c r="D7" s="106"/>
      <c r="E7" s="106">
        <v>7</v>
      </c>
      <c r="F7" s="106"/>
      <c r="G7" s="106">
        <v>5</v>
      </c>
      <c r="H7" s="106"/>
      <c r="I7" s="107">
        <v>0.96388888888888891</v>
      </c>
      <c r="J7" s="108"/>
      <c r="K7" s="103" t="s">
        <v>221</v>
      </c>
      <c r="L7" s="104"/>
      <c r="M7" s="109"/>
      <c r="N7" s="110"/>
      <c r="O7" s="109"/>
      <c r="P7" s="110"/>
      <c r="Q7" s="109"/>
      <c r="R7" s="110"/>
      <c r="S7" s="109"/>
      <c r="T7" s="110"/>
      <c r="U7" s="52"/>
      <c r="V7" s="53"/>
      <c r="W7" s="53"/>
      <c r="AF7" s="30"/>
    </row>
    <row r="8" spans="1:36" ht="23.25" x14ac:dyDescent="0.35">
      <c r="A8" s="13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111" t="s">
        <v>135</v>
      </c>
      <c r="B9" s="111"/>
      <c r="C9" s="111" t="s">
        <v>136</v>
      </c>
      <c r="D9" s="111"/>
      <c r="E9" s="55" t="s">
        <v>137</v>
      </c>
      <c r="F9" s="55"/>
      <c r="G9" s="111" t="s">
        <v>138</v>
      </c>
      <c r="H9" s="111"/>
      <c r="I9" s="111" t="s">
        <v>139</v>
      </c>
      <c r="J9" s="111"/>
      <c r="K9" s="105" t="s">
        <v>140</v>
      </c>
      <c r="L9" s="105"/>
      <c r="M9" s="105" t="s">
        <v>141</v>
      </c>
      <c r="N9" s="105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220</v>
      </c>
      <c r="N10" s="53"/>
      <c r="O10" s="52" t="s">
        <v>219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>
        <v>143</v>
      </c>
      <c r="K13" s="54">
        <v>1.5326</v>
      </c>
      <c r="L13" s="54"/>
      <c r="M13" s="54">
        <v>27</v>
      </c>
      <c r="N13" s="54">
        <v>1.5325</v>
      </c>
      <c r="O13" s="54">
        <v>1.5327</v>
      </c>
      <c r="P13" s="54">
        <v>34</v>
      </c>
      <c r="Q13" s="54"/>
      <c r="R13" s="54">
        <v>1.5325500000000001</v>
      </c>
      <c r="S13" s="54">
        <v>13697165.42</v>
      </c>
      <c r="T13" s="54">
        <v>95568.111432849997</v>
      </c>
      <c r="U13" s="54">
        <v>30925.49</v>
      </c>
      <c r="V13" s="54">
        <v>0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25.5" customHeight="1" x14ac:dyDescent="0.3">
      <c r="A15" s="95" t="s">
        <v>202</v>
      </c>
      <c r="B15" s="95"/>
      <c r="C15" s="95"/>
      <c r="D15" s="95"/>
      <c r="E15" s="95"/>
      <c r="F15" s="95"/>
      <c r="G15" s="95"/>
      <c r="H15" s="95"/>
      <c r="I15" s="95"/>
      <c r="K15" s="94" t="s">
        <v>215</v>
      </c>
      <c r="L15" s="94"/>
      <c r="M15" s="94"/>
      <c r="N15" s="94"/>
      <c r="O15" s="94"/>
      <c r="Q15" s="88" t="s">
        <v>185</v>
      </c>
      <c r="R15" s="88"/>
      <c r="S15" s="88"/>
      <c r="T15" s="88"/>
      <c r="U15" s="88"/>
      <c r="V15" s="88"/>
      <c r="W15" s="88"/>
    </row>
    <row r="16" spans="1:36" s="8" customFormat="1" ht="36" customHeight="1" thickBot="1" x14ac:dyDescent="0.4">
      <c r="A16" s="83" t="s">
        <v>203</v>
      </c>
      <c r="B16" s="83"/>
      <c r="C16" s="83"/>
      <c r="D16" s="83"/>
      <c r="E16" s="83"/>
      <c r="F16" s="83" t="s">
        <v>204</v>
      </c>
      <c r="G16" s="83"/>
      <c r="H16" s="83"/>
      <c r="I16" s="83"/>
      <c r="K16" s="84" t="s">
        <v>145</v>
      </c>
      <c r="L16" s="85">
        <v>1</v>
      </c>
      <c r="M16" s="96" t="s">
        <v>161</v>
      </c>
      <c r="N16" s="96"/>
      <c r="O16" s="9"/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27.75" customHeight="1" thickTop="1" x14ac:dyDescent="0.35">
      <c r="A17" s="82" t="s">
        <v>210</v>
      </c>
      <c r="B17" s="81">
        <v>0.5</v>
      </c>
      <c r="C17" s="78"/>
      <c r="D17" s="78"/>
      <c r="E17" s="78"/>
      <c r="F17" s="78"/>
      <c r="G17" s="78"/>
      <c r="H17" s="78"/>
      <c r="I17" s="78"/>
      <c r="K17" s="84" t="s">
        <v>146</v>
      </c>
      <c r="L17" s="85">
        <v>1</v>
      </c>
      <c r="M17" s="96" t="s">
        <v>216</v>
      </c>
      <c r="N17" s="96"/>
      <c r="O17" s="9"/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205</v>
      </c>
      <c r="B18" s="80" t="s">
        <v>209</v>
      </c>
      <c r="C18" s="80" t="s">
        <v>206</v>
      </c>
      <c r="D18" s="80" t="s">
        <v>207</v>
      </c>
      <c r="E18" s="80" t="s">
        <v>3</v>
      </c>
      <c r="F18" s="80" t="s">
        <v>208</v>
      </c>
      <c r="G18" s="80" t="s">
        <v>206</v>
      </c>
      <c r="H18" s="80" t="s">
        <v>209</v>
      </c>
      <c r="I18" s="80" t="s">
        <v>205</v>
      </c>
      <c r="K18" s="84" t="s">
        <v>147</v>
      </c>
      <c r="L18" s="86">
        <v>5</v>
      </c>
      <c r="M18" s="96" t="s">
        <v>217</v>
      </c>
      <c r="N18" s="96"/>
      <c r="O18" s="9"/>
      <c r="Q18" s="65">
        <f>SUM(U48:U68)+J13</f>
        <v>143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43.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4" t="s">
        <v>148</v>
      </c>
      <c r="L19" s="86">
        <v>5</v>
      </c>
      <c r="M19" s="96" t="s">
        <v>162</v>
      </c>
      <c r="N19" s="96"/>
      <c r="O19" s="9"/>
      <c r="Q19" s="61" t="s">
        <v>131</v>
      </c>
      <c r="R19" s="66" t="e">
        <f>ticksUpToLoss(V18,Q18,R18)</f>
        <v>#NUM!</v>
      </c>
      <c r="S19" s="66" t="e">
        <f>ticksDownToLoss(V18,Q18,R18)</f>
        <v>#NUM!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35.2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4" t="s">
        <v>149</v>
      </c>
      <c r="L20" s="86">
        <v>10</v>
      </c>
      <c r="M20" s="96" t="s">
        <v>216</v>
      </c>
      <c r="N20" s="96"/>
      <c r="O20" s="9"/>
      <c r="Q20" s="61" t="s">
        <v>132</v>
      </c>
      <c r="R20" s="66" t="e">
        <f>Q18+R18*(R19*0.0001)</f>
        <v>#NUM!</v>
      </c>
      <c r="S20" s="66" t="e">
        <f>Q18+R18*(S19*0.0001)</f>
        <v>#NUM!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2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4" t="s">
        <v>150</v>
      </c>
      <c r="L21" s="86">
        <v>0.2</v>
      </c>
      <c r="M21" s="96" t="s">
        <v>218</v>
      </c>
      <c r="N21" s="96"/>
      <c r="O21" s="9"/>
      <c r="Q21" s="88" t="s">
        <v>133</v>
      </c>
      <c r="R21" s="88"/>
      <c r="S21" s="88"/>
      <c r="T21" s="88" t="s">
        <v>188</v>
      </c>
      <c r="U21" s="88"/>
      <c r="V21" s="88"/>
      <c r="W21" s="88"/>
      <c r="Y21" s="31"/>
      <c r="Z21" s="31"/>
      <c r="AA21" s="31"/>
      <c r="AB21" s="31"/>
      <c r="AC21" s="31"/>
    </row>
    <row r="22" spans="1:31" ht="2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4" t="s">
        <v>151</v>
      </c>
      <c r="L22" s="87">
        <v>8</v>
      </c>
      <c r="M22" s="96" t="s">
        <v>163</v>
      </c>
      <c r="N22" s="96"/>
      <c r="O22" s="9"/>
      <c r="Q22" s="61" t="s">
        <v>134</v>
      </c>
      <c r="R22" s="69" t="e">
        <f>midMarket(N13,O13)+R19/10000</f>
        <v>#NUM!</v>
      </c>
      <c r="S22" s="66" t="e">
        <f>ROUND(-R20,0)</f>
        <v>#NUM!</v>
      </c>
      <c r="T22" s="62" t="s">
        <v>186</v>
      </c>
      <c r="U22" s="68">
        <v>25</v>
      </c>
      <c r="V22" s="69"/>
      <c r="W22" s="66"/>
      <c r="Y22" s="31"/>
      <c r="Z22" s="31"/>
      <c r="AA22" s="31"/>
      <c r="AB22" s="31"/>
      <c r="AC22" s="31"/>
    </row>
    <row r="23" spans="1:31" ht="21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/>
      <c r="K23" s="84" t="s">
        <v>152</v>
      </c>
      <c r="L23" s="87">
        <v>1</v>
      </c>
      <c r="M23" s="96" t="s">
        <v>191</v>
      </c>
      <c r="N23" s="96"/>
      <c r="O23" s="9"/>
      <c r="Q23" s="61" t="s">
        <v>144</v>
      </c>
      <c r="R23" s="69" t="e">
        <f>midMarket(N13,O13)+S19/10000</f>
        <v>#NUM!</v>
      </c>
      <c r="S23" s="66" t="e">
        <f>ROUND(-S20,0)</f>
        <v>#NUM!</v>
      </c>
      <c r="T23" s="62" t="s">
        <v>187</v>
      </c>
      <c r="U23" s="68">
        <v>2</v>
      </c>
      <c r="V23" s="69"/>
      <c r="W23" s="66"/>
      <c r="X23" s="31"/>
      <c r="Y23" s="31"/>
      <c r="Z23" s="31"/>
      <c r="AA23" s="31"/>
      <c r="AB23" s="31"/>
      <c r="AC23" s="31"/>
    </row>
    <row r="24" spans="1:31" ht="31.5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4" t="s">
        <v>153</v>
      </c>
      <c r="L24" s="87" t="s">
        <v>100</v>
      </c>
      <c r="M24" s="96" t="s">
        <v>192</v>
      </c>
      <c r="N24" s="96"/>
      <c r="O24" s="9"/>
    </row>
    <row r="25" spans="1:31" ht="31.5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4" t="s">
        <v>213</v>
      </c>
      <c r="L25" s="87" t="s">
        <v>214</v>
      </c>
      <c r="M25" s="96" t="s">
        <v>164</v>
      </c>
      <c r="N25" s="96"/>
      <c r="O25" s="24"/>
      <c r="P25" t="s">
        <v>201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96" t="s">
        <v>165</v>
      </c>
      <c r="N26" s="96"/>
      <c r="O26" s="24"/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96" t="s">
        <v>99</v>
      </c>
      <c r="N27" s="96"/>
      <c r="O27" s="9"/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92" t="s">
        <v>166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</row>
    <row r="36" spans="1:33" x14ac:dyDescent="0.25">
      <c r="A36" s="72" t="s">
        <v>26</v>
      </c>
      <c r="B36" s="90" t="s">
        <v>27</v>
      </c>
      <c r="C36" s="90"/>
      <c r="D36" s="90"/>
      <c r="E36" s="90"/>
      <c r="F36" s="73"/>
      <c r="G36" s="90" t="s">
        <v>28</v>
      </c>
      <c r="H36" s="90"/>
      <c r="I36" s="90"/>
      <c r="J36" s="90"/>
      <c r="K36" s="90"/>
      <c r="L36" s="73"/>
      <c r="M36" s="90" t="s">
        <v>167</v>
      </c>
      <c r="N36" s="90"/>
      <c r="O36" s="91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193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195</v>
      </c>
      <c r="B43" s="66">
        <f>ticksUpToLoss(F42,A42,B42)</f>
        <v>0</v>
      </c>
      <c r="C43" s="76" t="s">
        <v>196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197</v>
      </c>
      <c r="H43" s="66">
        <f>ticksUpToLoss(L42,G42,H42)</f>
        <v>0</v>
      </c>
      <c r="I43" s="102" t="s">
        <v>198</v>
      </c>
      <c r="J43" s="102"/>
      <c r="K43" s="66"/>
      <c r="L43" s="66"/>
      <c r="M43" s="66"/>
      <c r="N43" s="66"/>
      <c r="O43" s="66"/>
    </row>
    <row r="44" spans="1:33" ht="15.75" x14ac:dyDescent="0.25">
      <c r="A44" s="76" t="s">
        <v>194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99" t="s">
        <v>13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89" t="s">
        <v>101</v>
      </c>
      <c r="O46" s="89"/>
      <c r="P46" s="89"/>
      <c r="Q46" s="89"/>
      <c r="R46" s="89"/>
      <c r="S46" s="89"/>
      <c r="T46" s="89" t="s">
        <v>108</v>
      </c>
      <c r="U46" s="89"/>
      <c r="V46" s="89"/>
      <c r="W46" s="89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0" t="s">
        <v>174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</row>
    <row r="71" spans="1:30" x14ac:dyDescent="0.25">
      <c r="A71" s="97" t="s">
        <v>41</v>
      </c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54">
    <mergeCell ref="M22:N22"/>
    <mergeCell ref="M25:N25"/>
    <mergeCell ref="M16:N16"/>
    <mergeCell ref="A9:B9"/>
    <mergeCell ref="C9:D9"/>
    <mergeCell ref="G9:H9"/>
    <mergeCell ref="I9:J9"/>
    <mergeCell ref="K9:L9"/>
    <mergeCell ref="M24:N24"/>
    <mergeCell ref="O6:P6"/>
    <mergeCell ref="Q6:R6"/>
    <mergeCell ref="S6:T6"/>
    <mergeCell ref="M7:N7"/>
    <mergeCell ref="O7:P7"/>
    <mergeCell ref="Q7:R7"/>
    <mergeCell ref="S7:T7"/>
    <mergeCell ref="M27:N2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M9:N9"/>
    <mergeCell ref="M19:N19"/>
    <mergeCell ref="A71:M71"/>
    <mergeCell ref="A46:M46"/>
    <mergeCell ref="B36:E36"/>
    <mergeCell ref="G36:K36"/>
    <mergeCell ref="A70:M70"/>
    <mergeCell ref="I43:J43"/>
    <mergeCell ref="Q15:W15"/>
    <mergeCell ref="N46:S46"/>
    <mergeCell ref="T46:W46"/>
    <mergeCell ref="M36:O36"/>
    <mergeCell ref="A35:O35"/>
    <mergeCell ref="Q21:S21"/>
    <mergeCell ref="T21:U21"/>
    <mergeCell ref="V21:W21"/>
    <mergeCell ref="K15:O15"/>
    <mergeCell ref="A15:I15"/>
    <mergeCell ref="M17:N17"/>
    <mergeCell ref="M20:N20"/>
    <mergeCell ref="M23:N23"/>
    <mergeCell ref="M26:N26"/>
    <mergeCell ref="M18:N18"/>
    <mergeCell ref="M21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51" r:id="rId4" name="cmbSubscribePortfolio2">
          <controlPr defaultSize="0" autoLine="0" r:id="rId5">
            <anchor moveWithCells="1">
              <from>
                <xdr:col>0</xdr:col>
                <xdr:colOff>952500</xdr:colOff>
                <xdr:row>0</xdr:row>
                <xdr:rowOff>0</xdr:rowOff>
              </from>
              <to>
                <xdr:col>2</xdr:col>
                <xdr:colOff>200025</xdr:colOff>
                <xdr:row>1</xdr:row>
                <xdr:rowOff>142875</xdr:rowOff>
              </to>
            </anchor>
          </controlPr>
        </control>
      </mc:Choice>
      <mc:Fallback>
        <control shapeId="14351" r:id="rId4" name="cmbSubscribePortfolio2"/>
      </mc:Fallback>
    </mc:AlternateContent>
    <mc:AlternateContent xmlns:mc="http://schemas.openxmlformats.org/markup-compatibility/2006">
      <mc:Choice Requires="x14">
        <control shapeId="14347" r:id="rId6" name="cmbConnect2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809625</xdr:colOff>
                <xdr:row>1</xdr:row>
                <xdr:rowOff>133350</xdr:rowOff>
              </to>
            </anchor>
          </controlPr>
        </control>
      </mc:Choice>
      <mc:Fallback>
        <control shapeId="14347" r:id="rId6" name="cmbConnect2"/>
      </mc:Fallback>
    </mc:AlternateContent>
    <mc:AlternateContent xmlns:mc="http://schemas.openxmlformats.org/markup-compatibility/2006">
      <mc:Choice Requires="x14">
        <control shapeId="14348" r:id="rId8" name="cmbEnableAutoHedge2">
          <controlPr defaultSize="0" autoLine="0" r:id="rId9">
            <anchor moveWithCells="1">
              <from>
                <xdr:col>3</xdr:col>
                <xdr:colOff>495300</xdr:colOff>
                <xdr:row>0</xdr:row>
                <xdr:rowOff>57150</xdr:rowOff>
              </from>
              <to>
                <xdr:col>4</xdr:col>
                <xdr:colOff>400050</xdr:colOff>
                <xdr:row>1</xdr:row>
                <xdr:rowOff>171450</xdr:rowOff>
              </to>
            </anchor>
          </controlPr>
        </control>
      </mc:Choice>
      <mc:Fallback>
        <control shapeId="14348" r:id="rId8" name="cmbEnableAutoHedge2"/>
      </mc:Fallback>
    </mc:AlternateContent>
    <mc:AlternateContent xmlns:mc="http://schemas.openxmlformats.org/markup-compatibility/2006">
      <mc:Choice Requires="x14">
        <control shapeId="14349" r:id="rId10" name="embEnableAutoStop2">
          <controlPr defaultSize="0" autoLine="0" r:id="rId11">
            <anchor moveWithCells="1">
              <from>
                <xdr:col>4</xdr:col>
                <xdr:colOff>514350</xdr:colOff>
                <xdr:row>0</xdr:row>
                <xdr:rowOff>57150</xdr:rowOff>
              </from>
              <to>
                <xdr:col>5</xdr:col>
                <xdr:colOff>1038225</xdr:colOff>
                <xdr:row>1</xdr:row>
                <xdr:rowOff>142875</xdr:rowOff>
              </to>
            </anchor>
          </controlPr>
        </control>
      </mc:Choice>
      <mc:Fallback>
        <control shapeId="14349" r:id="rId10" name="embEnableAutoStop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4" t="s">
        <v>123</v>
      </c>
      <c r="AF1" s="114"/>
      <c r="AG1" s="114"/>
      <c r="AH1" s="114"/>
      <c r="AI1" s="114"/>
      <c r="AJ1" s="114"/>
      <c r="AK1" s="114"/>
    </row>
    <row r="4" spans="2:37" x14ac:dyDescent="0.25">
      <c r="B4" s="112" t="s">
        <v>13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2"/>
      <c r="R4" s="99"/>
      <c r="S4" s="99"/>
      <c r="T4" s="89" t="s">
        <v>101</v>
      </c>
      <c r="U4" s="89"/>
      <c r="V4" s="89"/>
      <c r="W4" s="89"/>
      <c r="X4" s="89"/>
      <c r="Y4" s="89"/>
      <c r="Z4" s="89"/>
      <c r="AA4" s="89"/>
      <c r="AB4" s="89" t="s">
        <v>108</v>
      </c>
      <c r="AC4" s="89"/>
      <c r="AD4" s="89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189</v>
      </c>
      <c r="B8">
        <v>16</v>
      </c>
    </row>
    <row r="9" spans="1:2" x14ac:dyDescent="0.25">
      <c r="A9" t="s">
        <v>190</v>
      </c>
      <c r="B9">
        <v>17</v>
      </c>
    </row>
    <row r="10" spans="1:2" x14ac:dyDescent="0.25">
      <c r="A10" t="s">
        <v>199</v>
      </c>
      <c r="B10">
        <v>43</v>
      </c>
    </row>
    <row r="11" spans="1:2" x14ac:dyDescent="0.25">
      <c r="A11" t="s">
        <v>200</v>
      </c>
      <c r="B11">
        <v>44</v>
      </c>
    </row>
    <row r="12" spans="1:2" x14ac:dyDescent="0.25">
      <c r="A12" t="s">
        <v>211</v>
      </c>
      <c r="B12">
        <v>13</v>
      </c>
    </row>
    <row r="13" spans="1:2" x14ac:dyDescent="0.25">
      <c r="A13" t="s">
        <v>212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222</v>
      </c>
    </row>
    <row r="2" spans="1:1" x14ac:dyDescent="0.25">
      <c r="A2" s="21" t="s">
        <v>223</v>
      </c>
    </row>
    <row r="3" spans="1:1" x14ac:dyDescent="0.25">
      <c r="A3" s="21" t="s">
        <v>224</v>
      </c>
    </row>
    <row r="4" spans="1:1" x14ac:dyDescent="0.25">
      <c r="A4" s="21" t="s">
        <v>225</v>
      </c>
    </row>
    <row r="5" spans="1:1" x14ac:dyDescent="0.25">
      <c r="A5" s="21" t="s">
        <v>226</v>
      </c>
    </row>
    <row r="6" spans="1:1" x14ac:dyDescent="0.25">
      <c r="A6" s="21" t="s">
        <v>227</v>
      </c>
    </row>
    <row r="7" spans="1:1" x14ac:dyDescent="0.25">
      <c r="A7" s="21" t="s">
        <v>228</v>
      </c>
    </row>
    <row r="8" spans="1:1" x14ac:dyDescent="0.25">
      <c r="A8" s="21" t="s">
        <v>229</v>
      </c>
    </row>
    <row r="9" spans="1:1" x14ac:dyDescent="0.25">
      <c r="A9" s="21" t="s">
        <v>230</v>
      </c>
    </row>
    <row r="10" spans="1:1" x14ac:dyDescent="0.25">
      <c r="A10" s="21" t="s">
        <v>231</v>
      </c>
    </row>
    <row r="11" spans="1:1" x14ac:dyDescent="0.25">
      <c r="A11" s="21" t="s">
        <v>232</v>
      </c>
    </row>
    <row r="12" spans="1:1" x14ac:dyDescent="0.25">
      <c r="A12" s="21" t="s">
        <v>233</v>
      </c>
    </row>
    <row r="13" spans="1:1" x14ac:dyDescent="0.25">
      <c r="A13" s="21" t="s">
        <v>234</v>
      </c>
    </row>
    <row r="14" spans="1:1" x14ac:dyDescent="0.25">
      <c r="A14" s="21"/>
    </row>
    <row r="15" spans="1:1" x14ac:dyDescent="0.25">
      <c r="A15" s="21"/>
    </row>
    <row r="16" spans="1:1" x14ac:dyDescent="0.25">
      <c r="A16" s="21"/>
    </row>
    <row r="17" spans="1:1" x14ac:dyDescent="0.25">
      <c r="A17" s="21"/>
    </row>
    <row r="18" spans="1:1" x14ac:dyDescent="0.25">
      <c r="A18" s="21"/>
    </row>
    <row r="19" spans="1:1" x14ac:dyDescent="0.25">
      <c r="A19" s="21"/>
    </row>
    <row r="20" spans="1:1" x14ac:dyDescent="0.25">
      <c r="A20" s="21"/>
    </row>
    <row r="21" spans="1:1" x14ac:dyDescent="0.25">
      <c r="A21" s="21"/>
    </row>
    <row r="22" spans="1:1" x14ac:dyDescent="0.25">
      <c r="A22" s="21"/>
    </row>
    <row r="23" spans="1:1" x14ac:dyDescent="0.25">
      <c r="A23" s="21"/>
    </row>
    <row r="24" spans="1:1" x14ac:dyDescent="0.25">
      <c r="A24" s="21"/>
    </row>
    <row r="25" spans="1:1" x14ac:dyDescent="0.25">
      <c r="A25" s="21"/>
    </row>
    <row r="26" spans="1:1" x14ac:dyDescent="0.25">
      <c r="A26" s="21"/>
    </row>
    <row r="27" spans="1:1" x14ac:dyDescent="0.25">
      <c r="A27" s="21"/>
    </row>
    <row r="28" spans="1:1" x14ac:dyDescent="0.25">
      <c r="A28" s="21"/>
    </row>
    <row r="29" spans="1:1" x14ac:dyDescent="0.25">
      <c r="A29" s="21"/>
    </row>
    <row r="30" spans="1:1" x14ac:dyDescent="0.25">
      <c r="A30" s="21"/>
    </row>
    <row r="31" spans="1:1" x14ac:dyDescent="0.25">
      <c r="A31" s="21"/>
    </row>
    <row r="32" spans="1:1" x14ac:dyDescent="0.25">
      <c r="A32" s="21"/>
    </row>
    <row r="33" spans="1:1" x14ac:dyDescent="0.25">
      <c r="A33" s="21"/>
    </row>
    <row r="34" spans="1:1" x14ac:dyDescent="0.25">
      <c r="A34" s="21"/>
    </row>
    <row r="35" spans="1:1" x14ac:dyDescent="0.25">
      <c r="A35" s="21"/>
    </row>
    <row r="36" spans="1:1" x14ac:dyDescent="0.25">
      <c r="A36" s="21"/>
    </row>
    <row r="37" spans="1:1" x14ac:dyDescent="0.25">
      <c r="A37" s="21"/>
    </row>
    <row r="38" spans="1:1" x14ac:dyDescent="0.25">
      <c r="A38" s="21"/>
    </row>
    <row r="39" spans="1:1" x14ac:dyDescent="0.25">
      <c r="A39" s="21"/>
    </row>
    <row r="40" spans="1:1" x14ac:dyDescent="0.25">
      <c r="A40" s="21"/>
    </row>
    <row r="41" spans="1:1" x14ac:dyDescent="0.25">
      <c r="A41" s="21"/>
    </row>
    <row r="42" spans="1:1" x14ac:dyDescent="0.25">
      <c r="A42" s="21"/>
    </row>
    <row r="43" spans="1:1" x14ac:dyDescent="0.25">
      <c r="A43" s="21"/>
    </row>
    <row r="44" spans="1:1" x14ac:dyDescent="0.25">
      <c r="A44" s="21"/>
    </row>
    <row r="45" spans="1:1" x14ac:dyDescent="0.25">
      <c r="A45" s="21"/>
    </row>
    <row r="46" spans="1:1" x14ac:dyDescent="0.25">
      <c r="A46" s="21"/>
    </row>
    <row r="47" spans="1:1" x14ac:dyDescent="0.25">
      <c r="A47" s="21"/>
    </row>
    <row r="48" spans="1:1" x14ac:dyDescent="0.25">
      <c r="A48" s="21"/>
    </row>
    <row r="49" spans="1:1" x14ac:dyDescent="0.25">
      <c r="A49" s="21"/>
    </row>
    <row r="50" spans="1:1" x14ac:dyDescent="0.25">
      <c r="A50" s="21"/>
    </row>
    <row r="51" spans="1:1" x14ac:dyDescent="0.25">
      <c r="A51" s="21"/>
    </row>
    <row r="52" spans="1:1" x14ac:dyDescent="0.25">
      <c r="A52" s="21"/>
    </row>
    <row r="53" spans="1:1" x14ac:dyDescent="0.25">
      <c r="A53" s="21"/>
    </row>
    <row r="54" spans="1:1" x14ac:dyDescent="0.25">
      <c r="A54" s="21"/>
    </row>
    <row r="55" spans="1:1" x14ac:dyDescent="0.25">
      <c r="A55" s="21"/>
    </row>
    <row r="56" spans="1:1" x14ac:dyDescent="0.25">
      <c r="A56" s="21"/>
    </row>
    <row r="57" spans="1:1" x14ac:dyDescent="0.25">
      <c r="A57" s="21"/>
    </row>
    <row r="58" spans="1:1" x14ac:dyDescent="0.25">
      <c r="A58" s="21"/>
    </row>
    <row r="59" spans="1:1" x14ac:dyDescent="0.25">
      <c r="A59" s="21"/>
    </row>
    <row r="60" spans="1:1" x14ac:dyDescent="0.25">
      <c r="A60" s="21"/>
    </row>
    <row r="61" spans="1:1" x14ac:dyDescent="0.25">
      <c r="A61" s="21"/>
    </row>
    <row r="62" spans="1:1" x14ac:dyDescent="0.25">
      <c r="A62" s="21"/>
    </row>
    <row r="63" spans="1:1" x14ac:dyDescent="0.25">
      <c r="A63" s="21"/>
    </row>
    <row r="64" spans="1:1" x14ac:dyDescent="0.25">
      <c r="A64" s="21"/>
    </row>
    <row r="65" spans="1:1" x14ac:dyDescent="0.25">
      <c r="A65" s="21"/>
    </row>
    <row r="66" spans="1:1" x14ac:dyDescent="0.25">
      <c r="A66" s="21"/>
    </row>
    <row r="67" spans="1:1" x14ac:dyDescent="0.25">
      <c r="A67" s="21"/>
    </row>
    <row r="68" spans="1:1" x14ac:dyDescent="0.25">
      <c r="A68" s="21"/>
    </row>
    <row r="69" spans="1:1" x14ac:dyDescent="0.25">
      <c r="A69" s="21"/>
    </row>
    <row r="70" spans="1:1" x14ac:dyDescent="0.25">
      <c r="A70" s="21"/>
    </row>
    <row r="71" spans="1:1" x14ac:dyDescent="0.25">
      <c r="A71" s="21"/>
    </row>
    <row r="72" spans="1:1" x14ac:dyDescent="0.25">
      <c r="A72" s="21"/>
    </row>
    <row r="73" spans="1:1" x14ac:dyDescent="0.25">
      <c r="A73" s="21"/>
    </row>
    <row r="74" spans="1:1" x14ac:dyDescent="0.25">
      <c r="A74" s="21"/>
    </row>
    <row r="75" spans="1:1" x14ac:dyDescent="0.25">
      <c r="A75" s="21"/>
    </row>
    <row r="76" spans="1:1" x14ac:dyDescent="0.25">
      <c r="A76" s="21"/>
    </row>
    <row r="77" spans="1:1" x14ac:dyDescent="0.25">
      <c r="A77" s="21"/>
    </row>
    <row r="78" spans="1:1" x14ac:dyDescent="0.25">
      <c r="A78" s="21"/>
    </row>
    <row r="79" spans="1:1" x14ac:dyDescent="0.25">
      <c r="A79" s="21"/>
    </row>
    <row r="80" spans="1:1" x14ac:dyDescent="0.25">
      <c r="A80" s="21"/>
    </row>
    <row r="81" spans="1:1" x14ac:dyDescent="0.25">
      <c r="A81" s="21"/>
    </row>
    <row r="82" spans="1:1" x14ac:dyDescent="0.25">
      <c r="A82" s="21"/>
    </row>
    <row r="83" spans="1:1" x14ac:dyDescent="0.25">
      <c r="A83" s="21"/>
    </row>
    <row r="84" spans="1:1" x14ac:dyDescent="0.25">
      <c r="A84" s="21"/>
    </row>
    <row r="85" spans="1:1" x14ac:dyDescent="0.25">
      <c r="A85" s="21"/>
    </row>
    <row r="86" spans="1:1" x14ac:dyDescent="0.25">
      <c r="A86" s="21"/>
    </row>
    <row r="87" spans="1:1" x14ac:dyDescent="0.25">
      <c r="A87" s="21"/>
    </row>
    <row r="88" spans="1:1" x14ac:dyDescent="0.25">
      <c r="A88" s="21"/>
    </row>
    <row r="89" spans="1:1" x14ac:dyDescent="0.25">
      <c r="A89" s="21"/>
    </row>
    <row r="90" spans="1:1" x14ac:dyDescent="0.25">
      <c r="A90" s="21"/>
    </row>
    <row r="91" spans="1:1" x14ac:dyDescent="0.25">
      <c r="A91" s="21"/>
    </row>
    <row r="92" spans="1:1" x14ac:dyDescent="0.25">
      <c r="A92" s="21"/>
    </row>
    <row r="93" spans="1:1" x14ac:dyDescent="0.25">
      <c r="A93" s="21"/>
    </row>
    <row r="94" spans="1:1" x14ac:dyDescent="0.25">
      <c r="A94" s="21"/>
    </row>
    <row r="95" spans="1:1" x14ac:dyDescent="0.25">
      <c r="A95" s="21"/>
    </row>
    <row r="96" spans="1:1" x14ac:dyDescent="0.25">
      <c r="A96" s="21"/>
    </row>
    <row r="97" spans="1:1" x14ac:dyDescent="0.25">
      <c r="A97" s="21"/>
    </row>
    <row r="98" spans="1:1" x14ac:dyDescent="0.25">
      <c r="A98" s="21"/>
    </row>
    <row r="99" spans="1:1" x14ac:dyDescent="0.25">
      <c r="A99" s="21"/>
    </row>
    <row r="100" spans="1:1" x14ac:dyDescent="0.25">
      <c r="A100" s="21"/>
    </row>
    <row r="101" spans="1:1" x14ac:dyDescent="0.25">
      <c r="A101" s="21"/>
    </row>
    <row r="102" spans="1:1" x14ac:dyDescent="0.25">
      <c r="A102" s="21"/>
    </row>
    <row r="103" spans="1:1" x14ac:dyDescent="0.25">
      <c r="A103" s="21"/>
    </row>
    <row r="104" spans="1:1" x14ac:dyDescent="0.25">
      <c r="A104" s="21"/>
    </row>
    <row r="105" spans="1:1" x14ac:dyDescent="0.25">
      <c r="A105" s="21"/>
    </row>
    <row r="106" spans="1:1" x14ac:dyDescent="0.25">
      <c r="A106" s="21"/>
    </row>
    <row r="107" spans="1:1" x14ac:dyDescent="0.25">
      <c r="A107" s="21"/>
    </row>
    <row r="108" spans="1:1" x14ac:dyDescent="0.25">
      <c r="A108" s="21"/>
    </row>
    <row r="109" spans="1:1" x14ac:dyDescent="0.25">
      <c r="A109" s="21"/>
    </row>
    <row r="110" spans="1:1" x14ac:dyDescent="0.25">
      <c r="A110" s="21"/>
    </row>
    <row r="111" spans="1:1" x14ac:dyDescent="0.25">
      <c r="A111" s="21"/>
    </row>
    <row r="112" spans="1:1" x14ac:dyDescent="0.25">
      <c r="A112" s="21"/>
    </row>
    <row r="113" spans="1:1" x14ac:dyDescent="0.25">
      <c r="A113" s="21"/>
    </row>
    <row r="114" spans="1:1" x14ac:dyDescent="0.25">
      <c r="A114" s="21"/>
    </row>
    <row r="115" spans="1:1" x14ac:dyDescent="0.25">
      <c r="A115" s="21"/>
    </row>
    <row r="116" spans="1:1" x14ac:dyDescent="0.25">
      <c r="A116" s="21"/>
    </row>
    <row r="117" spans="1:1" x14ac:dyDescent="0.25">
      <c r="A117" s="21"/>
    </row>
    <row r="118" spans="1:1" x14ac:dyDescent="0.25">
      <c r="A118" s="21"/>
    </row>
    <row r="119" spans="1:1" x14ac:dyDescent="0.25">
      <c r="A119" s="21"/>
    </row>
    <row r="120" spans="1:1" x14ac:dyDescent="0.25">
      <c r="A120" s="21"/>
    </row>
    <row r="121" spans="1:1" x14ac:dyDescent="0.25">
      <c r="A121" s="21"/>
    </row>
    <row r="122" spans="1:1" x14ac:dyDescent="0.25">
      <c r="A122" s="21"/>
    </row>
    <row r="123" spans="1:1" x14ac:dyDescent="0.25">
      <c r="A123" s="21"/>
    </row>
    <row r="124" spans="1:1" x14ac:dyDescent="0.25">
      <c r="A124" s="21"/>
    </row>
    <row r="125" spans="1:1" x14ac:dyDescent="0.25">
      <c r="A125" s="21"/>
    </row>
    <row r="126" spans="1:1" x14ac:dyDescent="0.25">
      <c r="A126" s="21"/>
    </row>
    <row r="127" spans="1:1" x14ac:dyDescent="0.25">
      <c r="A127" s="21"/>
    </row>
    <row r="128" spans="1:1" x14ac:dyDescent="0.25">
      <c r="A128" s="21"/>
    </row>
    <row r="129" spans="1:1" x14ac:dyDescent="0.25">
      <c r="A129" s="21"/>
    </row>
    <row r="130" spans="1:1" x14ac:dyDescent="0.25">
      <c r="A130" s="21"/>
    </row>
    <row r="131" spans="1:1" x14ac:dyDescent="0.25">
      <c r="A131" s="21"/>
    </row>
    <row r="132" spans="1:1" x14ac:dyDescent="0.25">
      <c r="A132" s="21"/>
    </row>
    <row r="133" spans="1:1" x14ac:dyDescent="0.25">
      <c r="A133" s="21"/>
    </row>
    <row r="134" spans="1:1" x14ac:dyDescent="0.25">
      <c r="A134" s="21"/>
    </row>
    <row r="135" spans="1:1" x14ac:dyDescent="0.25">
      <c r="A135" s="21"/>
    </row>
    <row r="136" spans="1:1" x14ac:dyDescent="0.25">
      <c r="A136" s="21"/>
    </row>
    <row r="137" spans="1:1" x14ac:dyDescent="0.25">
      <c r="A137" s="21"/>
    </row>
    <row r="138" spans="1:1" x14ac:dyDescent="0.25">
      <c r="A138" s="21"/>
    </row>
    <row r="139" spans="1:1" x14ac:dyDescent="0.25">
      <c r="A139" s="21"/>
    </row>
    <row r="140" spans="1:1" x14ac:dyDescent="0.25">
      <c r="A140" s="21"/>
    </row>
    <row r="141" spans="1:1" x14ac:dyDescent="0.25">
      <c r="A141" s="21"/>
    </row>
    <row r="142" spans="1:1" x14ac:dyDescent="0.25">
      <c r="A142" s="21"/>
    </row>
    <row r="143" spans="1:1" x14ac:dyDescent="0.25">
      <c r="A143" s="21"/>
    </row>
    <row r="144" spans="1:1" x14ac:dyDescent="0.25">
      <c r="A144" s="21"/>
    </row>
    <row r="145" spans="1:1" x14ac:dyDescent="0.25">
      <c r="A145" s="21"/>
    </row>
    <row r="146" spans="1:1" x14ac:dyDescent="0.25">
      <c r="A146" s="21"/>
    </row>
    <row r="147" spans="1:1" x14ac:dyDescent="0.25">
      <c r="A147" s="21"/>
    </row>
    <row r="148" spans="1:1" x14ac:dyDescent="0.25">
      <c r="A148" s="21"/>
    </row>
    <row r="149" spans="1:1" x14ac:dyDescent="0.25">
      <c r="A149" s="21"/>
    </row>
    <row r="150" spans="1:1" x14ac:dyDescent="0.25">
      <c r="A150" s="21"/>
    </row>
    <row r="151" spans="1:1" x14ac:dyDescent="0.25">
      <c r="A151" s="21"/>
    </row>
    <row r="152" spans="1:1" x14ac:dyDescent="0.25">
      <c r="A152" s="21"/>
    </row>
    <row r="153" spans="1:1" x14ac:dyDescent="0.25">
      <c r="A153" s="21"/>
    </row>
    <row r="154" spans="1:1" x14ac:dyDescent="0.25">
      <c r="A154" s="21"/>
    </row>
    <row r="155" spans="1:1" x14ac:dyDescent="0.25">
      <c r="A155" s="21"/>
    </row>
    <row r="156" spans="1:1" x14ac:dyDescent="0.25">
      <c r="A156" s="21"/>
    </row>
    <row r="157" spans="1:1" x14ac:dyDescent="0.25">
      <c r="A157" s="21"/>
    </row>
    <row r="158" spans="1:1" x14ac:dyDescent="0.25">
      <c r="A158" s="21"/>
    </row>
    <row r="159" spans="1:1" x14ac:dyDescent="0.25">
      <c r="A159" s="21"/>
    </row>
    <row r="160" spans="1:1" x14ac:dyDescent="0.25">
      <c r="A160" s="21"/>
    </row>
    <row r="161" spans="1:1" x14ac:dyDescent="0.25">
      <c r="A161" s="21"/>
    </row>
    <row r="162" spans="1:1" x14ac:dyDescent="0.25">
      <c r="A162" s="21"/>
    </row>
    <row r="163" spans="1:1" x14ac:dyDescent="0.25">
      <c r="A163" s="21"/>
    </row>
    <row r="164" spans="1:1" x14ac:dyDescent="0.25">
      <c r="A164" s="21"/>
    </row>
    <row r="165" spans="1:1" x14ac:dyDescent="0.25">
      <c r="A165" s="21"/>
    </row>
    <row r="166" spans="1:1" x14ac:dyDescent="0.25">
      <c r="A166" s="21"/>
    </row>
    <row r="167" spans="1:1" x14ac:dyDescent="0.25">
      <c r="A167" s="21"/>
    </row>
    <row r="168" spans="1:1" x14ac:dyDescent="0.25">
      <c r="A168" s="21"/>
    </row>
    <row r="169" spans="1:1" x14ac:dyDescent="0.25">
      <c r="A169" s="21"/>
    </row>
    <row r="170" spans="1:1" x14ac:dyDescent="0.25">
      <c r="A170" s="21"/>
    </row>
    <row r="171" spans="1:1" x14ac:dyDescent="0.25">
      <c r="A171" s="21"/>
    </row>
    <row r="172" spans="1:1" x14ac:dyDescent="0.25">
      <c r="A172" s="21"/>
    </row>
    <row r="173" spans="1:1" x14ac:dyDescent="0.25">
      <c r="A173" s="21"/>
    </row>
    <row r="174" spans="1:1" x14ac:dyDescent="0.25">
      <c r="A174" s="21"/>
    </row>
    <row r="175" spans="1:1" x14ac:dyDescent="0.25">
      <c r="A175" s="21"/>
    </row>
    <row r="176" spans="1:1" x14ac:dyDescent="0.25">
      <c r="A176" s="21"/>
    </row>
    <row r="177" spans="1:1" x14ac:dyDescent="0.25">
      <c r="A177" s="21"/>
    </row>
    <row r="178" spans="1:1" x14ac:dyDescent="0.25">
      <c r="A178" s="21"/>
    </row>
    <row r="179" spans="1:1" x14ac:dyDescent="0.25">
      <c r="A179" s="21"/>
    </row>
    <row r="180" spans="1:1" x14ac:dyDescent="0.25">
      <c r="A180" s="21"/>
    </row>
    <row r="181" spans="1:1" x14ac:dyDescent="0.25">
      <c r="A181" s="21"/>
    </row>
    <row r="182" spans="1:1" x14ac:dyDescent="0.25">
      <c r="A182" s="21"/>
    </row>
    <row r="183" spans="1:1" x14ac:dyDescent="0.25">
      <c r="A183" s="21"/>
    </row>
    <row r="184" spans="1:1" x14ac:dyDescent="0.25">
      <c r="A184" s="21"/>
    </row>
    <row r="185" spans="1:1" x14ac:dyDescent="0.25">
      <c r="A185" s="21"/>
    </row>
    <row r="186" spans="1:1" x14ac:dyDescent="0.25">
      <c r="A186" s="21"/>
    </row>
    <row r="187" spans="1:1" x14ac:dyDescent="0.25">
      <c r="A187" s="21"/>
    </row>
    <row r="188" spans="1:1" x14ac:dyDescent="0.25">
      <c r="A188" s="21"/>
    </row>
    <row r="189" spans="1:1" x14ac:dyDescent="0.25">
      <c r="A189" s="21"/>
    </row>
    <row r="190" spans="1:1" x14ac:dyDescent="0.25">
      <c r="A190" s="21"/>
    </row>
    <row r="191" spans="1:1" x14ac:dyDescent="0.25">
      <c r="A191" s="21"/>
    </row>
    <row r="192" spans="1:1" x14ac:dyDescent="0.25">
      <c r="A192" s="21"/>
    </row>
    <row r="193" spans="1:1" x14ac:dyDescent="0.25">
      <c r="A193" s="21"/>
    </row>
    <row r="194" spans="1:1" x14ac:dyDescent="0.25">
      <c r="A194" s="21"/>
    </row>
    <row r="195" spans="1:1" x14ac:dyDescent="0.25">
      <c r="A195" s="21"/>
    </row>
    <row r="196" spans="1:1" x14ac:dyDescent="0.25">
      <c r="A196" s="21"/>
    </row>
    <row r="197" spans="1:1" x14ac:dyDescent="0.25">
      <c r="A197" s="21"/>
    </row>
    <row r="198" spans="1:1" x14ac:dyDescent="0.25">
      <c r="A198" s="21"/>
    </row>
    <row r="199" spans="1:1" x14ac:dyDescent="0.25">
      <c r="A199" s="21"/>
    </row>
    <row r="200" spans="1:1" x14ac:dyDescent="0.25">
      <c r="A200" s="21"/>
    </row>
    <row r="201" spans="1:1" x14ac:dyDescent="0.25">
      <c r="A201" s="21"/>
    </row>
    <row r="202" spans="1:1" x14ac:dyDescent="0.25">
      <c r="A202" s="21"/>
    </row>
    <row r="203" spans="1:1" x14ac:dyDescent="0.25">
      <c r="A203" s="21"/>
    </row>
    <row r="204" spans="1:1" x14ac:dyDescent="0.25">
      <c r="A204" s="21"/>
    </row>
    <row r="205" spans="1:1" x14ac:dyDescent="0.25">
      <c r="A205" s="21"/>
    </row>
    <row r="206" spans="1:1" x14ac:dyDescent="0.25">
      <c r="A206" s="21"/>
    </row>
    <row r="207" spans="1:1" x14ac:dyDescent="0.25">
      <c r="A207" s="21"/>
    </row>
    <row r="208" spans="1:1" x14ac:dyDescent="0.25">
      <c r="A208" s="21"/>
    </row>
    <row r="209" spans="1:1" x14ac:dyDescent="0.25">
      <c r="A209" s="21"/>
    </row>
    <row r="210" spans="1:1" x14ac:dyDescent="0.25">
      <c r="A210" s="21"/>
    </row>
    <row r="211" spans="1:1" x14ac:dyDescent="0.25">
      <c r="A211" s="21"/>
    </row>
    <row r="212" spans="1:1" x14ac:dyDescent="0.25">
      <c r="A212" s="21"/>
    </row>
    <row r="213" spans="1:1" x14ac:dyDescent="0.25">
      <c r="A213" s="21"/>
    </row>
    <row r="214" spans="1:1" x14ac:dyDescent="0.25">
      <c r="A214" s="21"/>
    </row>
    <row r="215" spans="1:1" x14ac:dyDescent="0.25">
      <c r="A215" s="21"/>
    </row>
    <row r="216" spans="1:1" x14ac:dyDescent="0.25">
      <c r="A216" s="21"/>
    </row>
    <row r="217" spans="1:1" x14ac:dyDescent="0.25">
      <c r="A217" s="21"/>
    </row>
    <row r="218" spans="1:1" x14ac:dyDescent="0.25">
      <c r="A218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2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5" t="s">
        <v>26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6"/>
      <c r="M2" s="117" t="s">
        <v>27</v>
      </c>
      <c r="N2" s="117"/>
      <c r="O2" s="117"/>
      <c r="P2" s="117"/>
      <c r="Q2" s="117"/>
      <c r="R2" s="117" t="s">
        <v>28</v>
      </c>
      <c r="S2" s="117"/>
      <c r="T2" s="117"/>
      <c r="U2" s="117"/>
      <c r="V2" s="117"/>
      <c r="W2" s="117"/>
      <c r="X2" s="117"/>
      <c r="Y2" s="97" t="s">
        <v>41</v>
      </c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118"/>
      <c r="AM2" s="118"/>
      <c r="AN2" s="118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2015-02-09T17:10:33Z</dcterms:modified>
</cp:coreProperties>
</file>