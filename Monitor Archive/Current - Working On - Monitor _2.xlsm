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480" yWindow="1395" windowWidth="13845" windowHeight="6945" tabRatio="596"/>
  </bookViews>
  <sheets>
    <sheet name="Sheet1" sheetId="15" r:id="rId1"/>
    <sheet name="Watchlist" sheetId="13" r:id="rId2"/>
    <sheet name="Config" sheetId="14" r:id="rId3"/>
    <sheet name="Log" sheetId="2" r:id="rId4"/>
    <sheet name="OrderHistory" sheetId="3" r:id="rId5"/>
    <sheet name="Contracts" sheetId="5" r:id="rId6"/>
  </sheets>
  <functionGroups builtInGroupCount="18"/>
  <calcPr calcId="152511"/>
</workbook>
</file>

<file path=xl/calcChain.xml><?xml version="1.0" encoding="utf-8"?>
<calcChain xmlns="http://schemas.openxmlformats.org/spreadsheetml/2006/main">
  <c r="X46" i="15" l="1"/>
  <c r="X47" i="15"/>
  <c r="X48" i="15"/>
  <c r="X49" i="15"/>
  <c r="X51" i="15"/>
  <c r="X52" i="15"/>
  <c r="X53" i="15"/>
  <c r="X54" i="15"/>
  <c r="X55" i="15"/>
  <c r="X56" i="15"/>
  <c r="X57" i="15"/>
  <c r="X58" i="15"/>
  <c r="X59" i="15"/>
  <c r="X60" i="15"/>
  <c r="X61" i="15"/>
  <c r="X62" i="15"/>
  <c r="X63" i="15"/>
  <c r="X64" i="15"/>
  <c r="X65" i="15"/>
  <c r="X45" i="15"/>
  <c r="AA46" i="15"/>
  <c r="AA56" i="15"/>
  <c r="AA59" i="15"/>
  <c r="AA51" i="15"/>
  <c r="AA63" i="15"/>
  <c r="AA54" i="15"/>
  <c r="AA48" i="15"/>
  <c r="AA58" i="15"/>
  <c r="AA55" i="15"/>
  <c r="AA52" i="15"/>
  <c r="AA50" i="15"/>
  <c r="AA47" i="15"/>
  <c r="AA61" i="15"/>
  <c r="AA62" i="15"/>
  <c r="AA45" i="15"/>
  <c r="AA60" i="15"/>
  <c r="AA64" i="15"/>
  <c r="AA49" i="15"/>
  <c r="AA53" i="15"/>
  <c r="AA57" i="15"/>
  <c r="AA65" i="15"/>
  <c r="R36" i="15" l="1"/>
  <c r="X50" i="15"/>
  <c r="AK125" i="13"/>
  <c r="AJ125" i="13"/>
  <c r="AI125" i="13"/>
  <c r="AH125" i="13"/>
  <c r="AD125" i="13"/>
  <c r="AB125" i="13"/>
  <c r="K125" i="13"/>
  <c r="H125" i="13"/>
  <c r="AK124" i="13"/>
  <c r="AJ124" i="13"/>
  <c r="AI124" i="13"/>
  <c r="AH124" i="13"/>
  <c r="AD124" i="13"/>
  <c r="AB124" i="13"/>
  <c r="K124" i="13"/>
  <c r="H124" i="13"/>
  <c r="AK123" i="13"/>
  <c r="AJ123" i="13"/>
  <c r="AI123" i="13"/>
  <c r="AH123" i="13"/>
  <c r="AD123" i="13"/>
  <c r="AB123" i="13"/>
  <c r="K123" i="13"/>
  <c r="H123" i="13"/>
  <c r="AK122" i="13"/>
  <c r="AJ122" i="13"/>
  <c r="AI122" i="13"/>
  <c r="AH122" i="13"/>
  <c r="AD122" i="13"/>
  <c r="AB122" i="13"/>
  <c r="K122" i="13"/>
  <c r="H122" i="13"/>
  <c r="AK121" i="13"/>
  <c r="AJ121" i="13"/>
  <c r="AI121" i="13"/>
  <c r="AH121" i="13"/>
  <c r="AD121" i="13"/>
  <c r="AB121" i="13"/>
  <c r="K121" i="13"/>
  <c r="H121" i="13"/>
  <c r="AK120" i="13"/>
  <c r="AJ120" i="13"/>
  <c r="AI120" i="13"/>
  <c r="AH120" i="13"/>
  <c r="AD120" i="13"/>
  <c r="AB120" i="13"/>
  <c r="K120" i="13"/>
  <c r="H120" i="13"/>
  <c r="AK119" i="13"/>
  <c r="AJ119" i="13"/>
  <c r="AI119" i="13"/>
  <c r="AH119" i="13"/>
  <c r="AD119" i="13"/>
  <c r="AB119" i="13"/>
  <c r="K119" i="13"/>
  <c r="H119" i="13"/>
  <c r="AK118" i="13"/>
  <c r="AJ118" i="13"/>
  <c r="AI118" i="13"/>
  <c r="AH118" i="13"/>
  <c r="AD118" i="13"/>
  <c r="AB118" i="13"/>
  <c r="K118" i="13"/>
  <c r="H118" i="13"/>
  <c r="AK117" i="13"/>
  <c r="AJ117" i="13"/>
  <c r="AI117" i="13"/>
  <c r="AH117" i="13"/>
  <c r="AD117" i="13"/>
  <c r="AB117" i="13"/>
  <c r="K117" i="13"/>
  <c r="H117" i="13"/>
  <c r="AK116" i="13"/>
  <c r="AJ116" i="13"/>
  <c r="AI116" i="13"/>
  <c r="AH116" i="13"/>
  <c r="AD116" i="13"/>
  <c r="AB116" i="13"/>
  <c r="K116" i="13"/>
  <c r="H116" i="13"/>
  <c r="AK115" i="13"/>
  <c r="AJ115" i="13"/>
  <c r="AI115" i="13"/>
  <c r="AH115" i="13"/>
  <c r="AD115" i="13"/>
  <c r="AB115" i="13"/>
  <c r="K115" i="13"/>
  <c r="H115" i="13"/>
  <c r="AK114" i="13"/>
  <c r="AJ114" i="13"/>
  <c r="AI114" i="13"/>
  <c r="AH114" i="13"/>
  <c r="AD114" i="13"/>
  <c r="AB114" i="13"/>
  <c r="K114" i="13"/>
  <c r="H114" i="13"/>
  <c r="AK113" i="13"/>
  <c r="AJ113" i="13"/>
  <c r="AI113" i="13"/>
  <c r="AH113" i="13"/>
  <c r="AD113" i="13"/>
  <c r="AB113" i="13"/>
  <c r="K113" i="13"/>
  <c r="H113" i="13"/>
  <c r="AK112" i="13"/>
  <c r="AJ112" i="13"/>
  <c r="AI112" i="13"/>
  <c r="AH112" i="13"/>
  <c r="AD112" i="13"/>
  <c r="AB112" i="13"/>
  <c r="K112" i="13"/>
  <c r="H112" i="13"/>
  <c r="AK111" i="13"/>
  <c r="AJ111" i="13"/>
  <c r="AI111" i="13"/>
  <c r="AH111" i="13"/>
  <c r="AD111" i="13"/>
  <c r="AB111" i="13"/>
  <c r="K111" i="13"/>
  <c r="H111" i="13"/>
  <c r="AK110" i="13"/>
  <c r="AJ110" i="13"/>
  <c r="AI110" i="13"/>
  <c r="AH110" i="13"/>
  <c r="AD110" i="13"/>
  <c r="AB110" i="13"/>
  <c r="K110" i="13"/>
  <c r="H110" i="13"/>
  <c r="AK109" i="13"/>
  <c r="AJ109" i="13"/>
  <c r="AI109" i="13"/>
  <c r="AH109" i="13"/>
  <c r="AD109" i="13"/>
  <c r="AB109" i="13"/>
  <c r="K109" i="13"/>
  <c r="H109" i="13"/>
  <c r="AK108" i="13"/>
  <c r="AJ108" i="13"/>
  <c r="AI108" i="13"/>
  <c r="AH108" i="13"/>
  <c r="AD108" i="13"/>
  <c r="AB108" i="13"/>
  <c r="K108" i="13"/>
  <c r="H108" i="13"/>
  <c r="AK107" i="13"/>
  <c r="AJ107" i="13"/>
  <c r="AI107" i="13"/>
  <c r="AH107" i="13"/>
  <c r="AD107" i="13"/>
  <c r="AB107" i="13"/>
  <c r="K107" i="13"/>
  <c r="H107" i="13"/>
  <c r="AK106" i="13"/>
  <c r="AJ106" i="13"/>
  <c r="AI106" i="13"/>
  <c r="AH106" i="13"/>
  <c r="AD106" i="13"/>
  <c r="AB106" i="13"/>
  <c r="K106" i="13"/>
  <c r="H106" i="13"/>
  <c r="AK105" i="13"/>
  <c r="AJ105" i="13"/>
  <c r="AI105" i="13"/>
  <c r="AH105" i="13"/>
  <c r="AD105" i="13"/>
  <c r="AB105" i="13"/>
  <c r="K105" i="13"/>
  <c r="H105" i="13"/>
  <c r="AK104" i="13"/>
  <c r="AJ104" i="13"/>
  <c r="AI104" i="13"/>
  <c r="AH104" i="13"/>
  <c r="AD104" i="13"/>
  <c r="AB104" i="13"/>
  <c r="K104" i="13"/>
  <c r="H104" i="13"/>
  <c r="AK103" i="13"/>
  <c r="AJ103" i="13"/>
  <c r="AI103" i="13"/>
  <c r="AH103" i="13"/>
  <c r="AD103" i="13"/>
  <c r="AB103" i="13"/>
  <c r="K103" i="13"/>
  <c r="H103" i="13"/>
  <c r="AK102" i="13"/>
  <c r="AJ102" i="13"/>
  <c r="AI102" i="13"/>
  <c r="AH102" i="13"/>
  <c r="AD102" i="13"/>
  <c r="AB102" i="13"/>
  <c r="K102" i="13"/>
  <c r="H102" i="13"/>
  <c r="AK101" i="13"/>
  <c r="AJ101" i="13"/>
  <c r="AI101" i="13"/>
  <c r="AH101" i="13"/>
  <c r="AD101" i="13"/>
  <c r="AB101" i="13"/>
  <c r="K101" i="13"/>
  <c r="H101" i="13"/>
  <c r="AK100" i="13"/>
  <c r="AJ100" i="13"/>
  <c r="AI100" i="13"/>
  <c r="AH100" i="13"/>
  <c r="AD100" i="13"/>
  <c r="AB100" i="13"/>
  <c r="K100" i="13"/>
  <c r="H100" i="13"/>
  <c r="AK99" i="13"/>
  <c r="AJ99" i="13"/>
  <c r="AI99" i="13"/>
  <c r="AH99" i="13"/>
  <c r="AD99" i="13"/>
  <c r="AB99" i="13"/>
  <c r="K99" i="13"/>
  <c r="H99" i="13"/>
  <c r="AK98" i="13"/>
  <c r="AJ98" i="13"/>
  <c r="AI98" i="13"/>
  <c r="AH98" i="13"/>
  <c r="AD98" i="13"/>
  <c r="AB98" i="13"/>
  <c r="K98" i="13"/>
  <c r="H98" i="13"/>
  <c r="AK97" i="13"/>
  <c r="AJ97" i="13"/>
  <c r="AI97" i="13"/>
  <c r="AH97" i="13"/>
  <c r="AD97" i="13"/>
  <c r="AB97" i="13"/>
  <c r="K97" i="13"/>
  <c r="H97" i="13"/>
  <c r="AK96" i="13"/>
  <c r="AJ96" i="13"/>
  <c r="AI96" i="13"/>
  <c r="AH96" i="13"/>
  <c r="AD96" i="13"/>
  <c r="AB96" i="13"/>
  <c r="K96" i="13"/>
  <c r="H96" i="13"/>
  <c r="AK95" i="13"/>
  <c r="AJ95" i="13"/>
  <c r="AI95" i="13"/>
  <c r="AH95" i="13"/>
  <c r="AD95" i="13"/>
  <c r="AB95" i="13"/>
  <c r="K95" i="13"/>
  <c r="H95" i="13"/>
  <c r="AK94" i="13"/>
  <c r="AJ94" i="13"/>
  <c r="AI94" i="13"/>
  <c r="AH94" i="13"/>
  <c r="AD94" i="13"/>
  <c r="AB94" i="13"/>
  <c r="K94" i="13"/>
  <c r="H94" i="13"/>
  <c r="AK93" i="13"/>
  <c r="AJ93" i="13"/>
  <c r="AI93" i="13"/>
  <c r="AH93" i="13"/>
  <c r="AD93" i="13"/>
  <c r="AB93" i="13"/>
  <c r="K93" i="13"/>
  <c r="H93" i="13"/>
  <c r="AK92" i="13"/>
  <c r="AJ92" i="13"/>
  <c r="AI92" i="13"/>
  <c r="AH92" i="13"/>
  <c r="AD92" i="13"/>
  <c r="AB92" i="13"/>
  <c r="K92" i="13"/>
  <c r="H92" i="13"/>
  <c r="AK91" i="13"/>
  <c r="AJ91" i="13"/>
  <c r="AI91" i="13"/>
  <c r="AH91" i="13"/>
  <c r="AD91" i="13"/>
  <c r="AB91" i="13"/>
  <c r="K91" i="13"/>
  <c r="H91" i="13"/>
  <c r="AK90" i="13"/>
  <c r="AJ90" i="13"/>
  <c r="AI90" i="13"/>
  <c r="AH90" i="13"/>
  <c r="AD90" i="13"/>
  <c r="AB90" i="13"/>
  <c r="K90" i="13"/>
  <c r="H90" i="13"/>
  <c r="AK89" i="13"/>
  <c r="AJ89" i="13"/>
  <c r="AI89" i="13"/>
  <c r="AH89" i="13"/>
  <c r="AD89" i="13"/>
  <c r="AB89" i="13"/>
  <c r="K89" i="13"/>
  <c r="H89" i="13"/>
  <c r="AK88" i="13"/>
  <c r="AJ88" i="13"/>
  <c r="AI88" i="13"/>
  <c r="AH88" i="13"/>
  <c r="AD88" i="13"/>
  <c r="AB88" i="13"/>
  <c r="K88" i="13"/>
  <c r="H88" i="13"/>
  <c r="AK87" i="13"/>
  <c r="AJ87" i="13"/>
  <c r="AI87" i="13"/>
  <c r="AH87" i="13"/>
  <c r="AD87" i="13"/>
  <c r="AB87" i="13"/>
  <c r="K87" i="13"/>
  <c r="H87" i="13"/>
  <c r="AK86" i="13"/>
  <c r="AJ86" i="13"/>
  <c r="AI86" i="13"/>
  <c r="AH86" i="13"/>
  <c r="AD86" i="13"/>
  <c r="AB86" i="13"/>
  <c r="K86" i="13"/>
  <c r="H86" i="13"/>
  <c r="AK85" i="13"/>
  <c r="AJ85" i="13"/>
  <c r="AI85" i="13"/>
  <c r="AH85" i="13"/>
  <c r="AD85" i="13"/>
  <c r="AB85" i="13"/>
  <c r="K85" i="13"/>
  <c r="H85" i="13"/>
  <c r="AK84" i="13"/>
  <c r="AJ84" i="13"/>
  <c r="AI84" i="13"/>
  <c r="AH84" i="13"/>
  <c r="AD84" i="13"/>
  <c r="AB84" i="13"/>
  <c r="K84" i="13"/>
  <c r="H84" i="13"/>
  <c r="AK83" i="13"/>
  <c r="AJ83" i="13"/>
  <c r="AI83" i="13"/>
  <c r="AH83" i="13"/>
  <c r="AD83" i="13"/>
  <c r="AB83" i="13"/>
  <c r="K83" i="13"/>
  <c r="H83" i="13"/>
  <c r="AK82" i="13"/>
  <c r="AJ82" i="13"/>
  <c r="AI82" i="13"/>
  <c r="AH82" i="13"/>
  <c r="AD82" i="13"/>
  <c r="AB82" i="13"/>
  <c r="K82" i="13"/>
  <c r="H82" i="13"/>
  <c r="AK81" i="13"/>
  <c r="AJ81" i="13"/>
  <c r="AI81" i="13"/>
  <c r="AH81" i="13"/>
  <c r="AD81" i="13"/>
  <c r="AB81" i="13"/>
  <c r="K81" i="13"/>
  <c r="H81" i="13"/>
  <c r="AK80" i="13"/>
  <c r="AJ80" i="13"/>
  <c r="AI80" i="13"/>
  <c r="AH80" i="13"/>
  <c r="AD80" i="13"/>
  <c r="AB80" i="13"/>
  <c r="K80" i="13"/>
  <c r="H80" i="13"/>
  <c r="AK79" i="13"/>
  <c r="AJ79" i="13"/>
  <c r="AI79" i="13"/>
  <c r="AH79" i="13"/>
  <c r="AD79" i="13"/>
  <c r="AB79" i="13"/>
  <c r="K79" i="13"/>
  <c r="H79" i="13"/>
  <c r="AK78" i="13"/>
  <c r="AJ78" i="13"/>
  <c r="AI78" i="13"/>
  <c r="AH78" i="13"/>
  <c r="AD78" i="13"/>
  <c r="AB78" i="13"/>
  <c r="K78" i="13"/>
  <c r="H78" i="13"/>
  <c r="AK77" i="13"/>
  <c r="AJ77" i="13"/>
  <c r="AI77" i="13"/>
  <c r="AH77" i="13"/>
  <c r="AD77" i="13"/>
  <c r="AB77" i="13"/>
  <c r="K77" i="13"/>
  <c r="H77" i="13"/>
  <c r="AK76" i="13"/>
  <c r="AJ76" i="13"/>
  <c r="AI76" i="13"/>
  <c r="AH76" i="13"/>
  <c r="AD76" i="13"/>
  <c r="AB76" i="13"/>
  <c r="K76" i="13"/>
  <c r="H76" i="13"/>
  <c r="AK75" i="13"/>
  <c r="AJ75" i="13"/>
  <c r="AI75" i="13"/>
  <c r="AH75" i="13"/>
  <c r="AD75" i="13"/>
  <c r="AB75" i="13"/>
  <c r="K75" i="13"/>
  <c r="H75" i="13"/>
  <c r="AK74" i="13"/>
  <c r="AJ74" i="13"/>
  <c r="AI74" i="13"/>
  <c r="AH74" i="13"/>
  <c r="AD74" i="13"/>
  <c r="AB74" i="13"/>
  <c r="K74" i="13"/>
  <c r="H74" i="13"/>
  <c r="AK73" i="13"/>
  <c r="AJ73" i="13"/>
  <c r="AI73" i="13"/>
  <c r="AH73" i="13"/>
  <c r="AD73" i="13"/>
  <c r="AB73" i="13"/>
  <c r="K73" i="13"/>
  <c r="H73" i="13"/>
  <c r="AK72" i="13"/>
  <c r="AJ72" i="13"/>
  <c r="AI72" i="13"/>
  <c r="AH72" i="13"/>
  <c r="AD72" i="13"/>
  <c r="AB72" i="13"/>
  <c r="K72" i="13"/>
  <c r="H72" i="13"/>
  <c r="AK71" i="13"/>
  <c r="AJ71" i="13"/>
  <c r="AI71" i="13"/>
  <c r="AH71" i="13"/>
  <c r="AD71" i="13"/>
  <c r="AB71" i="13"/>
  <c r="K71" i="13"/>
  <c r="H71" i="13"/>
  <c r="AK70" i="13"/>
  <c r="AJ70" i="13"/>
  <c r="AI70" i="13"/>
  <c r="AH70" i="13"/>
  <c r="AD70" i="13"/>
  <c r="AB70" i="13"/>
  <c r="K70" i="13"/>
  <c r="H70" i="13"/>
  <c r="AK69" i="13"/>
  <c r="AJ69" i="13"/>
  <c r="AI69" i="13"/>
  <c r="AH69" i="13"/>
  <c r="AD69" i="13"/>
  <c r="AB69" i="13"/>
  <c r="K69" i="13"/>
  <c r="H69" i="13"/>
  <c r="AK68" i="13"/>
  <c r="AJ68" i="13"/>
  <c r="AI68" i="13"/>
  <c r="AH68" i="13"/>
  <c r="AD68" i="13"/>
  <c r="AB68" i="13"/>
  <c r="K68" i="13"/>
  <c r="H68" i="13"/>
  <c r="AK67" i="13"/>
  <c r="AJ67" i="13"/>
  <c r="AI67" i="13"/>
  <c r="AH67" i="13"/>
  <c r="AD67" i="13"/>
  <c r="AB67" i="13"/>
  <c r="K67" i="13"/>
  <c r="H67" i="13"/>
  <c r="AK66" i="13"/>
  <c r="AJ66" i="13"/>
  <c r="AI66" i="13"/>
  <c r="AH66" i="13"/>
  <c r="AD66" i="13"/>
  <c r="AB66" i="13"/>
  <c r="K66" i="13"/>
  <c r="H66" i="13"/>
  <c r="AK65" i="13"/>
  <c r="AJ65" i="13"/>
  <c r="AI65" i="13"/>
  <c r="AH65" i="13"/>
  <c r="AD65" i="13"/>
  <c r="AB65" i="13"/>
  <c r="K65" i="13"/>
  <c r="H65" i="13"/>
  <c r="AK64" i="13"/>
  <c r="AJ64" i="13"/>
  <c r="AI64" i="13"/>
  <c r="AH64" i="13"/>
  <c r="AD64" i="13"/>
  <c r="AB64" i="13"/>
  <c r="K64" i="13"/>
  <c r="H64" i="13"/>
  <c r="AK63" i="13"/>
  <c r="AJ63" i="13"/>
  <c r="AI63" i="13"/>
  <c r="AH63" i="13"/>
  <c r="AD63" i="13"/>
  <c r="AB63" i="13"/>
  <c r="K63" i="13"/>
  <c r="H63" i="13"/>
  <c r="AK62" i="13"/>
  <c r="AJ62" i="13"/>
  <c r="AI62" i="13"/>
  <c r="AH62" i="13"/>
  <c r="AD62" i="13"/>
  <c r="AB62" i="13"/>
  <c r="K62" i="13"/>
  <c r="H62" i="13"/>
  <c r="AK61" i="13"/>
  <c r="AJ61" i="13"/>
  <c r="AI61" i="13"/>
  <c r="AH61" i="13"/>
  <c r="AD61" i="13"/>
  <c r="AB61" i="13"/>
  <c r="K61" i="13"/>
  <c r="H61" i="13"/>
  <c r="AK60" i="13"/>
  <c r="AJ60" i="13"/>
  <c r="AI60" i="13"/>
  <c r="AH60" i="13"/>
  <c r="AD60" i="13"/>
  <c r="AB60" i="13"/>
  <c r="K60" i="13"/>
  <c r="H60" i="13"/>
  <c r="AK59" i="13"/>
  <c r="AJ59" i="13"/>
  <c r="AI59" i="13"/>
  <c r="AH59" i="13"/>
  <c r="AD59" i="13"/>
  <c r="AB59" i="13"/>
  <c r="K59" i="13"/>
  <c r="H59" i="13"/>
  <c r="AK58" i="13"/>
  <c r="AJ58" i="13"/>
  <c r="AI58" i="13"/>
  <c r="AH58" i="13"/>
  <c r="AD58" i="13"/>
  <c r="AB58" i="13"/>
  <c r="K58" i="13"/>
  <c r="H58" i="13"/>
  <c r="AK57" i="13"/>
  <c r="AJ57" i="13"/>
  <c r="AI57" i="13"/>
  <c r="AH57" i="13"/>
  <c r="AD57" i="13"/>
  <c r="AB57" i="13"/>
  <c r="K57" i="13"/>
  <c r="H57" i="13"/>
  <c r="AK56" i="13"/>
  <c r="AJ56" i="13"/>
  <c r="AI56" i="13"/>
  <c r="AH56" i="13"/>
  <c r="AD56" i="13"/>
  <c r="AB56" i="13"/>
  <c r="K56" i="13"/>
  <c r="H56" i="13"/>
  <c r="AK55" i="13"/>
  <c r="AJ55" i="13"/>
  <c r="AI55" i="13"/>
  <c r="AH55" i="13"/>
  <c r="AD55" i="13"/>
  <c r="AB55" i="13"/>
  <c r="K55" i="13"/>
  <c r="H55" i="13"/>
  <c r="AK54" i="13"/>
  <c r="AJ54" i="13"/>
  <c r="AI54" i="13"/>
  <c r="AH54" i="13"/>
  <c r="AD54" i="13"/>
  <c r="AB54" i="13"/>
  <c r="K54" i="13"/>
  <c r="H54" i="13"/>
  <c r="AK53" i="13"/>
  <c r="AJ53" i="13"/>
  <c r="AI53" i="13"/>
  <c r="AH53" i="13"/>
  <c r="AD53" i="13"/>
  <c r="AB53" i="13"/>
  <c r="K53" i="13"/>
  <c r="H53" i="13"/>
  <c r="AK52" i="13"/>
  <c r="AJ52" i="13"/>
  <c r="AI52" i="13"/>
  <c r="AH52" i="13"/>
  <c r="AD52" i="13"/>
  <c r="AB52" i="13"/>
  <c r="K52" i="13"/>
  <c r="H52" i="13"/>
  <c r="AK51" i="13"/>
  <c r="AJ51" i="13"/>
  <c r="AI51" i="13"/>
  <c r="AH51" i="13"/>
  <c r="AD51" i="13"/>
  <c r="AB51" i="13"/>
  <c r="K51" i="13"/>
  <c r="H51" i="13"/>
  <c r="AK50" i="13"/>
  <c r="AJ50" i="13"/>
  <c r="AI50" i="13"/>
  <c r="AH50" i="13"/>
  <c r="AD50" i="13"/>
  <c r="AB50" i="13"/>
  <c r="K50" i="13"/>
  <c r="H50" i="13"/>
  <c r="AK49" i="13"/>
  <c r="AJ49" i="13"/>
  <c r="AI49" i="13"/>
  <c r="AH49" i="13"/>
  <c r="AD49" i="13"/>
  <c r="AB49" i="13"/>
  <c r="K49" i="13"/>
  <c r="H49" i="13"/>
  <c r="AK48" i="13"/>
  <c r="AJ48" i="13"/>
  <c r="AI48" i="13"/>
  <c r="AH48" i="13"/>
  <c r="AD48" i="13"/>
  <c r="AB48" i="13"/>
  <c r="K48" i="13"/>
  <c r="H48" i="13"/>
  <c r="AK47" i="13"/>
  <c r="AJ47" i="13"/>
  <c r="AI47" i="13"/>
  <c r="AH47" i="13"/>
  <c r="AD47" i="13"/>
  <c r="AB47" i="13"/>
  <c r="K47" i="13"/>
  <c r="H47" i="13"/>
  <c r="AK46" i="13"/>
  <c r="AJ46" i="13"/>
  <c r="AI46" i="13"/>
  <c r="AH46" i="13"/>
  <c r="AD46" i="13"/>
  <c r="AB46" i="13"/>
  <c r="K46" i="13"/>
  <c r="H46" i="13"/>
  <c r="AK45" i="13"/>
  <c r="AJ45" i="13"/>
  <c r="AI45" i="13"/>
  <c r="AH45" i="13"/>
  <c r="AD45" i="13"/>
  <c r="AB45" i="13"/>
  <c r="K45" i="13"/>
  <c r="H45" i="13"/>
  <c r="AK44" i="13"/>
  <c r="AJ44" i="13"/>
  <c r="AI44" i="13"/>
  <c r="AH44" i="13"/>
  <c r="AD44" i="13"/>
  <c r="AB44" i="13"/>
  <c r="K44" i="13"/>
  <c r="H44" i="13"/>
  <c r="AK43" i="13"/>
  <c r="AJ43" i="13"/>
  <c r="AI43" i="13"/>
  <c r="AH43" i="13"/>
  <c r="AD43" i="13"/>
  <c r="AB43" i="13"/>
  <c r="K43" i="13"/>
  <c r="H43" i="13"/>
  <c r="AK42" i="13"/>
  <c r="AJ42" i="13"/>
  <c r="AI42" i="13"/>
  <c r="AH42" i="13"/>
  <c r="AD42" i="13"/>
  <c r="AB42" i="13"/>
  <c r="K42" i="13"/>
  <c r="H42" i="13"/>
  <c r="AK41" i="13"/>
  <c r="AJ41" i="13"/>
  <c r="AI41" i="13"/>
  <c r="AH41" i="13"/>
  <c r="AD41" i="13"/>
  <c r="AB41" i="13"/>
  <c r="K41" i="13"/>
  <c r="H41" i="13"/>
  <c r="AK40" i="13"/>
  <c r="AJ40" i="13"/>
  <c r="AI40" i="13"/>
  <c r="AH40" i="13"/>
  <c r="AD40" i="13"/>
  <c r="AB40" i="13"/>
  <c r="K40" i="13"/>
  <c r="H40" i="13"/>
  <c r="AK39" i="13"/>
  <c r="AJ39" i="13"/>
  <c r="AI39" i="13"/>
  <c r="AH39" i="13"/>
  <c r="AD39" i="13"/>
  <c r="AB39" i="13"/>
  <c r="K39" i="13"/>
  <c r="H39" i="13"/>
  <c r="AK38" i="13"/>
  <c r="AJ38" i="13"/>
  <c r="AI38" i="13"/>
  <c r="AH38" i="13"/>
  <c r="AD38" i="13"/>
  <c r="AB38" i="13"/>
  <c r="K38" i="13"/>
  <c r="H38" i="13"/>
  <c r="AK37" i="13"/>
  <c r="AJ37" i="13"/>
  <c r="AI37" i="13"/>
  <c r="AH37" i="13"/>
  <c r="AD37" i="13"/>
  <c r="AB37" i="13"/>
  <c r="K37" i="13"/>
  <c r="H37" i="13"/>
  <c r="AK36" i="13"/>
  <c r="AJ36" i="13"/>
  <c r="AI36" i="13"/>
  <c r="AH36" i="13"/>
  <c r="AD36" i="13"/>
  <c r="AB36" i="13"/>
  <c r="K36" i="13"/>
  <c r="H36" i="13"/>
  <c r="AK35" i="13"/>
  <c r="AJ35" i="13"/>
  <c r="AI35" i="13"/>
  <c r="AH35" i="13"/>
  <c r="AD35" i="13"/>
  <c r="AB35" i="13"/>
  <c r="K35" i="13"/>
  <c r="H35" i="13"/>
  <c r="AK34" i="13"/>
  <c r="AJ34" i="13"/>
  <c r="AI34" i="13"/>
  <c r="AH34" i="13"/>
  <c r="AD34" i="13"/>
  <c r="AB34" i="13"/>
  <c r="K34" i="13"/>
  <c r="H34" i="13"/>
  <c r="AK33" i="13"/>
  <c r="AJ33" i="13"/>
  <c r="AI33" i="13"/>
  <c r="AH33" i="13"/>
  <c r="AD33" i="13"/>
  <c r="AB33" i="13"/>
  <c r="K33" i="13"/>
  <c r="H33" i="13"/>
  <c r="AK32" i="13"/>
  <c r="AJ32" i="13"/>
  <c r="AI32" i="13"/>
  <c r="AH32" i="13"/>
  <c r="AD32" i="13"/>
  <c r="AB32" i="13"/>
  <c r="K32" i="13"/>
  <c r="H32" i="13"/>
  <c r="AK31" i="13"/>
  <c r="AJ31" i="13"/>
  <c r="AI31" i="13"/>
  <c r="AH31" i="13"/>
  <c r="AD31" i="13"/>
  <c r="AB31" i="13"/>
  <c r="K31" i="13"/>
  <c r="H31" i="13"/>
  <c r="AK30" i="13"/>
  <c r="AJ30" i="13"/>
  <c r="AI30" i="13"/>
  <c r="AH30" i="13"/>
  <c r="AD30" i="13"/>
  <c r="AB30" i="13"/>
  <c r="K30" i="13"/>
  <c r="H30" i="13"/>
  <c r="AK29" i="13"/>
  <c r="AJ29" i="13"/>
  <c r="AI29" i="13"/>
  <c r="AH29" i="13"/>
  <c r="AD29" i="13"/>
  <c r="AB29" i="13"/>
  <c r="K29" i="13"/>
  <c r="H29" i="13"/>
  <c r="AK28" i="13"/>
  <c r="AJ28" i="13"/>
  <c r="AI28" i="13"/>
  <c r="AH28" i="13"/>
  <c r="AD28" i="13"/>
  <c r="AB28" i="13"/>
  <c r="K28" i="13"/>
  <c r="H28" i="13"/>
  <c r="AK27" i="13"/>
  <c r="AJ27" i="13"/>
  <c r="AI27" i="13"/>
  <c r="AH27" i="13"/>
  <c r="AD27" i="13"/>
  <c r="AB27" i="13"/>
  <c r="K27" i="13"/>
  <c r="H27" i="13"/>
  <c r="AK26" i="13"/>
  <c r="AJ26" i="13"/>
  <c r="AI26" i="13"/>
  <c r="AH26" i="13"/>
  <c r="AD26" i="13"/>
  <c r="AB26" i="13"/>
  <c r="K26" i="13"/>
  <c r="H26" i="13"/>
  <c r="AK25" i="13"/>
  <c r="AJ25" i="13"/>
  <c r="AI25" i="13"/>
  <c r="AH25" i="13"/>
  <c r="AD25" i="13"/>
  <c r="AB25" i="13"/>
  <c r="K25" i="13"/>
  <c r="H25" i="13"/>
  <c r="AK24" i="13"/>
  <c r="AJ24" i="13"/>
  <c r="AI24" i="13"/>
  <c r="AH24" i="13"/>
  <c r="AD24" i="13"/>
  <c r="AB24" i="13"/>
  <c r="K24" i="13"/>
  <c r="H24" i="13"/>
  <c r="AK23" i="13"/>
  <c r="AJ23" i="13"/>
  <c r="AI23" i="13"/>
  <c r="AH23" i="13"/>
  <c r="AD23" i="13"/>
  <c r="AB23" i="13"/>
  <c r="K23" i="13"/>
  <c r="H23" i="13"/>
  <c r="AK22" i="13"/>
  <c r="AJ22" i="13"/>
  <c r="AI22" i="13"/>
  <c r="AH22" i="13"/>
  <c r="AD22" i="13"/>
  <c r="AB22" i="13"/>
  <c r="K22" i="13"/>
  <c r="H22" i="13"/>
  <c r="AK21" i="13"/>
  <c r="AJ21" i="13"/>
  <c r="AI21" i="13"/>
  <c r="AH21" i="13"/>
  <c r="AD21" i="13"/>
  <c r="AB21" i="13"/>
  <c r="K21" i="13"/>
  <c r="H21" i="13"/>
  <c r="AK20" i="13"/>
  <c r="AJ20" i="13"/>
  <c r="AI20" i="13"/>
  <c r="AH20" i="13"/>
  <c r="AD20" i="13"/>
  <c r="AB20" i="13"/>
  <c r="K20" i="13"/>
  <c r="H20" i="13"/>
  <c r="AK19" i="13"/>
  <c r="AJ19" i="13"/>
  <c r="AI19" i="13"/>
  <c r="AH19" i="13"/>
  <c r="AD19" i="13"/>
  <c r="AB19" i="13"/>
  <c r="K19" i="13"/>
  <c r="H19" i="13"/>
  <c r="AK18" i="13"/>
  <c r="AJ18" i="13"/>
  <c r="AI18" i="13"/>
  <c r="AH18" i="13"/>
  <c r="AD18" i="13"/>
  <c r="AB18" i="13"/>
  <c r="K18" i="13"/>
  <c r="H18" i="13"/>
  <c r="AK17" i="13"/>
  <c r="AJ17" i="13"/>
  <c r="AI17" i="13"/>
  <c r="AH17" i="13"/>
  <c r="AD17" i="13"/>
  <c r="AB17" i="13"/>
  <c r="K17" i="13"/>
  <c r="H17" i="13"/>
  <c r="AK16" i="13"/>
  <c r="AJ16" i="13"/>
  <c r="AI16" i="13"/>
  <c r="AH16" i="13"/>
  <c r="AD16" i="13"/>
  <c r="AB16" i="13"/>
  <c r="K16" i="13"/>
  <c r="H16" i="13"/>
  <c r="AK15" i="13"/>
  <c r="AJ15" i="13"/>
  <c r="AI15" i="13"/>
  <c r="AH15" i="13"/>
  <c r="AD15" i="13"/>
  <c r="AB15" i="13"/>
  <c r="K15" i="13"/>
  <c r="H15" i="13"/>
  <c r="AK14" i="13"/>
  <c r="AJ14" i="13"/>
  <c r="AI14" i="13"/>
  <c r="AH14" i="13"/>
  <c r="AD14" i="13"/>
  <c r="AB14" i="13"/>
  <c r="K14" i="13"/>
  <c r="H14" i="13"/>
  <c r="AK13" i="13"/>
  <c r="AJ13" i="13"/>
  <c r="AI13" i="13"/>
  <c r="AH13" i="13"/>
  <c r="AD13" i="13"/>
  <c r="AB13" i="13"/>
  <c r="K13" i="13"/>
  <c r="H13" i="13"/>
  <c r="AK12" i="13"/>
  <c r="AJ12" i="13"/>
  <c r="AI12" i="13"/>
  <c r="AH12" i="13"/>
  <c r="AD12" i="13"/>
  <c r="AB12" i="13"/>
  <c r="K12" i="13"/>
  <c r="H12" i="13"/>
  <c r="AK11" i="13"/>
  <c r="AJ11" i="13"/>
  <c r="AI11" i="13"/>
  <c r="AH11" i="13"/>
  <c r="AD11" i="13"/>
  <c r="AB11" i="13"/>
  <c r="K11" i="13"/>
  <c r="H11" i="13"/>
  <c r="AK10" i="13"/>
  <c r="AJ10" i="13"/>
  <c r="AI10" i="13"/>
  <c r="AH10" i="13"/>
  <c r="AD10" i="13"/>
  <c r="AB10" i="13"/>
  <c r="K10" i="13"/>
  <c r="H10" i="13"/>
  <c r="AK9" i="13"/>
  <c r="AJ9" i="13"/>
  <c r="AI9" i="13"/>
  <c r="AH9" i="13"/>
  <c r="AD9" i="13"/>
  <c r="AB9" i="13"/>
  <c r="K9" i="13"/>
  <c r="H9" i="13"/>
  <c r="AK8" i="13"/>
  <c r="AJ8" i="13"/>
  <c r="AI8" i="13"/>
  <c r="AH8" i="13"/>
  <c r="AD8" i="13"/>
  <c r="AB8" i="13"/>
  <c r="K8" i="13"/>
  <c r="H8" i="13"/>
  <c r="AK7" i="13"/>
  <c r="AJ7" i="13"/>
  <c r="AI7" i="13"/>
  <c r="AH7" i="13"/>
  <c r="AD7" i="13"/>
  <c r="AB7" i="13"/>
  <c r="K7" i="13"/>
  <c r="H7" i="13"/>
  <c r="AK6" i="13"/>
  <c r="AJ6" i="13"/>
  <c r="AI6" i="13"/>
  <c r="AH6" i="13"/>
  <c r="AD6" i="13"/>
  <c r="AB6" i="13"/>
  <c r="K6" i="13"/>
  <c r="H6" i="13"/>
  <c r="Z65" i="15"/>
  <c r="W65" i="15"/>
  <c r="U65" i="15"/>
  <c r="Z64" i="15"/>
  <c r="W64" i="15"/>
  <c r="U64" i="15"/>
  <c r="Z63" i="15"/>
  <c r="W63" i="15"/>
  <c r="U63" i="15"/>
  <c r="Z62" i="15"/>
  <c r="W62" i="15"/>
  <c r="U62" i="15"/>
  <c r="Z61" i="15"/>
  <c r="W61" i="15"/>
  <c r="U61" i="15"/>
  <c r="Z60" i="15"/>
  <c r="W60" i="15"/>
  <c r="U60" i="15"/>
  <c r="Z59" i="15"/>
  <c r="W59" i="15"/>
  <c r="U59" i="15"/>
  <c r="Z58" i="15"/>
  <c r="W58" i="15"/>
  <c r="U58" i="15"/>
  <c r="Z57" i="15"/>
  <c r="W57" i="15"/>
  <c r="U57" i="15"/>
  <c r="Z56" i="15"/>
  <c r="W56" i="15"/>
  <c r="U56" i="15"/>
  <c r="AB55" i="15"/>
  <c r="AC55" i="15" s="1"/>
  <c r="AD55" i="15" s="1"/>
  <c r="W55" i="15"/>
  <c r="U55" i="15"/>
  <c r="Z54" i="15"/>
  <c r="W54" i="15"/>
  <c r="U54" i="15"/>
  <c r="Z53" i="15"/>
  <c r="W53" i="15"/>
  <c r="U53" i="15"/>
  <c r="Z52" i="15"/>
  <c r="W52" i="15"/>
  <c r="U52" i="15"/>
  <c r="Z51" i="15"/>
  <c r="W51" i="15"/>
  <c r="U51" i="15"/>
  <c r="Z50" i="15"/>
  <c r="W50" i="15"/>
  <c r="U50" i="15"/>
  <c r="Z49" i="15"/>
  <c r="W49" i="15"/>
  <c r="U49" i="15"/>
  <c r="Z48" i="15"/>
  <c r="W48" i="15"/>
  <c r="U48" i="15"/>
  <c r="Z47" i="15"/>
  <c r="W47" i="15"/>
  <c r="U47" i="15"/>
  <c r="Z46" i="15"/>
  <c r="W46" i="15"/>
  <c r="U46" i="15"/>
  <c r="Z45" i="15"/>
  <c r="W45" i="15"/>
  <c r="U45" i="15"/>
  <c r="X27" i="15"/>
  <c r="AE48" i="13"/>
  <c r="AE74" i="13"/>
  <c r="AE51" i="13"/>
  <c r="AE85" i="13"/>
  <c r="AE108" i="13"/>
  <c r="AE101" i="13"/>
  <c r="AE58" i="13"/>
  <c r="AE62" i="13"/>
  <c r="AE118" i="13"/>
  <c r="AE91" i="13"/>
  <c r="AE34" i="13"/>
  <c r="AE106" i="13"/>
  <c r="AE25" i="13"/>
  <c r="AE23" i="13"/>
  <c r="AE87" i="13"/>
  <c r="AE81" i="13"/>
  <c r="AE11" i="13"/>
  <c r="AE116" i="13"/>
  <c r="AE86" i="13"/>
  <c r="AE72" i="13"/>
  <c r="AE80" i="13"/>
  <c r="AE123" i="13"/>
  <c r="AE119" i="13"/>
  <c r="AE49" i="13"/>
  <c r="AE44" i="13"/>
  <c r="AE79" i="13"/>
  <c r="AE71" i="13"/>
  <c r="AE14" i="13"/>
  <c r="AE29" i="13"/>
  <c r="AE107" i="13"/>
  <c r="AE115" i="13"/>
  <c r="AE63" i="13"/>
  <c r="AE88" i="13"/>
  <c r="AE18" i="13"/>
  <c r="AE15" i="13"/>
  <c r="AE98" i="13"/>
  <c r="AE24" i="13"/>
  <c r="AE9" i="13"/>
  <c r="AE124" i="13"/>
  <c r="AE117" i="13"/>
  <c r="AE104" i="13"/>
  <c r="AE111" i="13"/>
  <c r="AE92" i="13"/>
  <c r="AE41" i="13"/>
  <c r="AE113" i="13"/>
  <c r="AE70" i="13"/>
  <c r="AE109" i="13"/>
  <c r="AE112" i="13"/>
  <c r="AE56" i="13"/>
  <c r="AE90" i="13"/>
  <c r="AE21" i="13"/>
  <c r="AE89" i="13"/>
  <c r="AE67" i="13"/>
  <c r="AE45" i="13"/>
  <c r="AE42" i="13"/>
  <c r="AE60" i="13"/>
  <c r="AE47" i="13"/>
  <c r="AE103" i="13"/>
  <c r="AE13" i="13"/>
  <c r="AE84" i="13"/>
  <c r="AE26" i="13"/>
  <c r="AE99" i="13"/>
  <c r="AE16" i="13"/>
  <c r="AE66" i="13"/>
  <c r="AE122" i="13"/>
  <c r="AE97" i="13"/>
  <c r="AE78" i="13"/>
  <c r="AE77" i="13"/>
  <c r="AE100" i="13"/>
  <c r="AE73" i="13"/>
  <c r="AE82" i="13"/>
  <c r="AE20" i="13"/>
  <c r="AE52" i="13"/>
  <c r="AE27" i="13"/>
  <c r="AE69" i="13"/>
  <c r="AE6" i="13"/>
  <c r="AE28" i="13"/>
  <c r="AE37" i="13"/>
  <c r="AE40" i="13"/>
  <c r="AE121" i="13"/>
  <c r="AE102" i="13"/>
  <c r="AE114" i="13"/>
  <c r="AE105" i="13"/>
  <c r="AE12" i="13"/>
  <c r="AE76" i="13"/>
  <c r="AE35" i="13"/>
  <c r="AE57" i="13"/>
  <c r="AE31" i="13"/>
  <c r="AE95" i="13"/>
  <c r="AE55" i="13"/>
  <c r="AE83" i="13"/>
  <c r="AE8" i="13"/>
  <c r="AE110" i="13"/>
  <c r="AE10" i="13"/>
  <c r="AE120" i="13"/>
  <c r="AE7" i="13"/>
  <c r="AE39" i="13"/>
  <c r="AE59" i="13"/>
  <c r="AE75" i="13"/>
  <c r="AE46" i="13"/>
  <c r="AE61" i="13"/>
  <c r="AE17" i="13"/>
  <c r="AE33" i="13"/>
  <c r="AE96" i="13"/>
  <c r="AE94" i="13"/>
  <c r="AE68" i="13"/>
  <c r="AE64" i="13"/>
  <c r="AE30" i="13"/>
  <c r="AE22" i="13"/>
  <c r="AE93" i="13"/>
  <c r="AE65" i="13"/>
  <c r="AE54" i="13"/>
  <c r="AE38" i="13"/>
  <c r="AE50" i="13"/>
  <c r="AE43" i="13"/>
  <c r="AE32" i="13"/>
  <c r="AE125" i="13"/>
  <c r="AE19" i="13"/>
  <c r="AE36" i="13"/>
  <c r="AE53" i="13"/>
  <c r="Q36" i="15" l="1"/>
  <c r="AB47" i="15"/>
  <c r="AC47" i="15" s="1"/>
  <c r="AD47" i="15" s="1"/>
  <c r="AB52" i="15"/>
  <c r="AC52" i="15" s="1"/>
  <c r="AD52" i="15" s="1"/>
  <c r="S36" i="15"/>
  <c r="T36" i="15" s="1"/>
  <c r="AB50" i="15"/>
  <c r="AC50" i="15" s="1"/>
  <c r="AD50" i="15" s="1"/>
  <c r="AB53" i="15"/>
  <c r="AC53" i="15" s="1"/>
  <c r="AD53" i="15" s="1"/>
  <c r="AB54" i="15"/>
  <c r="AC54" i="15" s="1"/>
  <c r="AD54" i="15" s="1"/>
  <c r="AG84" i="13"/>
  <c r="AC84" i="13"/>
  <c r="AF84" i="13"/>
  <c r="AG86" i="13"/>
  <c r="AC86" i="13"/>
  <c r="AF86" i="13"/>
  <c r="AG88" i="13"/>
  <c r="AC88" i="13"/>
  <c r="AF88" i="13"/>
  <c r="AG90" i="13"/>
  <c r="AC90" i="13"/>
  <c r="AF90" i="13"/>
  <c r="AG92" i="13"/>
  <c r="AC92" i="13"/>
  <c r="AF92" i="13"/>
  <c r="AG94" i="13"/>
  <c r="AC94" i="13"/>
  <c r="AF94" i="13"/>
  <c r="AG96" i="13"/>
  <c r="AC96" i="13"/>
  <c r="AF96" i="13"/>
  <c r="AG98" i="13"/>
  <c r="AC98" i="13"/>
  <c r="AF98" i="13"/>
  <c r="AG100" i="13"/>
  <c r="AC100" i="13"/>
  <c r="AF100" i="13"/>
  <c r="AG102" i="13"/>
  <c r="AC102" i="13"/>
  <c r="AF102" i="13"/>
  <c r="AG104" i="13"/>
  <c r="AC104" i="13"/>
  <c r="AF104" i="13"/>
  <c r="AG106" i="13"/>
  <c r="AC106" i="13"/>
  <c r="AF106" i="13"/>
  <c r="AG108" i="13"/>
  <c r="AC108" i="13"/>
  <c r="AF108" i="13"/>
  <c r="AG110" i="13"/>
  <c r="AC110" i="13"/>
  <c r="AF110" i="13"/>
  <c r="AG112" i="13"/>
  <c r="AC112" i="13"/>
  <c r="AF112" i="13"/>
  <c r="AG114" i="13"/>
  <c r="AC114" i="13"/>
  <c r="AF114" i="13"/>
  <c r="AG116" i="13"/>
  <c r="AC116" i="13"/>
  <c r="AF116" i="13"/>
  <c r="AG118" i="13"/>
  <c r="AC118" i="13"/>
  <c r="AF118" i="13"/>
  <c r="AG120" i="13"/>
  <c r="AC120" i="13"/>
  <c r="AF120" i="13"/>
  <c r="AG122" i="13"/>
  <c r="AC122" i="13"/>
  <c r="AF122" i="13"/>
  <c r="AG124" i="13"/>
  <c r="AC124" i="13"/>
  <c r="AF124" i="13"/>
  <c r="AF19" i="13"/>
  <c r="AG19" i="13"/>
  <c r="AC19" i="13"/>
  <c r="AF20" i="13"/>
  <c r="AC20" i="13"/>
  <c r="AG20" i="13"/>
  <c r="AF21" i="13"/>
  <c r="AG21" i="13"/>
  <c r="AC21" i="13"/>
  <c r="AF22" i="13"/>
  <c r="AC22" i="13"/>
  <c r="AG22" i="13"/>
  <c r="AF23" i="13"/>
  <c r="AG23" i="13"/>
  <c r="AC23" i="13"/>
  <c r="AF24" i="13"/>
  <c r="AC24" i="13"/>
  <c r="AG24" i="13"/>
  <c r="AF25" i="13"/>
  <c r="AG25" i="13"/>
  <c r="AC25" i="13"/>
  <c r="AF26" i="13"/>
  <c r="AC26" i="13"/>
  <c r="AG26" i="13"/>
  <c r="AF27" i="13"/>
  <c r="AG27" i="13"/>
  <c r="AC27" i="13"/>
  <c r="AF28" i="13"/>
  <c r="AC28" i="13"/>
  <c r="AG28" i="13"/>
  <c r="AF29" i="13"/>
  <c r="AG29" i="13"/>
  <c r="AC29" i="13"/>
  <c r="AF30" i="13"/>
  <c r="AC30" i="13"/>
  <c r="AG30" i="13"/>
  <c r="AF31" i="13"/>
  <c r="AG31" i="13"/>
  <c r="AC31" i="13"/>
  <c r="AF32" i="13"/>
  <c r="AC32" i="13"/>
  <c r="AG32" i="13"/>
  <c r="AF33" i="13"/>
  <c r="AG33" i="13"/>
  <c r="AC33" i="13"/>
  <c r="AF34" i="13"/>
  <c r="AC34" i="13"/>
  <c r="AG34" i="13"/>
  <c r="AF35" i="13"/>
  <c r="AG35" i="13"/>
  <c r="AC35" i="13"/>
  <c r="AF36" i="13"/>
  <c r="AC36" i="13"/>
  <c r="AG36" i="13"/>
  <c r="AF37" i="13"/>
  <c r="AG37" i="13"/>
  <c r="AC37" i="13"/>
  <c r="AF38" i="13"/>
  <c r="AC38" i="13"/>
  <c r="AG38" i="13"/>
  <c r="AF39" i="13"/>
  <c r="AG39" i="13"/>
  <c r="AC39" i="13"/>
  <c r="AF40" i="13"/>
  <c r="AC40" i="13"/>
  <c r="AG40" i="13"/>
  <c r="AF41" i="13"/>
  <c r="AG41" i="13"/>
  <c r="AC41" i="13"/>
  <c r="AF42" i="13"/>
  <c r="AC42" i="13"/>
  <c r="AG42" i="13"/>
  <c r="AF43" i="13"/>
  <c r="AG43" i="13"/>
  <c r="AC43" i="13"/>
  <c r="AF44" i="13"/>
  <c r="AC44" i="13"/>
  <c r="AG44" i="13"/>
  <c r="AF45" i="13"/>
  <c r="AG45" i="13"/>
  <c r="AC45" i="13"/>
  <c r="AF46" i="13"/>
  <c r="AC46" i="13"/>
  <c r="AG46" i="13"/>
  <c r="AF47" i="13"/>
  <c r="AG47" i="13"/>
  <c r="AC47" i="13"/>
  <c r="AF48" i="13"/>
  <c r="AG48" i="13"/>
  <c r="AC48" i="13"/>
  <c r="AF49" i="13"/>
  <c r="AG49" i="13"/>
  <c r="AC49" i="13"/>
  <c r="AF50" i="13"/>
  <c r="AG50" i="13"/>
  <c r="AC50" i="13"/>
  <c r="AF51" i="13"/>
  <c r="AG51" i="13"/>
  <c r="AC51" i="13"/>
  <c r="AF52" i="13"/>
  <c r="AG52" i="13"/>
  <c r="AC52" i="13"/>
  <c r="AF53" i="13"/>
  <c r="AG53" i="13"/>
  <c r="AC53" i="13"/>
  <c r="AF54" i="13"/>
  <c r="AG54" i="13"/>
  <c r="AC54" i="13"/>
  <c r="AF55" i="13"/>
  <c r="AG55" i="13"/>
  <c r="AC55" i="13"/>
  <c r="AF56" i="13"/>
  <c r="AG56" i="13"/>
  <c r="AC56" i="13"/>
  <c r="AF57" i="13"/>
  <c r="AG57" i="13"/>
  <c r="AC57" i="13"/>
  <c r="AF58" i="13"/>
  <c r="AG58" i="13"/>
  <c r="AC58" i="13"/>
  <c r="AF59" i="13"/>
  <c r="AG59" i="13"/>
  <c r="AC59" i="13"/>
  <c r="AF60" i="13"/>
  <c r="AG60" i="13"/>
  <c r="AC60" i="13"/>
  <c r="AF61" i="13"/>
  <c r="AG61" i="13"/>
  <c r="AC61" i="13"/>
  <c r="AF62" i="13"/>
  <c r="AG62" i="13"/>
  <c r="AC62" i="13"/>
  <c r="AF63" i="13"/>
  <c r="AG63" i="13"/>
  <c r="AC63" i="13"/>
  <c r="AF64" i="13"/>
  <c r="AG64" i="13"/>
  <c r="AC64" i="13"/>
  <c r="AF65" i="13"/>
  <c r="AG65" i="13"/>
  <c r="AC65" i="13"/>
  <c r="AF66" i="13"/>
  <c r="AG66" i="13"/>
  <c r="AC66" i="13"/>
  <c r="AF67" i="13"/>
  <c r="AG67" i="13"/>
  <c r="AC67" i="13"/>
  <c r="AF68" i="13"/>
  <c r="AG68" i="13"/>
  <c r="AC68" i="13"/>
  <c r="AF69" i="13"/>
  <c r="AG69" i="13"/>
  <c r="AC69" i="13"/>
  <c r="AF70" i="13"/>
  <c r="AG70" i="13"/>
  <c r="AC70" i="13"/>
  <c r="AF71" i="13"/>
  <c r="AG71" i="13"/>
  <c r="AC71" i="13"/>
  <c r="AF72" i="13"/>
  <c r="AG72" i="13"/>
  <c r="AC72" i="13"/>
  <c r="AF73" i="13"/>
  <c r="AG73" i="13"/>
  <c r="AC73" i="13"/>
  <c r="AF74" i="13"/>
  <c r="AG74" i="13"/>
  <c r="AC74" i="13"/>
  <c r="AF75" i="13"/>
  <c r="AG75" i="13"/>
  <c r="AC75" i="13"/>
  <c r="AF76" i="13"/>
  <c r="AG76" i="13"/>
  <c r="AC76" i="13"/>
  <c r="AF77" i="13"/>
  <c r="AG77" i="13"/>
  <c r="AC77" i="13"/>
  <c r="AF78" i="13"/>
  <c r="AG78" i="13"/>
  <c r="AC78" i="13"/>
  <c r="AF79" i="13"/>
  <c r="AG79" i="13"/>
  <c r="AC79" i="13"/>
  <c r="AF80" i="13"/>
  <c r="AG80" i="13"/>
  <c r="AC80" i="13"/>
  <c r="AF81" i="13"/>
  <c r="AG81" i="13"/>
  <c r="AC81" i="13"/>
  <c r="AF82" i="13"/>
  <c r="AG82" i="13"/>
  <c r="AC82" i="13"/>
  <c r="AG83" i="13"/>
  <c r="AF83" i="13"/>
  <c r="AC83" i="13"/>
  <c r="AG85" i="13"/>
  <c r="AC85" i="13"/>
  <c r="AF85" i="13"/>
  <c r="AG87" i="13"/>
  <c r="AC87" i="13"/>
  <c r="AF87" i="13"/>
  <c r="AG89" i="13"/>
  <c r="AC89" i="13"/>
  <c r="AF89" i="13"/>
  <c r="AG91" i="13"/>
  <c r="AC91" i="13"/>
  <c r="AF91" i="13"/>
  <c r="AG93" i="13"/>
  <c r="AC93" i="13"/>
  <c r="AF93" i="13"/>
  <c r="AG95" i="13"/>
  <c r="AC95" i="13"/>
  <c r="AF95" i="13"/>
  <c r="AG97" i="13"/>
  <c r="AC97" i="13"/>
  <c r="AF97" i="13"/>
  <c r="AG99" i="13"/>
  <c r="AC99" i="13"/>
  <c r="AF99" i="13"/>
  <c r="AG101" i="13"/>
  <c r="AC101" i="13"/>
  <c r="AF101" i="13"/>
  <c r="AG103" i="13"/>
  <c r="AC103" i="13"/>
  <c r="AF103" i="13"/>
  <c r="AG105" i="13"/>
  <c r="AC105" i="13"/>
  <c r="AF105" i="13"/>
  <c r="AG107" i="13"/>
  <c r="AC107" i="13"/>
  <c r="AF107" i="13"/>
  <c r="AG109" i="13"/>
  <c r="AC109" i="13"/>
  <c r="AF109" i="13"/>
  <c r="AG111" i="13"/>
  <c r="AC111" i="13"/>
  <c r="AF111" i="13"/>
  <c r="AG113" i="13"/>
  <c r="AC113" i="13"/>
  <c r="AF113" i="13"/>
  <c r="AG115" i="13"/>
  <c r="AC115" i="13"/>
  <c r="AF115" i="13"/>
  <c r="AG117" i="13"/>
  <c r="AC117" i="13"/>
  <c r="AF117" i="13"/>
  <c r="AG119" i="13"/>
  <c r="AC119" i="13"/>
  <c r="AF119" i="13"/>
  <c r="AG121" i="13"/>
  <c r="AC121" i="13"/>
  <c r="AF121" i="13"/>
  <c r="AG123" i="13"/>
  <c r="AC123" i="13"/>
  <c r="AF123" i="13"/>
  <c r="AG125" i="13"/>
  <c r="AC125" i="13"/>
  <c r="AF125" i="13"/>
  <c r="AF6" i="13"/>
  <c r="AC6" i="13"/>
  <c r="AG6" i="13"/>
  <c r="AF7" i="13"/>
  <c r="AG7" i="13"/>
  <c r="AC7" i="13"/>
  <c r="AF8" i="13"/>
  <c r="AC8" i="13"/>
  <c r="AG8" i="13"/>
  <c r="AF9" i="13"/>
  <c r="AG9" i="13"/>
  <c r="AC9" i="13"/>
  <c r="AF10" i="13"/>
  <c r="AC10" i="13"/>
  <c r="AG10" i="13"/>
  <c r="AF11" i="13"/>
  <c r="AG11" i="13"/>
  <c r="AC11" i="13"/>
  <c r="AF12" i="13"/>
  <c r="AC12" i="13"/>
  <c r="AG12" i="13"/>
  <c r="AF13" i="13"/>
  <c r="AG13" i="13"/>
  <c r="AC13" i="13"/>
  <c r="AF14" i="13"/>
  <c r="AC14" i="13"/>
  <c r="AG14" i="13"/>
  <c r="AF15" i="13"/>
  <c r="AG15" i="13"/>
  <c r="AC15" i="13"/>
  <c r="AF16" i="13"/>
  <c r="AC16" i="13"/>
  <c r="AG16" i="13"/>
  <c r="AF17" i="13"/>
  <c r="AG17" i="13"/>
  <c r="AC17" i="13"/>
  <c r="AF18" i="13"/>
  <c r="AC18" i="13"/>
  <c r="AG18" i="13"/>
  <c r="AB48" i="15"/>
  <c r="AC48" i="15" s="1"/>
  <c r="AD48" i="15" s="1"/>
  <c r="AB49" i="15"/>
  <c r="AC49" i="15" s="1"/>
  <c r="AD49" i="15" s="1"/>
  <c r="AB45" i="15"/>
  <c r="AC45" i="15" s="1"/>
  <c r="AD45" i="15" s="1"/>
  <c r="AB46" i="15"/>
  <c r="AC46" i="15" s="1"/>
  <c r="AD46" i="15" s="1"/>
  <c r="AB51" i="15"/>
  <c r="AC51" i="15" s="1"/>
  <c r="AD51" i="15" s="1"/>
  <c r="AB56" i="15"/>
  <c r="AC56" i="15" s="1"/>
  <c r="AD56" i="15" s="1"/>
  <c r="AB57" i="15"/>
  <c r="AC57" i="15" s="1"/>
  <c r="AD57" i="15" s="1"/>
  <c r="AB58" i="15"/>
  <c r="AC58" i="15" s="1"/>
  <c r="AD58" i="15" s="1"/>
  <c r="AB59" i="15"/>
  <c r="AC59" i="15" s="1"/>
  <c r="AD59" i="15" s="1"/>
  <c r="AB60" i="15"/>
  <c r="AC60" i="15" s="1"/>
  <c r="AD60" i="15" s="1"/>
  <c r="AB61" i="15"/>
  <c r="AC61" i="15" s="1"/>
  <c r="AD61" i="15" s="1"/>
  <c r="AB62" i="15"/>
  <c r="AC62" i="15" s="1"/>
  <c r="AD62" i="15" s="1"/>
  <c r="AB63" i="15"/>
  <c r="AC63" i="15" s="1"/>
  <c r="AD63" i="15" s="1"/>
  <c r="AB64" i="15"/>
  <c r="AC64" i="15" s="1"/>
  <c r="AD64" i="15" s="1"/>
  <c r="AB65" i="15"/>
  <c r="AC65" i="15" s="1"/>
  <c r="AD65" i="15" s="1"/>
  <c r="AF4" i="13" l="1"/>
  <c r="Y53" i="15"/>
  <c r="Y55" i="15"/>
  <c r="Y48" i="15"/>
  <c r="Y51" i="15"/>
  <c r="Y46" i="15"/>
  <c r="Y56" i="15"/>
  <c r="Y58" i="15"/>
  <c r="Y60" i="15"/>
  <c r="Y62" i="15"/>
  <c r="Y64" i="15"/>
  <c r="Y47" i="15"/>
  <c r="Y50" i="15"/>
  <c r="Y49" i="15"/>
  <c r="Y52" i="15"/>
  <c r="Y54" i="15"/>
  <c r="Y57" i="15"/>
  <c r="Y59" i="15"/>
  <c r="Y61" i="15"/>
  <c r="Y63" i="15"/>
  <c r="Y65" i="15"/>
  <c r="AG43" i="15"/>
  <c r="W36" i="15" s="1"/>
  <c r="V36" i="15" s="1"/>
  <c r="Y45" i="15" l="1"/>
  <c r="S37" i="15"/>
  <c r="R37" i="15"/>
  <c r="R40" i="15" l="1"/>
  <c r="R41" i="15"/>
  <c r="S38" i="15"/>
  <c r="S41" i="15" s="1"/>
  <c r="R38" i="15"/>
  <c r="S40" i="15" s="1"/>
</calcChain>
</file>

<file path=xl/sharedStrings.xml><?xml version="1.0" encoding="utf-8"?>
<sst xmlns="http://schemas.openxmlformats.org/spreadsheetml/2006/main" count="13340" uniqueCount="12378">
  <si>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</si>
  <si>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</si>
  <si>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</si>
  <si>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</si>
  <si>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</si>
  <si>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</si>
  <si>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</si>
  <si>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</si>
  <si>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</si>
  <si>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</si>
  <si>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</si>
  <si>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</si>
  <si>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Status</t>
  </si>
  <si>
    <t>Positions</t>
  </si>
  <si>
    <t>Connectivity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</si>
  <si>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</si>
  <si>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</si>
  <si>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</si>
  <si>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</si>
  <si>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</si>
  <si>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</si>
  <si>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</si>
  <si>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</si>
  <si>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</si>
  <si>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</si>
  <si>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</si>
  <si>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Contract Description</t>
  </si>
  <si>
    <t>Order Description</t>
  </si>
  <si>
    <t>Order Status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</si>
  <si>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</si>
  <si>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</si>
  <si>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</si>
  <si>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</si>
  <si>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</si>
  <si>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</si>
  <si>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</si>
  <si>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</si>
  <si>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</si>
  <si>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</si>
  <si>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</si>
  <si>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</si>
  <si>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</si>
  <si>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</si>
  <si>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</si>
  <si>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</si>
  <si>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</si>
  <si>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</si>
  <si>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</si>
  <si>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</si>
  <si>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</si>
  <si>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</si>
  <si>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</si>
  <si>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</si>
  <si>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</si>
  <si>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</si>
  <si>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</si>
  <si>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</si>
  <si>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</si>
  <si>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</si>
  <si>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</si>
  <si>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</si>
  <si>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</si>
  <si>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</si>
  <si>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</si>
  <si>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</si>
  <si>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</si>
  <si>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</si>
  <si>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</si>
  <si>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</si>
  <si>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</si>
  <si>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</si>
  <si>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</si>
  <si>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</si>
  <si>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</si>
  <si>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6BM4 C1675</t>
  </si>
  <si>
    <t>6BM4 C1680</t>
  </si>
  <si>
    <t>6BM4 P1675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</si>
  <si>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</si>
  <si>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</si>
  <si>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</si>
  <si>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</si>
  <si>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</si>
  <si>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</si>
  <si>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</si>
  <si>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</si>
  <si>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</si>
  <si>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</si>
  <si>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</si>
  <si>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</si>
  <si>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</si>
  <si>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</si>
  <si>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</si>
  <si>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</si>
  <si>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</si>
  <si>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</si>
  <si>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</si>
  <si>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</si>
  <si>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</si>
  <si>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</si>
  <si>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Direction</t>
  </si>
  <si>
    <t>A</t>
  </si>
  <si>
    <t>Greeks</t>
  </si>
  <si>
    <t>Implied Vol</t>
  </si>
  <si>
    <t>Delta</t>
  </si>
  <si>
    <t>Gamma</t>
  </si>
  <si>
    <t>Theta</t>
  </si>
  <si>
    <t>Vega</t>
  </si>
  <si>
    <t>Underlying Price</t>
  </si>
  <si>
    <t>Position Greeks</t>
  </si>
  <si>
    <t>Dollar Theta</t>
  </si>
  <si>
    <t>Risk Co-efficient</t>
  </si>
  <si>
    <t>Allowable Portfolio Value Change</t>
  </si>
  <si>
    <t>CalcGamma</t>
  </si>
  <si>
    <t>Potfolio CalcGamma</t>
  </si>
  <si>
    <t xml:space="preserve">Theta/Gamma </t>
  </si>
  <si>
    <t>Ticks of Time Value</t>
  </si>
  <si>
    <t>Position Ticks of time value</t>
  </si>
  <si>
    <t>PositionTimeValue</t>
  </si>
  <si>
    <t>In-MoneyTicks</t>
  </si>
  <si>
    <t>Mid-Market</t>
  </si>
  <si>
    <t>Total Time Value</t>
  </si>
  <si>
    <t>Theoretical Price</t>
  </si>
  <si>
    <t>6B2</t>
  </si>
  <si>
    <t>Totals</t>
  </si>
  <si>
    <t>Host</t>
  </si>
  <si>
    <t>Port</t>
  </si>
  <si>
    <t>ClientID</t>
  </si>
  <si>
    <t>Log Level</t>
  </si>
  <si>
    <t>Current Time</t>
  </si>
  <si>
    <t>Connection Status</t>
  </si>
  <si>
    <t>Account Name</t>
  </si>
  <si>
    <t>54.171.93.132</t>
  </si>
  <si>
    <t>Ticks to Loss</t>
  </si>
  <si>
    <t>Portfolio Delta at that point</t>
  </si>
  <si>
    <t>REQUIRED STOP LOSS ORDERS</t>
  </si>
  <si>
    <t>Account Status</t>
  </si>
  <si>
    <t>Buy Stop</t>
  </si>
  <si>
    <t>Net Liquidation</t>
  </si>
  <si>
    <t>Current Initial</t>
  </si>
  <si>
    <t>Maintenance</t>
  </si>
  <si>
    <t>Available</t>
  </si>
  <si>
    <t>Unrealized</t>
  </si>
  <si>
    <t>Realized</t>
  </si>
  <si>
    <t>Subscription Status</t>
  </si>
  <si>
    <t>Account Ready</t>
  </si>
  <si>
    <t>Account Current Time</t>
  </si>
  <si>
    <t>Sell Stop</t>
  </si>
  <si>
    <t>Algo Control</t>
  </si>
  <si>
    <t>Downward Tick Bufffer</t>
  </si>
  <si>
    <t>Upward Tick Buffer</t>
  </si>
  <si>
    <t>Order Size</t>
  </si>
  <si>
    <t>Short DI Length</t>
  </si>
  <si>
    <t>Long DI Length</t>
  </si>
  <si>
    <t>Threshold</t>
  </si>
  <si>
    <t>Stop/Reset Level</t>
  </si>
  <si>
    <t>Ticks until Cancel</t>
  </si>
  <si>
    <t>Passive/Aggressivve</t>
  </si>
  <si>
    <t>Hedging Contracts</t>
  </si>
  <si>
    <t>OfferSize</t>
  </si>
  <si>
    <t>Market Price</t>
  </si>
  <si>
    <t>Market Value</t>
  </si>
  <si>
    <t>Avg Cost</t>
  </si>
  <si>
    <t>Unrealized PnL</t>
  </si>
  <si>
    <t>Realzed PnL</t>
  </si>
  <si>
    <t>MidMarket</t>
  </si>
  <si>
    <t>Closest Stike DOWN</t>
  </si>
  <si>
    <t>Closest Strike UP</t>
  </si>
  <si>
    <t>Current Required Hedge</t>
  </si>
  <si>
    <t>Short MA</t>
  </si>
  <si>
    <t>DISTANCE To Strike (Ticks)</t>
  </si>
  <si>
    <t>Distance To Strike (Ticks)</t>
  </si>
  <si>
    <t>Current Hedge Position</t>
  </si>
  <si>
    <t>Long MA</t>
  </si>
  <si>
    <t>Distance to Trigger (Ticks)</t>
  </si>
  <si>
    <t>Distance To Trigger (Ticks)</t>
  </si>
  <si>
    <t>Hedge Shortfall</t>
  </si>
  <si>
    <t>Open Orders</t>
  </si>
  <si>
    <t>Pre-Trade commissions and margin information</t>
  </si>
  <si>
    <t>Commission</t>
  </si>
  <si>
    <t>Eq With Loan</t>
  </si>
  <si>
    <t>Init Margin</t>
  </si>
  <si>
    <t>Maint Margin</t>
  </si>
  <si>
    <t>Market price</t>
  </si>
  <si>
    <t>RealizedPNL</t>
  </si>
  <si>
    <t>Executions</t>
  </si>
  <si>
    <t>ROW_EXECUTIONS</t>
  </si>
  <si>
    <t>ROW_EXECUTIONS_LAST</t>
  </si>
  <si>
    <t>PORTF_FIRST_ROW</t>
  </si>
  <si>
    <t>PORTF_LAST_ROW</t>
  </si>
  <si>
    <t>Unrealized PNL</t>
  </si>
  <si>
    <t>6BH5</t>
  </si>
  <si>
    <t>RISK_FREE_RATE</t>
  </si>
  <si>
    <t>ROW_FIRST_OPEN_ORDERS</t>
  </si>
  <si>
    <t>ROW_COUNT_OPEN_ORDERS</t>
  </si>
  <si>
    <t>BUY</t>
  </si>
  <si>
    <t>LMT</t>
  </si>
  <si>
    <t>TWS Connected OK</t>
  </si>
  <si>
    <t>Subscribed</t>
  </si>
  <si>
    <t>6B4F5 C1515</t>
  </si>
  <si>
    <t>6B4F5 P1515</t>
  </si>
  <si>
    <t>6B4F5 C1520</t>
  </si>
  <si>
    <t>6B4F5 C1525</t>
  </si>
  <si>
    <t>2015-1-20 15:30:21.254: Main - Initialize - initializing...</t>
  </si>
  <si>
    <t>2015-1-20 15:30:21.324: TransitionLogger - openTransitionFile - opening file C:\temp\transitionlog_2015-01-20_153021</t>
  </si>
  <si>
    <t>2015-1-20 15:30:27.902: RTWSControl - errMsg - got error message 501:Already Connected.with id -1</t>
  </si>
  <si>
    <t>2015-1-20 15:30:27.902: RTWSControl - errMsg - Got Error_x000D_id: -1_x000D_errorCode: 501_x000D_errorMsg: Already Connected.</t>
  </si>
  <si>
    <t>2015-1-20 15:30:33.975: RTWSControl - nextValidId - entering nextValidId id is 364</t>
  </si>
  <si>
    <t>2015-1-20 15:30:33.979: WatchlistView - initialize - an error occurredSelect method of Range class failed</t>
  </si>
  <si>
    <t>2015-1-20 15:30:33.981: Instrument - registerObserver - An Error Occurred This key is already associated with an element of this collection</t>
  </si>
  <si>
    <t>2015-1-20 15:30:33.981: WatchlistView - initialize - an error occurredSelect method of Range class failed</t>
  </si>
  <si>
    <t>2015-1-20 15:30:33.988: RTWSControl - errMsg - got error message 2104:Market data farm connection is OK:usfuturewith id -1</t>
  </si>
  <si>
    <t>2015-1-20 15:30:33.994: RTWSControl - errMsg - got error message 2104:Market data farm connection is OK:usfuture.uswith id -1</t>
  </si>
  <si>
    <t>2015-1-20 15:30:34.7: RTWSControl - errMsg - got error message 2104:Market data farm connection is OK:cashfarmwith id -1</t>
  </si>
  <si>
    <t>2015-1-20 15:30:34.12: RTWSControl - errMsg - got error message 2104:Market data farm connection is OK:usfarmwith id -1</t>
  </si>
  <si>
    <t>2015-1-20 15:30:34.18: RTWSControl - errMsg - got error message 2106:HMDS data farm connection is OK:ushmds.uswith id -1</t>
  </si>
  <si>
    <t>2015-1-20 15:30:34.52: RTWSControl - errMsg - got error message 2106:HMDS data farm connection is OK:ilhmdswith id -1</t>
  </si>
  <si>
    <t>2015-1-20 15:30:34.57: RTWSControl - errMsg - got error message 2106:HMDS data farm connection is OK:cashhmdswith id -1</t>
  </si>
  <si>
    <t>2015-1-20 15:30:34.148: RTWSControl - contractDetailsEx - got contractDetails id 0 British pound 6BH5</t>
  </si>
  <si>
    <t>2015-1-20 15:30:34.370: RTWSControl - contractDetailsEnd - Got contract details end event</t>
  </si>
  <si>
    <t>2015-1-20 15:30:47.651: Algorithm - updatePortfolio - haveAllDetails is False</t>
  </si>
  <si>
    <t>2015-1-20 15:30:47.652: RTWSControl - updatePortfolioEx - An Error Occured Object variable or With block variable not set</t>
  </si>
  <si>
    <t>2015-1-20 15:30:47.697: Algorithm - updatePortfolio - haveAllDetails is False</t>
  </si>
  <si>
    <t>2015-1-20 15:30:47.699: RTWSControl - updatePortfolioEx - An Error Occured Object variable or With block variable not set</t>
  </si>
  <si>
    <t>2015-1-20 15:30:47.741: Algorithm - updatePortfolio - haveAllDetails is False</t>
  </si>
  <si>
    <t>2015-1-20 15:30:47.742: RTWSControl - updatePortfolioEx - An Error Occured Object variable or With block variable not set</t>
  </si>
  <si>
    <t>2015-1-20 15:30:47.781: Algorithm - updatePortfolio - haveAllDetails is False</t>
  </si>
  <si>
    <t>2015-1-20 15:30:47.782: RTWSControl - updatePortfolioEx - An Error Occured Object variable or With block variable not set</t>
  </si>
  <si>
    <t>2015-1-20 15:30:47.822: Algorithm - updatePortfolio - haveAllDetails is False</t>
  </si>
  <si>
    <t>2015-1-20 15:30:47.823: RTWSControl - updatePortfolioEx - An Error Occured Object variable or With block variable not set</t>
  </si>
  <si>
    <t>2015-1-20 15:30:47.862: Algorithm - updatePortfolio - haveAllDetails is False</t>
  </si>
  <si>
    <t>2015-1-20 15:30:47.863: RTWSControl - updatePortfolioEx - An Error Occured Object variable or With block variable not set</t>
  </si>
  <si>
    <t>2015-1-20 15:30:47.929: RTWSControl - contractDetailsEx - got contractDetails id 0 British pound 6B4F5 C1515</t>
  </si>
  <si>
    <t>2015-1-20 15:30:47.934: RTWSControl - contractDetailsEnd - Got contract details end event</t>
  </si>
  <si>
    <t>2015-1-20 15:30:47.941: RTWSControl - contractDetailsEx - got contractDetails id 0 British pound 6B4F5 P1515</t>
  </si>
  <si>
    <t>2015-1-20 15:30:47.971: RTWSControl - contractDetailsEnd - Got contract details end event</t>
  </si>
  <si>
    <t>2015-1-20 15:30:47.976: RTWSControl - contractDetailsEx - got contractDetails id 0 British pound 6B4F5 C1520</t>
  </si>
  <si>
    <t>2015-1-20 15:30:47.982: RTWSControl - contractDetailsEnd - Got contract details end event</t>
  </si>
  <si>
    <t>2015-1-20 15:30:48.47: RTWSControl - contractDetailsEx - got contractDetails id 0 British pound 6B4F5 C1525</t>
  </si>
  <si>
    <t>2015-1-20 15:30:48.53: RTWSControl - contractDetailsEnd - Got contract details end event</t>
  </si>
  <si>
    <t>2015-1-20 15:30:50.920: DirectionIndicator - notify - price/longMA/ShortMA/prevDirection are 1.51755/1.51755/1.51755/0</t>
  </si>
  <si>
    <t>2015-1-20 15:30:50.926: Algorithm - FindNextStrikes - price is 1.51755 nextStrikeUp/Down 1.52/1.515</t>
  </si>
  <si>
    <t>2015-1-20 15:30:50.929: Algorithm - getPortfolioForwardDelta - required deltas is 100 currentHedgePosition is 100</t>
  </si>
  <si>
    <t>2015-1-20 15:30:50.931: Algorithm - getHedgeShortfall - required deltas is 100 price is 1.51755 currentHedgePositionDeltas is 100</t>
  </si>
  <si>
    <t>2015-1-20 15:30:50.932: Algorithm - processTransitionPoint - nextUpper/LowerStrikes are 1.52/1.515 requiredDeltas/currentPosition/currentHedgeShortfall/direction/transitionPrice are 100/100/0/0/1.51755</t>
  </si>
  <si>
    <t>2015-1-20 15:30:50.935: TransitionLogger - processTransitionpoint - checking transition - currentHedgeShortfall is 0</t>
  </si>
  <si>
    <t>2015-1-20 15:30:50.943: Algorithm - updatePortfolio - haveAllDetails is True</t>
  </si>
  <si>
    <t>2015-1-20 15:30:50.948: InstrumentManager - haveAllDetails - An error occurred Object variable or With block variable not set</t>
  </si>
  <si>
    <t>2015-1-20 15:30:50.950: DirectionIndicator - notify - price/longMA/ShortMA/prevDirection are 1.51755/1.51755/1.51755/0</t>
  </si>
  <si>
    <t>2015-1-20 15:30:50.966: Portfolio - updateCalculateOptionGammas - an error occurred Division by zero</t>
  </si>
  <si>
    <t>2015-1-20 15:30:50.967: Portfolio - updateCalculateOptionGammas - an error occurred Division by zero</t>
  </si>
  <si>
    <t>2015-1-20 15:30:50.968: Portfolio - updateCalculateOptionGammas - an error occurred Division by zero</t>
  </si>
  <si>
    <t>2015-1-20 15:30:50.969: Portfolio - updateCalculateOptionGammas - an error occurred Division by zero</t>
  </si>
  <si>
    <t>2015-1-20 15:30:51.55: DirectionIndicator - notify - price/longMA/ShortMA/prevDirection are 1.51825/1.51767727272727/1.51778333333333/0</t>
  </si>
  <si>
    <t>2015-1-20 15:30:51.57: Portfolio - updateCalculateOptionGammas - an error occurred Division by zero</t>
  </si>
  <si>
    <t>2015-1-20 15:30:51.58: Portfolio - updateCalculateOptionGammas - an error occurred Division by zero</t>
  </si>
  <si>
    <t>2015-1-20 15:30:51.59: Portfolio - updateCalculateOptionGammas - an error occurred Division by zero</t>
  </si>
  <si>
    <t>2015-1-20 15:30:53.645: DirectionIndicator - notify - price/longMA/ShortMA/prevDirection are 1.5182/1.51777231404959/1.51792222222222/1</t>
  </si>
  <si>
    <t>2015-1-20 15:30:53.868: DirectionIndicator - notify - price/longMA/ShortMA/prevDirection are 1.51825/1.51785916604057/1.51803148148148/1</t>
  </si>
  <si>
    <t>2015-1-20 15:30:54.188: DirectionIndicator - notify - price/longMA/ShortMA/prevDirection are 1.5183/1.51793931766956/1.51812098765432/1</t>
  </si>
  <si>
    <t>2015-1-20 15:30:54.239: DirectionIndicator - notify - price/longMA/ShortMA/prevDirection are 1.51835/1.51801398718418/1.51819732510288/1</t>
  </si>
  <si>
    <t>2015-1-20 15:30:54.785: DirectionIndicator - notify - price/longMA/ShortMA/prevDirection are 1.5184/1.51808417133251/1.51826488340192/1</t>
  </si>
  <si>
    <t>2015-1-20 15:30:55.62: DirectionIndicator - notify - price/longMA/ShortMA/prevDirection are 1.51845/1.51815068563569/1.51832658893461/1</t>
  </si>
  <si>
    <t>2015-1-20 15:30:55.776: DirectionIndicator - notify - price/longMA/ShortMA/prevDirection are 1.5185/1.51821419733829/1.51838439262308/1</t>
  </si>
  <si>
    <t>2015-1-20 15:30:56.141: DirectionIndicator - notify - price/longMA/ShortMA/prevDirection are 1.51855/1.5182752523677/1.51843959508205/1</t>
  </si>
  <si>
    <t>2015-1-20 15:31:0.110: DirectionIndicator - notify - price/longMA/ShortMA/prevDirection are 1.5185/1.51831611557357/1.5184597300547/1</t>
  </si>
  <si>
    <t>2015-1-20 15:31:0.416: DirectionIndicator - notify - price/longMA/ShortMA/prevDirection are 1.51855/1.51835864001474/1.51848982003647/1</t>
  </si>
  <si>
    <t>2015-1-20 15:31:0.992: DirectionIndicator - notify - price/longMA/ShortMA/prevDirection are 1.5185/1.51838434183024/1.51849321335764/1</t>
  </si>
  <si>
    <t>2015-1-20 15:31:1.497: DirectionIndicator - notify - price/longMA/ShortMA/prevDirection are 1.51855/1.51841446149747/1.51851214223843/1</t>
  </si>
  <si>
    <t>2015-1-20 15:31:6.69: DirectionIndicator - notify - price/longMA/ShortMA/prevDirection are 1.5185/1.51843001395247/1.51850809482562/1</t>
  </si>
  <si>
    <t>2015-1-20 15:31:6.356: DirectionIndicator - notify - price/longMA/ShortMA/prevDirection are 1.51845/1.5184336477793/1.51848872988375/1</t>
  </si>
  <si>
    <t>2015-1-20 15:31:6.496: TransitionLogger - flushFile - flushing file</t>
  </si>
  <si>
    <t>2015-1-20 15:31:6.497: TransitionLogger - openTransitionFile - opening file C:\temp\transitionlog_2015-01-20_153021</t>
  </si>
  <si>
    <t>2015-1-20 15:31:8.184: DirectionIndicator - notify - price/longMA/ShortMA/prevDirection are 1.5185/1.51844571181943/1.51849248658916/1</t>
  </si>
  <si>
    <t>2015-1-20 15:31:8.231: DirectionIndicator - notify - price/longMA/ShortMA/prevDirection are 1.51855/1.5184646733068/1.51851165772611/1</t>
  </si>
  <si>
    <t>2015-1-20 15:31:8.932: DirectionIndicator - notify - price/longMA/ShortMA/prevDirection are 1.5185/1.51847109634193/1.51850777181741/1</t>
  </si>
  <si>
    <t>2015-1-20 15:31:10.348: DirectionIndicator - notify - price/longMA/ShortMA/prevDirection are 1.51855/1.51848544246158/1.51852184787827/1</t>
  </si>
  <si>
    <t>2015-1-20 15:31:19.236: DirectionIndicator - notify - price/longMA/ShortMA/prevDirection are 1.5186/1.51850627110493/1.51854789858551/1</t>
  </si>
  <si>
    <t>2015-1-20 15:31:19.307: DirectionIndicator - notify - price/longMA/ShortMA/prevDirection are 1.51865/1.5185324036313/1.51858193239034/1</t>
  </si>
  <si>
    <t>2015-1-20 15:31:26.7: TransitionLogger - flushFile - flushing file</t>
  </si>
  <si>
    <t>2015-1-20 15:31:26.7: TransitionLogger - openTransitionFile - opening file C:\temp\transitionlog_2015-01-20_153021</t>
  </si>
  <si>
    <t>2015-1-20 15:31:26.227: DirectionIndicator - notify - price/longMA/ShortMA/prevDirection are 1.5185/1.51854461693516/1.51854823801025/1</t>
  </si>
  <si>
    <t>2015-1-20 15:31:27.499: DirectionIndicator - notify - price/longMA/ShortMA/prevDirection are 1.51855/1.51854559567422/1.51854882534017/1</t>
  </si>
  <si>
    <t>2015-1-20 15:31:28.188: DirectionIndicator - notify - price/longMA/ShortMA/prevDirection are 1.5185/1.51853730555164/1.51853255022678/1</t>
  </si>
  <si>
    <t>2015-1-20 15:31:28.730: DirectionIndicator - notify - price/longMA/ShortMA/prevDirection are 1.51855/1.51853961363316/1.51853836681785/1</t>
  </si>
  <si>
    <t>2015-1-20 15:31:29.386: DirectionIndicator - notify - price/longMA/ShortMA/prevDirection are 1.5186/1.51855059297258/1.5185589112119/1</t>
  </si>
  <si>
    <t>2015-1-20 15:31:30.496: DirectionIndicator - notify - price/longMA/ShortMA/prevDirection are 1.51855/1.51855048515939/1.51855594080793/1</t>
  </si>
  <si>
    <t>2015-1-20 15:31:33.95: DirectionIndicator - notify - price/longMA/ShortMA/prevDirection are 1.5185/1.5185413060395/1.51853729387196/1</t>
  </si>
  <si>
    <t>2015-1-20 15:31:35.277: DirectionIndicator - notify - price/longMA/ShortMA/prevDirection are 1.51855/1.51854288675959/1.51854152924797/1</t>
  </si>
  <si>
    <t>2015-1-20 15:31:35.613: DirectionIndicator - notify - price/longMA/ShortMA/prevDirection are 1.5185/1.51853508916694/1.51852768616531/1</t>
  </si>
  <si>
    <t>2015-1-20 15:31:37.894: DirectionIndicator - notify - price/longMA/ShortMA/prevDirection are 1.51845/1.51851961840931/1.51850179077688/1</t>
  </si>
  <si>
    <t>2015-1-20 15:31:39.10: DirectionIndicator - notify - price/longMA/ShortMA/prevDirection are 1.5185/1.5185160514258/1.51850119385125/1</t>
  </si>
  <si>
    <t>2015-1-20 15:31:39.654: DirectionIndicator - notify - price/longMA/ShortMA/prevDirection are 1.51845/1.51850404207566/1.51848412923417/1</t>
  </si>
  <si>
    <t>2015-1-20 15:31:40.600: DirectionIndicator - notify - price/longMA/ShortMA/prevDirection are 1.5185/1.51850330715281/1.51848941948944/1</t>
  </si>
  <si>
    <t>2015-1-20 15:31:41.457: DirectionIndicator - notify - price/longMA/ShortMA/prevDirection are 1.51855/1.51851179676139/1.51850961299296/1</t>
  </si>
  <si>
    <t>2015-1-20 15:31:42.506: DirectionIndicator - notify - price/longMA/ShortMA/prevDirection are 1.5185/1.51850965189568/1.51850640866198/1</t>
  </si>
  <si>
    <t>2015-1-20 15:31:42.712: DirectionIndicator - notify - price/longMA/ShortMA/prevDirection are 1.51845/1.51849880609647/1.51848760577465/1</t>
  </si>
  <si>
    <t>2015-1-20 15:31:42.943: DirectionIndicator - notify - price/longMA/ShortMA/prevDirection are 1.5185/1.51849902316984/1.5184917371831/1</t>
  </si>
  <si>
    <t>2015-1-20 15:31:44.240: DirectionIndicator - notify - price/longMA/ShortMA/prevDirection are 1.51845/1.51849010986623/1.51847782478873/1</t>
  </si>
  <si>
    <t>2015-1-20 15:31:46.797: DirectionIndicator - notify - price/longMA/ShortMA/prevDirection are 1.5185/1.51849190807237/1.51848521652582/1</t>
  </si>
  <si>
    <t>2015-1-20 15:31:55.60: DirectionIndicator - notify - price/longMA/ShortMA/prevDirection are 1.51855/1.51850247024103/1.51850681101721/1</t>
  </si>
  <si>
    <t>2015-1-20 15:32:6.188: TransitionLogger - flushFile - flushing file</t>
  </si>
  <si>
    <t>2015-1-20 15:32:6.189: TransitionLogger - openTransitionFile - opening file C:\temp\transitionlog_2015-01-20_153021</t>
  </si>
  <si>
    <t>2015-1-20 15:32:7.75: DirectionIndicator - notify - price/longMA/ShortMA/prevDirection are 1.5185/1.5185020211063/1.51850454067814/1</t>
  </si>
  <si>
    <t>2015-1-20 15:32:14.183: DirectionIndicator - notify - price/longMA/ShortMA/prevDirection are 1.51845/1.51849256272333/1.5184863604521/1</t>
  </si>
  <si>
    <t>2015-1-20 15:32:19.118: DirectionIndicator - notify - price/longMA/ShortMA/prevDirection are 1.5184/1.51847573313727/1.51845757363473/1</t>
  </si>
  <si>
    <t>2015-1-20 15:32:21.51: Algorithm - FindNextStrikes - price is 1.5184 nextStrikeUp/Down 1.52/1.515</t>
  </si>
  <si>
    <t>2015-1-20 15:32:21.52: Algorithm - getPortfolioForwardDelta - required deltas is 100 currentHedgePosition is 100</t>
  </si>
  <si>
    <t>2015-1-20 15:32:21.52: Algorithm - getHedgeShortfall - required deltas is 100 price is 1.5185 currentHedgePositionDeltas is 100</t>
  </si>
  <si>
    <t>2015-1-20 15:32:21.53: Algorithm - processTransitionPoint - nextUpper/LowerStrikes are 1.52/1.515 requiredDeltas/currentPosition/currentHedgeShortfall/direction/transitionPrice are 100/100/0/1/1.5185</t>
  </si>
  <si>
    <t>2015-1-20 15:32:21.53: TransitionLogger - processTransitionpoint - checking transition - currentHedgeShortfall is 0</t>
  </si>
  <si>
    <t>2015-1-20 15:32:21.54: Algorithm - updatePortfolio - haveAllDetails is True</t>
  </si>
  <si>
    <t>2015-1-20 15:32:21.55: RTWSControl - updatePortfolioEx - An Error Occured Object variable or With block variable not set</t>
  </si>
  <si>
    <t>2015-1-20 15:32:21.113: Algorithm - FindNextStrikes - price is 1.5184 nextStrikeUp/Down 1.52/1.515</t>
  </si>
  <si>
    <t>2015-1-20 15:32:21.114: Algorithm - getPortfolioForwardDelta - required deltas is 100 currentHedgePosition is 100</t>
  </si>
  <si>
    <t>2015-1-20 15:32:21.114: Algorithm - getHedgeShortfall - required deltas is 100 price is 1.5185 currentHedgePositionDeltas is 100</t>
  </si>
  <si>
    <t>2015-1-20 15:32:21.115: Algorithm - processTransitionPoint - nextUpper/LowerStrikes are 1.52/1.515 requiredDeltas/currentPosition/currentHedgeShortfall/direction/transitionPrice are 100/100/0/1/1.5185</t>
  </si>
  <si>
    <t>2015-1-20 15:32:21.115: TransitionLogger - processTransitionpoint - checking transition - currentHedgeShortfall is 0</t>
  </si>
  <si>
    <t>2015-1-20 15:32:21.116: Algorithm - updatePortfolio - haveAllDetails is True</t>
  </si>
  <si>
    <t>2015-1-20 15:32:21.117: RTWSControl - updatePortfolioEx - An Error Occured Object variable or With block variable not set</t>
  </si>
  <si>
    <t>2015-1-20 15:32:21.170: Algorithm - FindNextStrikes - price is 1.5184 nextStrikeUp/Down 1.52/1.515</t>
  </si>
  <si>
    <t>2015-1-20 15:32:21.170: Algorithm - getPortfolioForwardDelta - required deltas is 100 currentHedgePosition is 100</t>
  </si>
  <si>
    <t>2015-1-20 15:32:21.171: Algorithm - getHedgeShortfall - required deltas is 100 price is 1.5185 currentHedgePositionDeltas is 100</t>
  </si>
  <si>
    <t>2015-1-20 15:32:21.171: Algorithm - processTransitionPoint - nextUpper/LowerStrikes are 1.52/1.515 requiredDeltas/currentPosition/currentHedgeShortfall/direction/transitionPrice are 100/100/0/1/1.5185</t>
  </si>
  <si>
    <t>2015-1-20 15:32:21.171: TransitionLogger - processTransitionpoint - checking transition - currentHedgeShortfall is 0</t>
  </si>
  <si>
    <t>2015-1-20 15:32:21.172: Algorithm - updatePortfolio - haveAllDetails is True</t>
  </si>
  <si>
    <t>2015-1-20 15:32:21.174: RTWSControl - updatePortfolioEx - An Error Occured Object variable or With block variable not set</t>
  </si>
  <si>
    <t>2015-1-20 15:32:21.211: Algorithm - FindNextStrikes - price is 1.5184 nextStrikeUp/Down 1.52/1.515</t>
  </si>
  <si>
    <t>2015-1-20 15:32:21.211: Algorithm - getPortfolioForwardDelta - required deltas is 100 currentHedgePosition is 100</t>
  </si>
  <si>
    <t>2015-1-20 15:32:21.212: Algorithm - getHedgeShortfall - required deltas is 100 price is 1.5185 currentHedgePositionDeltas is 100</t>
  </si>
  <si>
    <t>2015-1-20 15:32:21.212: Algorithm - processTransitionPoint - nextUpper/LowerStrikes are 1.52/1.515 requiredDeltas/currentPosition/currentHedgeShortfall/direction/transitionPrice are 100/100/0/1/1.5185</t>
  </si>
  <si>
    <t>2015-1-20 15:32:21.213: TransitionLogger - processTransitionpoint - checking transition - currentHedgeShortfall is 0</t>
  </si>
  <si>
    <t>2015-1-20 15:32:21.213: Algorithm - updatePortfolio - haveAllDetails is True</t>
  </si>
  <si>
    <t>2015-1-20 15:32:21.215: RTWSControl - updatePortfolioEx - An Error Occured Object variable or With block variable not set</t>
  </si>
  <si>
    <t>2015-1-20 15:32:21.254: Algorithm - FindNextStrikes - price is 1.5184 nextStrikeUp/Down 1.52/1.515</t>
  </si>
  <si>
    <t>2015-1-20 15:32:21.255: Algorithm - getPortfolioForwardDelta - required deltas is 100 currentHedgePosition is 100</t>
  </si>
  <si>
    <t>2015-1-20 15:32:21.255: Algorithm - getHedgeShortfall - required deltas is 100 price is 1.5185 currentHedgePositionDeltas is 100</t>
  </si>
  <si>
    <t>2015-1-20 15:32:21.256: Algorithm - processTransitionPoint - nextUpper/LowerStrikes are 1.52/1.515 requiredDeltas/currentPosition/currentHedgeShortfall/direction/transitionPrice are 100/100/0/1/1.5185</t>
  </si>
  <si>
    <t>2015-1-20 15:32:21.256: TransitionLogger - processTransitionpoint - checking transition - currentHedgeShortfall is 0</t>
  </si>
  <si>
    <t>2015-1-20 15:32:21.257: Algorithm - updatePortfolio - haveAllDetails is True</t>
  </si>
  <si>
    <t>2015-1-20 15:32:21.259: RTWSControl - updatePortfolioEx - An Error Occured Object variable or With block variable not set</t>
  </si>
  <si>
    <t>2015-1-20 15:32:26.42: TransitionLogger - flushFile - flushing file</t>
  </si>
  <si>
    <t>2015-1-20 15:32:26.43: TransitionLogger - openTransitionFile - opening file C:\temp\transitionlog_2015-01-20_153021</t>
  </si>
  <si>
    <t>2015-1-20 15:32:39.460: DirectionIndicator - notify - price/longMA/ShortMA/prevDirection are 1.51835/1.51845287256686/1.51842171575649/1</t>
  </si>
  <si>
    <t>2015-1-20 15:32:39.656: DirectionIndicator - notify - price/longMA/ShortMA/prevDirection are 1.5184/1.51844325937289/1.51841447717099/-1</t>
  </si>
  <si>
    <t>2015-1-20 15:32:40.246: DirectionIndicator - notify - price/longMA/ShortMA/prevDirection are 1.51835/1.51842630312327/1.51839298478066/-1</t>
  </si>
  <si>
    <t>2015-1-20 15:32:52.57: DirectionIndicator - notify - price/longMA/ShortMA/prevDirection are 1.5185/1.51844002627864/1.51844236586094/-1</t>
  </si>
  <si>
    <t>2015-1-20 15:32:52.154: DirectionIndicator - notify - price/longMA/ShortMA/prevDirection are 1.51855/1.5184600215007/1.51847824390729/-1</t>
  </si>
  <si>
    <t>2015-1-20 15:32:52.695: DirectionIndicator - notify - price/longMA/ShortMA/prevDirection are 1.5185/1.51846729031876/1.51848549593819/-1</t>
  </si>
  <si>
    <t>2015-1-20 15:32:52.870: DirectionIndicator - notify - price/longMA/ShortMA/prevDirection are 1.51855/1.51848232844262/1.51850699729213/-1</t>
  </si>
  <si>
    <t>2015-1-20 15:33:6.81: TransitionLogger - flushFile - flushing file</t>
  </si>
  <si>
    <t>2015-1-20 15:33:6.83: TransitionLogger - openTransitionFile - opening file C:\temp\transitionlog_2015-01-20_153021</t>
  </si>
  <si>
    <t>2015-1-20 15:33:7.427: DirectionIndicator - notify - price/longMA/ShortMA/prevDirection are 1.5186/1.51850372327123/1.51853799819475/1</t>
  </si>
  <si>
    <t>2015-1-20 15:33:11.815: DirectionIndicator - notify - price/longMA/ShortMA/prevDirection are 1.51865/1.5185303190401/1.51857533212984/1</t>
  </si>
  <si>
    <t>2015-1-20 15:33:12.822: DirectionIndicator - notify - price/longMA/ShortMA/prevDirection are 1.5187/1.51856117012372/1.51861688808656/1</t>
  </si>
  <si>
    <t>2015-1-20 15:33:13.400: DirectionIndicator - notify - price/longMA/ShortMA/prevDirection are 1.51875/1.5185955028285/1.51866125872437/1</t>
  </si>
  <si>
    <t>2015-1-20 15:33:14.862: DirectionIndicator - notify - price/longMA/ShortMA/prevDirection are 1.5188/1.51863268413241/1.51870750581625/1</t>
  </si>
  <si>
    <t>2015-1-20 15:33:15.77: DirectionIndicator - notify - price/longMA/ShortMA/prevDirection are 1.51875/1.51865401429015/1.51872167054416/1</t>
  </si>
  <si>
    <t>2015-1-20 15:33:15.745: DirectionIndicator - notify - price/longMA/ShortMA/prevDirection are 1.5188/1.51868055714649/1.51874778036278/1</t>
  </si>
  <si>
    <t>2015-1-20 15:33:20.176: DirectionIndicator - notify - price/longMA/ShortMA/prevDirection are 1.51885/1.51874975669406/1.51880860158897/1</t>
  </si>
  <si>
    <t>2015-1-20 15:33:20.406: DirectionIndicator - notify - price/longMA/ShortMA/prevDirection are 1.5188/1.51875889184059/1.51880573439265/1</t>
  </si>
  <si>
    <t>2015-1-20 15:33:20.580: DirectionIndicator - notify - price/longMA/ShortMA/prevDirection are 1.51875/1.5187572751423/1.51878715626176/1</t>
  </si>
  <si>
    <t>2015-1-20 15:33:22.453: DirectionIndicator - notify - price/longMA/ShortMA/prevDirection are 1.5188/1.51876504329825/1.51879143750784/1</t>
  </si>
  <si>
    <t>2015-1-20 15:33:23.248: DirectionIndicator - notify - price/longMA/ShortMA/prevDirection are 1.51885/1.51878048997129/1.51881095833856/1</t>
  </si>
  <si>
    <t>2015-1-20 15:33:23.538: DirectionIndicator - notify - price/longMA/ShortMA/prevDirection are 1.5188/1.51878403724924/1.51880730555904/1</t>
  </si>
  <si>
    <t>2015-1-20 15:33:23.610: DirectionIndicator - notify - price/longMA/ShortMA/prevDirection are 1.51875/1.51877784865847/1.51878820370603/1</t>
  </si>
  <si>
    <t>2015-1-20 15:33:23.738: DirectionIndicator - notify - price/longMA/ShortMA/prevDirection are 1.5188/1.51878187617511/1.51879213580402/1</t>
  </si>
  <si>
    <t>2015-1-20 15:33:24.402: DirectionIndicator - notify - price/longMA/ShortMA/prevDirection are 1.51885/1.51879426232509/1.51881142386935/1</t>
  </si>
  <si>
    <t>2015-1-20 15:33:24.845: DirectionIndicator - notify - price/longMA/ShortMA/prevDirection are 1.5188/1.51879530553871/1.5188076159129/1</t>
  </si>
  <si>
    <t>2015-1-20 15:33:25.646: DirectionIndicator - notify - price/longMA/ShortMA/prevDirection are 1.51885/1.51880524998622/1.51882174394193/1</t>
  </si>
  <si>
    <t>2015-1-20 15:33:26.898: DirectionIndicator - notify - price/longMA/ShortMA/prevDirection are 1.5188/1.51880429544327/1.51881449596129/1</t>
  </si>
  <si>
    <t>2015-1-20 15:33:28.696: DirectionIndicator - notify - price/longMA/ShortMA/prevDirection are 1.51875/1.51879442354449/1.51879299730752/1</t>
  </si>
  <si>
    <t>2015-1-20 15:33:29.73: TransitionLogger - flushFile - flushing file</t>
  </si>
  <si>
    <t>2015-1-20 15:33:29.74: TransitionLogger - openTransitionFile - opening file C:\temp\transitionlog_2015-01-20_153021</t>
  </si>
  <si>
    <t>2015-1-20 15:33:29.491: DirectionIndicator - notify - price/longMA/ShortMA/prevDirection are 1.5188/1.5188043837445/1.51880903623927/1</t>
  </si>
  <si>
    <t>2015-1-20 15:33:30.191: DirectionIndicator - notify - price/longMA/ShortMA/prevDirection are 1.51885/1.51881267760914/1.51882269082618/1</t>
  </si>
  <si>
    <t>2015-1-20 15:33:30.581: DirectionIndicator - notify - price/longMA/ShortMA/prevDirection are 1.5188/1.5188103725893/1.51881512721745/1</t>
  </si>
  <si>
    <t>2015-1-20 15:33:33.529: DirectionIndicator - notify - price/longMA/ShortMA/prevDirection are 1.51885/1.51881757757306/1.5188267514783/1</t>
  </si>
  <si>
    <t>2015-1-20 15:33:34.116: DirectionIndicator - notify - price/longMA/ShortMA/prevDirection are 1.5189/1.51883256346887/1.5188511676522/1</t>
  </si>
  <si>
    <t>2015-1-20 15:33:34.316: DirectionIndicator - notify - price/longMA/ShortMA/prevDirection are 1.51885/1.51883573374726/1.5188507784348/1</t>
  </si>
  <si>
    <t>2015-1-20 15:33:48.625: DirectionIndicator - notify - price/longMA/ShortMA/prevDirection are 1.5189/1.51884741852048/1.5188671856232/1</t>
  </si>
  <si>
    <t>2015-1-20 15:33:48.734: DirectionIndicator - notify - price/longMA/ShortMA/prevDirection are 1.51895/1.51886606969858/1.51889479041547/1</t>
  </si>
  <si>
    <t>2015-1-20 15:33:49.320: DirectionIndicator - notify - price/longMA/ShortMA/prevDirection are 1.5189/1.51887223884429/1.51889652694364/1</t>
  </si>
  <si>
    <t>2015-1-20 15:33:49.627: DirectionIndicator - notify - price/longMA/ShortMA/prevDirection are 1.51885/1.51886819541805/1.51888101796243/1</t>
  </si>
  <si>
    <t>2015-1-20 15:33:50.339: DirectionIndicator - notify - price/longMA/ShortMA/prevDirection are 1.5189/1.51887397806932/1.51888734530829/1</t>
  </si>
  <si>
    <t>2015-1-20 15:33:50.599: DirectionIndicator - notify - price/longMA/ShortMA/prevDirection are 1.51885/1.51886961842035/1.51887489687219/1</t>
  </si>
  <si>
    <t>2015-1-20 15:33:56.205: DirectionIndicator - notify - price/longMA/ShortMA/prevDirection are 1.51875/1.51883751315742/1.51881662083208/1</t>
  </si>
  <si>
    <t>2015-1-20 15:33:57.363: DirectionIndicator - notify - price/longMA/ShortMA/prevDirection are 1.5188/1.51883069258335/1.51881108055472/-1</t>
  </si>
  <si>
    <t>2015-1-20 15:33:57.448: DirectionIndicator - notify - price/longMA/ShortMA/prevDirection are 1.51885/1.51883420302274/1.51882405370315/-1</t>
  </si>
  <si>
    <t>2015-1-20 15:33:57.724: DirectionIndicator - notify - price/longMA/ShortMA/prevDirection are 1.5188/1.51882798429133/1.5188160358021/-1</t>
  </si>
  <si>
    <t>2015-1-20 15:33:58.460: DirectionIndicator - notify - price/longMA/ShortMA/prevDirection are 1.51885/1.51883198714745/1.5188273572014/-1</t>
  </si>
  <si>
    <t>2015-1-20 15:33:59.243: DirectionIndicator - notify - price/longMA/ShortMA/prevDirection are 1.5189/1.51884435312064/1.5188515714676/-1</t>
  </si>
  <si>
    <t>2015-1-20 15:34:0.331: DirectionIndicator - notify - price/longMA/ShortMA/prevDirection are 1.51885/1.51884537982598/1.51885104764507/-1</t>
  </si>
  <si>
    <t>2015-1-20 15:34:6.15: TransitionLogger - flushFile - flushing file</t>
  </si>
  <si>
    <t>2015-1-20 15:34:6.16: TransitionLogger - openTransitionFile - opening file C:\temp\transitionlog_2015-01-20_153021</t>
  </si>
  <si>
    <t>2015-1-20 15:34:13.776: DirectionIndicator - notify - price/longMA/ShortMA/prevDirection are 1.5189/1.51885531076671/1.51886736509671/-1</t>
  </si>
  <si>
    <t>2015-1-20 15:34:14.47: DirectionIndicator - notify - price/longMA/ShortMA/prevDirection are 1.51895/1.51887252699095/1.51889491006447/-1</t>
  </si>
  <si>
    <t>2015-1-20 15:34:15.215: DirectionIndicator - notify - price/longMA/ShortMA/prevDirection are 1.5189/1.5188775220835/1.51889660670965/1</t>
  </si>
  <si>
    <t>2015-1-20 15:34:15.285: DirectionIndicator - notify - price/longMA/ShortMA/prevDirection are 1.51885/1.51887251806832/1.51888107113977/1</t>
  </si>
  <si>
    <t>2015-1-20 15:34:15.664: DirectionIndicator - notify - price/longMA/ShortMA/prevDirection are 1.5188/1.51885933296499/1.51885404742651/1</t>
  </si>
  <si>
    <t>2015-1-20 15:34:15.736: DirectionIndicator - notify - price/longMA/ShortMA/prevDirection are 1.51875/1.51883945424408/1.51881936495101/1</t>
  </si>
  <si>
    <t>2015-1-20 15:34:16.127: DirectionIndicator - notify - price/longMA/ShortMA/prevDirection are 1.5188/1.51883228074516/1.51881290996734/-1</t>
  </si>
  <si>
    <t>2015-1-20 15:34:17.292: DirectionIndicator - notify - price/longMA/ShortMA/prevDirection are 1.51875/1.51881732060967/1.51879193997823/-1</t>
  </si>
  <si>
    <t>2015-1-20 15:34:17.570: DirectionIndicator - notify - price/longMA/ShortMA/prevDirection are 1.5187/1.51879598958973/1.51876129331882/-1</t>
  </si>
  <si>
    <t>AutoStopper</t>
  </si>
  <si>
    <t>2015-1-20 15:34:26.220: DirectionIndicator - notify - price/longMA/ShortMA/prevDirection are 1.51865/1.51874772856833/1.51869946369725/-1</t>
  </si>
  <si>
    <t>2015-1-20 15:34:26.662: DirectionIndicator - notify - price/longMA/ShortMA/prevDirection are 1.5187/1.51873905064682/1.51869964246483/-1</t>
  </si>
  <si>
    <t>2015-1-20 15:34:27.47: DirectionIndicator - notify - price/longMA/ShortMA/prevDirection are 1.51865/1.51872285962012/1.51868309497656/-1</t>
  </si>
  <si>
    <t>2015-1-20 15:34:27.204: DirectionIndicator - notify - price/longMA/ShortMA/prevDirection are 1.5187/1.51871870332556/1.51868872998437/-1</t>
  </si>
  <si>
    <t>2015-1-20 15:34:27.388: DirectionIndicator - notify - price/longMA/ShortMA/prevDirection are 1.51875/1.51872439363/1.51870915332291/-1</t>
  </si>
  <si>
    <t>2015-1-20 15:34:28.539: DirectionIndicator - notify - price/longMA/ShortMA/prevDirection are 1.5188/1.51873814024273/1.51873943554861/-1</t>
  </si>
  <si>
    <t>2015-1-20 15:34:28.766: DirectionIndicator - notify - price/longMA/ShortMA/prevDirection are 1.51875/1.51874029656223/1.51874295703241/-1</t>
  </si>
  <si>
    <t>2015-1-20 15:34:29.132: TransitionLogger - flushFile - flushing file</t>
  </si>
  <si>
    <t>2015-1-20 15:34:29.133: TransitionLogger - openTransitionFile - opening file C:\temp\transitionlog_2015-01-20_153021</t>
  </si>
  <si>
    <t>2015-1-20 15:34:30.742: DirectionIndicator - notify - price/longMA/ShortMA/prevDirection are 1.5188/1.51875115173274/1.51876197135494/-1</t>
  </si>
  <si>
    <t>2015-1-20 15:34:31.43: DirectionIndicator - notify - price/longMA/ShortMA/prevDirection are 1.51875/1.51875094232678/1.51875798090329/-1</t>
  </si>
  <si>
    <t>2015-1-20 15:34:33.154: DirectionIndicator - notify - price/longMA/ShortMA/prevDirection are 1.5187/1.51874168008555/1.51873865393553/-1</t>
  </si>
  <si>
    <t>2015-1-20 15:34:38.193: DirectionIndicator - notify - price/longMA/ShortMA/prevDirection are 1.5188/1.51875352137958/1.51876162397135/-1</t>
  </si>
  <si>
    <t>2015-1-20 15:34:38.609: DirectionIndicator - notify - price/longMA/ShortMA/prevDirection are 1.51875/1.51875288112875/1.51875774931423/-1</t>
  </si>
  <si>
    <t>2015-1-20 15:34:39.71: DirectionIndicator - notify - price/longMA/ShortMA/prevDirection are 1.5187/1.51874326637807/1.51873849954282/-1</t>
  </si>
  <si>
    <t>2015-1-20 15:34:42.50: DirectionIndicator - notify - price/longMA/ShortMA/prevDirection are 1.51865/1.51872630885478/1.51870899969521/-1</t>
  </si>
  <si>
    <t>2015-1-20 15:34:45.466: DirectionIndicator - notify - price/longMA/ShortMA/prevDirection are 1.51865/1.51869364477056/1.51866511097565/-1</t>
  </si>
  <si>
    <t>2015-1-20 15:34:47.807: DirectionIndicator - notify - price/longMA/ShortMA/prevDirection are 1.5187/1.51869480026682/1.51867674065043/-1</t>
  </si>
  <si>
    <t>2015-1-20 15:35:1.43: DirectionIndicator - notify - price/longMA/ShortMA/prevDirection are 1.5186/1.51867089935217/1.51864521806686/-1</t>
  </si>
  <si>
    <t>2015-1-20 15:35:1.394: DirectionIndicator - notify - price/longMA/ShortMA/prevDirection are 1.51855/1.51864891765177/1.51861347871124/-1</t>
  </si>
  <si>
    <t>2015-1-20 15:35:5.30: DirectionIndicator - notify - price/longMA/ShortMA/prevDirection are 1.5185/1.51862184171509/1.51857565247416/-1</t>
  </si>
  <si>
    <t>2015-1-20 15:35:5.224: DirectionIndicator - notify - price/longMA/ShortMA/prevDirection are 1.51855/1.51860877958507/1.51856710164944/-1</t>
  </si>
  <si>
    <t>2015-1-20 15:35:6.15: TransitionLogger - flushFile - flushing file</t>
  </si>
  <si>
    <t>2015-1-20 15:35:6.15: TransitionLogger - openTransitionFile - opening file C:\temp\transitionlog_2015-01-20_153021</t>
  </si>
  <si>
    <t>2015-1-20 15:35:7.280: DirectionIndicator - notify - price/longMA/ShortMA/prevDirection are 1.5185/1.5185890014787/1.51854473443296/-1</t>
  </si>
  <si>
    <t>2015-1-20 15:35:11.658: DirectionIndicator - notify - price/longMA/ShortMA/prevDirection are 1.51855/1.51858191030075/1.51854648962197/-1</t>
  </si>
  <si>
    <t>2015-1-20 15:35:15.241: DirectionIndicator - notify - price/longMA/ShortMA/prevDirection are 1.5185/1.5185670175188/1.51853099308132/-1</t>
  </si>
  <si>
    <t>2015-1-20 15:35:15.599: DirectionIndicator - notify - price/longMA/ShortMA/prevDirection are 1.51855/1.51856392342447/1.51853732872088/-1</t>
  </si>
  <si>
    <t>2015-1-20 15:35:21.852: Algorithm - FindNextStrikes - price is 1.51855 nextStrikeUp/Down 1.52/1.515</t>
  </si>
  <si>
    <t>2015-1-20 15:35:21.853: Algorithm - getPortfolioForwardDelta - required deltas is 100 currentHedgePosition is 100</t>
  </si>
  <si>
    <t>2015-1-20 15:35:21.853: Algorithm - getHedgeShortfall - required deltas is 100 price is 1.51845 currentHedgePositionDeltas is 100</t>
  </si>
  <si>
    <t>2015-1-20 15:35:21.854: Algorithm - processTransitionPoint - nextUpper/LowerStrikes are 1.52/1.515 requiredDeltas/currentPosition/currentHedgeShortfall/direction/transitionPrice are 100/100/0/-1/1.51845</t>
  </si>
  <si>
    <t>2015-1-20 15:35:21.855: TransitionLogger - processTransitionpoint - checking transition - currentHedgeShortfall is 0</t>
  </si>
  <si>
    <t>2015-1-20 15:35:21.858: Algorithm - updatePortfolio - haveAllDetails is True</t>
  </si>
  <si>
    <t>2015-1-20 15:35:21.859: RTWSControl - updatePortfolioEx - An Error Occured Object variable or With block variable not set</t>
  </si>
  <si>
    <t>2015-1-20 15:35:22.33: Algorithm - FindNextStrikes - price is 1.51855 nextStrikeUp/Down 1.52/1.515</t>
  </si>
  <si>
    <t>2015-1-20 15:35:22.33: Algorithm - getPortfolioForwardDelta - required deltas is 100 currentHedgePosition is 100</t>
  </si>
  <si>
    <t>2015-1-20 15:35:22.34: Algorithm - getHedgeShortfall - required deltas is 100 price is 1.51845 currentHedgePositionDeltas is 100</t>
  </si>
  <si>
    <t>2015-1-20 15:35:22.34: Algorithm - processTransitionPoint - nextUpper/LowerStrikes are 1.52/1.515 requiredDeltas/currentPosition/currentHedgeShortfall/direction/transitionPrice are 100/100/0/-1/1.51845</t>
  </si>
  <si>
    <t>2015-1-20 15:35:22.35: TransitionLogger - processTransitionpoint - checking transition - currentHedgeShortfall is 0</t>
  </si>
  <si>
    <t>2015-1-20 15:35:22.35: Algorithm - updatePortfolio - haveAllDetails is True</t>
  </si>
  <si>
    <t>2015-1-20 15:35:22.36: RTWSControl - updatePortfolioEx - An Error Occured Object variable or With block variable not set</t>
  </si>
  <si>
    <t>2015-1-20 15:35:22.115: Algorithm - FindNextStrikes - price is 1.51855 nextStrikeUp/Down 1.52/1.515</t>
  </si>
  <si>
    <t>2015-1-20 15:35:22.115: Algorithm - getPortfolioForwardDelta - required deltas is 100 currentHedgePosition is 100</t>
  </si>
  <si>
    <t>2015-1-20 15:35:22.116: Algorithm - getHedgeShortfall - required deltas is 100 price is 1.51845 currentHedgePositionDeltas is 100</t>
  </si>
  <si>
    <t>2015-1-20 15:35:22.116: Algorithm - processTransitionPoint - nextUpper/LowerStrikes are 1.52/1.515 requiredDeltas/currentPosition/currentHedgeShortfall/direction/transitionPrice are 100/100/0/-1/1.51845</t>
  </si>
  <si>
    <t>2015-1-20 15:35:22.117: TransitionLogger - processTransitionpoint - checking transition - currentHedgeShortfall is 0</t>
  </si>
  <si>
    <t>2015-1-20 15:35:22.118: Algorithm - updatePortfolio - haveAllDetails is True</t>
  </si>
  <si>
    <t>2015-1-20 15:35:22.119: RTWSControl - updatePortfolioEx - An Error Occured Object variable or With block variable not set</t>
  </si>
  <si>
    <t>2015-1-20 15:35:22.164: Algorithm - FindNextStrikes - price is 1.51855 nextStrikeUp/Down 1.52/1.515</t>
  </si>
  <si>
    <t>2015-1-20 15:35:22.164: Algorithm - getPortfolioForwardDelta - required deltas is 100 currentHedgePosition is 100</t>
  </si>
  <si>
    <t>2015-1-20 15:35:22.165: Algorithm - getHedgeShortfall - required deltas is 100 price is 1.51845 currentHedgePositionDeltas is 100</t>
  </si>
  <si>
    <t>2015-1-20 15:35:22.165: Algorithm - processTransitionPoint - nextUpper/LowerStrikes are 1.52/1.515 requiredDeltas/currentPosition/currentHedgeShortfall/direction/transitionPrice are 100/100/0/-1/1.51845</t>
  </si>
  <si>
    <t>2015-1-20 15:35:22.165: TransitionLogger - processTransitionpoint - checking transition - currentHedgeShortfall is 0</t>
  </si>
  <si>
    <t>2015-1-20 15:35:22.166: Algorithm - updatePortfolio - haveAllDetails is True</t>
  </si>
  <si>
    <t>2015-1-20 15:35:22.167: RTWSControl - updatePortfolioEx - An Error Occured Object variable or With block variable not set</t>
  </si>
  <si>
    <t>2015-1-20 15:35:22.247: Algorithm - FindNextStrikes - price is 1.51855 nextStrikeUp/Down 1.52/1.515</t>
  </si>
  <si>
    <t>2015-1-20 15:35:22.247: Algorithm - getPortfolioForwardDelta - required deltas is 100 currentHedgePosition is 100</t>
  </si>
  <si>
    <t>2015-1-20 15:35:22.248: Algorithm - getHedgeShortfall - required deltas is 100 price is 1.51845 currentHedgePositionDeltas is 100</t>
  </si>
  <si>
    <t>2015-1-20 15:35:22.248: Algorithm - processTransitionPoint - nextUpper/LowerStrikes are 1.52/1.515 requiredDeltas/currentPosition/currentHedgeShortfall/direction/transitionPrice are 100/100/0/-1/1.51845</t>
  </si>
  <si>
    <t>2015-1-20 15:35:22.248: TransitionLogger - processTransitionpoint - checking transition - currentHedgeShortfall is 0</t>
  </si>
  <si>
    <t>2015-1-20 15:35:22.249: Algorithm - updatePortfolio - haveAllDetails is True</t>
  </si>
  <si>
    <t>2015-1-20 15:35:22.250: RTWSControl - updatePortfolioEx - An Error Occured Object variable or With block variable not set</t>
  </si>
  <si>
    <t>2015-1-20 15:35:22.617: DirectionIndicator - notify - price/longMA/ShortMA/prevDirection are 1.5186/1.51857048280184/1.51855821914725/-1</t>
  </si>
  <si>
    <t>2015-1-20 15:35:23.889: DirectionIndicator - notify - price/longMA/ShortMA/prevDirection are 1.51855/1.51856675865605/1.5185554794315/-1</t>
  </si>
  <si>
    <t>2015-1-20 15:35:24.957: DirectionIndicator - notify - price/longMA/ShortMA/prevDirection are 1.5186/1.51857280253677/1.518570319621/-1</t>
  </si>
  <si>
    <t>2015-1-20 15:35:25.291: DirectionIndicator - notify - price/longMA/ShortMA/prevDirection are 1.51855/1.51856865662099/1.518563546414/-1</t>
  </si>
  <si>
    <t>2015-1-20 15:35:27.637: DirectionIndicator - notify - price/longMA/ShortMA/prevDirection are 1.5186/1.51857435541718/1.51857569760933/-1</t>
  </si>
  <si>
    <t>2015-1-20 15:35:29.127: TransitionLogger - flushFile - flushing file</t>
  </si>
  <si>
    <t>2015-1-20 15:35:29.128: TransitionLogger - openTransitionFile - opening file C:\temp\transitionlog_2015-01-20_153021</t>
  </si>
  <si>
    <t>2015-1-20 15:35:29.157: DirectionIndicator - notify - price/longMA/ShortMA/prevDirection are 1.51855/1.51856992715951/1.51856713173956/-1</t>
  </si>
  <si>
    <t>2015-1-20 15:35:30.619: DirectionIndicator - notify - price/longMA/ShortMA/prevDirection are 1.51855/1.51857077768529/1.51856872521758/-1</t>
  </si>
  <si>
    <t>2015-1-20 15:35:32.969: DirectionIndicator - notify - price/longMA/ShortMA/prevDirection are 1.5186/1.51857609083342/1.51857915014505/-1</t>
  </si>
  <si>
    <t>2015-1-20 15:35:33.442: DirectionIndicator - notify - price/longMA/ShortMA/prevDirection are 1.51855/1.51857134704552/1.51856943343004/-1</t>
  </si>
  <si>
    <t>2015-1-20 15:35:44.349: DirectionIndicator - notify - price/longMA/ShortMA/prevDirection are 1.5186/1.5185917314817/1.51859181272754/-1</t>
  </si>
  <si>
    <t>2015-1-20 15:35:44.413: DirectionIndicator - notify - price/longMA/ShortMA/prevDirection are 1.51865/1.51860232575775/1.51861120848503/-1</t>
  </si>
  <si>
    <t>2015-1-20 15:35:45.21: DirectionIndicator - notify - price/longMA/ShortMA/prevDirection are 1.5186/1.51860190289271/1.51860747232335/-1</t>
  </si>
  <si>
    <t>2015-1-20 15:35:47.61: DirectionIndicator - notify - price/longMA/ShortMA/prevDirection are 1.51855/1.51859246600312/1.51858831488223/-1</t>
  </si>
  <si>
    <t>2015-1-20 15:35:47.252: DirectionIndicator - notify - price/longMA/ShortMA/prevDirection are 1.5186/1.51859383582074/1.51859220992149/-1</t>
  </si>
  <si>
    <t>2015-1-20 15:36:2.315: DirectionIndicator - notify - price/longMA/ShortMA/prevDirection are 1.51865/1.5186040474897/1.51861147328099/-1</t>
  </si>
  <si>
    <t>2015-1-20 15:36:2.860: DirectionIndicator - notify - price/longMA/ShortMA/prevDirection are 1.51865/1.51861240249157/1.51862431552066/-1</t>
  </si>
  <si>
    <t>2015-1-20 15:36:6.43: TransitionLogger - flushFile - flushing file</t>
  </si>
  <si>
    <t>2015-1-20 15:36:6.43: TransitionLogger - openTransitionFile - opening file C:\temp\transitionlog_2015-01-20_153021</t>
  </si>
  <si>
    <t>2015-1-20 15:36:12.92: Util - logStaleData - Data is stale!</t>
  </si>
  <si>
    <t>2015-1-20 15:36:14.452: DirectionIndicator - notify - price/longMA/ShortMA/prevDirection are 1.5187/1.51862832931128/1.51864954368044/-1</t>
  </si>
  <si>
    <t>2015-1-20 15:36:15.147: DirectionIndicator - notify - price/longMA/ShortMA/prevDirection are 1.51865/1.5186322694365/1.51864969578696/1</t>
  </si>
  <si>
    <t>2015-1-20 15:36:15.969: DirectionIndicator - notify - price/longMA/ShortMA/prevDirection are 1.5187/1.51864458408441/1.51866646385797/1</t>
  </si>
  <si>
    <t>2015-1-20 15:36:16.182: DirectionIndicator - notify - price/longMA/ShortMA/prevDirection are 1.51865/1.51864556879634/1.51866097590532/1</t>
  </si>
  <si>
    <t>2015-1-20 15:36:17.809: DirectionIndicator - notify - price/longMA/ShortMA/prevDirection are 1.5187/1.51865546537882/1.51867398393688/1</t>
  </si>
  <si>
    <t>2015-1-20 15:36:18.51: DirectionIndicator - notify - price/longMA/ShortMA/prevDirection are 1.51865/1.51865447167358/1.51866598929125/1</t>
  </si>
  <si>
    <t>2015-1-20 15:36:19.24: Util - logStaleData - Data is stale!</t>
  </si>
  <si>
    <t>2015-1-20 15:36:19.133: DirectionIndicator - notify - price/longMA/ShortMA/prevDirection are 1.5187/1.51866274955111/1.51867732619417/1</t>
  </si>
  <si>
    <t>2015-1-20 15:36:20.121: DirectionIndicator - notify - price/longMA/ShortMA/prevDirection are 1.51865/1.51866043145091/1.51866821746278/1</t>
  </si>
  <si>
    <t>2015-1-20 15:36:29.0: TransitionLogger - flushFile - flushing file</t>
  </si>
  <si>
    <t>2015-1-20 15:36:29.1: TransitionLogger - openTransitionFile - opening file C:\temp\transitionlog_2015-01-20_153021</t>
  </si>
  <si>
    <t>2015-1-20 15:36:30.116: Util - logStaleData - Data is stale!</t>
  </si>
  <si>
    <t>2015-1-20 15:36:34.700: DirectionIndicator - notify - price/longMA/ShortMA/prevDirection are 1.5186/1.51864944391438/1.51864547830852/1</t>
  </si>
  <si>
    <t>2015-1-20 15:36:34.749: DirectionIndicator - notify - price/longMA/ShortMA/prevDirection are 1.51855/1.51863136320268/1.51861365220568/1</t>
  </si>
  <si>
    <t>2015-1-20 15:36:35.220: DirectionIndicator - notify - price/longMA/ShortMA/prevDirection are 1.5186/1.51862566080219/1.51860910147045/1</t>
  </si>
  <si>
    <t>2015-1-20 15:36:35.333: DirectionIndicator - notify - price/longMA/ShortMA/prevDirection are 1.51855/1.5186119042927/1.5185894009803/1</t>
  </si>
  <si>
    <t>2015-1-20 15:36:36.329: DirectionIndicator - notify - price/longMA/ShortMA/prevDirection are 1.5185/1.51859155805766/1.51855960065353/-1</t>
  </si>
  <si>
    <t>2015-1-20 15:36:36.384: DirectionIndicator - notify - price/longMA/ShortMA/prevDirection are 1.51845/1.518565820229/1.51852306710236/-1</t>
  </si>
  <si>
    <t>2015-1-20 15:36:42.979: DirectionIndicator - notify - price/longMA/ShortMA/prevDirection are 1.5185/1.51855385291463/1.51851537806824/-1</t>
  </si>
  <si>
    <t>2015-1-20 15:36:44.538: DirectionIndicator - notify - price/longMA/ShortMA/prevDirection are 1.51855/1.5185531523847/1.51852691871216/-1</t>
  </si>
  <si>
    <t>2015-1-20 15:36:45.391: DirectionIndicator - notify - price/longMA/ShortMA/prevDirection are 1.5185/1.51854348831476/1.51851794580811/-1</t>
  </si>
  <si>
    <t>2015-1-20 15:36:46.143: DirectionIndicator - notify - price/longMA/ShortMA/prevDirection are 1.51855/1.51854467225753/1.51852863053874/-1</t>
  </si>
  <si>
    <t>2015-1-20 15:36:47.5: Util - logStaleData - Data is stale!</t>
  </si>
  <si>
    <t>2015-1-20 15:36:47.328: DirectionIndicator - notify - price/longMA/ShortMA/prevDirection are 1.5186/1.51855473184707/1.51855242035916/-1</t>
  </si>
  <si>
    <t>2015-1-20 15:36:50.455: DirectionIndicator - notify - price/longMA/ShortMA/prevDirection are 1.51855/1.51855387151124/1.51855161357277/-1</t>
  </si>
  <si>
    <t>2015-1-20 15:36:51.167: DirectionIndicator - notify - price/longMA/ShortMA/prevDirection are 1.5186/1.51856225850919/1.51856774238185/-1</t>
  </si>
  <si>
    <t>2015-1-20 15:36:59.795: DirectionIndicator - notify - price/longMA/ShortMA/prevDirection are 1.51855/1.51856002968934/1.51856182825457/-1</t>
  </si>
  <si>
    <t>2015-1-20 15:37:6.16: TransitionLogger - flushFile - flushing file</t>
  </si>
  <si>
    <t>2015-1-20 15:37:6.17: TransitionLogger - openTransitionFile - opening file C:\temp\transitionlog_2015-01-20_153021</t>
  </si>
  <si>
    <t>2015-1-20 15:37:11.320: Util - logStaleData - Data is stale!</t>
  </si>
  <si>
    <t>2015-1-20 15:37:12.556: DirectionIndicator - notify - price/longMA/ShortMA/prevDirection are 1.5185/1.51854911520037/1.51854121883638/-1</t>
  </si>
  <si>
    <t>2015-1-20 15:37:12.622: DirectionIndicator - notify - price/longMA/ShortMA/prevDirection are 1.51845/1.51853109425485/1.51851081255758/-1</t>
  </si>
  <si>
    <t>2015-1-20 15:37:18.126: DirectionIndicator - notify - price/longMA/ShortMA/prevDirection are 1.5185/1.51852544075397/1.51850720837172/-1</t>
  </si>
  <si>
    <t>2015-1-20 15:37:18.359: DirectionIndicator - notify - price/longMA/ShortMA/prevDirection are 1.51855/1.51852990607143/1.51852147224782/-1</t>
  </si>
  <si>
    <t>2015-1-20 15:37:26.398: DirectionIndicator - notify - price/longMA/ShortMA/prevDirection are 1.5185/1.51852446860389/1.51851431483188/-1</t>
  </si>
  <si>
    <t>2015-1-20 15:37:28.554: Util - logStaleData - Data is stale!</t>
  </si>
  <si>
    <t>2015-1-20 15:37:29.0: TransitionLogger - flushFile - flushing file</t>
  </si>
  <si>
    <t>2015-1-20 15:37:29.1: TransitionLogger - openTransitionFile - opening file C:\temp\transitionlog_2015-01-20_153021</t>
  </si>
  <si>
    <t>2015-1-20 15:37:30.90: DirectionIndicator - notify - price/longMA/ShortMA/prevDirection are 1.51855/1.51851640692129/1.51851350069093/-1</t>
  </si>
  <si>
    <t>2015-1-20 15:37:31.40: Util - logStaleData - Data is stale!</t>
  </si>
  <si>
    <t>2015-1-20 15:37:31.504: DirectionIndicator - notify - price/longMA/ShortMA/prevDirection are 1.5185/1.51851342384469/1.51850900046062/-1</t>
  </si>
  <si>
    <t>2015-1-20 15:37:31.628: DirectionIndicator - notify - price/longMA/ShortMA/prevDirection are 1.51845/1.51850189223657/1.51848933364041/-1</t>
  </si>
  <si>
    <t>2015-1-20 15:37:39.378: DirectionIndicator - notify - price/longMA/ShortMA/prevDirection are 1.5185/1.51850154819355/1.51849288909361/-1</t>
  </si>
  <si>
    <t>2015-1-20 15:37:39.501: DirectionIndicator - notify - price/longMA/ShortMA/prevDirection are 1.51855/1.51851035761291/1.51851192606241/-1</t>
  </si>
  <si>
    <t>2015-1-20 15:37:39.810: DirectionIndicator - notify - price/longMA/ShortMA/prevDirection are 1.5185/1.51850847441056/1.51850795070827/-1</t>
  </si>
  <si>
    <t>2015-1-20 15:37:40.933: DirectionIndicator - notify - price/longMA/ShortMA/prevDirection are 1.51855/1.51851602451773/1.51852196713885/-1</t>
  </si>
  <si>
    <t>2015-1-20 15:37:42.5: Util - logStaleData - Data is stale!</t>
  </si>
  <si>
    <t>2015-1-20 15:37:48.908: Util - logStaleData - Data is stale!</t>
  </si>
  <si>
    <t>2015-1-20 15:37:59.719: DirectionIndicator - notify - price/longMA/ShortMA/prevDirection are 1.5185/1.51851311096905/1.51851464475923/-1</t>
  </si>
  <si>
    <t>2015-1-20 15:38:0.317: DirectionIndicator - notify - price/longMA/ShortMA/prevDirection are 1.51855/1.51851981806559/1.51852642983949/-1</t>
  </si>
  <si>
    <t>2015-1-20 15:38:1.291: DirectionIndicator - notify - price/longMA/ShortMA/prevDirection are 1.5186/1.51853439659912/1.51855095322632/-1</t>
  </si>
  <si>
    <t>2015-1-20 15:38:1.350: DirectionIndicator - notify - price/longMA/ShortMA/prevDirection are 1.51865/1.51855541539928/1.51858396881755/-1</t>
  </si>
  <si>
    <t>2015-1-20 15:38:1.797: DirectionIndicator - notify - price/longMA/ShortMA/prevDirection are 1.5186/1.51856352169032/1.51858931254503/1</t>
  </si>
  <si>
    <t>2015-1-20 15:38:1.880: DirectionIndicator - notify - price/longMA/ShortMA/prevDirection are 1.51855/1.51856106320117/1.51857620836336/1</t>
  </si>
  <si>
    <t>2015-1-20 15:38:6.74: TransitionLogger - flushFile - flushing file</t>
  </si>
  <si>
    <t>2015-1-20 15:38:6.76: TransitionLogger - openTransitionFile - opening file C:\temp\transitionlog_2015-01-20_153021</t>
  </si>
  <si>
    <t>2015-1-20 15:38:9.248: DirectionIndicator - notify - price/longMA/ShortMA/prevDirection are 1.5185/1.51854996080096/1.51855080557557/1</t>
  </si>
  <si>
    <t>2015-1-20 15:38:10.547: DirectionIndicator - notify - price/longMA/ShortMA/prevDirection are 1.51845/1.51853178610987/1.51851720371705/1</t>
  </si>
  <si>
    <t>2015-1-20 15:38:17.239: Util - logStaleData - Data is stale!</t>
  </si>
  <si>
    <t>2015-1-20 15:38:21.884: Algorithm - FindNextStrikes - price is 1.51845 nextStrikeUp/Down 1.52/1.515</t>
  </si>
  <si>
    <t>2015-1-20 15:38:21.884: Algorithm - getPortfolioForwardDelta - required deltas is 100 currentHedgePosition is 100</t>
  </si>
  <si>
    <t>2015-1-20 15:38:21.885: Algorithm - getHedgeShortfall - required deltas is 100 price is 1.51855 currentHedgePositionDeltas is 100</t>
  </si>
  <si>
    <t>2015-1-20 15:38:21.885: Algorithm - processTransitionPoint - nextUpper/LowerStrikes are 1.52/1.515 requiredDeltas/currentPosition/currentHedgeShortfall/direction/transitionPrice are 100/100/0/1/1.51855</t>
  </si>
  <si>
    <t>2015-1-20 15:38:21.886: TransitionLogger - processTransitionpoint - checking transition - currentHedgeShortfall is 0</t>
  </si>
  <si>
    <t>2015-1-20 15:38:21.887: Algorithm - updatePortfolio - haveAllDetails is True</t>
  </si>
  <si>
    <t>2015-1-20 15:38:21.888: RTWSControl - updatePortfolioEx - An Error Occured Object variable or With block variable not set</t>
  </si>
  <si>
    <t>2015-1-20 15:38:21.927: Algorithm - FindNextStrikes - price is 1.51845 nextStrikeUp/Down 1.52/1.515</t>
  </si>
  <si>
    <t>2015-1-20 15:38:21.928: Algorithm - getPortfolioForwardDelta - required deltas is 100 currentHedgePosition is 100</t>
  </si>
  <si>
    <t>2015-1-20 15:38:21.928: Algorithm - getHedgeShortfall - required deltas is 100 price is 1.51855 currentHedgePositionDeltas is 100</t>
  </si>
  <si>
    <t>2015-1-20 15:38:21.929: Algorithm - processTransitionPoint - nextUpper/LowerStrikes are 1.52/1.515 requiredDeltas/currentPosition/currentHedgeShortfall/direction/transitionPrice are 100/100/0/1/1.51855</t>
  </si>
  <si>
    <t>2015-1-20 15:38:21.929: TransitionLogger - processTransitionpoint - checking transition - currentHedgeShortfall is 0</t>
  </si>
  <si>
    <t>2015-1-20 15:38:21.930: Algorithm - updatePortfolio - haveAllDetails is True</t>
  </si>
  <si>
    <t>2015-1-20 15:38:21.931: RTWSControl - updatePortfolioEx - An Error Occured Object variable or With block variable not set</t>
  </si>
  <si>
    <t>2015-1-20 15:38:21.977: Algorithm - FindNextStrikes - price is 1.51845 nextStrikeUp/Down 1.52/1.515</t>
  </si>
  <si>
    <t>2015-1-20 15:38:21.977: Algorithm - getPortfolioForwardDelta - required deltas is 100 currentHedgePosition is 100</t>
  </si>
  <si>
    <t>2015-1-20 15:38:21.978: Algorithm - getHedgeShortfall - required deltas is 100 price is 1.51855 currentHedgePositionDeltas is 100</t>
  </si>
  <si>
    <t>2015-1-20 15:38:21.978: Algorithm - processTransitionPoint - nextUpper/LowerStrikes are 1.52/1.515 requiredDeltas/currentPosition/currentHedgeShortfall/direction/transitionPrice are 100/100/0/1/1.51855</t>
  </si>
  <si>
    <t>2015-1-20 15:38:21.978: TransitionLogger - processTransitionpoint - checking transition - currentHedgeShortfall is 0</t>
  </si>
  <si>
    <t>2015-1-20 15:38:21.979: Algorithm - updatePortfolio - haveAllDetails is True</t>
  </si>
  <si>
    <t>2015-1-20 15:38:21.980: RTWSControl - updatePortfolioEx - An Error Occured Object variable or With block variable not set</t>
  </si>
  <si>
    <t>2015-1-20 15:38:22.54: Algorithm - FindNextStrikes - price is 1.51845 nextStrikeUp/Down 1.52/1.515</t>
  </si>
  <si>
    <t>2015-1-20 15:38:22.55: Algorithm - getPortfolioForwardDelta - required deltas is 100 currentHedgePosition is 100</t>
  </si>
  <si>
    <t>2015-1-20 15:38:22.55: Algorithm - getHedgeShortfall - required deltas is 100 price is 1.51855 currentHedgePositionDeltas is 100</t>
  </si>
  <si>
    <t>2015-1-20 15:38:22.56: Algorithm - processTransitionPoint - nextUpper/LowerStrikes are 1.52/1.515 requiredDeltas/currentPosition/currentHedgeShortfall/direction/transitionPrice are 100/100/0/1/1.51855</t>
  </si>
  <si>
    <t>2015-1-20 15:38:22.56: TransitionLogger - processTransitionpoint - checking transition - currentHedgeShortfall is 0</t>
  </si>
  <si>
    <t>2015-1-20 15:38:22.57: Algorithm - updatePortfolio - haveAllDetails is True</t>
  </si>
  <si>
    <t>2015-1-20 15:38:22.58: RTWSControl - updatePortfolioEx - An Error Occured Object variable or With block variable not set</t>
  </si>
  <si>
    <t>2015-1-20 15:38:22.103: Algorithm - FindNextStrikes - price is 1.51845 nextStrikeUp/Down 1.52/1.515</t>
  </si>
  <si>
    <t>2015-1-20 15:38:22.103: Algorithm - getPortfolioForwardDelta - required deltas is 100 currentHedgePosition is 100</t>
  </si>
  <si>
    <t>2015-1-20 15:38:22.104: Algorithm - getHedgeShortfall - required deltas is 100 price is 1.51855 currentHedgePositionDeltas is 100</t>
  </si>
  <si>
    <t>2015-1-20 15:38:22.104: Algorithm - processTransitionPoint - nextUpper/LowerStrikes are 1.52/1.515 requiredDeltas/currentPosition/currentHedgeShortfall/direction/transitionPrice are 100/100/0/1/1.51855</t>
  </si>
  <si>
    <t>2015-1-20 15:38:22.105: TransitionLogger - processTransitionpoint - checking transition - currentHedgeShortfall is 0</t>
  </si>
  <si>
    <t>2015-1-20 15:38:22.105: Algorithm - updatePortfolio - haveAllDetails is True</t>
  </si>
  <si>
    <t>2015-1-20 15:38:22.107: RTWSControl - updatePortfolioEx - An Error Occured Object variable or With block variable not set</t>
  </si>
  <si>
    <t>2015-1-20 15:38:22.148: Algorithm - FindNextStrikes - price is 1.51845 nextStrikeUp/Down 1.52/1.515</t>
  </si>
  <si>
    <t>2015-1-20 15:38:22.149: Algorithm - getPortfolioForwardDelta - required deltas is 100 currentHedgePosition is 100</t>
  </si>
  <si>
    <t>2015-1-20 15:38:22.149: Algorithm - getHedgeShortfall - required deltas is 100 price is 1.51855 currentHedgePositionDeltas is 100</t>
  </si>
  <si>
    <t>2015-1-20 15:38:22.150: Algorithm - processTransitionPoint - nextUpper/LowerStrikes are 1.52/1.515 requiredDeltas/currentPosition/currentHedgeShortfall/direction/transitionPrice are 100/100/0/1/1.51855</t>
  </si>
  <si>
    <t>2015-1-20 15:38:22.150: TransitionLogger - processTransitionpoint - checking transition - currentHedgeShortfall is 0</t>
  </si>
  <si>
    <t>2015-1-20 15:38:22.151: Algorithm - updatePortfolio - haveAllDetails is True</t>
  </si>
  <si>
    <t>2015-1-20 15:38:22.152: RTWSControl - updatePortfolioEx - An Error Occured Object variable or With block variable not set</t>
  </si>
  <si>
    <t>2015-1-20 15:38:23.546: DirectionIndicator - notify - price/longMA/ShortMA/prevDirection are 1.5184/1.51850782499899/1.51847813581136/1</t>
  </si>
  <si>
    <t>2015-1-20 15:38:23.627: DirectionIndicator - notify - price/longMA/ShortMA/prevDirection are 1.51835/1.51847912954463/1.51843542387424/-1</t>
  </si>
  <si>
    <t>2015-1-20 15:38:28.243: DirectionIndicator - notify - price/longMA/ShortMA/prevDirection are 1.5184/1.51846474235469/1.51842361591616/-1</t>
  </si>
  <si>
    <t>2015-1-20 15:38:28.493: DirectionIndicator - notify - price/longMA/ShortMA/prevDirection are 1.51845/1.51846206192657/1.51843241061077/-1</t>
  </si>
  <si>
    <t>2015-1-20 15:38:28.818: DirectionIndicator - notify - price/longMA/ShortMA/prevDirection are 1.5184/1.51845077793992/1.51842160707385/-1</t>
  </si>
  <si>
    <t>2015-1-20 15:38:29.527: TransitionLogger - flushFile - flushing file</t>
  </si>
  <si>
    <t>2015-1-20 15:38:29.528: TransitionLogger - openTransitionFile - opening file C:\temp\transitionlog_2015-01-20_153021</t>
  </si>
  <si>
    <t>2015-1-20 15:38:36.40: Util - logStaleData - Data is stale!</t>
  </si>
  <si>
    <t>2015-1-20 15:38:41.919: DirectionIndicator - notify - price/longMA/ShortMA/prevDirection are 1.51835/1.51843245467812/1.51839773804923/-1</t>
  </si>
  <si>
    <t>2015-1-20 15:38:43.912: DirectionIndicator - notify - price/longMA/ShortMA/prevDirection are 1.5183/1.51840837200937/1.51836515869949/-1</t>
  </si>
  <si>
    <t>2015-1-20 15:38:44.43: DirectionIndicator - notify - price/longMA/ShortMA/prevDirection are 1.51825/1.51837957709857/1.51832677246633/-1</t>
  </si>
  <si>
    <t>2015-1-20 15:38:45.738: DirectionIndicator - notify - price/longMA/ShortMA/prevDirection are 1.5183/1.5183651085352/1.51831784831088/-1</t>
  </si>
  <si>
    <t>2015-1-20 15:38:48.66: DirectionIndicator - notify - price/longMA/ShortMA/prevDirection are 1.51825/1.51834417971062/1.51829523220726/-1</t>
  </si>
  <si>
    <t>2015-1-20 15:38:48.279: DirectionIndicator - notify - price/longMA/ShortMA/prevDirection are 1.5183/1.51833614703596/1.5182968214715/-1</t>
  </si>
  <si>
    <t>2015-1-20 15:38:53.151: Util - logStaleData - Data is stale!</t>
  </si>
  <si>
    <t>2015-1-20 15:38:54.590: DirectionIndicator - notify - price/longMA/ShortMA/prevDirection are 1.51825/1.51832048393851/1.51828121431434/-1</t>
  </si>
  <si>
    <t>2015-1-20 15:38:55.804: DirectionIndicator - notify - price/longMA/ShortMA/prevDirection are 1.5182/1.51829857776787/1.51825414287622/-1</t>
  </si>
  <si>
    <t>2015-1-20 15:38:55.995: DirectionIndicator - notify - price/longMA/ShortMA/prevDirection are 1.51815/1.51827156362826/1.51821942858415/-1</t>
  </si>
  <si>
    <t>2015-1-20 15:38:56.701: DirectionIndicator - notify - price/longMA/ShortMA/prevDirection are 1.5182/1.51825855205949/1.51821295238943/-1</t>
  </si>
  <si>
    <t>2015-1-20 15:38:58.869: DirectionIndicator - notify - price/longMA/ShortMA/prevDirection are 1.51815/1.5182388153214/1.51819196825962/-1</t>
  </si>
  <si>
    <t>2015-1-20 15:39:0.71: DirectionIndicator - notify - price/longMA/ShortMA/prevDirection are 1.5181/1.51821357617205/1.51816131217308/-1</t>
  </si>
  <si>
    <t>2015-1-20 15:39:0.240: DirectionIndicator - notify - price/longMA/ShortMA/prevDirection are 1.51805/1.51818383504986/1.51812420811539/-1</t>
  </si>
  <si>
    <t>2015-1-20 15:39:5.782: DirectionIndicator - notify - price/longMA/ShortMA/prevDirection are 1.5181/1.51816859231352/1.51811613874359/-1</t>
  </si>
  <si>
    <t>2015-1-20 15:39:6.157: TransitionLogger - flushFile - flushing file</t>
  </si>
  <si>
    <t>2015-1-20 15:39:6.157: TransitionLogger - openTransitionFile - opening file C:\temp\transitionlog_2015-01-20_153021</t>
  </si>
  <si>
    <t>2015-1-20 15:39:8.761: DirectionIndicator - notify - price/longMA/ShortMA/prevDirection are 1.51805/1.5181470300747/1.51809409249573/-1</t>
  </si>
  <si>
    <t>2015-1-20 15:39:8.905: DirectionIndicator - notify - price/longMA/ShortMA/prevDirection are 1.518/1.51812029733385/1.51806272833049/-1</t>
  </si>
  <si>
    <t>2015-1-20 15:39:9.114: Util - logStaleData - Data is stale!</t>
  </si>
  <si>
    <t>2015-1-20 15:39:10.663: DirectionIndicator - notify - price/longMA/ShortMA/prevDirection are 1.51795/1.51808933418224/1.51802515222032/-1</t>
  </si>
  <si>
    <t>2015-1-20 15:39:11.426: DirectionIndicator - notify - price/longMA/ShortMA/prevDirection are 1.518/1.51807309160365/1.51801676814688/-1</t>
  </si>
  <si>
    <t>2015-1-20 15:39:11.534: DirectionIndicator - notify - price/longMA/ShortMA/prevDirection are 1.51805/1.51806889313026/1.51802784543126/-1</t>
  </si>
  <si>
    <t>2015-1-20 15:39:12.124: DirectionIndicator - notify - price/longMA/ShortMA/prevDirection are 1.518/1.51805636710657/1.51801856362084/-1</t>
  </si>
  <si>
    <t>2015-1-20 15:39:13.165: DirectionIndicator - notify - price/longMA/ShortMA/prevDirection are 1.51805/1.51805520945083/1.51802904241389/-1</t>
  </si>
  <si>
    <t>2015-1-20 15:39:14.404: DirectionIndicator - notify - price/longMA/ShortMA/prevDirection are 1.5181/1.51806335318705/1.51805269494259/-1</t>
  </si>
  <si>
    <t>2015-1-20 15:39:15.362: DirectionIndicator - notify - price/longMA/ShortMA/prevDirection are 1.518/1.51805183442576/1.51803512996173/-1</t>
  </si>
  <si>
    <t>2015-1-20 15:39:15.492: DirectionIndicator - notify - price/longMA/ShortMA/prevDirection are 1.51785/1.51801513725744/1.51797341997449/-1</t>
  </si>
  <si>
    <t>2015-1-20 15:39:15.830: DirectionIndicator - notify - price/longMA/ShortMA/prevDirection are 1.5179/1.51799420321064/1.51794894664966/-1</t>
  </si>
  <si>
    <t>2015-1-20 15:39:16.5: DirectionIndicator - notify - price/longMA/ShortMA/prevDirection are 1.51795/1.51798616626325/1.51794929776644/-1</t>
  </si>
  <si>
    <t>2015-1-20 15:39:20.575: DirectionIndicator - notify - price/longMA/ShortMA/prevDirection are 1.5179/1.51797049966993/1.51793286517763/-1</t>
  </si>
  <si>
    <t>2015-1-20 15:39:21.418: DirectionIndicator - notify - price/longMA/ShortMA/prevDirection are 1.51785/1.51794859063903/1.51790524345175/-1</t>
  </si>
  <si>
    <t>2015-1-20 15:39:25.118: DirectionIndicator - notify - price/longMA/ShortMA/prevDirection are 1.5179/1.51793975597739/1.5179034956345/-1</t>
  </si>
  <si>
    <t>2015-1-20 15:39:26.551: DirectionIndicator - notify - price/longMA/ShortMA/prevDirection are 1.51785/1.51792343670877/1.51788566375633/-1</t>
  </si>
  <si>
    <t>2015-1-20 15:39:27.954: DirectionIndicator - notify - price/longMA/ShortMA/prevDirection are 1.5178/1.51790099367082/1.51785710917089/-1</t>
  </si>
  <si>
    <t>2015-1-20 15:39:29.162: TransitionLogger - flushFile - flushing file</t>
  </si>
  <si>
    <t>2015-1-20 15:39:29.162: TransitionLogger - openTransitionFile - opening file C:\temp\transitionlog_2015-01-20_153021</t>
  </si>
  <si>
    <t>2015-1-20 15:39:29.203: DirectionIndicator - notify - price/longMA/ShortMA/prevDirection are 1.51775/1.51787354027612/1.51782140611393/-1</t>
  </si>
  <si>
    <t>2015-1-20 15:39:33.32: Util - logStaleData - Data is stale!</t>
  </si>
  <si>
    <t>2015-1-20 15:39:33.86: DirectionIndicator - notify - price/longMA/ShortMA/prevDirection are 1.5178/1.51786016931683/1.51781427074262/-1</t>
  </si>
  <si>
    <t>2015-1-20 15:39:34.252: DirectionIndicator - notify - price/longMA/ShortMA/prevDirection are 1.51775/1.51784013853195/1.51779284716174/-1</t>
  </si>
  <si>
    <t>2015-1-20 15:39:36.118: DirectionIndicator - notify - price/longMA/ShortMA/prevDirection are 1.5177/1.51781465879887/1.51776189810783/-1</t>
  </si>
  <si>
    <t>2015-1-20 15:39:36.341: DirectionIndicator - notify - price/longMA/ShortMA/prevDirection are 1.51765/1.51778472083544/1.51772459873855/-1</t>
  </si>
  <si>
    <t>2015-1-20 15:39:37.120: DirectionIndicator - notify - price/longMA/ShortMA/prevDirection are 1.5177/1.51776931704718/1.51771639915904/-1</t>
  </si>
  <si>
    <t>2015-1-20 15:39:37.254: DirectionIndicator - notify - price/longMA/ShortMA/prevDirection are 1.51775/1.51776580485678/1.51772759943936/-1</t>
  </si>
  <si>
    <t>2015-1-20 15:39:38.200: DirectionIndicator - notify - price/longMA/ShortMA/prevDirection are 1.5177/1.51775384033737/1.51771839962624/-1</t>
  </si>
  <si>
    <t>2015-1-20 15:39:47.681: Util - logStaleData - Data is stale!</t>
  </si>
  <si>
    <t>2015-1-20 15:39:49.216: DirectionIndicator - notify - price/longMA/ShortMA/prevDirection are 1.51775/1.51775314209421/1.51772893308416/-1</t>
  </si>
  <si>
    <t>2015-1-20 15:39:50.658: DirectionIndicator - notify - price/longMA/ShortMA/prevDirection are 1.5177/1.51774347989526/1.51771928872277/-1</t>
  </si>
  <si>
    <t>2015-1-20 15:39:51.134: DirectionIndicator - notify - price/longMA/ShortMA/prevDirection are 1.51775/1.51774466536885/1.51772952581518/-1</t>
  </si>
  <si>
    <t>2015-1-20 15:39:52.307: DirectionIndicator - notify - price/longMA/ShortMA/prevDirection are 1.51785/1.51776381711997/1.51776968387679/-1</t>
  </si>
  <si>
    <t>2015-1-20 15:40:1.0: Util - logStaleData - Data is stale!</t>
  </si>
  <si>
    <t>2015-1-20 15:40:6.14: TransitionLogger - flushFile - flushing file</t>
  </si>
  <si>
    <t>2015-1-20 15:40:6.15: TransitionLogger - openTransitionFile - opening file C:\temp\transitionlog_2015-01-20_153021</t>
  </si>
  <si>
    <t>2015-1-20 15:40:16.59: Util - logStaleData - Data is stale!</t>
  </si>
  <si>
    <t>2015-1-20 15:40:21.568: DirectionIndicator - notify - price/longMA/ShortMA/prevDirection are 1.5179/1.51778857764361/1.51781312258453/-1</t>
  </si>
  <si>
    <t>2015-1-20 15:40:21.637: DirectionIndicator - notify - price/longMA/ShortMA/prevDirection are 1.51795/1.51781792716295/1.51785874838968/1</t>
  </si>
  <si>
    <t>2015-1-20 15:40:22.900: DirectionIndicator - notify - price/longMA/ShortMA/prevDirection are 1.5179/1.51783284949696/1.51787249892646/1</t>
  </si>
  <si>
    <t>2015-1-20 15:40:23.93: DirectionIndicator - notify - price/longMA/ShortMA/prevDirection are 1.51795/1.51785414958842/1.51789833261764/1</t>
  </si>
  <si>
    <t>2015-1-20 15:40:23.306: DirectionIndicator - notify - price/longMA/ShortMA/prevDirection are 1.5179/1.51786248602689/1.51789888841176/1</t>
  </si>
  <si>
    <t>2015-1-20 15:40:25.7: Util - logStaleData - Data is stale!</t>
  </si>
  <si>
    <t>2015-1-20 15:40:29.1: TransitionLogger - flushFile - flushing file</t>
  </si>
  <si>
    <t>2015-1-20 15:40:29.1: TransitionLogger - openTransitionFile - opening file C:\temp\transitionlog_2015-01-20_153021</t>
  </si>
  <si>
    <t>2015-1-20 15:40:29.4: Util - logStaleData - Data is stale!</t>
  </si>
  <si>
    <t>2015-1-20 15:40:32.938: DirectionIndicator - notify - price/longMA/ShortMA/prevDirection are 1.51785/1.51786021584018/1.51788259227451/1</t>
  </si>
  <si>
    <t>2015-1-20 15:40:33.128: DirectionIndicator - notify - price/longMA/ShortMA/prevDirection are 1.5179/1.51786744932379/1.51788839484967/1</t>
  </si>
  <si>
    <t>2015-1-20 15:40:33.296: DirectionIndicator - notify - price/longMA/ShortMA/prevDirection are 1.51785/1.51786427671946/1.51787559656645/1</t>
  </si>
  <si>
    <t>2015-1-20 15:40:35.484: DirectionIndicator - notify - price/longMA/ShortMA/prevDirection are 1.5178/1.5178525900432/1.51785039771096/1</t>
  </si>
  <si>
    <t>2015-1-20 15:40:39.29: DirectionIndicator - notify - price/longMA/ShortMA/prevDirection are 1.51785/1.51785211912625/1.51785026514064/1</t>
  </si>
  <si>
    <t>2015-1-20 15:40:40.335: DirectionIndicator - notify - price/longMA/ShortMA/prevDirection are 1.5178/1.51784264292148/1.51783351009376/1</t>
  </si>
  <si>
    <t>2015-1-20 15:40:41.134: DirectionIndicator - notify - price/longMA/ShortMA/prevDirection are 1.51775/1.51782579875394/1.51780567339584/1</t>
  </si>
  <si>
    <t>2015-1-20 15:40:41.751: DirectionIndicator - notify - price/longMA/ShortMA/prevDirection are 1.5178/1.5178211080714/1.51780378226389/-1</t>
  </si>
  <si>
    <t>2015-1-20 15:40:42.330: DirectionIndicator - notify - price/longMA/ShortMA/prevDirection are 1.51775/1.51780817933115/1.5177858548426/-1</t>
  </si>
  <si>
    <t>2015-1-20 15:40:42.707: Util - logStaleData - Data is stale!</t>
  </si>
  <si>
    <t>2015-1-20 15:41:6.205: TransitionLogger - flushFile - flushing file</t>
  </si>
  <si>
    <t>2015-1-20 15:41:6.206: TransitionLogger - openTransitionFile - opening file C:\temp\transitionlog_2015-01-20_153021</t>
  </si>
  <si>
    <t>2015-1-20 15:41:8.181: Util - logStaleData - Data is stale!</t>
  </si>
  <si>
    <t>2015-1-20 15:41:17.235: DirectionIndicator - notify - price/longMA/ShortMA/prevDirection are 1.5178/1.51780669218003/1.51779056989506/-1</t>
  </si>
  <si>
    <t>2015-1-20 15:41:17.308: DirectionIndicator - notify - price/longMA/ShortMA/prevDirection are 1.51785/1.51781456632912/1.51781037993004/-1</t>
  </si>
  <si>
    <t>2015-1-20 15:41:20.932: Algorithm - FindNextStrikes - price is 1.51785 nextStrikeUp/Down 1.52/1.515</t>
  </si>
  <si>
    <t>2015-1-20 15:41:20.932: Algorithm - getPortfolioForwardDelta - required deltas is 100 currentHedgePosition is 100</t>
  </si>
  <si>
    <t>2015-1-20 15:41:20.933: Algorithm - getHedgeShortfall - required deltas is 100 price is 1.51775 currentHedgePositionDeltas is 100</t>
  </si>
  <si>
    <t>2015-1-20 15:41:20.933: Algorithm - processTransitionPoint - nextUpper/LowerStrikes are 1.52/1.515 requiredDeltas/currentPosition/currentHedgeShortfall/direction/transitionPrice are 100/100/0/-1/1.51775</t>
  </si>
  <si>
    <t>2015-1-20 15:41:20.934: TransitionLogger - processTransitionpoint - checking transition - currentHedgeShortfall is 0</t>
  </si>
  <si>
    <t>2015-1-20 15:41:20.935: Algorithm - updatePortfolio - haveAllDetails is True</t>
  </si>
  <si>
    <t>2015-1-20 15:41:20.936: RTWSControl - updatePortfolioEx - An Error Occured Object variable or With block variable not set</t>
  </si>
  <si>
    <t>2015-1-20 15:41:20.974: Algorithm - FindNextStrikes - price is 1.51785 nextStrikeUp/Down 1.52/1.515</t>
  </si>
  <si>
    <t>2015-1-20 15:41:20.975: Algorithm - getPortfolioForwardDelta - required deltas is 100 currentHedgePosition is 100</t>
  </si>
  <si>
    <t>2015-1-20 15:41:20.975: Algorithm - getHedgeShortfall - required deltas is 100 price is 1.51775 currentHedgePositionDeltas is 100</t>
  </si>
  <si>
    <t>2015-1-20 15:41:20.976: Algorithm - processTransitionPoint - nextUpper/LowerStrikes are 1.52/1.515 requiredDeltas/currentPosition/currentHedgeShortfall/direction/transitionPrice are 100/100/0/-1/1.51775</t>
  </si>
  <si>
    <t>2015-1-20 15:41:20.976: TransitionLogger - processTransitionpoint - checking transition - currentHedgeShortfall is 0</t>
  </si>
  <si>
    <t>2015-1-20 15:41:20.977: Algorithm - updatePortfolio - haveAllDetails is True</t>
  </si>
  <si>
    <t>2015-1-20 15:41:20.978: RTWSControl - updatePortfolioEx - An Error Occured Object variable or With block variable not set</t>
  </si>
  <si>
    <t>2015-1-20 15:41:21.27: Algorithm - FindNextStrikes - price is 1.51785 nextStrikeUp/Down 1.52/1.515</t>
  </si>
  <si>
    <t>2015-1-20 15:41:21.27: Algorithm - getPortfolioForwardDelta - required deltas is 100 currentHedgePosition is 100</t>
  </si>
  <si>
    <t>2015-1-20 15:41:21.28: Algorithm - getHedgeShortfall - required deltas is 100 price is 1.51775 currentHedgePositionDeltas is 100</t>
  </si>
  <si>
    <t>2015-1-20 15:41:21.28: Algorithm - processTransitionPoint - nextUpper/LowerStrikes are 1.52/1.515 requiredDeltas/currentPosition/currentHedgeShortfall/direction/transitionPrice are 100/100/0/-1/1.51775</t>
  </si>
  <si>
    <t>2015-1-20 15:41:21.29: TransitionLogger - processTransitionpoint - checking transition - currentHedgeShortfall is 0</t>
  </si>
  <si>
    <t>2015-1-20 15:41:21.30: Algorithm - updatePortfolio - haveAllDetails is True</t>
  </si>
  <si>
    <t>2015-1-20 15:41:21.31: RTWSControl - updatePortfolioEx - An Error Occured Object variable or With block variable not set</t>
  </si>
  <si>
    <t>2015-1-20 15:41:21.79: Algorithm - FindNextStrikes - price is 1.51785 nextStrikeUp/Down 1.52/1.515</t>
  </si>
  <si>
    <t>2015-1-20 15:41:21.80: Algorithm - getPortfolioForwardDelta - required deltas is 100 currentHedgePosition is 100</t>
  </si>
  <si>
    <t>2015-1-20 15:41:21.80: Algorithm - getHedgeShortfall - required deltas is 100 price is 1.51775 currentHedgePositionDeltas is 100</t>
  </si>
  <si>
    <t>2015-1-20 15:41:21.81: Algorithm - processTransitionPoint - nextUpper/LowerStrikes are 1.52/1.515 requiredDeltas/currentPosition/currentHedgeShortfall/direction/transitionPrice are 100/100/0/-1/1.51775</t>
  </si>
  <si>
    <t>2015-1-20 15:41:21.81: TransitionLogger - processTransitionpoint - checking transition - currentHedgeShortfall is 0</t>
  </si>
  <si>
    <t>2015-1-20 15:41:21.82: Algorithm - updatePortfolio - haveAllDetails is True</t>
  </si>
  <si>
    <t>2015-1-20 15:41:21.83: RTWSControl - updatePortfolioEx - An Error Occured Object variable or With block variable not set</t>
  </si>
  <si>
    <t>2015-1-20 15:41:21.148: Algorithm - FindNextStrikes - price is 1.51785 nextStrikeUp/Down 1.52/1.515</t>
  </si>
  <si>
    <t>2015-1-20 15:41:21.149: Algorithm - getPortfolioForwardDelta - required deltas is 100 currentHedgePosition is 100</t>
  </si>
  <si>
    <t>2015-1-20 15:41:21.149: Algorithm - getHedgeShortfall - required deltas is 100 price is 1.51775 currentHedgePositionDeltas is 100</t>
  </si>
  <si>
    <t>2015-1-20 15:41:21.150: Algorithm - processTransitionPoint - nextUpper/LowerStrikes are 1.52/1.515 requiredDeltas/currentPosition/currentHedgeShortfall/direction/transitionPrice are 100/100/0/-1/1.51775</t>
  </si>
  <si>
    <t>2015-1-20 15:41:21.150: TransitionLogger - processTransitionpoint - checking transition - currentHedgeShortfall is 0</t>
  </si>
  <si>
    <t>2015-1-20 15:41:21.151: Algorithm - updatePortfolio - haveAllDetails is True</t>
  </si>
  <si>
    <t>2015-1-20 15:41:21.152: RTWSControl - updatePortfolioEx - An Error Occured Object variable or With block variable not set</t>
  </si>
  <si>
    <t>2015-1-20 15:41:21.205: Algorithm - FindNextStrikes - price is 1.51785 nextStrikeUp/Down 1.52/1.515</t>
  </si>
  <si>
    <t>2015-1-20 15:41:21.206: Algorithm - getPortfolioForwardDelta - required deltas is 100 currentHedgePosition is 100</t>
  </si>
  <si>
    <t>2015-1-20 15:41:21.206: Algorithm - getHedgeShortfall - required deltas is 100 price is 1.51775 currentHedgePositionDeltas is 100</t>
  </si>
  <si>
    <t>2015-1-20 15:41:21.207: Algorithm - processTransitionPoint - nextUpper/LowerStrikes are 1.52/1.515 requiredDeltas/currentPosition/currentHedgeShortfall/direction/transitionPrice are 100/100/0/-1/1.51775</t>
  </si>
  <si>
    <t>2015-1-20 15:41:21.207: TransitionLogger - processTransitionpoint - checking transition - currentHedgeShortfall is 0</t>
  </si>
  <si>
    <t>2015-1-20 15:41:21.208: Algorithm - updatePortfolio - haveAllDetails is True</t>
  </si>
  <si>
    <t>2015-1-20 15:41:21.209: RTWSControl - updatePortfolioEx - An Error Occured Object variable or With block variable not set</t>
  </si>
  <si>
    <t>2015-1-20 15:41:21.679: DirectionIndicator - notify - price/longMA/ShortMA/prevDirection are 1.5178/1.51781191790564/1.51780691995336/-1</t>
  </si>
  <si>
    <t>2015-1-20 15:41:24.420: DirectionIndicator - notify - price/longMA/ShortMA/prevDirection are 1.5177/1.51778235826741/1.51775863109038/-1</t>
  </si>
  <si>
    <t>2015-1-20 15:41:24.556: DirectionIndicator - notify - price/longMA/ShortMA/prevDirection are 1.51765/1.51775829312788/1.51772242072692/-1</t>
  </si>
  <si>
    <t>2015-1-20 15:41:29.156: TransitionLogger - flushFile - flushing file</t>
  </si>
  <si>
    <t>2015-1-20 15:41:29.157: TransitionLogger - openTransitionFile - opening file C:\temp\transitionlog_2015-01-20_153021</t>
  </si>
  <si>
    <t>2015-1-20 15:41:29.608: DirectionIndicator - notify - price/longMA/ShortMA/prevDirection are 1.5177/1.51774769437736/1.51771494715128/-1</t>
  </si>
  <si>
    <t>2015-1-20 15:41:29.680: DirectionIndicator - notify - price/longMA/ShortMA/prevDirection are 1.51775/1.51774811358147/1.51772663143419/-1</t>
  </si>
  <si>
    <t>2015-1-20 15:41:37.462: DirectionIndicator - notify - price/longMA/ShortMA/prevDirection are 1.5178/1.51775754747575/1.51775108762279/-1</t>
  </si>
  <si>
    <t>2015-1-20 15:41:54.71: DirectionIndicator - notify - price/longMA/ShortMA/prevDirection are 1.51775/1.51775617520743/1.51775072508186/-1</t>
  </si>
  <si>
    <t>2015-1-20 15:42:0.861: DirectionIndicator - notify - price/longMA/ShortMA/prevDirection are 1.5178/1.51776414335154/1.51776715005457/-1</t>
  </si>
  <si>
    <t>2015-1-20 15:42:4.603: DirectionIndicator - notify - price/longMA/ShortMA/prevDirection are 1.51785/1.51777975365126/1.51779476670305/-1</t>
  </si>
  <si>
    <t>2015-1-20 15:42:6.320: TransitionLogger - flushFile - flushing file</t>
  </si>
  <si>
    <t>2015-1-20 15:42:6.321: TransitionLogger - openTransitionFile - opening file C:\temp\transitionlog_2015-01-20_153021</t>
  </si>
  <si>
    <t>2015-1-20 15:42:8.139: Util - logStaleData - Data is stale!</t>
  </si>
  <si>
    <t>2015-1-20 15:42:9.398: DirectionIndicator - notify - price/longMA/ShortMA/prevDirection are 1.5178/1.51778343480557/1.51779651113537/-1</t>
  </si>
  <si>
    <t>2015-1-20 15:42:10.627: DirectionIndicator - notify - price/longMA/ShortMA/prevDirection are 1.51775/1.51777735575002/1.51778100742358/-1</t>
  </si>
  <si>
    <t>2015-1-20 15:42:13.475: DirectionIndicator - notify - price/longMA/ShortMA/prevDirection are 1.5177/1.51776329106819/1.51775400494905/-1</t>
  </si>
  <si>
    <t>2015-1-20 15:42:13.937: DirectionIndicator - notify - price/longMA/ShortMA/prevDirection are 1.51765/1.51774269269216/1.5177193366327/-1</t>
  </si>
  <si>
    <t>2015-1-20 15:42:16.773: DirectionIndicator - notify - price/longMA/ShortMA/prevDirection are 1.5177/1.51773493038449/1.51771289108847/-1</t>
  </si>
  <si>
    <t>2015-1-20 15:42:16.902: DirectionIndicator - notify - price/longMA/ShortMA/prevDirection are 1.51775/1.51773767031459/1.51772526072564/-1</t>
  </si>
  <si>
    <t>2015-1-20 15:42:18.457: DirectionIndicator - notify - price/longMA/ShortMA/prevDirection are 1.5177/1.51773082116648/1.51771684048376/-1</t>
  </si>
  <si>
    <t>2015-1-20 15:42:22.666: DirectionIndicator - notify - price/longMA/ShortMA/prevDirection are 1.51775/1.51773430822712/1.51772789365584/-1</t>
  </si>
  <si>
    <t>2015-1-20 15:42:24.252: DirectionIndicator - notify - price/longMA/ShortMA/prevDirection are 1.5177/1.51772807036764/1.51771859577056/-1</t>
  </si>
  <si>
    <t>2015-1-20 15:42:24.730: DirectionIndicator - notify - price/longMA/ShortMA/prevDirection are 1.51775/1.51773205757353/1.51772906384704/-1</t>
  </si>
  <si>
    <t>2015-1-20 15:42:25.959: DirectionIndicator - notify - price/longMA/ShortMA/prevDirection are 1.5177/1.51772622892379/1.51771937589803/-1</t>
  </si>
  <si>
    <t>2015-1-20 15:42:26.60: Util - logStaleData - Data is stale!</t>
  </si>
  <si>
    <t>2015-1-20 15:42:26.318: DirectionIndicator - notify - price/longMA/ShortMA/prevDirection are 1.51765/1.51771236911947/1.51769625059868/-1</t>
  </si>
  <si>
    <t>2015-1-20 15:42:29.0: TransitionLogger - flushFile - flushing file</t>
  </si>
  <si>
    <t>2015-1-20 15:42:29.1: TransitionLogger - openTransitionFile - opening file C:\temp\transitionlog_2015-01-20_153021</t>
  </si>
  <si>
    <t>2015-1-20 15:42:31.397: DirectionIndicator - notify - price/longMA/ShortMA/prevDirection are 1.5176/1.51769193837047/1.51766416706579/-1</t>
  </si>
  <si>
    <t>2015-1-20 15:42:31.449: DirectionIndicator - notify - price/longMA/ShortMA/prevDirection are 1.51755/1.51766613139402/1.51762611137719/-1</t>
  </si>
  <si>
    <t>2015-1-20 15:42:31.898: DirectionIndicator - notify - price/longMA/ShortMA/prevDirection are 1.5176/1.5176541075042/1.5176174075848/-1</t>
  </si>
  <si>
    <t>2015-1-20 15:42:31.985: DirectionIndicator - notify - price/longMA/ShortMA/prevDirection are 1.51765/1.51765336068526/1.5176282717232/-1</t>
  </si>
  <si>
    <t>2015-1-20 15:42:32.146: DirectionIndicator - notify - price/longMA/ShortMA/prevDirection are 1.5176/1.51764365874248/1.51761884781546/-1</t>
  </si>
  <si>
    <t>2015-1-20 15:42:32.194: DirectionIndicator - notify - price/longMA/ShortMA/prevDirection are 1.51755/1.51762662988021/1.51759589854364/-1</t>
  </si>
  <si>
    <t>2015-1-20 15:42:33.435: DirectionIndicator - notify - price/longMA/ShortMA/prevDirection are 1.5176/1.51762178808381/1.51759726569576/-1</t>
  </si>
  <si>
    <t>2015-1-20 15:42:34.17: DirectionIndicator - notify - price/longMA/ShortMA/prevDirection are 1.51765/1.51762691752312/1.51761484379717/-1</t>
  </si>
  <si>
    <t>2015-1-20 15:42:34.779: DirectionIndicator - notify - price/longMA/ShortMA/prevDirection are 1.5176/1.51762202342801/1.51760989586478/-1</t>
  </si>
  <si>
    <t>2015-1-20 15:42:34.851: DirectionIndicator - notify - price/longMA/ShortMA/prevDirection are 1.51755/1.51760892825928/1.51758993057652/-1</t>
  </si>
  <si>
    <t>2015-1-20 15:42:37.60: DirectionIndicator - notify - price/longMA/ShortMA/prevDirection are 1.5176/1.51760730493941/1.51759328705101/-1</t>
  </si>
  <si>
    <t>2015-1-20 15:42:37.112: DirectionIndicator - notify - price/longMA/ShortMA/prevDirection are 1.51765/1.5176150676777/1.51761219136734/-1</t>
  </si>
  <si>
    <t>2015-1-20 15:42:37.643: DirectionIndicator - notify - price/longMA/ShortMA/prevDirection are 1.5177/1.51763050991812/1.51764146091156/-1</t>
  </si>
  <si>
    <t>2015-1-20 15:42:37.695: DirectionIndicator - notify - price/longMA/ShortMA/prevDirection are 1.51775/1.51765223538755/1.51767764060771/-1</t>
  </si>
  <si>
    <t>2015-1-20 15:42:44.196: DirectionIndicator - notify - price/longMA/ShortMA/prevDirection are 1.5177/1.51766091986254/1.51768509373847/1</t>
  </si>
  <si>
    <t>2015-1-20 15:42:44.608: DirectionIndicator - notify - price/longMA/ShortMA/prevDirection are 1.51765/1.51765893443299/1.51767339582565/1</t>
  </si>
  <si>
    <t>2015-1-20 15:42:47.220: DirectionIndicator - notify - price/longMA/ShortMA/prevDirection are 1.5177/1.51766640089972/1.51768226388377/1</t>
  </si>
  <si>
    <t>2015-1-20 15:42:47.610: DirectionIndicator - notify - price/longMA/ShortMA/prevDirection are 1.51765/1.51766341891795/1.51767150925584/1</t>
  </si>
  <si>
    <t>2015-1-20 15:42:47.904: DirectionIndicator - notify - price/longMA/ShortMA/prevDirection are 1.5177/1.51767007002378/1.51768100617056/1</t>
  </si>
  <si>
    <t>2015-1-20 15:42:48.465: DirectionIndicator - notify - price/longMA/ShortMA/prevDirection are 1.51775/1.51768460274673/1.51770400411371/1</t>
  </si>
  <si>
    <t>2015-1-20 15:42:49.356: DirectionIndicator - notify - price/longMA/ShortMA/prevDirection are 1.5178/1.5177055840655/1.51773600274247/1</t>
  </si>
  <si>
    <t>2015-1-20 15:42:50.152: DirectionIndicator - notify - price/longMA/ShortMA/prevDirection are 1.51785/1.51773184150814/1.51777400182831/1</t>
  </si>
  <si>
    <t>2015-1-20 15:42:51.29: Util - logStaleData - Data is stale!</t>
  </si>
  <si>
    <t>2015-1-20 15:42:51.781: DirectionIndicator - notify - price/longMA/ShortMA/prevDirection are 1.5179/1.51776241577939/1.51781600121888/1</t>
  </si>
  <si>
    <t>2015-1-20 15:42:52.518: DirectionIndicator - notify - price/longMA/ShortMA/prevDirection are 1.51795/1.51779652200132/1.51786066747925/1</t>
  </si>
  <si>
    <t>2015-1-20 15:42:53.232: DirectionIndicator - notify - price/longMA/ShortMA/prevDirection are 1.518/1.51783351800108/1.51790711165283/1</t>
  </si>
  <si>
    <t>2015-1-20 15:42:54.159: DirectionIndicator - notify - price/longMA/ShortMA/prevDirection are 1.51805/1.51787287836452/1.51795474110189/1</t>
  </si>
  <si>
    <t>2015-1-20 15:42:58.400: DirectionIndicator - notify - price/longMA/ShortMA/prevDirection are 1.5181/1.51791417320733/1.51800316073459/1</t>
  </si>
  <si>
    <t>2015-1-20 15:42:58.816: DirectionIndicator - notify - price/longMA/ShortMA/prevDirection are 1.51805/1.51793886898782/1.51801877382306/1</t>
  </si>
  <si>
    <t>2015-1-20 15:42:59.20: DirectionIndicator - notify - price/longMA/ShortMA/prevDirection are 1.5181/1.51796816553549/1.51804584921537/1</t>
  </si>
  <si>
    <t>2015-1-20 15:42:59.114: DirectionIndicator - notify - price/longMA/ShortMA/prevDirection are 1.51805/1.51798304452903/1.51804723281025/1</t>
  </si>
  <si>
    <t>2015-1-20 15:42:59.560: DirectionIndicator - notify - price/longMA/ShortMA/prevDirection are 1.5181/1.51800430916012/1.5180648218735/1</t>
  </si>
  <si>
    <t>2015-1-20 15:43:1.561: DirectionIndicator - notify - price/longMA/ShortMA/prevDirection are 1.51805/1.51801261658555/1.518059881249/1</t>
  </si>
  <si>
    <t>2015-1-20 15:43:1.716: DirectionIndicator - notify - price/longMA/ShortMA/prevDirection are 1.5181/1.51802850447909/1.518073254166/1</t>
  </si>
  <si>
    <t>2015-1-20 15:43:4.193: DirectionIndicator - notify - price/longMA/ShortMA/prevDirection are 1.51805/1.51803241275562/1.51806550277733/1</t>
  </si>
  <si>
    <t>2015-1-20 15:43:4.901: DirectionIndicator - notify - price/longMA/ShortMA/prevDirection are 1.5181/1.51804470134551/1.51807700185156/1</t>
  </si>
  <si>
    <t>2015-1-20 15:43:6.156: TransitionLogger - flushFile - flushing file</t>
  </si>
  <si>
    <t>2015-1-20 15:43:6.158: TransitionLogger - openTransitionFile - opening file C:\temp\transitionlog_2015-01-20_153021</t>
  </si>
  <si>
    <t>2015-1-20 15:43:6.168: Util - logStaleData - Data is stale!</t>
  </si>
  <si>
    <t>2015-1-20 15:43:8.508: DirectionIndicator - notify - price/longMA/ShortMA/prevDirection are 1.51805/1.51804566473723/1.51806800123437/1</t>
  </si>
  <si>
    <t>2015-1-20 15:43:9.229: DirectionIndicator - notify - price/longMA/ShortMA/prevDirection are 1.5181/1.51805554387592/1.51807866748958/1</t>
  </si>
  <si>
    <t>2015-1-20 15:43:10.158: DirectionIndicator - notify - price/longMA/ShortMA/prevDirection are 1.51805/1.51805453589848/1.51806911165972/1</t>
  </si>
  <si>
    <t>2015-1-20 15:43:13.23: DirectionIndicator - notify - price/longMA/ShortMA/prevDirection are 1.5181/1.51806280209875/1.51807940777315/1</t>
  </si>
  <si>
    <t>2015-1-20 15:43:14.427: DirectionIndicator - notify - price/longMA/ShortMA/prevDirection are 1.51805/1.51806047444444/1.5180696051821/1</t>
  </si>
  <si>
    <t>2015-1-20 15:43:15.629: DirectionIndicator - notify - price/longMA/ShortMA/prevDirection are 1.5181/1.51806766090908/1.51807973678807/1</t>
  </si>
  <si>
    <t>2015-1-20 15:43:16.990: DirectionIndicator - notify - price/longMA/ShortMA/prevDirection are 1.51805/1.5180644498347/1.51806982452538/1</t>
  </si>
  <si>
    <t>2015-1-20 15:43:18.638: DirectionIndicator - notify - price/longMA/ShortMA/prevDirection are 1.5181/1.51807091350112/1.51807988301692/1</t>
  </si>
  <si>
    <t>2015-1-20 15:43:19.145: DirectionIndicator - notify - price/longMA/ShortMA/prevDirection are 1.51805/1.51806711104637/1.51806992201128/1</t>
  </si>
  <si>
    <t>2015-1-20 15:43:29.168: TransitionLogger - flushFile - flushing file</t>
  </si>
  <si>
    <t>2015-1-20 15:43:29.169: TransitionLogger - openTransitionFile - opening file C:\temp\transitionlog_2015-01-20_153021</t>
  </si>
  <si>
    <t>2015-1-20 15:43:48.136: Util - logStaleData - Data is stale!</t>
  </si>
  <si>
    <t>2015-1-20 15:44:1.72: Util - logStaleData - Data is stale!</t>
  </si>
  <si>
    <t>2015-1-20 15:44:3.199: DirectionIndicator - notify - price/longMA/ShortMA/prevDirection are 1.5181/1.51807309085612/1.51807994800752/1</t>
  </si>
  <si>
    <t>2015-1-20 15:44:6.154: TransitionLogger - flushFile - flushing file</t>
  </si>
  <si>
    <t>2015-1-20 15:44:6.156: TransitionLogger - openTransitionFile - opening file C:\temp\transitionlog_2015-01-20_153021</t>
  </si>
  <si>
    <t>2015-1-20 15:44:7.125: DirectionIndicator - notify - price/longMA/ShortMA/prevDirection are 1.51815/1.51808707433683/1.51810329867168/1</t>
  </si>
  <si>
    <t>2015-1-20 15:44:21.67: Algorithm - FindNextStrikes - price is 1.51815 nextStrikeUp/Down 1.52/1.515</t>
  </si>
  <si>
    <t>2015-1-20 15:44:21.67: Algorithm - getPortfolioForwardDelta - required deltas is 100 currentHedgePosition is 100</t>
  </si>
  <si>
    <t>2015-1-20 15:44:21.68: Algorithm - getHedgeShortfall - required deltas is 100 price is 1.51825 currentHedgePositionDeltas is 100</t>
  </si>
  <si>
    <t>2015-1-20 15:44:21.68: Algorithm - processTransitionPoint - nextUpper/LowerStrikes are 1.52/1.515 requiredDeltas/currentPosition/currentHedgeShortfall/direction/transitionPrice are 100/100/0/1/1.51825</t>
  </si>
  <si>
    <t>2015-1-20 15:44:21.69: TransitionLogger - processTransitionpoint - checking transition - currentHedgeShortfall is 0</t>
  </si>
  <si>
    <t>2015-1-20 15:44:21.70: Algorithm - updatePortfolio - haveAllDetails is True</t>
  </si>
  <si>
    <t>2015-1-20 15:44:21.71: RTWSControl - updatePortfolioEx - An Error Occured Object variable or With block variable not set</t>
  </si>
  <si>
    <t>2015-1-20 15:44:21.113: Algorithm - FindNextStrikes - price is 1.51815 nextStrikeUp/Down 1.52/1.515</t>
  </si>
  <si>
    <t>2015-1-20 15:44:21.114: Algorithm - getPortfolioForwardDelta - required deltas is 100 currentHedgePosition is 100</t>
  </si>
  <si>
    <t>2015-1-20 15:44:21.114: Algorithm - getHedgeShortfall - required deltas is 100 price is 1.51825 currentHedgePositionDeltas is 100</t>
  </si>
  <si>
    <t>2015-1-20 15:44:21.115: Algorithm - processTransitionPoint - nextUpper/LowerStrikes are 1.52/1.515 requiredDeltas/currentPosition/currentHedgeShortfall/direction/transitionPrice are 100/100/0/1/1.51825</t>
  </si>
  <si>
    <t>2015-1-20 15:44:21.115: TransitionLogger - processTransitionpoint - checking transition - currentHedgeShortfall is 0</t>
  </si>
  <si>
    <t>2015-1-20 15:44:21.116: Algorithm - updatePortfolio - haveAllDetails is True</t>
  </si>
  <si>
    <t>2015-1-20 15:44:21.117: RTWSControl - updatePortfolioEx - An Error Occured Object variable or With block variable not set</t>
  </si>
  <si>
    <t>2015-1-20 15:44:21.163: Algorithm - FindNextStrikes - price is 1.51815 nextStrikeUp/Down 1.52/1.515</t>
  </si>
  <si>
    <t>2015-1-20 15:44:21.163: Algorithm - getPortfolioForwardDelta - required deltas is 100 currentHedgePosition is 100</t>
  </si>
  <si>
    <t>2015-1-20 15:44:21.164: Algorithm - getHedgeShortfall - required deltas is 100 price is 1.51825 currentHedgePositionDeltas is 100</t>
  </si>
  <si>
    <t>2015-1-20 15:44:21.164: Algorithm - processTransitionPoint - nextUpper/LowerStrikes are 1.52/1.515 requiredDeltas/currentPosition/currentHedgeShortfall/direction/transitionPrice are 100/100/0/1/1.51825</t>
  </si>
  <si>
    <t>2015-1-20 15:44:21.165: TransitionLogger - processTransitionpoint - checking transition - currentHedgeShortfall is 0</t>
  </si>
  <si>
    <t>2015-1-20 15:44:21.166: Algorithm - updatePortfolio - haveAllDetails is True</t>
  </si>
  <si>
    <t>2015-1-20 15:44:21.167: RTWSControl - updatePortfolioEx - An Error Occured Object variable or With block variable not set</t>
  </si>
  <si>
    <t>2015-1-20 15:44:21.219: Algorithm - FindNextStrikes - price is 1.51815 nextStrikeUp/Down 1.52/1.515</t>
  </si>
  <si>
    <t>2015-1-20 15:44:21.219: Algorithm - getPortfolioForwardDelta - required deltas is 100 currentHedgePosition is 100</t>
  </si>
  <si>
    <t>2015-1-20 15:44:21.220: Algorithm - getHedgeShortfall - required deltas is 100 price is 1.51825 currentHedgePositionDeltas is 100</t>
  </si>
  <si>
    <t>2015-1-20 15:44:21.220: Algorithm - processTransitionPoint - nextUpper/LowerStrikes are 1.52/1.515 requiredDeltas/currentPosition/currentHedgeShortfall/direction/transitionPrice are 100/100/0/1/1.51825</t>
  </si>
  <si>
    <t>2015-1-20 15:44:21.220: TransitionLogger - processTransitionpoint - checking transition - currentHedgeShortfall is 0</t>
  </si>
  <si>
    <t>2015-1-20 15:44:21.221: Algorithm - updatePortfolio - haveAllDetails is True</t>
  </si>
  <si>
    <t>2015-1-20 15:44:21.222: RTWSControl - updatePortfolioEx - An Error Occured Object variable or With block variable not set</t>
  </si>
  <si>
    <t>2015-1-20 15:44:21.284: Algorithm - FindNextStrikes - price is 1.51815 nextStrikeUp/Down 1.52/1.515</t>
  </si>
  <si>
    <t>2015-1-20 15:44:21.285: Algorithm - getPortfolioForwardDelta - required deltas is 100 currentHedgePosition is 100</t>
  </si>
  <si>
    <t>2015-1-20 15:44:21.285: Algorithm - getHedgeShortfall - required deltas is 100 price is 1.51825 currentHedgePositionDeltas is 100</t>
  </si>
  <si>
    <t>2015-1-20 15:44:21.286: Algorithm - processTransitionPoint - nextUpper/LowerStrikes are 1.52/1.515 requiredDeltas/currentPosition/currentHedgeShortfall/direction/transitionPrice are 100/100/0/1/1.51825</t>
  </si>
  <si>
    <t>2015-1-20 15:44:21.286: TransitionLogger - processTransitionpoint - checking transition - currentHedgeShortfall is 0</t>
  </si>
  <si>
    <t>2015-1-20 15:44:21.287: Algorithm - updatePortfolio - haveAllDetails is True</t>
  </si>
  <si>
    <t>2015-1-20 15:44:21.288: RTWSControl - updatePortfolioEx - An Error Occured Object variable or With block variable not set</t>
  </si>
  <si>
    <t>2015-1-20 15:44:21.343: Algorithm - FindNextStrikes - price is 1.51815 nextStrikeUp/Down 1.52/1.515</t>
  </si>
  <si>
    <t>2015-1-20 15:44:21.343: Algorithm - getPortfolioForwardDelta - required deltas is 100 currentHedgePosition is 100</t>
  </si>
  <si>
    <t>2015-1-20 15:44:21.344: Algorithm - getHedgeShortfall - required deltas is 100 price is 1.51825 currentHedgePositionDeltas is 100</t>
  </si>
  <si>
    <t>2015-1-20 15:44:21.344: Algorithm - processTransitionPoint - nextUpper/LowerStrikes are 1.52/1.515 requiredDeltas/currentPosition/currentHedgeShortfall/direction/transitionPrice are 100/100/0/1/1.51825</t>
  </si>
  <si>
    <t>2015-1-20 15:44:21.345: TransitionLogger - processTransitionpoint - checking transition - currentHedgeShortfall is 0</t>
  </si>
  <si>
    <t>2015-1-20 15:44:21.346: Algorithm - updatePortfolio - haveAllDetails is True</t>
  </si>
  <si>
    <t>2015-1-20 15:44:21.347: RTWSControl - updatePortfolioEx - An Error Occured Object variable or With block variable not set</t>
  </si>
  <si>
    <t>2015-1-20 15:44:27.954: DirectionIndicator - notify - price/longMA/ShortMA/prevDirection are 1.5182/1.51810760627559/1.51813553244779/1</t>
  </si>
  <si>
    <t>2015-1-20 15:44:28.26: DirectionIndicator - notify - price/longMA/ShortMA/prevDirection are 1.51825/1.51813349604366/1.51817368829852/1</t>
  </si>
  <si>
    <t>2015-1-20 15:44:29.23: TransitionLogger - flushFile - flushing file</t>
  </si>
  <si>
    <t>2015-1-20 15:44:29.23: TransitionLogger - openTransitionFile - opening file C:\temp\transitionlog_2015-01-20_153021</t>
  </si>
  <si>
    <t>2015-1-20 15:44:29.160: DirectionIndicator - notify - price/longMA/ShortMA/prevDirection are 1.5183/1.51816376949027/1.51821579219902/1</t>
  </si>
  <si>
    <t>2015-1-20 15:44:29.367: DirectionIndicator - notify - price/longMA/ShortMA/prevDirection are 1.51835/1.51819762958295/1.51826052813268/1</t>
  </si>
  <si>
    <t>2015-1-20 15:44:30.701: DirectionIndicator - notify - price/longMA/ShortMA/prevDirection are 1.5184/1.51823442420423/1.51830701875512/1</t>
  </si>
  <si>
    <t>2015-1-20 15:44:30.775: DirectionIndicator - notify - price/longMA/ShortMA/prevDirection are 1.51845/1.51827361980346/1.51835467917008/1</t>
  </si>
  <si>
    <t>2015-1-20 15:44:31.233: DirectionIndicator - notify - price/longMA/ShortMA/prevDirection are 1.5184/1.51829659802101/1.51836978611339/1</t>
  </si>
  <si>
    <t>2015-1-20 15:44:31.358: DirectionIndicator - notify - price/longMA/ShortMA/prevDirection are 1.51845/1.51832448928992/1.51839652407559/1</t>
  </si>
  <si>
    <t>2015-1-20 15:44:36.211: DirectionIndicator - notify - price/longMA/ShortMA/prevDirection are 1.5184/1.51833821850993/1.51839768271706/1</t>
  </si>
  <si>
    <t>2015-1-20 15:44:36.484: DirectionIndicator - notify - price/longMA/ShortMA/prevDirection are 1.51845/1.51835854241722/1.51841512181137/1</t>
  </si>
  <si>
    <t>2015-1-20 15:44:38.365: DirectionIndicator - notify - price/longMA/ShortMA/prevDirection are 1.5185/1.51838426197772/1.51844341454092/1</t>
  </si>
  <si>
    <t>2015-1-20 15:44:38.781: DirectionIndicator - notify - price/longMA/ShortMA/prevDirection are 1.51855/1.51841439616359/1.51847894302728/1</t>
  </si>
  <si>
    <t>2015-1-20 15:44:39.530: DirectionIndicator - notify - price/longMA/ShortMA/prevDirection are 1.5186/1.51844814231567/1.51851929535152/1</t>
  </si>
  <si>
    <t>2015-1-20 15:44:39.650: DirectionIndicator - notify - price/longMA/ShortMA/prevDirection are 1.51865/1.51848484371282/1.51856286356768/1</t>
  </si>
  <si>
    <t>2015-1-20 15:44:46.701: DirectionIndicator - notify - price/longMA/ShortMA/prevDirection are 1.5186/1.51850578121958/1.51857524237845/1</t>
  </si>
  <si>
    <t>2015-1-20 15:44:47.463: DirectionIndicator - notify - price/longMA/ShortMA/prevDirection are 1.51865/1.51853200281602/1.51860016158564/1</t>
  </si>
  <si>
    <t>2015-1-20 15:44:48.698: DirectionIndicator - notify - price/longMA/ShortMA/prevDirection are 1.5186/1.51854436594038/1.51860010772376/1</t>
  </si>
  <si>
    <t>2015-1-20 15:44:49.832: DirectionIndicator - notify - price/longMA/ShortMA/prevDirection are 1.51865/1.51856357213304/1.5186167384825/1</t>
  </si>
  <si>
    <t>2015-1-20 15:44:50.656: DirectionIndicator - notify - price/longMA/ShortMA/prevDirection are 1.5187/1.51858837719976/1.51864449232167/1</t>
  </si>
  <si>
    <t>2015-1-20 15:44:50.707: DirectionIndicator - notify - price/longMA/ShortMA/prevDirection are 1.51875/1.51861776316344/1.51867966154778/1</t>
  </si>
  <si>
    <t>2015-1-20 15:44:51.245: DirectionIndicator - notify - price/longMA/ShortMA/prevDirection are 1.5187/1.51863271531554/1.51868644103185/1</t>
  </si>
  <si>
    <t>2015-1-20 15:44:52.83: DirectionIndicator - notify - price/longMA/ShortMA/prevDirection are 1.51875/1.51865403980362/1.51870762735457/1</t>
  </si>
  <si>
    <t>2015-1-20 15:44:52.328: DirectionIndicator - notify - price/longMA/ShortMA/prevDirection are 1.5187/1.51866239620297/1.51870508490305/1</t>
  </si>
  <si>
    <t>2015-1-20 15:44:52.400: DirectionIndicator - notify - price/longMA/ShortMA/prevDirection are 1.51865/1.51866014234788/1.5186867232687/1</t>
  </si>
  <si>
    <t>2015-1-20 15:44:54.777: DirectionIndicator - notify - price/longMA/ShortMA/prevDirection are 1.5186/1.51864920737554/1.51865781551246/1</t>
  </si>
  <si>
    <t>2015-1-20 15:44:55.490: DirectionIndicator - notify - price/longMA/ShortMA/prevDirection are 1.51855/1.5186311696709/1.51862187700831/1</t>
  </si>
  <si>
    <t>2015-1-20 15:44:56.536: DirectionIndicator - notify - price/longMA/ShortMA/prevDirection are 1.5186/1.51862550245801/1.51861458467221/1</t>
  </si>
  <si>
    <t>2015-1-20 15:44:56.610: DirectionIndicator - notify - price/longMA/ShortMA/prevDirection are 1.51865/1.51862995655655/1.51862638978147/1</t>
  </si>
  <si>
    <t>2015-1-20 15:44:57.198: DirectionIndicator - notify - price/longMA/ShortMA/prevDirection are 1.5186/1.5186245099099/1.51861759318765/1</t>
  </si>
  <si>
    <t>2015-1-20 15:45:2.944: DirectionIndicator - notify - price/longMA/ShortMA/prevDirection are 1.51865/1.51862914447174/1.51862839545843/1</t>
  </si>
  <si>
    <t>2015-1-20 15:45:6.119: TransitionLogger - flushFile - flushing file</t>
  </si>
  <si>
    <t>2015-1-20 15:45:6.121: TransitionLogger - openTransitionFile - opening file C:\temp\transitionlog_2015-01-20_153021</t>
  </si>
  <si>
    <t>2015-1-20 15:45:9.619: DirectionIndicator - notify - price/longMA/ShortMA/prevDirection are 1.5187/1.51864202729506/1.51865226363895/1</t>
  </si>
  <si>
    <t>2015-1-20 15:45:11.798: DirectionIndicator - notify - price/longMA/ShortMA/prevDirection are 1.51865/1.51864347687778/1.51865150909264/1</t>
  </si>
  <si>
    <t>2015-1-20 15:45:12.119: DirectionIndicator - notify - price/longMA/ShortMA/prevDirection are 1.5187/1.51865375380909/1.51866767272842/1</t>
  </si>
  <si>
    <t>2015-1-20 15:45:15.616: DirectionIndicator - notify - price/longMA/ShortMA/prevDirection are 1.51875/1.51867125311653/1.51869511515228/1</t>
  </si>
  <si>
    <t>2015-1-20 15:45:21.40: DirectionIndicator - notify - price/longMA/ShortMA/prevDirection are 1.5187/1.51867647982261/1.51869674343486/1</t>
  </si>
  <si>
    <t>2015-1-20 15:45:21.623: DirectionIndicator - notify - price/longMA/ShortMA/prevDirection are 1.51875/1.51868984712759/1.51871449562324/1</t>
  </si>
  <si>
    <t>2015-1-20 15:45:22.364: DirectionIndicator - notify - price/longMA/ShortMA/prevDirection are 1.5188/1.51870987492258/1.51874299708216/1</t>
  </si>
  <si>
    <t>2015-1-20 15:45:22.488: DirectionIndicator - notify - price/longMA/ShortMA/prevDirection are 1.51875/1.5187171703912/1.51874533138811/1</t>
  </si>
  <si>
    <t>2015-1-20 15:45:22.907: DirectionIndicator - notify - price/longMA/ShortMA/prevDirection are 1.5188/1.51873223032007/1.51876355425874/1</t>
  </si>
  <si>
    <t>2015-1-20 15:45:29.320: TransitionLogger - flushFile - flushing file</t>
  </si>
  <si>
    <t>2015-1-20 15:45:29.321: TransitionLogger - openTransitionFile - opening file C:\temp\transitionlog_2015-01-20_153021</t>
  </si>
  <si>
    <t>2015-1-20 15:45:30.708: DirectionIndicator - notify - price/longMA/ShortMA/prevDirection are 1.51875/1.51873546117097/1.51875903617249/1</t>
  </si>
  <si>
    <t>2015-1-20 15:45:38.752: DirectionIndicator - notify - price/longMA/ShortMA/prevDirection are 1.5187/1.51872901368534/1.51873935744833/1</t>
  </si>
  <si>
    <t>2015-1-20 15:45:46.607: DirectionIndicator - notify - price/longMA/ShortMA/prevDirection are 1.51865/1.51871464756073/1.51870957163222/1</t>
  </si>
  <si>
    <t>2015-1-20 15:45:55.210: DirectionIndicator - notify - price/longMA/ShortMA/prevDirection are 1.5187/1.51871198436787/1.51870638108815/1</t>
  </si>
  <si>
    <t>2015-1-20 15:45:57.431: DirectionIndicator - notify - price/longMA/ShortMA/prevDirection are 1.51875/1.51871889630098/1.51872092072543/1</t>
  </si>
  <si>
    <t>2015-1-20 15:45:58.123: DirectionIndicator - notify - price/longMA/ShortMA/prevDirection are 1.5188/1.51873364242808/1.51874728048362/1</t>
  </si>
  <si>
    <t>2015-1-20 15:45:58.372: DirectionIndicator - notify - price/longMA/ShortMA/prevDirection are 1.51875/1.51873661653206/1.51874818698908/1</t>
  </si>
  <si>
    <t>2015-1-20 15:45:58.582: DirectionIndicator - notify - price/longMA/ShortMA/prevDirection are 1.5188/1.51874814079896/1.51876545799272/1</t>
  </si>
  <si>
    <t>2015-1-20 15:45:58.743: DirectionIndicator - notify - price/longMA/ShortMA/prevDirection are 1.51875/1.51874847883551/1.51876030532848/1</t>
  </si>
  <si>
    <t>2015-1-20 15:45:59.680: DirectionIndicator - notify - price/longMA/ShortMA/prevDirection are 1.5188/1.51875784631997/1.51877353688565/1</t>
  </si>
  <si>
    <t>2015-1-20 15:46:1.280: DirectionIndicator - notify - price/longMA/ShortMA/prevDirection are 1.51875/1.51875641971634/1.5187656912571/1</t>
  </si>
  <si>
    <t>2015-1-20 15:46:5.209: DirectionIndicator - notify - price/longMA/ShortMA/prevDirection are 1.5187/1.51874616158609/1.5187437941714/1</t>
  </si>
  <si>
    <t>2015-1-20 15:46:6.131: TransitionLogger - flushFile - flushing file</t>
  </si>
  <si>
    <t>2015-1-20 15:46:6.133: TransitionLogger - openTransitionFile - opening file C:\temp\transitionlog_2015-01-20_153021</t>
  </si>
  <si>
    <t>2015-1-20 15:46:9.275: DirectionIndicator - notify - price/longMA/ShortMA/prevDirection are 1.51875/1.51874685947953/1.51874586278093/1</t>
  </si>
  <si>
    <t>2015-1-20 15:46:11.572: DirectionIndicator - notify - price/longMA/ShortMA/prevDirection are 1.5187/1.51873833957416/1.51873057518729/1</t>
  </si>
  <si>
    <t>2015-1-20 15:46:11.628: DirectionIndicator - notify - price/longMA/ShortMA/prevDirection are 1.51865/1.5187222778334/1.51870371679153/1</t>
  </si>
  <si>
    <t>2015-1-20 15:46:11.998: DirectionIndicator - notify - price/longMA/ShortMA/prevDirection are 1.5187/1.51871822731824/1.51870247786102/1</t>
  </si>
  <si>
    <t>2015-1-20 15:46:13.36: DirectionIndicator - notify - price/longMA/ShortMA/prevDirection are 1.51865/1.51870582235129/1.51868498524068/1</t>
  </si>
  <si>
    <t>2015-1-20 15:46:13.542: DirectionIndicator - notify - price/longMA/ShortMA/prevDirection are 1.5186/1.51868658192378/1.51865665682712/-1</t>
  </si>
  <si>
    <t>2015-1-20 15:46:19.312: DirectionIndicator - notify - price/longMA/ShortMA/prevDirection are 1.51855/1.51866174884673/1.51862110455141/-1</t>
  </si>
  <si>
    <t>2015-1-20 15:46:21.207: Util - logStaleData - Data is stale!</t>
  </si>
  <si>
    <t>2015-1-20 15:46:22.577: DirectionIndicator - notify - price/longMA/ShortMA/prevDirection are 1.5185/1.51863233996551/1.51858073636761/-1</t>
  </si>
  <si>
    <t>2015-1-20 15:46:22.875: DirectionIndicator - notify - price/longMA/ShortMA/prevDirection are 1.51845/1.5185991872445/1.51853715757841/-1</t>
  </si>
  <si>
    <t>2015-1-20 15:46:23.490: DirectionIndicator - notify - price/longMA/ShortMA/prevDirection are 1.5184/1.51856297138187/1.5184914383856/-1</t>
  </si>
  <si>
    <t>2015-1-20 15:46:23.543: DirectionIndicator - notify - price/longMA/ShortMA/prevDirection are 1.51835/1.51852424931244/1.51844429225707/-1</t>
  </si>
  <si>
    <t>2015-1-20 15:46:23.999: DirectionIndicator - notify - price/longMA/ShortMA/prevDirection are 1.5184/1.51850165852836/1.51842952817138/-1</t>
  </si>
  <si>
    <t>2015-1-20 15:46:24.245: DirectionIndicator - notify - price/longMA/ShortMA/prevDirection are 1.51835/1.51847408425047/1.51840301878092/-1</t>
  </si>
  <si>
    <t>2015-1-20 15:46:24.328: DirectionIndicator - notify - price/longMA/ShortMA/prevDirection are 1.5183/1.51844243256857/1.51836867918728/-1</t>
  </si>
  <si>
    <t>2015-1-20 15:46:25.711: DirectionIndicator - notify - price/longMA/ShortMA/prevDirection are 1.51835/1.51842562664701/1.51836245279152/-1</t>
  </si>
  <si>
    <t>2015-1-20 15:46:29.181: TransitionLogger - flushFile - flushing file</t>
  </si>
  <si>
    <t>2015-1-20 15:46:29.182: TransitionLogger - openTransitionFile - opening file C:\temp\transitionlog_2015-01-20_153021</t>
  </si>
  <si>
    <t>2015-1-20 15:46:31.313: DirectionIndicator - notify - price/longMA/ShortMA/prevDirection are 1.5184/1.51842096725665/1.51837496852768/-1</t>
  </si>
  <si>
    <t>2015-1-20 15:46:32.728: DirectionIndicator - notify - price/longMA/ShortMA/prevDirection are 1.51845/1.51842624593726/1.51839997901845/-1</t>
  </si>
  <si>
    <t>2015-1-20 15:47:5.273: DirectionIndicator - notify - price/longMA/ShortMA/prevDirection are 1.5185/1.51843965576685/1.51843331934564/-1</t>
  </si>
  <si>
    <t>2015-1-20 15:47:5.877: DirectionIndicator - notify - price/longMA/ShortMA/prevDirection are 1.51855/1.51845971835469/1.51847221289709/-1</t>
  </si>
  <si>
    <t>2015-1-20 15:47:6.85: TransitionLogger - flushFile - flushing file</t>
  </si>
  <si>
    <t>2015-1-20 15:47:6.85: TransitionLogger - openTransitionFile - opening file C:\temp\transitionlog_2015-01-20_153021</t>
  </si>
  <si>
    <t>2015-1-20 15:47:7.576: DirectionIndicator - notify - price/longMA/ShortMA/prevDirection are 1.5186/1.51848522410838/1.51851480859806/-1</t>
  </si>
  <si>
    <t>2015-1-20 15:47:7.669: DirectionIndicator - notify - price/longMA/ShortMA/prevDirection are 1.51865/1.51851518336141/1.51855987239871/1</t>
  </si>
  <si>
    <t>2015-1-20 15:47:13.635: DirectionIndicator - notify - price/longMA/ShortMA/prevDirection are 1.5186/1.51853060456842/1.5185732482658/1</t>
  </si>
  <si>
    <t>2015-1-20 15:47:13.700: DirectionIndicator - notify - price/longMA/ShortMA/prevDirection are 1.51855/1.51853413101053/1.51856549884387/1</t>
  </si>
  <si>
    <t>2015-1-20 15:47:15.596: DirectionIndicator - notify - price/longMA/ShortMA/prevDirection are 1.5185/1.51852792537225/1.51854366589591/1</t>
  </si>
  <si>
    <t>2015-1-20 15:47:15.661: DirectionIndicator - notify - price/longMA/ShortMA/prevDirection are 1.51845/1.51851375712275/1.51851244393061/1</t>
  </si>
  <si>
    <t>2015-1-20 15:47:17.289: DirectionIndicator - notify - price/longMA/ShortMA/prevDirection are 1.5185/1.5185112558277/1.51850829595374/1</t>
  </si>
  <si>
    <t>2015-1-20 15:47:17.499: DirectionIndicator - notify - price/longMA/ShortMA/prevDirection are 1.51845/1.51850011840449/1.51848886396916/1</t>
  </si>
  <si>
    <t>2015-1-20 15:47:18.590: DirectionIndicator - notify - price/longMA/ShortMA/prevDirection are 1.5184/1.51848191505822/1.51845924264611/1</t>
  </si>
  <si>
    <t>2015-1-20 15:47:21.369: Algorithm - FindNextStrikes - price is 1.5184 nextStrikeUp/Down 1.52/1.515</t>
  </si>
  <si>
    <t>2015-1-20 15:47:21.370: Algorithm - getPortfolioForwardDelta - required deltas is 100 currentHedgePosition is 100</t>
  </si>
  <si>
    <t>2015-1-20 15:47:21.370: Algorithm - getHedgeShortfall - required deltas is 100 price is 1.5183 currentHedgePositionDeltas is 100</t>
  </si>
  <si>
    <t>2015-1-20 15:47:21.371: Algorithm - processTransitionPoint - nextUpper/LowerStrikes are 1.52/1.515 requiredDeltas/currentPosition/currentHedgeShortfall/direction/transitionPrice are 100/100/0/-1/1.5183</t>
  </si>
  <si>
    <t>2015-1-20 15:47:21.371: TransitionLogger - processTransitionpoint - checking transition - currentHedgeShortfall is 0</t>
  </si>
  <si>
    <t>2015-1-20 15:47:21.372: Algorithm - updatePortfolio - haveAllDetails is True</t>
  </si>
  <si>
    <t>2015-1-20 15:47:21.373: RTWSControl - updatePortfolioEx - An Error Occured Object variable or With block variable not set</t>
  </si>
  <si>
    <t>2015-1-20 15:47:21.412: Algorithm - FindNextStrikes - price is 1.5184 nextStrikeUp/Down 1.52/1.515</t>
  </si>
  <si>
    <t>2015-1-20 15:47:21.413: Algorithm - getPortfolioForwardDelta - required deltas is 100 currentHedgePosition is 100</t>
  </si>
  <si>
    <t>2015-1-20 15:47:21.413: Algorithm - getHedgeShortfall - required deltas is 100 price is 1.5183 currentHedgePositionDeltas is 100</t>
  </si>
  <si>
    <t>2015-1-20 15:47:21.413: Algorithm - processTransitionPoint - nextUpper/LowerStrikes are 1.52/1.515 requiredDeltas/currentPosition/currentHedgeShortfall/direction/transitionPrice are 100/100/0/-1/1.5183</t>
  </si>
  <si>
    <t>2015-1-20 15:47:21.414: TransitionLogger - processTransitionpoint - checking transition - currentHedgeShortfall is 0</t>
  </si>
  <si>
    <t>2015-1-20 15:47:21.415: Algorithm - updatePortfolio - haveAllDetails is True</t>
  </si>
  <si>
    <t>2015-1-20 15:47:21.416: RTWSControl - updatePortfolioEx - An Error Occured Object variable or With block variable not set</t>
  </si>
  <si>
    <t>2015-1-20 15:47:21.465: Algorithm - FindNextStrikes - price is 1.5184 nextStrikeUp/Down 1.52/1.515</t>
  </si>
  <si>
    <t>2015-1-20 15:47:21.465: Algorithm - getPortfolioForwardDelta - required deltas is 100 currentHedgePosition is 100</t>
  </si>
  <si>
    <t>2015-1-20 15:47:21.465: Algorithm - getHedgeShortfall - required deltas is 100 price is 1.5183 currentHedgePositionDeltas is 100</t>
  </si>
  <si>
    <t>2015-1-20 15:47:21.466: Algorithm - processTransitionPoint - nextUpper/LowerStrikes are 1.52/1.515 requiredDeltas/currentPosition/currentHedgeShortfall/direction/transitionPrice are 100/100/0/-1/1.5183</t>
  </si>
  <si>
    <t>2015-1-20 15:47:21.466: TransitionLogger - processTransitionpoint - checking transition - currentHedgeShortfall is 0</t>
  </si>
  <si>
    <t>2015-1-20 15:47:21.467: Algorithm - updatePortfolio - haveAllDetails is True</t>
  </si>
  <si>
    <t>2015-1-20 15:47:21.468: RTWSControl - updatePortfolioEx - An Error Occured Object variable or With block variable not set</t>
  </si>
  <si>
    <t>2015-1-20 15:47:21.520: Algorithm - FindNextStrikes - price is 1.5184 nextStrikeUp/Down 1.52/1.515</t>
  </si>
  <si>
    <t>2015-1-20 15:47:21.521: Algorithm - getPortfolioForwardDelta - required deltas is 100 currentHedgePosition is 100</t>
  </si>
  <si>
    <t>2015-1-20 15:47:21.521: Algorithm - getHedgeShortfall - required deltas is 100 price is 1.5183 currentHedgePositionDeltas is 100</t>
  </si>
  <si>
    <t>2015-1-20 15:47:21.522: Algorithm - processTransitionPoint - nextUpper/LowerStrikes are 1.52/1.515 requiredDeltas/currentPosition/currentHedgeShortfall/direction/transitionPrice are 100/100/0/-1/1.5183</t>
  </si>
  <si>
    <t>2015-1-20 15:47:21.522: TransitionLogger - processTransitionpoint - checking transition - currentHedgeShortfall is 0</t>
  </si>
  <si>
    <t>2015-1-20 15:47:21.523: Algorithm - updatePortfolio - haveAllDetails is True</t>
  </si>
  <si>
    <t>2015-1-20 15:47:21.524: RTWSControl - updatePortfolioEx - An Error Occured Object variable or With block variable not set</t>
  </si>
  <si>
    <t>2015-1-20 15:47:21.586: Algorithm - FindNextStrikes - price is 1.5184 nextStrikeUp/Down 1.52/1.515</t>
  </si>
  <si>
    <t>2015-1-20 15:47:21.587: Algorithm - getPortfolioForwardDelta - required deltas is 100 currentHedgePosition is 100</t>
  </si>
  <si>
    <t>2015-1-20 15:47:21.587: Algorithm - getHedgeShortfall - required deltas is 100 price is 1.5183 currentHedgePositionDeltas is 100</t>
  </si>
  <si>
    <t>2015-1-20 15:47:21.587: Algorithm - processTransitionPoint - nextUpper/LowerStrikes are 1.52/1.515 requiredDeltas/currentPosition/currentHedgeShortfall/direction/transitionPrice are 100/100/0/-1/1.5183</t>
  </si>
  <si>
    <t>2015-1-20 15:47:21.588: TransitionLogger - processTransitionpoint - checking transition - currentHedgeShortfall is 0</t>
  </si>
  <si>
    <t>2015-1-20 15:47:21.589: Algorithm - updatePortfolio - haveAllDetails is True</t>
  </si>
  <si>
    <t>2015-1-20 15:47:21.590: RTWSControl - updatePortfolioEx - An Error Occured Object variable or With block variable not set</t>
  </si>
  <si>
    <t>2015-1-20 15:47:21.645: Algorithm - FindNextStrikes - price is 1.5184 nextStrikeUp/Down 1.52/1.515</t>
  </si>
  <si>
    <t>2015-1-20 15:47:21.646: Algorithm - getPortfolioForwardDelta - required deltas is 100 currentHedgePosition is 100</t>
  </si>
  <si>
    <t>2015-1-20 15:47:21.646: Algorithm - getHedgeShortfall - required deltas is 100 price is 1.5183 currentHedgePositionDeltas is 100</t>
  </si>
  <si>
    <t>2015-1-20 15:47:21.647: Algorithm - processTransitionPoint - nextUpper/LowerStrikes are 1.52/1.515 requiredDeltas/currentPosition/currentHedgeShortfall/direction/transitionPrice are 100/100/0/-1/1.5183</t>
  </si>
  <si>
    <t>2015-1-20 15:47:21.647: TransitionLogger - processTransitionpoint - checking transition - currentHedgeShortfall is 0</t>
  </si>
  <si>
    <t>2015-1-20 15:47:21.648: Algorithm - updatePortfolio - haveAllDetails is True</t>
  </si>
  <si>
    <t>2015-1-20 15:47:21.649: RTWSControl - updatePortfolioEx - An Error Occured Object variable or With block variable not set</t>
  </si>
  <si>
    <t>2015-1-20 15:47:22.403: DirectionIndicator - notify - price/longMA/ShortMA/prevDirection are 1.51835/1.51845793050218/1.51842282843074/-1</t>
  </si>
  <si>
    <t>2015-1-20 15:47:22.836: DirectionIndicator - notify - price/longMA/ShortMA/prevDirection are 1.5184/1.5184473976836/1.51841521895382/-1</t>
  </si>
  <si>
    <t>2015-1-20 15:47:25.605: DirectionIndicator - notify - price/longMA/ShortMA/prevDirection are 1.51845/1.51844787083204/1.51842681263588/-1</t>
  </si>
  <si>
    <t>2015-1-20 15:47:27.3: DirectionIndicator - notify - price/longMA/ShortMA/prevDirection are 1.5184/1.51843916704439/1.51841787509059/-1</t>
  </si>
  <si>
    <t>2015-1-20 15:47:27.52: DirectionIndicator - notify - price/longMA/ShortMA/prevDirection are 1.51835/1.5184229548545/1.51839525006039/-1</t>
  </si>
  <si>
    <t>2015-1-20 15:47:29.41: TransitionLogger - flushFile - flushing file</t>
  </si>
  <si>
    <t>2015-1-20 15:47:29.41: TransitionLogger - openTransitionFile - opening file C:\temp\transitionlog_2015-01-20_153021</t>
  </si>
  <si>
    <t>2015-1-20 15:47:29.44: DirectionIndicator - notify - price/longMA/ShortMA/prevDirection are 1.5184/1.51841878124459/1.5183968333736/-1</t>
  </si>
  <si>
    <t>2015-1-20 15:47:29.461: DirectionIndicator - notify - price/longMA/ShortMA/prevDirection are 1.51845/1.51842445738194/1.5184145555824/-1</t>
  </si>
  <si>
    <t>2015-1-20 15:47:29.664: DirectionIndicator - notify - price/longMA/ShortMA/prevDirection are 1.5185/1.51843819240341/1.51844303705493/-1</t>
  </si>
  <si>
    <t>2015-1-20 15:47:34.235: DirectionIndicator - notify - price/longMA/ShortMA/prevDirection are 1.51845/1.51844033923915/1.51844535803662/-1</t>
  </si>
  <si>
    <t>2015-1-20 15:47:35.707: DirectionIndicator - notify - price/longMA/ShortMA/prevDirection are 1.5184/1.51843300483203/1.51843023869108/-1</t>
  </si>
  <si>
    <t>2015-1-20 15:47:35.824: DirectionIndicator - notify - price/longMA/ShortMA/prevDirection are 1.51835/1.51841791304439/1.51840349246072/-1</t>
  </si>
  <si>
    <t>2015-1-20 15:47:40.271: DirectionIndicator - notify - price/longMA/ShortMA/prevDirection are 1.5184/1.51841465612723/1.51840232830715/-1</t>
  </si>
  <si>
    <t>2015-1-20 15:47:46.273: DirectionIndicator - notify - price/longMA/ShortMA/prevDirection are 1.51835/1.51840290046773/1.5183848855381/-1</t>
  </si>
  <si>
    <t>2015-1-20 15:47:47.23: DirectionIndicator - notify - price/longMA/ShortMA/prevDirection are 1.5184/1.51840237310996/1.51838992369207/-1</t>
  </si>
  <si>
    <t>2015-1-20 15:47:49.148: DirectionIndicator - notify - price/longMA/ShortMA/prevDirection are 1.51845/1.51841103254451/1.51840994912804/-1</t>
  </si>
  <si>
    <t>2015-1-20 15:47:50.956: DirectionIndicator - notify - price/longMA/ShortMA/prevDirection are 1.5185/1.51842720844551/1.51843996608536/-1</t>
  </si>
  <si>
    <t>2015-1-20 15:47:52.285: DirectionIndicator - notify - price/longMA/ShortMA/prevDirection are 1.51845/1.51843135236451/1.51844331072358/-1</t>
  </si>
  <si>
    <t>2015-1-20 15:47:53.83: DirectionIndicator - notify - price/longMA/ShortMA/prevDirection are 1.5185/1.51844383375278/1.51846220714905/-1</t>
  </si>
  <si>
    <t>2015-1-20 15:47:54.190: DirectionIndicator - notify - price/longMA/ShortMA/prevDirection are 1.51845/1.51844495488864/1.51845813809937/-1</t>
  </si>
  <si>
    <t>2015-1-20 15:47:59.959: DirectionIndicator - notify - price/longMA/ShortMA/prevDirection are 1.5184/1.51843678127252/1.51843875873291/-1</t>
  </si>
  <si>
    <t>2015-1-20 15:48:0.10: DirectionIndicator - notify - price/longMA/ShortMA/prevDirection are 1.51835/1.51842100285934/1.51840917248861/-1</t>
  </si>
  <si>
    <t>2015-1-20 15:48:3.78: DirectionIndicator - notify - price/longMA/ShortMA/prevDirection are 1.5183/1.51839900233946/1.51837278165907/-1</t>
  </si>
  <si>
    <t>2015-1-20 15:48:3.132: DirectionIndicator - notify - price/longMA/ShortMA/prevDirection are 1.51825/1.51837191100501/1.51833185443938/-1</t>
  </si>
  <si>
    <t>2015-1-20 15:48:6.278: TransitionLogger - flushFile - flushing file</t>
  </si>
  <si>
    <t>2015-1-20 15:48:6.280: TransitionLogger - openTransitionFile - opening file C:\temp\transitionlog_2015-01-20_153021</t>
  </si>
  <si>
    <t>2015-1-20 15:48:15.162: DirectionIndicator - notify - price/longMA/ShortMA/prevDirection are 1.5183/1.51835883627683/1.51832123629292/-1</t>
  </si>
  <si>
    <t>2015-1-20 15:48:15.217: DirectionIndicator - notify - price/longMA/ShortMA/prevDirection are 1.51835/1.51835722968104/1.51833082419528/-1</t>
  </si>
  <si>
    <t>2015-1-20 15:48:15.663: DirectionIndicator - notify - price/longMA/ShortMA/prevDirection are 1.5184/1.51836500610267/1.51835388279685/-1</t>
  </si>
  <si>
    <t>2015-1-20 15:48:16.251: DirectionIndicator - notify - price/longMA/ShortMA/prevDirection are 1.51835/1.51836227772037/1.51835258853124/-1</t>
  </si>
  <si>
    <t>2015-1-20 15:48:22.412: DirectionIndicator - notify - price/longMA/ShortMA/prevDirection are 1.5183/1.51835095449848/1.51833505902082/-1</t>
  </si>
  <si>
    <t>2015-1-20 15:48:24.328: DirectionIndicator - notify - price/longMA/ShortMA/prevDirection are 1.51825/1.51833259913512/1.51830670601388/-1</t>
  </si>
  <si>
    <t>2015-1-20 15:48:29.109: TransitionLogger - flushFile - flushing file</t>
  </si>
  <si>
    <t>2015-1-20 15:48:29.110: TransitionLogger - openTransitionFile - opening file C:\temp\transitionlog_2015-01-20_153021</t>
  </si>
  <si>
    <t>2015-1-20 15:48:31.748: DirectionIndicator - notify - price/longMA/ShortMA/prevDirection are 1.5182/1.51830849020146/1.51827113734259/-1</t>
  </si>
  <si>
    <t>2015-1-20 15:48:32.211: DirectionIndicator - notify - price/longMA/ShortMA/prevDirection are 1.51815/1.5182796738012/1.51823075822839/-1</t>
  </si>
  <si>
    <t>2015-1-20 15:48:43.169: DirectionIndicator - notify - price/longMA/ShortMA/prevDirection are 1.5181/1.51824700583734/1.51818717215226/-1</t>
  </si>
  <si>
    <t>2015-1-20 15:48:43.248: DirectionIndicator - notify - price/longMA/ShortMA/prevDirection are 1.51805/1.51821118659419/1.51814144810151/-1</t>
  </si>
  <si>
    <t>2015-1-20 15:49:6.180: TransitionLogger - flushFile - flushing file</t>
  </si>
  <si>
    <t>2015-1-20 15:49:6.182: TransitionLogger - openTransitionFile - opening file C:\temp\transitionlog_2015-01-20_153021</t>
  </si>
  <si>
    <t>2015-1-20 15:49:23.265: DirectionIndicator - notify - price/longMA/ShortMA/prevDirection are 1.518/1.51817278903161/1.51809429873434/-1</t>
  </si>
  <si>
    <t>2015-1-20 15:49:23.334: DirectionIndicator - notify - price/longMA/ShortMA/prevDirection are 1.51795/1.51813228193495/1.51804619915623/-1</t>
  </si>
  <si>
    <t>2015-1-20 15:49:29.138: TransitionLogger - flushFile - flushing file</t>
  </si>
  <si>
    <t>2015-1-20 15:49:29.139: TransitionLogger - openTransitionFile - opening file C:\temp\transitionlog_2015-01-20_153021</t>
  </si>
  <si>
    <t>2015-1-20 15:49:33.553: DirectionIndicator - notify - price/longMA/ShortMA/prevDirection are 1.518/1.51810823067405/1.51803079943748/-1</t>
  </si>
  <si>
    <t>2015-1-20 15:49:33.626: DirectionIndicator - notify - price/longMA/ShortMA/prevDirection are 1.51805/1.51809764327877/1.51803719962499/-1</t>
  </si>
  <si>
    <t>2015-1-20 15:49:39.348: DirectionIndicator - notify - price/longMA/ShortMA/prevDirection are 1.5181/1.51809807177354/1.51805813308333/-1</t>
  </si>
  <si>
    <t>2015-1-20 15:49:40.115: DirectionIndicator - notify - price/longMA/ShortMA/prevDirection are 1.51805/1.51808933145108/1.51805542205555/-1</t>
  </si>
  <si>
    <t>2015-1-20 15:49:41.124: DirectionIndicator - notify - price/longMA/ShortMA/prevDirection are 1.5181/1.51809127118725/1.51807028137037/-1</t>
  </si>
  <si>
    <t>2015-1-20 15:49:42.4: DirectionIndicator - notify - price/longMA/ShortMA/prevDirection are 1.51805/1.51808376733502/1.51806352091358/-1</t>
  </si>
  <si>
    <t>2015-1-20 15:49:48.809: DirectionIndicator - notify - price/longMA/ShortMA/prevDirection are 1.5181/1.51808671872865/1.51807568060905/-1</t>
  </si>
  <si>
    <t>2015-1-20 15:49:49.214: DirectionIndicator - notify - price/longMA/ShortMA/prevDirection are 1.51815/1.51809822441435/1.51810045373937/-1</t>
  </si>
  <si>
    <t>2015-1-20 15:49:50.674: DirectionIndicator - notify - price/longMA/ShortMA/prevDirection are 1.5182/1.51811672906629/1.51813363582625/-1</t>
  </si>
  <si>
    <t>2015-1-20 15:49:50.751: DirectionIndicator - notify - price/longMA/ShortMA/prevDirection are 1.51825/1.51814096014514/1.51817242388416/-1</t>
  </si>
  <si>
    <t>2015-1-20 15:49:52.586: DirectionIndicator - notify - price/longMA/ShortMA/prevDirection are 1.5182/1.51815169466421/1.51818161592278/1</t>
  </si>
  <si>
    <t>2015-1-20 15:49:52.641: DirectionIndicator - notify - price/longMA/ShortMA/prevDirection are 1.51815/1.51815138654344/1.51817107728185/1</t>
  </si>
  <si>
    <t>2015-1-20 15:50:1.90: DirectionIndicator - notify - price/longMA/ShortMA/prevDirection are 1.5181/1.51814204353554/1.51814738485457/1</t>
  </si>
  <si>
    <t>2015-1-20 15:50:1.169: DirectionIndicator - notify - price/longMA/ShortMA/prevDirection are 1.51805/1.51812530834726/1.51811492323638/1</t>
  </si>
  <si>
    <t>2015-1-20 15:50:6.14: TransitionLogger - flushFile - flushing file</t>
  </si>
  <si>
    <t>2015-1-20 15:50:6.15: TransitionLogger - openTransitionFile - opening file C:\temp\transitionlog_2015-01-20_153021</t>
  </si>
  <si>
    <t>2015-1-20 15:50:7.179: DirectionIndicator - notify - price/longMA/ShortMA/prevDirection are 1.5181/1.51812070682958/1.51810994882425/1</t>
  </si>
  <si>
    <t>2015-1-20 15:50:18.963: DirectionIndicator - notify - price/longMA/ShortMA/prevDirection are 1.51805/1.51810785104238/1.51808996588283/1</t>
  </si>
  <si>
    <t>2015-1-20 15:50:19.968: DirectionIndicator - notify - price/longMA/ShortMA/prevDirection are 1.5181/1.51810642358013/1.51809331058856/1</t>
  </si>
  <si>
    <t>2015-1-20 15:50:21.421: Algorithm - FindNextStrikes - price is 1.5181 nextStrikeUp/Down 1.52/1.515</t>
  </si>
  <si>
    <t>2015-1-20 15:50:21.421: Algorithm - getPortfolioForwardDelta - required deltas is 100 currentHedgePosition is 100</t>
  </si>
  <si>
    <t>2015-1-20 15:50:21.422: Algorithm - getHedgeShortfall - required deltas is 100 price is 1.5182 currentHedgePositionDeltas is 100</t>
  </si>
  <si>
    <t>2015-1-20 15:50:21.422: Algorithm - processTransitionPoint - nextUpper/LowerStrikes are 1.52/1.515 requiredDeltas/currentPosition/currentHedgeShortfall/direction/transitionPrice are 100/100/0/1/1.5182</t>
  </si>
  <si>
    <t>2015-1-20 15:50:21.423: TransitionLogger - processTransitionpoint - checking transition - currentHedgeShortfall is 0</t>
  </si>
  <si>
    <t>2015-1-20 15:50:21.424: Algorithm - updatePortfolio - haveAllDetails is True</t>
  </si>
  <si>
    <t>2015-1-20 15:50:21.425: RTWSControl - updatePortfolioEx - An Error Occured Object variable or With block variable not set</t>
  </si>
  <si>
    <t>2015-1-20 15:50:21.466: Algorithm - FindNextStrikes - price is 1.5181 nextStrikeUp/Down 1.52/1.515</t>
  </si>
  <si>
    <t>2015-1-20 15:50:21.466: Algorithm - getPortfolioForwardDelta - required deltas is 100 currentHedgePosition is 100</t>
  </si>
  <si>
    <t>2015-1-20 15:50:21.467: Algorithm - getHedgeShortfall - required deltas is 100 price is 1.5182 currentHedgePositionDeltas is 100</t>
  </si>
  <si>
    <t>2015-1-20 15:50:21.467: Algorithm - processTransitionPoint - nextUpper/LowerStrikes are 1.52/1.515 requiredDeltas/currentPosition/currentHedgeShortfall/direction/transitionPrice are 100/100/0/1/1.5182</t>
  </si>
  <si>
    <t>2015-1-20 15:50:21.467: TransitionLogger - processTransitionpoint - checking transition - currentHedgeShortfall is 0</t>
  </si>
  <si>
    <t>2015-1-20 15:50:21.468: Algorithm - updatePortfolio - haveAllDetails is True</t>
  </si>
  <si>
    <t>2015-1-20 15:50:21.469: RTWSControl - updatePortfolioEx - An Error Occured Object variable or With block variable not set</t>
  </si>
  <si>
    <t>2015-1-20 15:50:21.517: Algorithm - FindNextStrikes - price is 1.5181 nextStrikeUp/Down 1.52/1.515</t>
  </si>
  <si>
    <t>2015-1-20 15:50:21.517: Algorithm - getPortfolioForwardDelta - required deltas is 100 currentHedgePosition is 100</t>
  </si>
  <si>
    <t>2015-1-20 15:50:21.518: Algorithm - getHedgeShortfall - required deltas is 100 price is 1.5182 currentHedgePositionDeltas is 100</t>
  </si>
  <si>
    <t>2015-1-20 15:50:21.518: Algorithm - processTransitionPoint - nextUpper/LowerStrikes are 1.52/1.515 requiredDeltas/currentPosition/currentHedgeShortfall/direction/transitionPrice are 100/100/0/1/1.5182</t>
  </si>
  <si>
    <t>2015-1-20 15:50:21.518: TransitionLogger - processTransitionpoint - checking transition - currentHedgeShortfall is 0</t>
  </si>
  <si>
    <t>2015-1-20 15:50:21.519: Algorithm - updatePortfolio - haveAllDetails is True</t>
  </si>
  <si>
    <t>2015-1-20 15:50:21.520: RTWSControl - updatePortfolioEx - An Error Occured Object variable or With block variable not set</t>
  </si>
  <si>
    <t>2015-1-20 15:50:21.570: Algorithm - FindNextStrikes - price is 1.5181 nextStrikeUp/Down 1.52/1.515</t>
  </si>
  <si>
    <t>2015-1-20 15:50:21.570: Algorithm - getPortfolioForwardDelta - required deltas is 100 currentHedgePosition is 100</t>
  </si>
  <si>
    <t>2015-1-20 15:50:21.571: Algorithm - getHedgeShortfall - required deltas is 100 price is 1.5182 currentHedgePositionDeltas is 100</t>
  </si>
  <si>
    <t>2015-1-20 15:50:21.571: Algorithm - processTransitionPoint - nextUpper/LowerStrikes are 1.52/1.515 requiredDeltas/currentPosition/currentHedgeShortfall/direction/transitionPrice are 100/100/0/1/1.5182</t>
  </si>
  <si>
    <t>2015-1-20 15:50:21.572: TransitionLogger - processTransitionpoint - checking transition - currentHedgeShortfall is 0</t>
  </si>
  <si>
    <t>2015-1-20 15:50:21.573: Algorithm - updatePortfolio - haveAllDetails is True</t>
  </si>
  <si>
    <t>2015-1-20 15:50:21.574: RTWSControl - updatePortfolioEx - An Error Occured Object variable or With block variable not set</t>
  </si>
  <si>
    <t>2015-1-20 15:50:21.637: Algorithm - FindNextStrikes - price is 1.5181 nextStrikeUp/Down 1.52/1.515</t>
  </si>
  <si>
    <t>2015-1-20 15:50:21.638: Algorithm - getPortfolioForwardDelta - required deltas is 100 currentHedgePosition is 100</t>
  </si>
  <si>
    <t>2015-1-20 15:50:21.638: Algorithm - getHedgeShortfall - required deltas is 100 price is 1.5182 currentHedgePositionDeltas is 100</t>
  </si>
  <si>
    <t>2015-1-20 15:50:21.638: Algorithm - processTransitionPoint - nextUpper/LowerStrikes are 1.52/1.515 requiredDeltas/currentPosition/currentHedgeShortfall/direction/transitionPrice are 100/100/0/1/1.5182</t>
  </si>
  <si>
    <t>2015-1-20 15:50:21.639: TransitionLogger - processTransitionpoint - checking transition - currentHedgeShortfall is 0</t>
  </si>
  <si>
    <t>2015-1-20 15:50:21.640: Algorithm - updatePortfolio - haveAllDetails is True</t>
  </si>
  <si>
    <t>2015-1-20 15:50:21.641: RTWSControl - updatePortfolioEx - An Error Occured Object variable or With block variable not set</t>
  </si>
  <si>
    <t>2015-1-20 15:50:21.697: Algorithm - FindNextStrikes - price is 1.5181 nextStrikeUp/Down 1.52/1.515</t>
  </si>
  <si>
    <t>2015-1-20 15:50:21.697: Algorithm - getPortfolioForwardDelta - required deltas is 100 currentHedgePosition is 100</t>
  </si>
  <si>
    <t>2015-1-20 15:50:21.698: Algorithm - getHedgeShortfall - required deltas is 100 price is 1.5182 currentHedgePositionDeltas is 100</t>
  </si>
  <si>
    <t>2015-1-20 15:50:21.698: Algorithm - processTransitionPoint - nextUpper/LowerStrikes are 1.52/1.515 requiredDeltas/currentPosition/currentHedgeShortfall/direction/transitionPrice are 100/100/0/1/1.5182</t>
  </si>
  <si>
    <t>2015-1-20 15:50:21.699: TransitionLogger - processTransitionpoint - checking transition - currentHedgeShortfall is 0</t>
  </si>
  <si>
    <t>2015-1-20 15:50:21.700: Algorithm - updatePortfolio - haveAllDetails is True</t>
  </si>
  <si>
    <t>2015-1-20 15:50:21.701: RTWSControl - updatePortfolioEx - An Error Occured Object variable or With block variable not set</t>
  </si>
  <si>
    <t>2015-1-20 15:50:22.647: DirectionIndicator - notify - price/longMA/ShortMA/prevDirection are 1.51815/1.51811434656556/1.51811220705904/1</t>
  </si>
  <si>
    <t>2015-1-20 15:50:27.994: DirectionIndicator - notify - price/longMA/ShortMA/prevDirection are 1.5182/1.51812991991728/1.51814147137269/1</t>
  </si>
  <si>
    <t>2015-1-20 15:50:28.46: DirectionIndicator - notify - price/longMA/ShortMA/prevDirection are 1.51825/1.51815175265959/1.51817764758179/1</t>
  </si>
  <si>
    <t>2015-1-20 15:50:29.13: TransitionLogger - flushFile - flushing file</t>
  </si>
  <si>
    <t>2015-1-20 15:50:29.13: TransitionLogger - openTransitionFile - opening file C:\temp\transitionlog_2015-01-20_153021</t>
  </si>
  <si>
    <t>2015-1-20 15:50:31.743: DirectionIndicator - notify - price/longMA/ShortMA/prevDirection are 1.5182/1.5181605249033/1.51818509838786/1</t>
  </si>
  <si>
    <t>2015-1-20 15:50:32.849: DirectionIndicator - notify - price/longMA/ShortMA/prevDirection are 1.51815/1.51815861128452/1.51817339892524/1</t>
  </si>
  <si>
    <t>2015-1-20 15:50:35.682: DirectionIndicator - notify - price/longMA/ShortMA/prevDirection are 1.5182/1.51816613650552/1.51818226595016/1</t>
  </si>
  <si>
    <t>2015-1-20 15:50:38.23: DirectionIndicator - notify - price/longMA/ShortMA/prevDirection are 1.51815/1.51816320259542/1.51817151063344/1</t>
  </si>
  <si>
    <t>2015-1-20 15:50:42.193: DirectionIndicator - notify - price/longMA/ShortMA/prevDirection are 1.5182/1.51816989303262/1.51818100708896/1</t>
  </si>
  <si>
    <t>2015-1-20 15:50:42.256: DirectionIndicator - notify - price/longMA/ShortMA/prevDirection are 1.51825/1.51818445793578/1.51820400472597/1</t>
  </si>
  <si>
    <t>2015-1-20 15:50:42.592: DirectionIndicator - notify - price/longMA/ShortMA/prevDirection are 1.5182/1.51818728376564/1.51820266981732/1</t>
  </si>
  <si>
    <t>2015-1-20 15:50:44.108: DirectionIndicator - notify - price/longMA/ShortMA/prevDirection are 1.51815/1.51818050489916/1.51818511321154/1</t>
  </si>
  <si>
    <t>2015-1-20 15:50:44.551: DirectionIndicator - notify - price/longMA/ShortMA/prevDirection are 1.5182/1.51818404946295/1.51819007547436/1</t>
  </si>
  <si>
    <t>2015-1-20 15:50:48.622: DirectionIndicator - notify - price/longMA/ShortMA/prevDirection are 1.51815/1.5181778586515/1.51817671698291/1</t>
  </si>
  <si>
    <t>2015-1-20 15:50:48.831: DirectionIndicator - notify - price/longMA/ShortMA/prevDirection are 1.5182/1.51818188435123/1.51818447798861/1</t>
  </si>
  <si>
    <t>2015-1-20 15:50:50.295: DirectionIndicator - notify - price/longMA/ShortMA/prevDirection are 1.51825/1.51819426901464/1.51820631865907/1</t>
  </si>
  <si>
    <t>2015-1-20 15:50:51.631: DirectionIndicator - notify - price/longMA/ShortMA/prevDirection are 1.5182/1.51819531101198/1.51820421243938/1</t>
  </si>
  <si>
    <t>2015-1-20 15:50:51.717: DirectionIndicator - notify - price/longMA/ShortMA/prevDirection are 1.51815/1.51818707264617/1.51818614162625/1</t>
  </si>
  <si>
    <t>2015-1-20 15:50:53.173: DirectionIndicator - notify - price/longMA/ShortMA/prevDirection are 1.5181/1.51817124125595/1.51815742775084/1</t>
  </si>
  <si>
    <t>2015-1-20 15:50:53.225: DirectionIndicator - notify - price/longMA/ShortMA/prevDirection are 1.51805/1.51814919739123/1.51812161850056/1</t>
  </si>
  <si>
    <t>2015-1-20 15:50:53.843: DirectionIndicator - notify - price/longMA/ShortMA/prevDirection are 1.5181/1.51814025241101/1.5181144123337/-1</t>
  </si>
  <si>
    <t>2015-1-20 15:50:54.47: DirectionIndicator - notify - price/longMA/ShortMA/prevDirection are 1.51815/1.51814202469992/1.51812627488914/-1</t>
  </si>
  <si>
    <t>2015-1-20 15:50:56.761: DirectionIndicator - notify - price/longMA/ShortMA/prevDirection are 1.5182/1.51815256566357/1.51815084992609/-1</t>
  </si>
  <si>
    <t>2015-1-20 15:50:58.149: DirectionIndicator - notify - price/longMA/ShortMA/prevDirection are 1.51815/1.51815209917928/1.51815056661739/-1</t>
  </si>
  <si>
    <t>2015-1-20 15:51:1.738: DirectionIndicator - notify - price/longMA/ShortMA/prevDirection are 1.5182/1.51816080841941/1.5181670444116/-1</t>
  </si>
  <si>
    <t>2015-1-20 15:51:1.799: DirectionIndicator - notify - price/longMA/ShortMA/prevDirection are 1.51825/1.51817702507043/1.5181946962744/-1</t>
  </si>
  <si>
    <t>2015-1-20 15:51:4.534: DirectionIndicator - notify - price/longMA/ShortMA/prevDirection are 1.5182/1.51818120233035/1.51819646418293/-1</t>
  </si>
  <si>
    <t>2015-1-20 15:51:4.631: DirectionIndicator - notify - price/longMA/ShortMA/prevDirection are 1.51815/1.51817552917938/1.51818097612195/-1</t>
  </si>
  <si>
    <t>2015-1-20 15:51:6.53: TransitionLogger - flushFile - flushing file</t>
  </si>
  <si>
    <t>2015-1-20 15:51:6.53: TransitionLogger - openTransitionFile - opening file C:\temp\transitionlog_2015-01-20_153021</t>
  </si>
  <si>
    <t>2015-1-20 15:51:24.20: DirectionIndicator - notify - price/longMA/ShortMA/prevDirection are 1.5182/1.51817997841949/1.51818731741464/-1</t>
  </si>
  <si>
    <t>2015-1-20 15:51:25.205: DirectionIndicator - notify - price/longMA/ShortMA/prevDirection are 1.51825/1.51819270961595/1.51820821160976/-1</t>
  </si>
  <si>
    <t>2015-1-20 15:51:29.18: TransitionLogger - flushFile - flushing file</t>
  </si>
  <si>
    <t>2015-1-20 15:51:29.20: TransitionLogger - openTransitionFile - opening file C:\temp\transitionlog_2015-01-20_153021</t>
  </si>
  <si>
    <t>2015-1-20 15:51:31.425: DirectionIndicator - notify - price/longMA/ShortMA/prevDirection are 1.5182/1.51819403514032/1.51820547440651/-1</t>
  </si>
  <si>
    <t>2015-1-20 15:51:31.478: DirectionIndicator - notify - price/longMA/ShortMA/prevDirection are 1.51815/1.51818602875117/1.51818698293767/-1</t>
  </si>
  <si>
    <t>2015-1-20 15:51:34.969: DirectionIndicator - notify - price/longMA/ShortMA/prevDirection are 1.5182/1.51818856897823/1.51819132195845/-1</t>
  </si>
  <si>
    <t>2015-1-20 15:51:35.300: DirectionIndicator - notify - price/longMA/ShortMA/prevDirection are 1.51815/1.51818155643673/1.5181775479723/-1</t>
  </si>
  <si>
    <t>2015-1-20 15:51:36.971: DirectionIndicator - notify - price/longMA/ShortMA/prevDirection are 1.5181/1.51816672799369/1.5181516986482/-1</t>
  </si>
  <si>
    <t>2015-1-20 15:51:37.307: DirectionIndicator - notify - price/longMA/ShortMA/prevDirection are 1.51815/1.51816368654029/1.51815113243213/-1</t>
  </si>
  <si>
    <t>2015-1-20 15:51:57.768: DirectionIndicator - notify - price/longMA/ShortMA/prevDirection are 1.5182/1.51817028898751/1.51816742162142/-1</t>
  </si>
  <si>
    <t>2015-1-20 15:51:58.220: DirectionIndicator - notify - price/longMA/ShortMA/prevDirection are 1.51815/1.51816660008069/1.51816161441428/-1</t>
  </si>
  <si>
    <t>2015-1-20 15:52:0.147: DirectionIndicator - notify - price/longMA/ShortMA/prevDirection are 1.5181/1.51815449097511/1.51814107627619/-1</t>
  </si>
  <si>
    <t>2015-1-20 15:52:6.0: TransitionLogger - flushFile - flushing file</t>
  </si>
  <si>
    <t>2015-1-20 15:52:6.1: TransitionLogger - openTransitionFile - opening file C:\temp\transitionlog_2015-01-20_153021</t>
  </si>
  <si>
    <t>2015-1-20 15:52:17.938: DirectionIndicator - notify - price/longMA/ShortMA/prevDirection are 1.51815/1.51815367443418/1.51814405085079/-1</t>
  </si>
  <si>
    <t>2015-1-20 15:52:18.683: DirectionIndicator - notify - price/longMA/ShortMA/prevDirection are 1.5181/1.51814391544615/1.51812936723386/-1</t>
  </si>
  <si>
    <t>2015-1-20 15:52:20.766: DirectionIndicator - notify - price/longMA/ShortMA/prevDirection are 1.51815/1.51814502172867/1.51813624482257/-1</t>
  </si>
  <si>
    <t>2015-1-20 15:52:22.898: DirectionIndicator - notify - price/longMA/ShortMA/prevDirection are 1.5181/1.51813683595982/1.51812416321505/-1</t>
  </si>
  <si>
    <t>2015-1-20 15:52:26.167: DirectionIndicator - notify - price/longMA/ShortMA/prevDirection are 1.51815/1.51813922942167/1.5181327754767/-1</t>
  </si>
  <si>
    <t>2015-1-20 15:52:26.838: DirectionIndicator - notify - price/longMA/ShortMA/prevDirection are 1.5181/1.51813209679955/1.5181218503178/-1</t>
  </si>
  <si>
    <t>2015-1-20 15:52:29.165: TransitionLogger - flushFile - flushing file</t>
  </si>
  <si>
    <t>2015-1-20 15:52:29.165: TransitionLogger - openTransitionFile - opening file C:\temp\transitionlog_2015-01-20_153021</t>
  </si>
  <si>
    <t>2015-1-20 15:52:55.265: DirectionIndicator - notify - price/longMA/ShortMA/prevDirection are 1.51815/1.5181353519269/1.5181312335452/-1</t>
  </si>
  <si>
    <t>2015-1-20 15:53:2.436: DirectionIndicator - notify - price/longMA/ShortMA/prevDirection are 1.5181/1.51812892430383/1.51812082236347/-1</t>
  </si>
  <si>
    <t>2015-1-20 15:53:3.84: DirectionIndicator - notify - price/longMA/ShortMA/prevDirection are 1.51805/1.51811457443041/1.51809721490898/-1</t>
  </si>
  <si>
    <t>2015-1-20 15:53:3.811: DirectionIndicator - notify - price/longMA/ShortMA/prevDirection are 1.5181/1.51811192453397/1.51809814327265/-1</t>
  </si>
  <si>
    <t>2015-1-20 15:53:6.480: TransitionLogger - flushFile - flushing file</t>
  </si>
  <si>
    <t>2015-1-20 15:53:6.482: TransitionLogger - openTransitionFile - opening file C:\temp\transitionlog_2015-01-20_153021</t>
  </si>
  <si>
    <t>2015-1-20 15:53:21.313: Algorithm - FindNextStrikes - price is 1.5181 nextStrikeUp/Down 1.52/1.515</t>
  </si>
  <si>
    <t>2015-1-20 15:53:21.314: Algorithm - getPortfolioForwardDelta - required deltas is 100 currentHedgePosition is 100</t>
  </si>
  <si>
    <t>2015-1-20 15:53:21.314: Algorithm - getHedgeShortfall - required deltas is 100 price is 1.518 currentHedgePositionDeltas is 100</t>
  </si>
  <si>
    <t>2015-1-20 15:53:21.315: Algorithm - processTransitionPoint - nextUpper/LowerStrikes are 1.52/1.515 requiredDeltas/currentPosition/currentHedgeShortfall/direction/transitionPrice are 100/100/0/-1/1.518</t>
  </si>
  <si>
    <t>2015-1-20 15:53:21.315: TransitionLogger - processTransitionpoint - checking transition - currentHedgeShortfall is 0</t>
  </si>
  <si>
    <t>2015-1-20 15:53:21.316: Algorithm - updatePortfolio - haveAllDetails is True</t>
  </si>
  <si>
    <t>2015-1-20 15:53:21.317: RTWSControl - updatePortfolioEx - An Error Occured Object variable or With block variable not set</t>
  </si>
  <si>
    <t>2015-1-20 15:53:21.365: Algorithm - FindNextStrikes - price is 1.5181 nextStrikeUp/Down 1.52/1.515</t>
  </si>
  <si>
    <t>2015-1-20 15:53:21.365: Algorithm - getPortfolioForwardDelta - required deltas is 100 currentHedgePosition is 100</t>
  </si>
  <si>
    <t>2015-1-20 15:53:21.366: Algorithm - getHedgeShortfall - required deltas is 100 price is 1.518 currentHedgePositionDeltas is 100</t>
  </si>
  <si>
    <t>2015-1-20 15:53:21.366: Algorithm - processTransitionPoint - nextUpper/LowerStrikes are 1.52/1.515 requiredDeltas/currentPosition/currentHedgeShortfall/direction/transitionPrice are 100/100/0/-1/1.518</t>
  </si>
  <si>
    <t>2015-1-20 15:53:21.366: TransitionLogger - processTransitionpoint - checking transition - currentHedgeShortfall is 0</t>
  </si>
  <si>
    <t>2015-1-20 15:53:21.367: Algorithm - updatePortfolio - haveAllDetails is True</t>
  </si>
  <si>
    <t>2015-1-20 15:53:21.368: RTWSControl - updatePortfolioEx - An Error Occured Object variable or With block variable not set</t>
  </si>
  <si>
    <t>2015-1-20 15:53:21.416: Algorithm - FindNextStrikes - price is 1.5181 nextStrikeUp/Down 1.52/1.515</t>
  </si>
  <si>
    <t>2015-1-20 15:53:21.417: Algorithm - getPortfolioForwardDelta - required deltas is 100 currentHedgePosition is 100</t>
  </si>
  <si>
    <t>2015-1-20 15:53:21.417: Algorithm - getHedgeShortfall - required deltas is 100 price is 1.518 currentHedgePositionDeltas is 100</t>
  </si>
  <si>
    <t>2015-1-20 15:53:21.418: Algorithm - processTransitionPoint - nextUpper/LowerStrikes are 1.52/1.515 requiredDeltas/currentPosition/currentHedgeShortfall/direction/transitionPrice are 100/100/0/-1/1.518</t>
  </si>
  <si>
    <t>2015-1-20 15:53:21.418: TransitionLogger - processTransitionpoint - checking transition - currentHedgeShortfall is 0</t>
  </si>
  <si>
    <t>2015-1-20 15:53:21.419: Algorithm - updatePortfolio - haveAllDetails is True</t>
  </si>
  <si>
    <t>2015-1-20 15:53:21.420: RTWSControl - updatePortfolioEx - An Error Occured Object variable or With block variable not set</t>
  </si>
  <si>
    <t>2015-1-20 15:53:25.60: DirectionIndicator - notify - price/longMA/ShortMA/prevDirection are 1.51805/1.51810066552779/1.5180820955151/-1</t>
  </si>
  <si>
    <t>2015-1-20 15:53:26.122: DirectionIndicator - notify - price/longMA/ShortMA/prevDirection are 1.5181/1.51810054452274/1.51808806367673/-1</t>
  </si>
  <si>
    <t>2015-1-20 15:53:26.181: DirectionIndicator - notify - price/longMA/ShortMA/prevDirection are 1.51815/1.5181095364277/1.51810870911782/-1</t>
  </si>
  <si>
    <t>2015-1-20 15:53:29.7: TransitionLogger - flushFile - flushing file</t>
  </si>
  <si>
    <t>2015-1-20 15:53:29.9: TransitionLogger - openTransitionFile - opening file C:\temp\transitionlog_2015-01-20_153021</t>
  </si>
  <si>
    <t>2015-1-20 15:53:29.150: DirectionIndicator - notify - price/longMA/ShortMA/prevDirection are 1.5182/1.51812598434993/1.51813913941188/-1</t>
  </si>
  <si>
    <t>2015-1-20 15:53:30.998: DirectionIndicator - notify - price/longMA/ShortMA/prevDirection are 1.51815/1.51813035083176/1.51814275960792/-1</t>
  </si>
  <si>
    <t>2015-1-20 15:53:41.165: DirectionIndicator - notify - price/longMA/ShortMA/prevDirection are 1.5182/1.5181430143169/1.51816183973861/-1</t>
  </si>
  <si>
    <t>2015-1-20 15:53:44.356: DirectionIndicator - notify - price/longMA/ShortMA/prevDirection are 1.51815/1.5181442844411/1.51815789315908/-1</t>
  </si>
  <si>
    <t>2015-1-20 15:53:47.268: DirectionIndicator - notify - price/longMA/ShortMA/prevDirection are 1.5182/1.51815441454272/1.51817192877272/-1</t>
  </si>
  <si>
    <t>2015-1-20 15:53:47.600: DirectionIndicator - notify - price/longMA/ShortMA/prevDirection are 1.51815/1.51815361189859/1.51816461918181/-1</t>
  </si>
  <si>
    <t>2015-1-20 15:54:5.819: DirectionIndicator - notify - price/longMA/ShortMA/prevDirection are 1.5182/1.51816204609884/1.51817641278787/-1</t>
  </si>
  <si>
    <t>2015-1-20 15:54:6.22: TransitionLogger - flushFile - flushing file</t>
  </si>
  <si>
    <t>2015-1-20 15:54:6.23: TransitionLogger - openTransitionFile - opening file C:\temp\transitionlog_2015-01-20_153021</t>
  </si>
  <si>
    <t>2015-1-20 15:54:6.33: DirectionIndicator - notify - price/longMA/ShortMA/prevDirection are 1.51815/1.51815985589905/1.51816760852525/-1</t>
  </si>
  <si>
    <t>2015-1-20 15:54:6.402: DirectionIndicator - notify - price/longMA/ShortMA/prevDirection are 1.5182/1.5181671548265/1.5181784056835/-1</t>
  </si>
  <si>
    <t>2015-1-20 15:54:6.523: DirectionIndicator - notify - price/longMA/ShortMA/prevDirection are 1.51815/1.51816403576713/1.51816893712233/-1</t>
  </si>
  <si>
    <t>2015-1-20 15:54:14.746: DirectionIndicator - notify - price/longMA/ShortMA/prevDirection are 1.5182/1.51817057471856/1.51817929141489/-1</t>
  </si>
  <si>
    <t>2015-1-20 15:54:15.77: DirectionIndicator - notify - price/longMA/ShortMA/prevDirection are 1.51815/1.51816683386064/1.51816952760993/-1</t>
  </si>
  <si>
    <t>2015-1-20 15:54:18.864: DirectionIndicator - notify - price/longMA/ShortMA/prevDirection are 1.5182/1.5181728640678/1.51817968507328/-1</t>
  </si>
  <si>
    <t>2015-1-20 15:54:20.663: DirectionIndicator - notify - price/longMA/ShortMA/prevDirection are 1.51825/1.51818688878275/1.51820312338219/-1</t>
  </si>
  <si>
    <t>2015-1-20 15:54:29.296: TransitionLogger - flushFile - flushing file</t>
  </si>
  <si>
    <t>2015-1-20 15:54:29.297: TransitionLogger - openTransitionFile - opening file C:\temp\transitionlog_2015-01-20_153021</t>
  </si>
  <si>
    <t>2015-1-20 15:54:52.97: DirectionIndicator - notify - price/longMA/ShortMA/prevDirection are 1.5183/1.51820745445861/1.51823541558813/-1</t>
  </si>
  <si>
    <t>2015-1-20 15:54:52.145: DirectionIndicator - notify - price/longMA/ShortMA/prevDirection are 1.51835/1.51823337182977/1.51827361039208/1</t>
  </si>
  <si>
    <t>2015-1-20 15:55:6.210: TransitionLogger - flushFile - flushing file</t>
  </si>
  <si>
    <t>2015-1-20 15:55:6.212: TransitionLogger - openTransitionFile - opening file C:\temp\transitionlog_2015-01-20_153021</t>
  </si>
  <si>
    <t>2015-1-20 15:55:11.780: DirectionIndicator - notify - price/longMA/ShortMA/prevDirection are 1.5183/1.51824548604254/1.51828240692806/1</t>
  </si>
  <si>
    <t>2015-1-20 15:55:11.856: DirectionIndicator - notify - price/longMA/ShortMA/prevDirection are 1.51825/1.51824630676208/1.5182716046187/1</t>
  </si>
  <si>
    <t>2015-1-20 15:55:12.480: DirectionIndicator - notify - price/longMA/ShortMA/prevDirection are 1.5182/1.51823788735079/1.51824773641247/1</t>
  </si>
  <si>
    <t>2015-1-20 15:55:12.532: DirectionIndicator - notify - price/longMA/ShortMA/prevDirection are 1.51815/1.51822190783247/1.51821515760831/1</t>
  </si>
  <si>
    <t>2015-1-20 15:55:12.863: DirectionIndicator - notify - price/longMA/ShortMA/prevDirection are 1.5182/1.5182179245902/1.51821010507221/1</t>
  </si>
  <si>
    <t>2015-1-20 15:55:13.322: DirectionIndicator - notify - price/longMA/ShortMA/prevDirection are 1.51815/1.51820557466471/1.51819007004814/1</t>
  </si>
  <si>
    <t>2015-1-20 15:55:29.27: TransitionLogger - flushFile - flushing file</t>
  </si>
  <si>
    <t>2015-1-20 15:55:29.27: TransitionLogger - openTransitionFile - opening file C:\temp\transitionlog_2015-01-20_153021</t>
  </si>
  <si>
    <t>2015-1-20 15:55:37.773: DirectionIndicator - notify - price/longMA/ShortMA/prevDirection are 1.5182/1.51820456108931/1.51819338003209/1</t>
  </si>
  <si>
    <t>2015-1-20 15:55:38.235: DirectionIndicator - notify - price/longMA/ShortMA/prevDirection are 1.51815/1.51819464089125/1.5181789200214/1</t>
  </si>
  <si>
    <t>2015-1-20 15:55:43.314: DirectionIndicator - notify - price/longMA/ShortMA/prevDirection are 1.5182/1.51819561527466/1.51818594668093/1</t>
  </si>
  <si>
    <t>2015-1-20 15:55:45.35: DirectionIndicator - notify - price/longMA/ShortMA/prevDirection are 1.51825/1.51820550340654/1.51820729778729/1</t>
  </si>
  <si>
    <t>2015-1-20 15:55:45.409: DirectionIndicator - notify - price/longMA/ShortMA/prevDirection are 1.5182/1.51820450278717/1.51820486519152/1</t>
  </si>
  <si>
    <t>2015-1-20 15:55:45.587: DirectionIndicator - notify - price/longMA/ShortMA/prevDirection are 1.51815/1.5181945931895/1.51818657679435/1</t>
  </si>
  <si>
    <t>2015-1-20 15:55:45.913: DirectionIndicator - notify - price/longMA/ShortMA/prevDirection are 1.5182/1.51819557624596/1.51819105119623/1</t>
  </si>
  <si>
    <t>2015-1-20 15:55:46.335: DirectionIndicator - notify - price/longMA/ShortMA/prevDirection are 1.51815/1.51818728965578/1.51817736746416/1</t>
  </si>
  <si>
    <t>2015-1-20 15:55:46.628: DirectionIndicator - notify - price/longMA/ShortMA/prevDirection are 1.5182/1.51818960062746/1.51818491164277/1</t>
  </si>
  <si>
    <t>2015-1-20 15:55:57.783: DirectionIndicator - notify - price/longMA/ShortMA/prevDirection are 1.51815/1.51818240051337/1.51817327442851/1</t>
  </si>
  <si>
    <t>2015-1-20 15:55:58.735: DirectionIndicator - notify - price/longMA/ShortMA/prevDirection are 1.5182/1.51818560042003/1.51818218295234/1</t>
  </si>
  <si>
    <t>2015-1-20 15:56:0.115: DirectionIndicator - notify - price/longMA/ShortMA/prevDirection are 1.51815/1.51817912761639/1.51817145530156/1</t>
  </si>
  <si>
    <t>2015-1-20 15:56:5.239: DirectionIndicator - notify - price/longMA/ShortMA/prevDirection are 1.5181/1.51816474077705/1.51814763686771/1</t>
  </si>
  <si>
    <t>2015-1-20 15:56:6.11: TransitionLogger - flushFile - flushing file</t>
  </si>
  <si>
    <t>2015-1-20 15:56:6.12: TransitionLogger - openTransitionFile - opening file C:\temp\transitionlog_2015-01-20_153021</t>
  </si>
  <si>
    <t>2015-1-20 15:56:7.541: DirectionIndicator - notify - price/longMA/ShortMA/prevDirection are 1.51815/1.51816206063577/1.51814842457847/1</t>
  </si>
  <si>
    <t>2015-1-20 15:56:10.927: DirectionIndicator - notify - price/longMA/ShortMA/prevDirection are 1.5182/1.51816895870199/1.51816561638565/1</t>
  </si>
  <si>
    <t>2015-1-20 15:56:11.26: DirectionIndicator - notify - price/longMA/ShortMA/prevDirection are 1.51825/1.51818369348345/1.5181937442571/1</t>
  </si>
  <si>
    <t>2015-1-20 15:56:11.495: DirectionIndicator - notify - price/longMA/ShortMA/prevDirection are 1.5182/1.51818665830464/1.51819582950473/1</t>
  </si>
  <si>
    <t>2015-1-20 15:56:13.757: DirectionIndicator - notify - price/longMA/ShortMA/prevDirection are 1.51825/1.51819817497652/1.51821388633649/1</t>
  </si>
  <si>
    <t>2015-1-20 15:56:16.222: DirectionIndicator - notify - price/longMA/ShortMA/prevDirection are 1.5182/1.51819850679897/1.51820925755766/1</t>
  </si>
  <si>
    <t>2015-1-20 15:56:17.70: DirectionIndicator - notify - price/longMA/ShortMA/prevDirection are 1.51825/1.51820786919916/1.51822283837177/1</t>
  </si>
  <si>
    <t>2015-1-20 15:56:21.859: Algorithm - FindNextStrikes - price is 1.51825 nextStrikeUp/Down 1.52/1.515</t>
  </si>
  <si>
    <t>2015-1-20 15:56:21.859: Algorithm - getPortfolioForwardDelta - required deltas is 100 currentHedgePosition is 100</t>
  </si>
  <si>
    <t>2015-1-20 15:56:21.860: Algorithm - getHedgeShortfall - required deltas is 100 price is 1.51835 currentHedgePositionDeltas is 100</t>
  </si>
  <si>
    <t>2015-1-20 15:56:21.860: Algorithm - processTransitionPoint - nextUpper/LowerStrikes are 1.52/1.515 requiredDeltas/currentPosition/currentHedgeShortfall/direction/transitionPrice are 100/100/0/1/1.51835</t>
  </si>
  <si>
    <t>2015-1-20 15:56:21.860: TransitionLogger - processTransitionpoint - checking transition - currentHedgeShortfall is 0</t>
  </si>
  <si>
    <t>2015-1-20 15:56:21.861: Algorithm - updatePortfolio - haveAllDetails is True</t>
  </si>
  <si>
    <t>2015-1-20 15:56:21.862: RTWSControl - updatePortfolioEx - An Error Occured Object variable or With block variable not set</t>
  </si>
  <si>
    <t>2015-1-20 15:56:21.903: Algorithm - FindNextStrikes - price is 1.51825 nextStrikeUp/Down 1.52/1.515</t>
  </si>
  <si>
    <t>2015-1-20 15:56:21.903: Algorithm - getPortfolioForwardDelta - required deltas is 100 currentHedgePosition is 100</t>
  </si>
  <si>
    <t>2015-1-20 15:56:21.904: Algorithm - getHedgeShortfall - required deltas is 100 price is 1.51835 currentHedgePositionDeltas is 100</t>
  </si>
  <si>
    <t>2015-1-20 15:56:21.905: Algorithm - processTransitionPoint - nextUpper/LowerStrikes are 1.52/1.515 requiredDeltas/currentPosition/currentHedgeShortfall/direction/transitionPrice are 100/100/0/1/1.51835</t>
  </si>
  <si>
    <t>2015-1-20 15:56:21.905: TransitionLogger - processTransitionpoint - checking transition - currentHedgeShortfall is 0</t>
  </si>
  <si>
    <t>2015-1-20 15:56:21.906: Algorithm - updatePortfolio - haveAllDetails is True</t>
  </si>
  <si>
    <t>2015-1-20 15:56:21.907: RTWSControl - updatePortfolioEx - An Error Occured Object variable or With block variable not set</t>
  </si>
  <si>
    <t>2015-1-20 15:56:21.955: Algorithm - FindNextStrikes - price is 1.51825 nextStrikeUp/Down 1.52/1.515</t>
  </si>
  <si>
    <t>2015-1-20 15:56:21.955: Algorithm - getPortfolioForwardDelta - required deltas is 100 currentHedgePosition is 100</t>
  </si>
  <si>
    <t>2015-1-20 15:56:21.956: Algorithm - getHedgeShortfall - required deltas is 100 price is 1.51835 currentHedgePositionDeltas is 100</t>
  </si>
  <si>
    <t>2015-1-20 15:56:21.956: Algorithm - processTransitionPoint - nextUpper/LowerStrikes are 1.52/1.515 requiredDeltas/currentPosition/currentHedgeShortfall/direction/transitionPrice are 100/100/0/1/1.51835</t>
  </si>
  <si>
    <t>2015-1-20 15:56:21.957: TransitionLogger - processTransitionpoint - checking transition - currentHedgeShortfall is 0</t>
  </si>
  <si>
    <t>2015-1-20 15:56:21.957: Algorithm - updatePortfolio - haveAllDetails is True</t>
  </si>
  <si>
    <t>2015-1-20 15:56:21.959: RTWSControl - updatePortfolioEx - An Error Occured Object variable or With block variable not set</t>
  </si>
  <si>
    <t>2015-1-20 15:56:22.9: Algorithm - FindNextStrikes - price is 1.51825 nextStrikeUp/Down 1.52/1.515</t>
  </si>
  <si>
    <t>2015-1-20 15:56:22.10: Algorithm - getPortfolioForwardDelta - required deltas is 100 currentHedgePosition is 100</t>
  </si>
  <si>
    <t>2015-1-20 15:56:22.10: Algorithm - getHedgeShortfall - required deltas is 100 price is 1.51835 currentHedgePositionDeltas is 100</t>
  </si>
  <si>
    <t>2015-1-20 15:56:22.11: Algorithm - processTransitionPoint - nextUpper/LowerStrikes are 1.52/1.515 requiredDeltas/currentPosition/currentHedgeShortfall/direction/transitionPrice are 100/100/0/1/1.51835</t>
  </si>
  <si>
    <t>2015-1-20 15:56:22.11: TransitionLogger - processTransitionpoint - checking transition - currentHedgeShortfall is 0</t>
  </si>
  <si>
    <t>2015-1-20 15:56:22.12: Algorithm - updatePortfolio - haveAllDetails is True</t>
  </si>
  <si>
    <t>2015-1-20 15:56:22.13: RTWSControl - updatePortfolioEx - An Error Occured Object variable or With block variable not set</t>
  </si>
  <si>
    <t>2015-1-20 15:56:22.75: Algorithm - FindNextStrikes - price is 1.51825 nextStrikeUp/Down 1.52/1.515</t>
  </si>
  <si>
    <t>2015-1-20 15:56:22.76: Algorithm - getPortfolioForwardDelta - required deltas is 100 currentHedgePosition is 100</t>
  </si>
  <si>
    <t>2015-1-20 15:56:22.76: Algorithm - getHedgeShortfall - required deltas is 100 price is 1.51835 currentHedgePositionDeltas is 100</t>
  </si>
  <si>
    <t>2015-1-20 15:56:22.77: Algorithm - processTransitionPoint - nextUpper/LowerStrikes are 1.52/1.515 requiredDeltas/currentPosition/currentHedgeShortfall/direction/transitionPrice are 100/100/0/1/1.51835</t>
  </si>
  <si>
    <t>2015-1-20 15:56:22.77: TransitionLogger - processTransitionpoint - checking transition - currentHedgeShortfall is 0</t>
  </si>
  <si>
    <t>2015-1-20 15:56:22.78: Algorithm - updatePortfolio - haveAllDetails is True</t>
  </si>
  <si>
    <t>2015-1-20 15:56:22.79: RTWSControl - updatePortfolioEx - An Error Occured Object variable or With block variable not set</t>
  </si>
  <si>
    <t>2015-1-20 15:56:22.134: Algorithm - FindNextStrikes - price is 1.51825 nextStrikeUp/Down 1.52/1.515</t>
  </si>
  <si>
    <t>2015-1-20 15:56:22.135: Algorithm - getPortfolioForwardDelta - required deltas is 100 currentHedgePosition is 100</t>
  </si>
  <si>
    <t>2015-1-20 15:56:22.135: Algorithm - getHedgeShortfall - required deltas is 100 price is 1.51835 currentHedgePositionDeltas is 100</t>
  </si>
  <si>
    <t>2015-1-20 15:56:22.136: Algorithm - processTransitionPoint - nextUpper/LowerStrikes are 1.52/1.515 requiredDeltas/currentPosition/currentHedgeShortfall/direction/transitionPrice are 100/100/0/1/1.51835</t>
  </si>
  <si>
    <t>2015-1-20 15:56:22.136: TransitionLogger - processTransitionpoint - checking transition - currentHedgeShortfall is 0</t>
  </si>
  <si>
    <t>2015-1-20 15:56:22.137: Algorithm - updatePortfolio - haveAllDetails is True</t>
  </si>
  <si>
    <t>2015-1-20 15:56:22.138: RTWSControl - updatePortfolioEx - An Error Occured Object variable or With block variable not set</t>
  </si>
  <si>
    <t>2015-1-20 15:56:26.453: DirectionIndicator - notify - price/longMA/ShortMA/prevDirection are 1.5182/1.51820643843568/1.51821522558118/1</t>
  </si>
  <si>
    <t>2015-1-20 15:56:29.473: TransitionLogger - flushFile - flushing file</t>
  </si>
  <si>
    <t>2015-1-20 15:56:29.475: TransitionLogger - openTransitionFile - opening file C:\temp\transitionlog_2015-01-20_153021</t>
  </si>
  <si>
    <t>2015-1-20 15:56:30.764: DirectionIndicator - notify - price/longMA/ShortMA/prevDirection are 1.51815/1.51819617690192/1.51819348372079/1</t>
  </si>
  <si>
    <t>2015-1-20 15:56:30.872: DirectionIndicator - notify - price/longMA/ShortMA/prevDirection are 1.5182/1.51819687201066/1.51819565581386/1</t>
  </si>
  <si>
    <t>2015-1-20 15:56:30.941: DirectionIndicator - notify - price/longMA/ShortMA/prevDirection are 1.51825/1.51820653164508/1.51821377054257/1</t>
  </si>
  <si>
    <t>2015-1-20 15:56:32.830: DirectionIndicator - notify - price/longMA/ShortMA/prevDirection are 1.5182/1.51820534407325/1.51820918036172/1</t>
  </si>
  <si>
    <t>2015-1-20 15:56:56.801: DirectionIndicator - notify - price/longMA/ShortMA/prevDirection are 1.51815/1.51819528151448/1.51818945357448/1</t>
  </si>
  <si>
    <t>2015-1-20 15:56:57.704: DirectionIndicator - notify - price/longMA/ShortMA/prevDirection are 1.5182/1.51819613942094/1.51819296904965/1</t>
  </si>
  <si>
    <t>2015-1-20 15:56:57.827: DirectionIndicator - notify - price/longMA/ShortMA/prevDirection are 1.51825/1.51820593225349/1.51821197936643/1</t>
  </si>
  <si>
    <t>2015-1-20 15:57:3.406: DirectionIndicator - notify - price/longMA/ShortMA/prevDirection are 1.5182/1.51820485366195/1.51820798624429/1</t>
  </si>
  <si>
    <t>2015-1-20 15:57:3.572: DirectionIndicator - notify - price/longMA/ShortMA/prevDirection are 1.51825/1.51821306208705/1.51822199082953/1</t>
  </si>
  <si>
    <t>2015-1-20 15:57:6.122: TransitionLogger - flushFile - flushing file</t>
  </si>
  <si>
    <t>2015-1-20 15:57:6.122: TransitionLogger - openTransitionFile - opening file C:\temp\transitionlog_2015-01-20_153021</t>
  </si>
  <si>
    <t>2015-1-20 15:57:10.449: DirectionIndicator - notify - price/longMA/ShortMA/prevDirection are 1.5182/1.51821068716213/1.51821466055302/1</t>
  </si>
  <si>
    <t>2015-1-20 15:57:12.992: DirectionIndicator - notify - price/longMA/ShortMA/prevDirection are 1.51825/1.51821783495083/1.51822644036868/1</t>
  </si>
  <si>
    <t>2015-1-20 15:57:29.61: TransitionLogger - flushFile - flushing file</t>
  </si>
  <si>
    <t>2015-1-20 15:57:29.62: TransitionLogger - openTransitionFile - opening file C:\temp\transitionlog_2015-01-20_153021</t>
  </si>
  <si>
    <t>2015-1-20 15:57:30.387: DirectionIndicator - notify - price/longMA/ShortMA/prevDirection are 1.5182/1.5182145922325/1.51821762691245/1</t>
  </si>
  <si>
    <t>2015-1-20 15:57:30.663: DirectionIndicator - notify - price/longMA/ShortMA/prevDirection are 1.51815/1.51820284819023/1.5181950846083/1</t>
  </si>
  <si>
    <t>2015-1-20 15:57:32.108: DirectionIndicator - notify - price/longMA/ShortMA/prevDirection are 1.5182/1.51820233033746/1.5181967230722/1</t>
  </si>
  <si>
    <t>2015-1-20 15:57:34.621: DirectionIndicator - notify - price/longMA/ShortMA/prevDirection are 1.51815/1.51819281573065/1.5181811487148/1</t>
  </si>
  <si>
    <t>2015-1-20 15:57:52.368: DirectionIndicator - notify - price/longMA/ShortMA/prevDirection are 1.5181/1.51817594014326/1.5181540991432/1</t>
  </si>
  <si>
    <t>2015-1-20 15:57:53.25: DirectionIndicator - notify - price/longMA/ShortMA/prevDirection are 1.51815/1.51817122375357/1.51815273276213/-1</t>
  </si>
  <si>
    <t>2015-1-20 15:57:53.951: DirectionIndicator - notify - price/longMA/ShortMA/prevDirection are 1.5181/1.5181582739802/1.51813515517476/-1</t>
  </si>
  <si>
    <t>2015-1-20 15:57:54.76: DirectionIndicator - notify - price/longMA/ShortMA/prevDirection are 1.51805/1.51813858780198/1.5181067701165/-1</t>
  </si>
  <si>
    <t>2015-1-20 15:57:59.787: Algorithm - FindNextStrikes - price is 1.51805 nextStrikeUp/Down 1.52/1.515</t>
  </si>
  <si>
    <t>2015-1-20 15:57:59.787: Algorithm - getPortfolioForwardDelta - required deltas is 100 currentHedgePosition is 100</t>
  </si>
  <si>
    <t>2015-1-20 15:57:59.788: Algorithm - getHedgeShortfall - required deltas is 100 price is 1.51795 currentHedgePositionDeltas is 100</t>
  </si>
  <si>
    <t>2015-1-20 15:57:59.788: Algorithm - processTransitionPoint - nextUpper/LowerStrikes are 1.52/1.515 requiredDeltas/currentPosition/currentHedgeShortfall/direction/transitionPrice are 100/100/0/-1/1.51795</t>
  </si>
  <si>
    <t>2015-1-20 15:57:59.789: TransitionLogger - processTransitionpoint - checking transition - currentHedgeShortfall is 0</t>
  </si>
  <si>
    <t>2015-1-20 15:57:59.790: Algorithm - updatePortfolio - haveAllDetails is True</t>
  </si>
  <si>
    <t>2015-1-20 15:57:59.791: RTWSControl - updatePortfolioEx - An Error Occured Object variable or With block variable not set</t>
  </si>
  <si>
    <t>2015-1-20 15:57:59.835: Algorithm - FindNextStrikes - price is 1.51805 nextStrikeUp/Down 1.52/1.515</t>
  </si>
  <si>
    <t>2015-1-20 15:57:59.835: Algorithm - getPortfolioForwardDelta - required deltas is 100 currentHedgePosition is 100</t>
  </si>
  <si>
    <t>2015-1-20 15:57:59.836: Algorithm - getHedgeShortfall - required deltas is 100 price is 1.51795 currentHedgePositionDeltas is 100</t>
  </si>
  <si>
    <t>2015-1-20 15:57:59.836: Algorithm - processTransitionPoint - nextUpper/LowerStrikes are 1.52/1.515 requiredDeltas/currentPosition/currentHedgeShortfall/direction/transitionPrice are 100/100/0/-1/1.51795</t>
  </si>
  <si>
    <t>2015-1-20 15:57:59.837: TransitionLogger - processTransitionpoint - checking transition - currentHedgeShortfall is 0</t>
  </si>
  <si>
    <t>2015-1-20 15:57:59.838: Algorithm - updatePortfolio - haveAllDetails is True</t>
  </si>
  <si>
    <t>2015-1-20 15:57:59.839: RTWSControl - updatePortfolioEx - An Error Occured Object variable or With block variable not set</t>
  </si>
  <si>
    <t>2015-1-20 15:57:59.882: Algorithm - FindNextStrikes - price is 1.51805 nextStrikeUp/Down 1.52/1.515</t>
  </si>
  <si>
    <t>2015-1-20 15:57:59.883: Algorithm - getPortfolioForwardDelta - required deltas is 100 currentHedgePosition is 100</t>
  </si>
  <si>
    <t>2015-1-20 15:57:59.883: Algorithm - getHedgeShortfall - required deltas is 100 price is 1.51795 currentHedgePositionDeltas is 100</t>
  </si>
  <si>
    <t>2015-1-20 15:57:59.883: Algorithm - processTransitionPoint - nextUpper/LowerStrikes are 1.52/1.515 requiredDeltas/currentPosition/currentHedgeShortfall/direction/transitionPrice are 100/100/0/-1/1.51795</t>
  </si>
  <si>
    <t>2015-1-20 15:57:59.884: TransitionLogger - processTransitionpoint - checking transition - currentHedgeShortfall is 0</t>
  </si>
  <si>
    <t>2015-1-20 15:57:59.885: Algorithm - updatePortfolio - haveAllDetails is True</t>
  </si>
  <si>
    <t>2015-1-20 15:57:59.886: RTWSControl - updatePortfolioEx - An Error Occured Object variable or With block variable not set</t>
  </si>
  <si>
    <t>2015-1-20 15:57:59.955: Algorithm - FindNextStrikes - price is 1.51805 nextStrikeUp/Down 1.52/1.515</t>
  </si>
  <si>
    <t>2015-1-20 15:57:59.956: Algorithm - getPortfolioForwardDelta - required deltas is 100 currentHedgePosition is 100</t>
  </si>
  <si>
    <t>2015-1-20 15:57:59.956: Algorithm - getHedgeShortfall - required deltas is 100 price is 1.51795 currentHedgePositionDeltas is 100</t>
  </si>
  <si>
    <t>2015-1-20 15:57:59.957: Algorithm - processTransitionPoint - nextUpper/LowerStrikes are 1.52/1.515 requiredDeltas/currentPosition/currentHedgeShortfall/direction/transitionPrice are 100/100/0/-1/1.51795</t>
  </si>
  <si>
    <t>2015-1-20 15:57:59.957: TransitionLogger - processTransitionpoint - checking transition - currentHedgeShortfall is 0</t>
  </si>
  <si>
    <t>2015-1-20 15:57:59.958: Algorithm - updatePortfolio - haveAllDetails is True</t>
  </si>
  <si>
    <t>2015-1-20 15:57:59.959: RTWSControl - updatePortfolioEx - An Error Occured Object variable or With block variable not set</t>
  </si>
  <si>
    <t>2015-1-20 15:58:0.15: Algorithm - FindNextStrikes - price is 1.51805 nextStrikeUp/Down 1.52/1.515</t>
  </si>
  <si>
    <t>2015-1-20 15:58:0.15: Algorithm - getPortfolioForwardDelta - required deltas is 100 currentHedgePosition is 100</t>
  </si>
  <si>
    <t>2015-1-20 15:58:0.16: Algorithm - getHedgeShortfall - required deltas is 100 price is 1.51795 currentHedgePositionDeltas is 100</t>
  </si>
  <si>
    <t>2015-1-20 15:58:0.16: Algorithm - processTransitionPoint - nextUpper/LowerStrikes are 1.52/1.515 requiredDeltas/currentPosition/currentHedgeShortfall/direction/transitionPrice are 100/100/0/-1/1.51795</t>
  </si>
  <si>
    <t>2015-1-20 15:58:0.17: TransitionLogger - processTransitionpoint - checking transition - currentHedgeShortfall is 0</t>
  </si>
  <si>
    <t>2015-1-20 15:58:0.17: Algorithm - updatePortfolio - haveAllDetails is True</t>
  </si>
  <si>
    <t>2015-1-20 15:58:0.19: RTWSControl - updatePortfolioEx - An Error Occured Object variable or With block variable not set</t>
  </si>
  <si>
    <t>2015-1-20 15:58:0.82: Algorithm - FindNextStrikes - price is 1.51805 nextStrikeUp/Down 1.52/1.515</t>
  </si>
  <si>
    <t>2015-1-20 15:58:0.82: Algorithm - getPortfolioForwardDelta - required deltas is 100 currentHedgePosition is 100</t>
  </si>
  <si>
    <t>2015-1-20 15:58:0.83: Algorithm - getHedgeShortfall - required deltas is 100 price is 1.51795 currentHedgePositionDeltas is 100</t>
  </si>
  <si>
    <t>2015-1-20 15:58:0.83: Algorithm - processTransitionPoint - nextUpper/LowerStrikes are 1.52/1.515 requiredDeltas/currentPosition/currentHedgeShortfall/direction/transitionPrice are 100/100/0/-1/1.51795</t>
  </si>
  <si>
    <t>2015-1-20 15:58:0.84: TransitionLogger - processTransitionpoint - checking transition - currentHedgeShortfall is 0</t>
  </si>
  <si>
    <t>2015-1-20 15:58:0.85: Algorithm - updatePortfolio - haveAllDetails is True</t>
  </si>
  <si>
    <t>2015-1-20 15:58:0.86: RTWSControl - updatePortfolioEx - An Error Occured Object variable or With block variable not set</t>
  </si>
  <si>
    <t>2015-1-20 15:58:0.794: DirectionIndicator - notify - price/longMA/ShortMA/prevDirection are 1.5181/1.51813157183798/1.518104513411/-1</t>
  </si>
  <si>
    <t>2015-1-20 15:58:0.920: DirectionIndicator - notify - price/longMA/ShortMA/prevDirection are 1.51815/1.5181349224129/1.51811967560733/-1</t>
  </si>
  <si>
    <t>2015-1-20 15:58:6.32: DirectionIndicator - notify - price/longMA/ShortMA/prevDirection are 1.5182/1.51814675470146/1.51814645040489/-1</t>
  </si>
  <si>
    <t>2015-1-20 15:58:6.48: TransitionLogger - flushFile - flushing file</t>
  </si>
  <si>
    <t>2015-1-20 15:58:6.49: TransitionLogger - openTransitionFile - opening file C:\temp\transitionlog_2015-01-20_153021</t>
  </si>
  <si>
    <t>2015-1-20 15:58:6.620: DirectionIndicator - notify - price/longMA/ShortMA/prevDirection are 1.51815/1.51814734475574/1.51814763360326/-1</t>
  </si>
  <si>
    <t>2015-1-20 15:58:8.680: DirectionIndicator - notify - price/longMA/ShortMA/prevDirection are 1.5181/1.51813873661833/1.51813175573551/-1</t>
  </si>
  <si>
    <t>2015-1-20 15:58:9.761: DirectionIndicator - notify - price/longMA/ShortMA/prevDirection are 1.51815/1.51814078450591/1.518137837157/-1</t>
  </si>
  <si>
    <t>2015-1-20 15:58:10.168: DirectionIndicator - notify - price/longMA/ShortMA/prevDirection are 1.5181/1.5181333691412/1.51812522477134/-1</t>
  </si>
  <si>
    <t>2015-1-20 15:58:10.239: DirectionIndicator - notify - price/longMA/ShortMA/prevDirection are 1.51805/1.51811821111553/1.51810014984756/-1</t>
  </si>
  <si>
    <t>2015-1-20 15:58:26.491: DirectionIndicator - notify - price/longMA/ShortMA/prevDirection are 1.518/1.51809671818543/1.51806676656504/-1</t>
  </si>
  <si>
    <t>2015-1-20 15:58:26.912: DirectionIndicator - notify - price/longMA/ShortMA/prevDirection are 1.51795/1.51807004215172/1.51802784437669/-1</t>
  </si>
  <si>
    <t>2015-1-20 15:58:29.47: TransitionLogger - flushFile - flushing file</t>
  </si>
  <si>
    <t>2015-1-20 15:58:29.47: TransitionLogger - openTransitionFile - opening file C:\temp\transitionlog_2015-01-20_153021</t>
  </si>
  <si>
    <t>2015-1-20 15:58:33.824: DirectionIndicator - notify - price/longMA/ShortMA/prevDirection are 1.5179/1.51803912539686/1.51798522958446/-1</t>
  </si>
  <si>
    <t>2015-1-20 15:58:33.909: DirectionIndicator - notify - price/longMA/ShortMA/prevDirection are 1.51785/1.51800473896107/1.51794015305631/-1</t>
  </si>
  <si>
    <t>2015-1-20 15:58:34.287: DirectionIndicator - notify - price/longMA/ShortMA/prevDirection are 1.5179/1.5179856955136/1.51792676870421/-1</t>
  </si>
  <si>
    <t>2015-1-20 15:58:34.334: DirectionIndicator - notify - price/longMA/ShortMA/prevDirection are 1.51795/1.51797920542022/1.51793451246947/-1</t>
  </si>
  <si>
    <t>2015-1-20 15:58:34.625: DirectionIndicator - notify - price/longMA/ShortMA/prevDirection are 1.5179/1.51796480443472/1.51792300831298/-1</t>
  </si>
  <si>
    <t>2015-1-20 15:58:34.745: DirectionIndicator - notify - price/longMA/ShortMA/prevDirection are 1.51795/1.51796211271932/1.51793200554199/-1</t>
  </si>
  <si>
    <t>2015-1-20 15:58:35.219: DirectionIndicator - notify - price/longMA/ShortMA/prevDirection are 1.5179/1.51795081949762/1.51792133702799/-1</t>
  </si>
  <si>
    <t>2015-1-20 15:58:36.80: DirectionIndicator - notify - price/longMA/ShortMA/prevDirection are 1.51795/1.51795067049806/1.51793089135199/-1</t>
  </si>
  <si>
    <t>2015-1-20 15:58:38.238: DirectionIndicator - notify - price/longMA/ShortMA/prevDirection are 1.5179/1.51794145768023/1.51792059423466/-1</t>
  </si>
  <si>
    <t>2015-1-20 15:58:38.795: DirectionIndicator - notify - price/longMA/ShortMA/prevDirection are 1.51785/1.5179248290111/1.51789706282311/-1</t>
  </si>
  <si>
    <t>2015-1-20 15:58:39.169: DirectionIndicator - notify - price/longMA/ShortMA/prevDirection are 1.5179/1.51792031464544/1.51789804188207/-1</t>
  </si>
  <si>
    <t>2015-1-20 15:58:39.241: DirectionIndicator - notify - price/longMA/ShortMA/prevDirection are 1.51795/1.51792571198263/1.51791536125471/-1</t>
  </si>
  <si>
    <t>2015-1-20 15:58:42.466: DirectionIndicator - notify - price/longMA/ShortMA/prevDirection are 1.5179/1.5179210370767/1.51791024083648/-1</t>
  </si>
  <si>
    <t>2015-1-20 15:58:42.676: DirectionIndicator - notify - price/longMA/ShortMA/prevDirection are 1.51795/1.51792630306276/1.51792349389098/-1</t>
  </si>
  <si>
    <t>2015-1-20 15:58:43.144: DirectionIndicator - notify - price/longMA/ShortMA/prevDirection are 1.5179/1.51792152068771/1.51791566259399/-1</t>
  </si>
  <si>
    <t>2015-1-20 15:58:43.514: DirectionIndicator - notify - price/longMA/ShortMA/prevDirection are 1.51795/1.51792669874449/1.51792710839599/-1</t>
  </si>
  <si>
    <t>2015-1-20 15:58:44.36: DirectionIndicator - notify - price/longMA/ShortMA/prevDirection are 1.5179/1.51792184442731/1.517918072264/-1</t>
  </si>
  <si>
    <t>2015-1-20 15:58:44.918: DirectionIndicator - notify - price/longMA/ShortMA/prevDirection are 1.51795/1.51792696362234/1.51792871484266/-1</t>
  </si>
  <si>
    <t>2015-1-20 15:58:45.562: DirectionIndicator - notify - price/longMA/ShortMA/prevDirection are 1.5179/1.51792206114555/1.51791914322844/-1</t>
  </si>
  <si>
    <t>2015-1-20 15:58:46.218: DirectionIndicator - notify - price/longMA/ShortMA/prevDirection are 1.51795/1.51792714093727/1.51792942881896/-1</t>
  </si>
  <si>
    <t>2015-1-20 15:58:52.755: DirectionIndicator - notify - price/longMA/ShortMA/prevDirection are 1.5179/1.5179222062214/1.51791961921264/-1</t>
  </si>
  <si>
    <t>2015-1-20 15:58:54.382: DirectionIndicator - notify - price/longMA/ShortMA/prevDirection are 1.51795/1.51792725963569/1.51792974614176/-1</t>
  </si>
  <si>
    <t>2015-1-20 15:59:2.868: DirectionIndicator - notify - price/longMA/ShortMA/prevDirection are 1.518/1.51794048515648/1.51795316409451/-1</t>
  </si>
  <si>
    <t>2015-1-20 15:59:4.23: DirectionIndicator - notify - price/longMA/ShortMA/prevDirection are 1.51805/1.51796039694621/1.51798544272967/-1</t>
  </si>
  <si>
    <t>2015-1-20 15:59:4.663: DirectionIndicator - notify - price/longMA/ShortMA/prevDirection are 1.5181/1.51798577931963/1.51802362848645/1</t>
  </si>
  <si>
    <t>2015-1-20 15:59:4.742: DirectionIndicator - notify - price/longMA/ShortMA/prevDirection are 1.51815/1.51801563762515/1.5180657523243/1</t>
  </si>
  <si>
    <t>2015-1-20 15:59:5.493: DirectionIndicator - notify - price/longMA/ShortMA/prevDirection are 1.5181/1.51803097623876/1.5180771682162/1</t>
  </si>
  <si>
    <t>2015-1-20 15:59:5.548: DirectionIndicator - notify - price/longMA/ShortMA/prevDirection are 1.51805/1.51803443510444/1.51806811214413/1</t>
  </si>
  <si>
    <t>2015-1-20 15:59:6.43: TransitionLogger - flushFile - flushing file</t>
  </si>
  <si>
    <t>2015-1-20 15:59:6.44: TransitionLogger - openTransitionFile - opening file C:\temp\transitionlog_2015-01-20_153021</t>
  </si>
  <si>
    <t>2015-1-20 15:59:6.170: DirectionIndicator - notify - price/longMA/ShortMA/prevDirection are 1.5181/1.51804635599454/1.51807874142942/1</t>
  </si>
  <si>
    <t>2015-1-20 15:59:6.334: DirectionIndicator - notify - price/longMA/ShortMA/prevDirection are 1.51805/1.51804701854099/1.51806916095295/1</t>
  </si>
  <si>
    <t>2015-1-20 15:59:6.747: DirectionIndicator - notify - price/longMA/ShortMA/prevDirection are 1.5181/1.51805665153354/1.5180794406353/1</t>
  </si>
  <si>
    <t>2015-1-20 15:59:7.502: DirectionIndicator - notify - price/longMA/ShortMA/prevDirection are 1.51805/1.5180554421638/1.5180696270902/1</t>
  </si>
  <si>
    <t>2015-1-20 15:59:7.617: DirectionIndicator - notify - price/longMA/ShortMA/prevDirection are 1.5181/1.51806354358856/1.51807975139347/1</t>
  </si>
  <si>
    <t>2015-1-20 15:59:7.702: DirectionIndicator - notify - price/longMA/ShortMA/prevDirection are 1.51805/1.51806108111792/1.51806983426231/1</t>
  </si>
  <si>
    <t>2015-1-20 15:59:7.913: DirectionIndicator - notify - price/longMA/ShortMA/prevDirection are 1.5181/1.5180681572783/1.51807988950821/1</t>
  </si>
  <si>
    <t>2015-1-20 15:59:7.994: DirectionIndicator - notify - price/longMA/ShortMA/prevDirection are 1.51815/1.51808303777315/1.51810325967214/1</t>
  </si>
  <si>
    <t>2015-1-20 15:59:10.253: DirectionIndicator - notify - price/longMA/ShortMA/prevDirection are 1.5182/1.51810430363258/1.51813550644809/1</t>
  </si>
  <si>
    <t>2015-1-20 15:59:10.326: DirectionIndicator - notify - price/longMA/ShortMA/prevDirection are 1.51825/1.5181307938812/1.51817367096539/1</t>
  </si>
  <si>
    <t>2015-1-20 15:59:11.130: DirectionIndicator - notify - price/longMA/ShortMA/prevDirection are 1.5182/1.51814337681189/1.51818244731026/1</t>
  </si>
  <si>
    <t>2015-1-20 15:59:11.303: DirectionIndicator - notify - price/longMA/ShortMA/prevDirection are 1.51815/1.51814458102791/1.51817163154018/1</t>
  </si>
  <si>
    <t>2015-1-20 15:59:11.666: DirectionIndicator - notify - price/longMA/ShortMA/prevDirection are 1.5182/1.51815465720465/1.51818108769345/1</t>
  </si>
  <si>
    <t>2015-1-20 15:59:11.957: DirectionIndicator - notify - price/longMA/ShortMA/prevDirection are 1.51815/1.51815381044017/1.51817072512897/1</t>
  </si>
  <si>
    <t>2015-1-20 15:59:13.337: DirectionIndicator - notify - price/longMA/ShortMA/prevDirection are 1.5182/1.51816220854196/1.51818048341931/1</t>
  </si>
  <si>
    <t>2015-1-20 15:59:13.411: DirectionIndicator - notify - price/longMA/ShortMA/prevDirection are 1.51825/1.51817817062524/1.51820365561287/1</t>
  </si>
  <si>
    <t>2015-1-20 15:59:15.499: DirectionIndicator - notify - price/longMA/ShortMA/prevDirection are 1.5183/1.51820032142065/1.51823577040858/1</t>
  </si>
  <si>
    <t>2015-1-20 15:59:15.577: DirectionIndicator - notify - price/longMA/ShortMA/prevDirection are 1.51835/1.5182275357078/1.51827384693906/1</t>
  </si>
  <si>
    <t>2015-1-20 15:59:16.2: DirectionIndicator - notify - price/longMA/ShortMA/prevDirection are 1.5183/1.51824071103366/1.51828256462604/1</t>
  </si>
  <si>
    <t>2015-1-20 15:59:17.125: DirectionIndicator - notify - price/longMA/ShortMA/prevDirection are 1.51825/1.51824239993663/1.51827170975069/1</t>
  </si>
  <si>
    <t>2015-1-20 15:59:17.330: DirectionIndicator - notify - price/longMA/ShortMA/prevDirection are 1.51835/1.51826196358451/1.51829780650046/1</t>
  </si>
  <si>
    <t>2015-1-20 15:59:17.413: DirectionIndicator - notify - price/longMA/ShortMA/prevDirection are 1.51845/1.51829615202369/1.51834853766697/1</t>
  </si>
  <si>
    <t>2015-1-20 15:59:17.885: DirectionIndicator - notify - price/longMA/ShortMA/prevDirection are 1.5184/1.51831503347393/1.51836569177798/1</t>
  </si>
  <si>
    <t>2015-1-20 15:59:18.705: DirectionIndicator - notify - price/longMA/ShortMA/prevDirection are 1.51835/1.51832139102413/1.51836046118532/1</t>
  </si>
  <si>
    <t>2015-1-20 15:59:21.961: Algorithm - FindNextStrikes - price is 1.51835 nextStrikeUp/Down 1.52/1.515</t>
  </si>
  <si>
    <t>2015-1-20 15:59:21.961: Algorithm - getPortfolioForwardDelta - required deltas is 100 currentHedgePosition is 100</t>
  </si>
  <si>
    <t>2015-1-20 15:59:21.962: Algorithm - getHedgeShortfall - required deltas is 100 price is 1.51845 currentHedgePositionDeltas is 100</t>
  </si>
  <si>
    <t>2015-1-20 15:59:21.962: Algorithm - processTransitionPoint - nextUpper/LowerStrikes are 1.52/1.515 requiredDeltas/currentPosition/currentHedgeShortfall/direction/transitionPrice are 100/100/0/1/1.51845</t>
  </si>
  <si>
    <t>2015-1-20 15:59:21.962: TransitionLogger - processTransitionpoint - checking transition - currentHedgeShortfall is 0</t>
  </si>
  <si>
    <t>2015-1-20 15:59:21.963: Algorithm - updatePortfolio - haveAllDetails is True</t>
  </si>
  <si>
    <t>2015-1-20 15:59:21.964: RTWSControl - updatePortfolioEx - An Error Occured Object variable or With block variable not set</t>
  </si>
  <si>
    <t>2015-1-20 15:59:22.6: Algorithm - FindNextStrikes - price is 1.51835 nextStrikeUp/Down 1.52/1.515</t>
  </si>
  <si>
    <t>2015-1-20 15:59:22.6: Algorithm - getPortfolioForwardDelta - required deltas is 100 currentHedgePosition is 100</t>
  </si>
  <si>
    <t>2015-1-20 15:59:22.7: Algorithm - getHedgeShortfall - required deltas is 100 price is 1.51845 currentHedgePositionDeltas is 100</t>
  </si>
  <si>
    <t>2015-1-20 15:59:22.8: Algorithm - processTransitionPoint - nextUpper/LowerStrikes are 1.52/1.515 requiredDeltas/currentPosition/currentHedgeShortfall/direction/transitionPrice are 100/100/0/1/1.51845</t>
  </si>
  <si>
    <t>2015-1-20 15:59:22.8: TransitionLogger - processTransitionpoint - checking transition - currentHedgeShortfall is 0</t>
  </si>
  <si>
    <t>2015-1-20 15:59:22.9: Algorithm - updatePortfolio - haveAllDetails is True</t>
  </si>
  <si>
    <t>2015-1-20 15:59:22.10: RTWSControl - updatePortfolioEx - An Error Occured Object variable or With block variable not set</t>
  </si>
  <si>
    <t>2015-1-20 15:59:22.52: Algorithm - FindNextStrikes - price is 1.51835 nextStrikeUp/Down 1.52/1.515</t>
  </si>
  <si>
    <t>2015-1-20 15:59:22.52: Algorithm - getPortfolioForwardDelta - required deltas is 100 currentHedgePosition is 100</t>
  </si>
  <si>
    <t>2015-1-20 15:59:22.53: Algorithm - getHedgeShortfall - required deltas is 100 price is 1.51845 currentHedgePositionDeltas is 100</t>
  </si>
  <si>
    <t>2015-1-20 15:59:22.53: Algorithm - processTransitionPoint - nextUpper/LowerStrikes are 1.52/1.515 requiredDeltas/currentPosition/currentHedgeShortfall/direction/transitionPrice are 100/100/0/1/1.51845</t>
  </si>
  <si>
    <t>2015-1-20 15:59:22.53: TransitionLogger - processTransitionpoint - checking transition - currentHedgeShortfall is 0</t>
  </si>
  <si>
    <t>2015-1-20 15:59:22.54: Algorithm - updatePortfolio - haveAllDetails is True</t>
  </si>
  <si>
    <t>2015-1-20 15:59:22.56: RTWSControl - updatePortfolioEx - An Error Occured Object variable or With block variable not set</t>
  </si>
  <si>
    <t>2015-1-20 15:59:22.127: Algorithm - FindNextStrikes - price is 1.51835 nextStrikeUp/Down 1.52/1.515</t>
  </si>
  <si>
    <t>2015-1-20 15:59:22.127: Algorithm - getPortfolioForwardDelta - required deltas is 100 currentHedgePosition is 100</t>
  </si>
  <si>
    <t>2015-1-20 15:59:22.128: Algorithm - getHedgeShortfall - required deltas is 100 price is 1.51845 currentHedgePositionDeltas is 100</t>
  </si>
  <si>
    <t>2015-1-20 15:59:22.128: Algorithm - processTransitionPoint - nextUpper/LowerStrikes are 1.52/1.515 requiredDeltas/currentPosition/currentHedgeShortfall/direction/transitionPrice are 100/100/0/1/1.51845</t>
  </si>
  <si>
    <t>2015-1-20 15:59:22.129: TransitionLogger - processTransitionpoint - checking transition - currentHedgeShortfall is 0</t>
  </si>
  <si>
    <t>2015-1-20 15:59:22.130: Algorithm - updatePortfolio - haveAllDetails is True</t>
  </si>
  <si>
    <t>2015-1-20 15:59:22.131: RTWSControl - updatePortfolioEx - An Error Occured Object variable or With block variable not set</t>
  </si>
  <si>
    <t>2015-1-20 15:59:22.187: Algorithm - FindNextStrikes - price is 1.51835 nextStrikeUp/Down 1.52/1.515</t>
  </si>
  <si>
    <t>2015-1-20 15:59:22.188: Algorithm - getPortfolioForwardDelta - required deltas is 100 currentHedgePosition is 100</t>
  </si>
  <si>
    <t>2015-1-20 15:59:22.188: Algorithm - getHedgeShortfall - required deltas is 100 price is 1.51845 currentHedgePositionDeltas is 100</t>
  </si>
  <si>
    <t>2015-1-20 15:59:22.188: Algorithm - processTransitionPoint - nextUpper/LowerStrikes are 1.52/1.515 requiredDeltas/currentPosition/currentHedgeShortfall/direction/transitionPrice are 100/100/0/1/1.51845</t>
  </si>
  <si>
    <t>2015-1-20 15:59:22.189: TransitionLogger - processTransitionpoint - checking transition - currentHedgeShortfall is 0</t>
  </si>
  <si>
    <t>2015-1-20 15:59:22.190: Algorithm - updatePortfolio - haveAllDetails is True</t>
  </si>
  <si>
    <t>2015-1-20 15:59:22.191: RTWSControl - updatePortfolioEx - An Error Occured Object variable or With block variable not set</t>
  </si>
  <si>
    <t>2015-1-20 15:59:22.252: Algorithm - FindNextStrikes - price is 1.51835 nextStrikeUp/Down 1.52/1.515</t>
  </si>
  <si>
    <t>2015-1-20 15:59:22.253: Algorithm - getPortfolioForwardDelta - required deltas is 100 currentHedgePosition is 100</t>
  </si>
  <si>
    <t>2015-1-20 15:59:22.253: Algorithm - getHedgeShortfall - required deltas is 100 price is 1.51845 currentHedgePositionDeltas is 100</t>
  </si>
  <si>
    <t>2015-1-20 15:59:22.254: Algorithm - processTransitionPoint - nextUpper/LowerStrikes are 1.52/1.515 requiredDeltas/currentPosition/currentHedgeShortfall/direction/transitionPrice are 100/100/0/1/1.51845</t>
  </si>
  <si>
    <t>2015-1-20 15:59:22.254: TransitionLogger - processTransitionpoint - checking transition - currentHedgeShortfall is 0</t>
  </si>
  <si>
    <t>2015-1-20 15:59:22.255: Algorithm - updatePortfolio - haveAllDetails is True</t>
  </si>
  <si>
    <t>2015-1-20 15:59:22.256: RTWSControl - updatePortfolioEx - An Error Occured Object variable or With block variable not set</t>
  </si>
  <si>
    <t>2015-1-20 15:59:22.744: DirectionIndicator - notify - price/longMA/ShortMA/prevDirection are 1.5184/1.51833568356519/1.51837364079021/1</t>
  </si>
  <si>
    <t>2015-1-20 15:59:22.797: DirectionIndicator - notify - price/longMA/ShortMA/prevDirection are 1.5185/1.51836555928061/1.51841576052681/1</t>
  </si>
  <si>
    <t>2015-1-20 15:59:23.418: DirectionIndicator - notify - price/longMA/ShortMA/prevDirection are 1.51845/1.51838091213868/1.51842717368454/1</t>
  </si>
  <si>
    <t>2015-1-20 15:59:23.920: DirectionIndicator - notify - price/longMA/ShortMA/prevDirection are 1.5184/1.51838438265892/1.51841811578969/1</t>
  </si>
  <si>
    <t>2015-1-20 15:59:23.995: DirectionIndicator - notify - price/longMA/ShortMA/prevDirection are 1.51835/1.51837813126639/1.51839541052646/1</t>
  </si>
  <si>
    <t>2015-1-20 15:59:24.915: DirectionIndicator - notify - price/longMA/ShortMA/prevDirection are 1.5183/1.51836392558159/1.51836360701764/1</t>
  </si>
  <si>
    <t>2015-1-20 15:59:24.995: DirectionIndicator - notify - price/longMA/ShortMA/prevDirection are 1.51825/1.51834321183949/1.51832573801176/1</t>
  </si>
  <si>
    <t>2015-1-20 15:59:25.581: DirectionIndicator - notify - price/longMA/ShortMA/prevDirection are 1.5183/1.5183353551414/1.51831715867451/1</t>
  </si>
  <si>
    <t>2015-1-20 15:59:25.660: DirectionIndicator - notify - price/longMA/ShortMA/prevDirection are 1.51835/1.51833801784296/1.518328105783/1</t>
  </si>
  <si>
    <t>2015-1-20 15:59:25.791: DirectionIndicator - notify - price/longMA/ShortMA/prevDirection are 1.5183/1.51833110550788/1.51831873718867/1</t>
  </si>
  <si>
    <t>2015-1-20 15:59:25.870: DirectionIndicator - notify - price/longMA/ShortMA/prevDirection are 1.51825/1.5183163590519/1.51829582479245/1</t>
  </si>
  <si>
    <t>2015-1-20 15:59:26.458: DirectionIndicator - notify - price/longMA/ShortMA/prevDirection are 1.5183/1.51831338467883/1.5182972165283/-1</t>
  </si>
  <si>
    <t>2015-1-20 15:59:26.539: DirectionIndicator - notify - price/longMA/ShortMA/prevDirection are 1.5184/1.51832913291904/1.51833147768553/-1</t>
  </si>
  <si>
    <t>2015-1-20 15:59:27.250: DirectionIndicator - notify - price/longMA/ShortMA/prevDirection are 1.51835/1.51833292693376/1.51833765179035/-1</t>
  </si>
  <si>
    <t>2015-1-20 15:59:27.457: DirectionIndicator - notify - price/longMA/ShortMA/prevDirection are 1.5183/1.51832694021853/1.51832510119357/-1</t>
  </si>
  <si>
    <t>2015-1-20 15:59:28.328: DirectionIndicator - notify - price/longMA/ShortMA/prevDirection are 1.5184/1.51834022381516/1.51835006746238/-1</t>
  </si>
  <si>
    <t>2015-1-20 15:59:28.384: DirectionIndicator - notify - price/longMA/ShortMA/prevDirection are 1.51845/1.5183601831215/1.51838337830825/-1</t>
  </si>
  <si>
    <t>2015-1-20 15:59:29.4: TransitionLogger - flushFile - flushing file</t>
  </si>
  <si>
    <t>2015-1-20 15:59:29.4: TransitionLogger - openTransitionFile - opening file C:\temp\transitionlog_2015-01-20_153021</t>
  </si>
  <si>
    <t>2015-1-20 15:59:29.376: DirectionIndicator - notify - price/longMA/ShortMA/prevDirection are 1.5184/1.51836742255395/1.51838891887217/1</t>
  </si>
  <si>
    <t>2015-1-20 15:59:29.547: DirectionIndicator - notify - price/longMA/ShortMA/prevDirection are 1.51845/1.51838243663505/1.51840927924811/1</t>
  </si>
  <si>
    <t>2015-1-20 15:59:29.954: DirectionIndicator - notify - price/longMA/ShortMA/prevDirection are 1.5185/1.51840381179231/1.51843951949874/1</t>
  </si>
  <si>
    <t>2015-1-20 15:59:30.7: DirectionIndicator - notify - price/longMA/ShortMA/prevDirection are 1.51855/1.51843039146644/1.51847634633249/1</t>
  </si>
  <si>
    <t>2015-1-20 15:59:31.41: DirectionIndicator - notify - price/longMA/ShortMA/prevDirection are 1.5185/1.51844304756345/1.51848423088833/1</t>
  </si>
  <si>
    <t>2015-1-20 15:59:31.708: DirectionIndicator - notify - price/longMA/ShortMA/prevDirection are 1.51845/1.51844431164282/1.51847282059222/1</t>
  </si>
  <si>
    <t>2015-1-20 15:59:31.877: DirectionIndicator - notify - price/longMA/ShortMA/prevDirection are 1.5185/1.51845443679867/1.51848188039481/1</t>
  </si>
  <si>
    <t>2015-1-20 15:59:32.953: DirectionIndicator - notify - price/longMA/ShortMA/prevDirection are 1.51855/1.51847181192619/1.51850458692988/1</t>
  </si>
  <si>
    <t>2015-1-20 15:59:33.712: DirectionIndicator - notify - price/longMA/ShortMA/prevDirection are 1.5185/1.51847693703052/1.51850305795325/1</t>
  </si>
  <si>
    <t>2015-1-20 15:59:34.539: DirectionIndicator - notify - price/longMA/ShortMA/prevDirection are 1.51845/1.5184720393886/1.51848537196883/1</t>
  </si>
  <si>
    <t>2015-1-20 15:59:35.46: DirectionIndicator - notify - price/longMA/ShortMA/prevDirection are 1.5185/1.51847712313613/1.51849024797922/1</t>
  </si>
  <si>
    <t>2015-1-20 15:59:35.339: DirectionIndicator - notify - price/longMA/ShortMA/prevDirection are 1.51855/1.51849037347502/1.51851016531948/1</t>
  </si>
  <si>
    <t>2015-1-20 15:59:35.595: DirectionIndicator - notify - price/longMA/ShortMA/prevDirection are 1.5185/1.51849212375229/1.51850677687965/1</t>
  </si>
  <si>
    <t>2015-1-20 15:59:36.236: DirectionIndicator - notify - price/longMA/ShortMA/prevDirection are 1.51845/1.51848446488823/1.5184878512531/1</t>
  </si>
  <si>
    <t>2015-1-20 15:59:36.916: DirectionIndicator - notify - price/longMA/ShortMA/prevDirection are 1.5185/1.51848728945401/1.5184919008354/1</t>
  </si>
  <si>
    <t>2015-1-20 15:59:36.995: DirectionIndicator - notify - price/longMA/ShortMA/prevDirection are 1.51855/1.51849869137146/1.5185112672236/1</t>
  </si>
  <si>
    <t>2015-1-20 15:59:37.959: DirectionIndicator - notify - price/longMA/ShortMA/prevDirection are 1.5185/1.51849892930392/1.5185075114824/1</t>
  </si>
  <si>
    <t>2015-1-20 15:59:38.10: DirectionIndicator - notify - price/longMA/ShortMA/prevDirection are 1.51845/1.51849003306685/1.51848834098827/1</t>
  </si>
  <si>
    <t>2015-1-20 15:59:38.706: DirectionIndicator - notify - price/longMA/ShortMA/prevDirection are 1.5185/1.51849184523651/1.51849222732551/1</t>
  </si>
  <si>
    <t>2015-1-20 15:59:38.787: DirectionIndicator - notify - price/longMA/ShortMA/prevDirection are 1.51855/1.51850241882987/1.51851148488367/1</t>
  </si>
  <si>
    <t>2015-1-20 15:59:39.631: DirectionIndicator - notify - price/longMA/ShortMA/prevDirection are 1.5186/1.5185201608608/1.51854098992245/1</t>
  </si>
  <si>
    <t>2015-1-20 15:59:40.793: DirectionIndicator - notify - price/longMA/ShortMA/prevDirection are 1.51855/1.51852558615884/1.51854399328163/1</t>
  </si>
  <si>
    <t>2015-1-20 15:59:41.208: DirectionIndicator - notify - price/longMA/ShortMA/prevDirection are 1.5186/1.51853911594814/1.51856266218776/1</t>
  </si>
  <si>
    <t>2015-1-20 15:59:41.875: DirectionIndicator - notify - price/longMA/ShortMA/prevDirection are 1.51855/1.51854109486666/1.5185584414585/1</t>
  </si>
  <si>
    <t>2015-1-20 15:59:42.251: DirectionIndicator - notify - price/longMA/ShortMA/prevDirection are 1.5185/1.51853362307272/1.51853896097234/1</t>
  </si>
  <si>
    <t>2015-1-20 15:59:42.578: DirectionIndicator - notify - price/longMA/ShortMA/prevDirection are 1.5186/1.51854569160496/1.51855930731489/1</t>
  </si>
  <si>
    <t>2015-1-20 15:59:42.633: DirectionIndicator - notify - price/longMA/ShortMA/prevDirection are 1.51865/1.51856465676769/1.51858953820993/1</t>
  </si>
  <si>
    <t>2015-1-20 15:59:43.588: DirectionIndicator - notify - price/longMA/ShortMA/prevDirection are 1.5186/1.51857108280993/1.51859302547328/1</t>
  </si>
  <si>
    <t>2015-1-20 15:59:44.43: DirectionIndicator - notify - price/longMA/ShortMA/prevDirection are 1.51855/1.51856724957176/1.51857868364886/1</t>
  </si>
  <si>
    <t>2015-1-20 15:59:44.625: DirectionIndicator - notify - price/longMA/ShortMA/prevDirection are 1.5185/1.51855502237689/1.5185524557659/1</t>
  </si>
  <si>
    <t>2015-1-20 15:59:44.746: DirectionIndicator - notify - price/longMA/ShortMA/prevDirection are 1.51855/1.51855410921746/1.51855163717727/1</t>
  </si>
  <si>
    <t>2015-1-20 15:59:46.125: DirectionIndicator - notify - price/longMA/ShortMA/prevDirection are 1.5186/1.5185624529961/1.51856775811818/1</t>
  </si>
  <si>
    <t>2015-1-20 15:59:46.247: DirectionIndicator - notify - price/longMA/ShortMA/prevDirection are 1.51855/1.51856018881499/1.51856183874545/1</t>
  </si>
  <si>
    <t>2015-1-20 15:59:46.622: DirectionIndicator - notify - price/longMA/ShortMA/prevDirection are 1.5186/1.51856742721227/1.51857455916364/1</t>
  </si>
  <si>
    <t>2015-1-20 15:59:46.876: DirectionIndicator - notify - price/longMA/ShortMA/prevDirection are 1.51855/1.51856425862822/1.51856637277576/1</t>
  </si>
  <si>
    <t>2015-1-20 15:59:47.724: DirectionIndicator - notify - price/longMA/ShortMA/prevDirection are 1.5186/1.51857075705945/1.5185775818505/1</t>
  </si>
  <si>
    <t>2015-1-20 15:59:47.995: DirectionIndicator - notify - price/longMA/ShortMA/prevDirection are 1.51865/1.51858516486682/1.51860172123367/1</t>
  </si>
  <si>
    <t>2015-1-20 15:59:48.715: DirectionIndicator - notify - price/longMA/ShortMA/prevDirection are 1.5186/1.51858786216376/1.51860114748911/1</t>
  </si>
  <si>
    <t>2015-1-20 15:59:49.167: DirectionIndicator - notify - price/longMA/ShortMA/prevDirection are 1.51865/1.51859915995217/1.51861743165941/1</t>
  </si>
  <si>
    <t>2015-1-20 15:59:49.542: DirectionIndicator - notify - price/longMA/ShortMA/prevDirection are 1.5186/1.51859931268814/1.51861162110627/1</t>
  </si>
  <si>
    <t>2015-1-20 15:59:49.959: DirectionIndicator - notify - price/longMA/ShortMA/prevDirection are 1.51855/1.51859034674484/1.51859108073751/1</t>
  </si>
  <si>
    <t>2015-1-20 15:59:50.79: DirectionIndicator - notify - price/longMA/ShortMA/prevDirection are 1.5186/1.51859210188214/1.51859405382501/1</t>
  </si>
  <si>
    <t>2015-1-20 15:59:50.500: DirectionIndicator - notify - price/longMA/ShortMA/prevDirection are 1.51855/1.51858444699448/1.51857936921667/1</t>
  </si>
  <si>
    <t>2015-1-20 15:59:50.708: DirectionIndicator - notify - price/longMA/ShortMA/prevDirection are 1.5186/1.51858727481367/1.51858624614445/1</t>
  </si>
  <si>
    <t>2015-1-20 15:59:50.788: DirectionIndicator - notify - price/longMA/ShortMA/prevDirection are 1.5187/1.51860777030209/1.5186241640963/1</t>
  </si>
  <si>
    <t>2015-1-20 15:59:51.251: DirectionIndicator - notify - price/longMA/ShortMA/prevDirection are 1.51865/1.51861544842898/1.5186327760642/1</t>
  </si>
  <si>
    <t>2015-1-20 15:59:51.621: DirectionIndicator - notify - price/longMA/ShortMA/prevDirection are 1.5186/1.51861263962371/1.51862185070947/1</t>
  </si>
  <si>
    <t>2015-1-20 15:59:51.674: DirectionIndicator - notify - price/longMA/ShortMA/prevDirection are 1.51855/1.51860125060122/1.51859790047298/1</t>
  </si>
  <si>
    <t>2015-1-20 15:59:51.922: DirectionIndicator - notify - price/longMA/ShortMA/prevDirection are 1.5186/1.51860102321918/1.51859860031532/1</t>
  </si>
  <si>
    <t>2015-1-20 15:59:53.217: DirectionIndicator - notify - price/longMA/ShortMA/prevDirection are 1.5187/1.51861901899751/1.51863240021021/1</t>
  </si>
  <si>
    <t>2015-1-20 15:59:53.288: DirectionIndicator - notify - price/longMA/ShortMA/prevDirection are 1.51875/1.51864283372524/1.51867160014014/1</t>
  </si>
  <si>
    <t>2015-1-20 15:59:53.960: DirectionIndicator - notify - price/longMA/ShortMA/prevDirection are 1.5187/1.51865322759338/1.51868106676009/1</t>
  </si>
  <si>
    <t>2015-1-20 15:59:54.10: DirectionIndicator - notify - price/longMA/ShortMA/prevDirection are 1.51865/1.51865264075822/1.5186707111734/1</t>
  </si>
  <si>
    <t>2015-1-20 15:59:54.423: DirectionIndicator - notify - price/longMA/ShortMA/prevDirection are 1.5187/1.51866125152945/1.5186804741156/1</t>
  </si>
  <si>
    <t>2015-1-20 15:59:54.542: DirectionIndicator - notify - price/longMA/ShortMA/prevDirection are 1.51865/1.51865920579682/1.51867031607706/1</t>
  </si>
  <si>
    <t>2015-1-20 15:59:55.42: DirectionIndicator - notify - price/longMA/ShortMA/prevDirection are 1.5186/1.51864844110649/1.51864687738471/1</t>
  </si>
  <si>
    <t>2015-1-20 15:59:56.43: DirectionIndicator - notify - price/longMA/ShortMA/prevDirection are 1.51865/1.51864872454167/1.51864791825647/1</t>
  </si>
  <si>
    <t>2015-1-20 15:59:56.454: DirectionIndicator - notify - price/longMA/ShortMA/prevDirection are 1.5186/1.5186398655341/1.51863194550432/1</t>
  </si>
  <si>
    <t>2015-1-20 15:59:56.751: DirectionIndicator - notify - price/longMA/ShortMA/prevDirection are 1.51865/1.51864170816426/1.51863796366954/1</t>
  </si>
  <si>
    <t>2015-1-20 15:59:57.43: DirectionIndicator - notify - price/longMA/ShortMA/prevDirection are 1.5186/1.51863412486167/1.51862530911303/1</t>
  </si>
  <si>
    <t>2015-1-20 15:59:57.544: DirectionIndicator - notify - price/longMA/ShortMA/prevDirection are 1.51865/1.51863701125046/1.51863353940869/1</t>
  </si>
  <si>
    <t>2015-1-20 15:59:57.798: DirectionIndicator - notify - price/longMA/ShortMA/prevDirection are 1.5186/1.51863028193219/1.51862235960579/1</t>
  </si>
  <si>
    <t>2015-1-20 15:59:58.50: DirectionIndicator - notify - price/longMA/ShortMA/prevDirection are 1.51865/1.51863386703543/1.51863157307053/1</t>
  </si>
  <si>
    <t>2015-1-20 15:59:58.787: DirectionIndicator - notify - price/longMA/ShortMA/prevDirection are 1.5186/1.51862770939262/1.51862104871368/1</t>
  </si>
  <si>
    <t>2015-1-20 15:59:58.843: DirectionIndicator - notify - price/longMA/ShortMA/prevDirection are 1.51855/1.51861358041215/1.51859736580912/1</t>
  </si>
  <si>
    <t>2015-1-20 15:59:59.295: DirectionIndicator - notify - price/longMA/ShortMA/prevDirection are 1.5186/1.5186111112463/1.51859824387275/1</t>
  </si>
  <si>
    <t>2015-1-20 15:59:59.412: DirectionIndicator - notify - price/longMA/ShortMA/prevDirection are 1.51865/1.51861818192879/1.51861549591517/1</t>
  </si>
  <si>
    <t>2015-1-20 15:59:59.537: DirectionIndicator - notify - price/longMA/ShortMA/prevDirection are 1.5186/1.51861487612356/1.51861033061011/1</t>
  </si>
  <si>
    <t>2015-1-20 16:0:0.90: DirectionIndicator - notify - price/longMA/ShortMA/prevDirection are 1.5187/1.518630353192/1.51864022040674/1</t>
  </si>
  <si>
    <t>2015-1-20 16:0:0.163: DirectionIndicator - notify - price/longMA/ShortMA/prevDirection are 1.51875/1.51865210715709/1.51867681360449/1</t>
  </si>
  <si>
    <t>2015-1-20 16:0:0.544: DirectionIndicator - notify - price/longMA/ShortMA/prevDirection are 1.5187/1.51866081494671/1.518684542403/1</t>
  </si>
  <si>
    <t>2015-1-20 16:0:0.592: DirectionIndicator - notify - price/longMA/ShortMA/prevDirection are 1.51865/1.51865884859276/1.51867302826866/1</t>
  </si>
  <si>
    <t>2015-1-20 16:0:1.85: DirectionIndicator - notify - price/longMA/ShortMA/prevDirection are 1.5187/1.51866633066681/1.51868201884578/1</t>
  </si>
  <si>
    <t>2015-1-20 16:0:1.133: DirectionIndicator - notify - price/longMA/ShortMA/prevDirection are 1.51875/1.51868154327284/1.51870467923052/1</t>
  </si>
  <si>
    <t>2015-1-20 16:0:2.997: DirectionIndicator - notify - price/longMA/ShortMA/prevDirection are 1.5187/1.51868489904142/1.51870311948701/1</t>
  </si>
  <si>
    <t>2015-1-20 16:0:3.50: DirectionIndicator - notify - price/longMA/ShortMA/prevDirection are 1.51865/1.51867855376116/1.51868541299134/1</t>
  </si>
  <si>
    <t>2015-1-20 16:0:3.340: DirectionIndicator - notify - price/longMA/ShortMA/prevDirection are 1.5187/1.51868245307731/1.51869027532756/1</t>
  </si>
  <si>
    <t>2015-1-20 16:0:3.416: DirectionIndicator - notify - price/longMA/ShortMA/prevDirection are 1.51875/1.51869473433598/1.51871018355171/1</t>
  </si>
  <si>
    <t>2015-1-20 16:0:4.627: DirectionIndicator - notify - price/longMA/ShortMA/prevDirection are 1.5188/1.51871387354762/1.5187401223678/1</t>
  </si>
  <si>
    <t>2015-1-20 16:0:4.675: DirectionIndicator - notify - price/longMA/ShortMA/prevDirection are 1.51885/1.51873862381169/1.5187767482452/1</t>
  </si>
  <si>
    <t>2015-1-20 16:0:4.923: DirectionIndicator - notify - price/longMA/ShortMA/prevDirection are 1.5188/1.51874978311866/1.51878449883014/1</t>
  </si>
  <si>
    <t>2015-1-20 16:0:4.997: DirectionIndicator - notify - price/longMA/ShortMA/prevDirection are 1.51875/1.51874982255163/1.51877299922009/1</t>
  </si>
  <si>
    <t>2015-1-20 16:0:5.295: DirectionIndicator - notify - price/longMA/ShortMA/prevDirection are 1.5188/1.51875894572406/1.51878199948006/1</t>
  </si>
  <si>
    <t>2015-1-20 16:0:5.342: DirectionIndicator - notify - price/longMA/ShortMA/prevDirection are 1.51885/1.51877550104696/1.51880466632004/1</t>
  </si>
  <si>
    <t>2015-1-20 16:0:6.7: TransitionLogger - flushFile - flushing file</t>
  </si>
  <si>
    <t>2015-1-20 16:0:6.7: TransitionLogger - openTransitionFile - opening file C:\temp\transitionlog_2015-01-20_153021</t>
  </si>
  <si>
    <t>2015-1-20 16:0:7.167: DirectionIndicator - notify - price/longMA/ShortMA/prevDirection are 1.5188/1.51877995540206/1.51880311088003/1</t>
  </si>
  <si>
    <t>2015-1-20 16:0:7.248: DirectionIndicator - notify - price/longMA/ShortMA/prevDirection are 1.51875/1.51877450896532/1.51878540725335/1</t>
  </si>
  <si>
    <t>2015-1-20 16:0:7.753: DirectionIndicator - notify - price/longMA/ShortMA/prevDirection are 1.5188/1.5187791436989/1.51879027150223/1</t>
  </si>
  <si>
    <t>2015-1-20 16:0:7.830: DirectionIndicator - notify - price/longMA/ShortMA/prevDirection are 1.51885/1.51879202666273/1.51881018100149/1</t>
  </si>
  <si>
    <t>2015-1-20 16:0:7.973: DirectionIndicator - notify - price/longMA/ShortMA/prevDirection are 1.5188/1.51879347636042/1.51880678733433/1</t>
  </si>
  <si>
    <t>2015-1-20 16:0:8.212: DirectionIndicator - notify - price/longMA/ShortMA/prevDirection are 1.51885/1.5188037533858/1.51882119155622/1</t>
  </si>
  <si>
    <t>2015-1-20 16:0:9.40: DirectionIndicator - notify - price/longMA/ShortMA/prevDirection are 1.5188/1.51880307095202/1.51881412770414/1</t>
  </si>
  <si>
    <t>2015-1-20 16:0:9.174: DirectionIndicator - notify - price/longMA/ShortMA/prevDirection are 1.51885/1.51881160350619/1.5188260851361/1</t>
  </si>
  <si>
    <t>2015-1-20 16:0:9.351: DirectionIndicator - notify - price/longMA/ShortMA/prevDirection are 1.5188/1.5188094937778/1.51881739009073/1</t>
  </si>
  <si>
    <t>2015-1-20 16:0:9.499: DirectionIndicator - notify - price/longMA/ShortMA/prevDirection are 1.51885/1.51881685854547/1.51882826006049/1</t>
  </si>
  <si>
    <t>2015-1-20 16:0:9.674: DirectionIndicator - notify - price/longMA/ShortMA/prevDirection are 1.5188/1.51881379335538/1.51881884004032/1</t>
  </si>
  <si>
    <t>2015-1-20 16:0:9.802: DirectionIndicator - notify - price/longMA/ShortMA/prevDirection are 1.51885/1.51882037638168/1.51882922669355/1</t>
  </si>
  <si>
    <t>2015-1-20 16:0:10.44: DirectionIndicator - notify - price/longMA/ShortMA/prevDirection are 1.5188/1.51881667158501/1.51881948446237/1</t>
  </si>
  <si>
    <t>2015-1-20 16:0:10.92: DirectionIndicator - notify - price/longMA/ShortMA/prevDirection are 1.51875/1.51880454947864/1.51879632297491/1</t>
  </si>
  <si>
    <t>2015-1-20 16:0:10.459: DirectionIndicator - notify - price/longMA/ShortMA/prevDirection are 1.5187/1.51878554048253/1.51876421531661/1</t>
  </si>
  <si>
    <t>2015-1-20 16:0:10.540: DirectionIndicator - notify - price/longMA/ShortMA/prevDirection are 1.51865/1.51876089675843/1.51872614354441/-1</t>
  </si>
  <si>
    <t>2015-1-20 16:0:10.960: DirectionIndicator - notify - price/longMA/ShortMA/prevDirection are 1.5187/1.51874982462053/1.5187174290296/-1</t>
  </si>
  <si>
    <t>2015-1-20 16:0:11.168: DirectionIndicator - notify - price/longMA/ShortMA/prevDirection are 1.51875/1.51874985650771/1.51872828601974/-1</t>
  </si>
  <si>
    <t>2015-1-20 16:0:11.425: DirectionIndicator - notify - price/longMA/ShortMA/prevDirection are 1.5187/1.51874079168813/1.51871885734649/-1</t>
  </si>
  <si>
    <t>2015-1-20 16:0:12.293: DirectionIndicator - notify - price/longMA/ShortMA/prevDirection are 1.51865/1.51872428410847/1.51869590489766/-1</t>
  </si>
  <si>
    <t>2015-1-20 16:0:12.707: DirectionIndicator - notify - price/longMA/ShortMA/prevDirection are 1.5186/1.51870168699784/1.51866393659844/-1</t>
  </si>
  <si>
    <t>2015-1-20 16:0:12.758: DirectionIndicator - notify - price/longMA/ShortMA/prevDirection are 1.51855/1.51867410754368/1.51862595773229/-1</t>
  </si>
  <si>
    <t>2015-1-20 16:0:14.793: DirectionIndicator - notify - price/longMA/ShortMA/prevDirection are 1.5185/1.51864245162665/1.51858397182153/-1</t>
  </si>
  <si>
    <t>2015-1-20 16:0:15.501: DirectionIndicator - notify - price/longMA/ShortMA/prevDirection are 1.51855/1.51862564223999/1.51857264788102/-1</t>
  </si>
  <si>
    <t>2015-1-20 16:0:15.882: DirectionIndicator - notify - price/longMA/ShortMA/prevDirection are 1.5185/1.51860279819635/1.51854843192068/-1</t>
  </si>
  <si>
    <t>2015-1-20 16:0:16.891: DirectionIndicator - notify - price/longMA/ShortMA/prevDirection are 1.51845/1.51857501670611/1.51851562128045/-1</t>
  </si>
  <si>
    <t>2015-1-20 16:0:17.498: DirectionIndicator - notify - price/longMA/ShortMA/prevDirection are 1.5184/1.51854319548681/1.51847708085364/-1</t>
  </si>
  <si>
    <t>2015-1-20 16:0:17.552: DirectionIndicator - notify - price/longMA/ShortMA/prevDirection are 1.51835/1.51850806903467/1.51843472056909/-1</t>
  </si>
  <si>
    <t>2015-1-20 16:0:18.126: DirectionIndicator - notify - price/longMA/ShortMA/prevDirection are 1.5184/1.51848842011927/1.51842314704606/-1</t>
  </si>
  <si>
    <t>2015-1-20 16:0:18.459: DirectionIndicator - notify - price/longMA/ShortMA/prevDirection are 1.51835/1.51846325282486/1.51839876469737/-1</t>
  </si>
  <si>
    <t>2015-1-20 16:0:19.543: DirectionIndicator - notify - price/longMA/ShortMA/prevDirection are 1.5183/1.51843357049307/1.51836584313158/-1</t>
  </si>
  <si>
    <t>2015-1-20 16:0:20.216: DirectionIndicator - notify - price/longMA/ShortMA/prevDirection are 1.51825/1.51840019403978/1.51832722875439/-1</t>
  </si>
  <si>
    <t>2015-1-20 16:0:20.415: DirectionIndicator - notify - price/longMA/ShortMA/prevDirection are 1.5183/1.51838197694164/1.51831815250293/-1</t>
  </si>
  <si>
    <t>2015-1-20 16:0:20.467: DirectionIndicator - notify - price/longMA/ShortMA/prevDirection are 1.51835/1.51837616295225/1.51832876833528/-1</t>
  </si>
  <si>
    <t>2015-1-20 16:0:20.877: DirectionIndicator - notify - price/longMA/ShortMA/prevDirection are 1.5183/1.51836231514275/1.51831917889019/-1</t>
  </si>
  <si>
    <t>2015-1-20 16:0:21.461: DirectionIndicator - notify - price/longMA/ShortMA/prevDirection are 1.51835/1.51836007602589/1.51832945259346/-1</t>
  </si>
  <si>
    <t>2015-1-20 16:0:22.41: DirectionIndicator - notify - price/longMA/ShortMA/prevDirection are 1.5183/1.51834915311209/1.51831963506231/-1</t>
  </si>
  <si>
    <t>2015-1-20 16:0:23.346: DirectionIndicator - notify - price/longMA/ShortMA/prevDirection are 1.51825/1.51833112527353/1.51829642337487/-1</t>
  </si>
  <si>
    <t>2015-1-20 16:0:23.665: DirectionIndicator - notify - price/longMA/ShortMA/prevDirection are 1.5183/1.51832546613289/1.51829761558325/-1</t>
  </si>
  <si>
    <t>2015-1-20 16:0:24.51: DirectionIndicator - notify - price/longMA/ShortMA/prevDirection are 1.51835/1.518329926836/1.5183150770555/-1</t>
  </si>
  <si>
    <t>2015-1-20 16:0:24.176: DirectionIndicator - notify - price/longMA/ShortMA/prevDirection are 1.5183/1.51832448559309/1.51831005137033/-1</t>
  </si>
  <si>
    <t>2015-1-20 16:0:24.914: DirectionIndicator - notify - price/longMA/ShortMA/prevDirection are 1.51825/1.51831094275798/1.51829003424689/-1</t>
  </si>
  <si>
    <t>2015-1-20 16:0:25.669: DirectionIndicator - notify - price/longMA/ShortMA/prevDirection are 1.5183/1.51830895316562/1.51829335616459/-1</t>
  </si>
  <si>
    <t>2015-1-20 16:0:26.711: DirectionIndicator - notify - price/longMA/ShortMA/prevDirection are 1.51835/1.51831641622642/1.51831223744306/-1</t>
  </si>
  <si>
    <t>2015-1-20 16:0:27.717: DirectionIndicator - notify - price/longMA/ShortMA/prevDirection are 1.5183/1.51831343145798/1.51830815829537/-1</t>
  </si>
  <si>
    <t>2015-1-20 16:0:27.789: DirectionIndicator - notify - price/longMA/ShortMA/prevDirection are 1.51825/1.51830189846562/1.51828877219692/-1</t>
  </si>
  <si>
    <t>2015-1-20 16:0:29.47: TransitionLogger - flushFile - flushing file</t>
  </si>
  <si>
    <t>2015-1-20 16:0:29.47: TransitionLogger - openTransitionFile - opening file C:\temp\transitionlog_2015-01-20_153021</t>
  </si>
  <si>
    <t>2015-1-20 16:0:30.209: DirectionIndicator - notify - price/longMA/ShortMA/prevDirection are 1.5183/1.51830155329005/1.51829251479794/-1</t>
  </si>
  <si>
    <t>2015-1-20 16:0:30.265: DirectionIndicator - notify - price/longMA/ShortMA/prevDirection are 1.51835/1.51831036178277/1.51831167653196/-1</t>
  </si>
  <si>
    <t>2015-1-20 16:0:31.38: DirectionIndicator - notify - price/longMA/ShortMA/prevDirection are 1.5183/1.51830847782227/1.51830778435464/-1</t>
  </si>
  <si>
    <t>2015-1-20 16:0:31.92: DirectionIndicator - notify - price/longMA/ShortMA/prevDirection are 1.51825/1.51829784549094/1.51828852290309/-1</t>
  </si>
  <si>
    <t>2015-1-20 16:0:33.3: DirectionIndicator - notify - price/longMA/ShortMA/prevDirection are 1.5183/1.51829823721986/1.51829234860206/-1</t>
  </si>
  <si>
    <t>2015-1-20 16:0:33.83: DirectionIndicator - notify - price/longMA/ShortMA/prevDirection are 1.51835/1.51830764863443/1.51831156573471/-1</t>
  </si>
  <si>
    <t>2015-1-20 16:0:33.466: DirectionIndicator - notify - price/longMA/ShortMA/prevDirection are 1.5183/1.51830625797363/1.51830771048981/-1</t>
  </si>
  <si>
    <t>2015-1-20 16:0:33.539: DirectionIndicator - notify - price/longMA/ShortMA/prevDirection are 1.51825/1.51829602925115/1.51828847365987/-1</t>
  </si>
  <si>
    <t>2015-1-20 16:0:33.665: DirectionIndicator - notify - price/longMA/ShortMA/prevDirection are 1.5183/1.51829675120549/1.51829231577325/-1</t>
  </si>
  <si>
    <t>2015-1-20 16:0:34.3: DirectionIndicator - notify - price/longMA/ShortMA/prevDirection are 1.51825/1.51828825098631/1.5182782105155/-1</t>
  </si>
  <si>
    <t>2015-1-20 16:0:34.385: DirectionIndicator - notify - price/longMA/ShortMA/prevDirection are 1.5183/1.51829038717061/1.518285473677/-1</t>
  </si>
  <si>
    <t>2015-1-20 16:0:34.760: DirectionIndicator - notify - price/longMA/ShortMA/prevDirection are 1.51825/1.51828304404868/1.518273649118/-1</t>
  </si>
  <si>
    <t>2015-1-20 16:0:36.663: DirectionIndicator - notify - price/longMA/ShortMA/prevDirection are 1.5182/1.51826794513074/1.518249099412/-1</t>
  </si>
  <si>
    <t>2015-1-20 16:0:37.790: DirectionIndicator - notify - price/longMA/ShortMA/prevDirection are 1.51825/1.5182646823797/1.518249399608/-1</t>
  </si>
  <si>
    <t>2015-1-20 16:0:38.14: DirectionIndicator - notify - price/longMA/ShortMA/prevDirection are 1.5182/1.51825292194703/1.518232933072/-1</t>
  </si>
  <si>
    <t>2015-1-20 16:0:38.137: DirectionIndicator - notify - price/longMA/ShortMA/prevDirection are 1.51815/1.51823420886575/1.51820528871467/-1</t>
  </si>
  <si>
    <t>2015-1-20 16:0:38.583: DirectionIndicator - notify - price/longMA/ShortMA/prevDirection are 1.5181/1.51820980725379/1.51817019247644/-1</t>
  </si>
  <si>
    <t>2015-1-20 16:0:39.101: DirectionIndicator - notify - price/longMA/ShortMA/prevDirection are 1.51815/1.51819893320765/1.51816346165096/-1</t>
  </si>
  <si>
    <t>2015-1-20 16:0:39.637: DirectionIndicator - notify - price/longMA/ShortMA/prevDirection are 1.5181/1.51818094535171/1.51814230776731/-1</t>
  </si>
  <si>
    <t>2015-1-20 16:0:40.46: DirectionIndicator - notify - price/longMA/ShortMA/prevDirection are 1.51815/1.51817531892413/1.51814487184487/-1</t>
  </si>
  <si>
    <t>2015-1-20 16:0:40.260: DirectionIndicator - notify - price/longMA/ShortMA/prevDirection are 1.5182/1.51817980639247/1.51816324789658/-1</t>
  </si>
  <si>
    <t>2015-1-20 16:0:41.217: DirectionIndicator - notify - price/longMA/ShortMA/prevDirection are 1.51815/1.51817438704838/1.51815883193105/-1</t>
  </si>
  <si>
    <t>2015-1-20 16:0:41.291: DirectionIndicator - notify - price/longMA/ShortMA/prevDirection are 1.5181/1.5181608621305/1.51813922128737/-1</t>
  </si>
  <si>
    <t>2015-1-20 16:0:41.712: DirectionIndicator - notify - price/longMA/ShortMA/prevDirection are 1.51815/1.51815888719768/1.51814281419158/-1</t>
  </si>
  <si>
    <t>2015-1-20 16:0:42.471: DirectionIndicator - notify - price/longMA/ShortMA/prevDirection are 1.5181/1.51814818043446/1.51812854279439/-1</t>
  </si>
  <si>
    <t>2015-1-20 16:0:43.927: DirectionIndicator - notify - price/longMA/ShortMA/prevDirection are 1.51815/1.51814851126456/1.51813569519626/-1</t>
  </si>
  <si>
    <t>2015-1-20 16:0:44.295: DirectionIndicator - notify - price/longMA/ShortMA/prevDirection are 1.5181/1.51813969103464/1.51812379679751/-1</t>
  </si>
  <si>
    <t>2015-1-20 16:0:44.547: DirectionIndicator - notify - price/longMA/ShortMA/prevDirection are 1.51805/1.5181233835738/1.518099197865/-1</t>
  </si>
  <si>
    <t>2015-1-20 16:0:44.790: DirectionIndicator - notify - price/longMA/ShortMA/prevDirection are 1.5181/1.51811913201493/1.51809946524334/-1</t>
  </si>
  <si>
    <t>2015-1-20 16:0:45.219: DirectionIndicator - notify - price/longMA/ShortMA/prevDirection are 1.51815/1.51812474437585/1.51811631016222/-1</t>
  </si>
  <si>
    <t>2015-1-20 16:0:45.587: DirectionIndicator - notify - price/longMA/ShortMA/prevDirection are 1.5181/1.51812024539842/1.51811087344148/-1</t>
  </si>
  <si>
    <t>2015-1-20 16:0:45.665: DirectionIndicator - notify - price/longMA/ShortMA/prevDirection are 1.51805/1.5181074735078/1.51809058229432/-1</t>
  </si>
  <si>
    <t>2015-1-20 16:0:45.831: DirectionIndicator - notify - price/longMA/ShortMA/prevDirection are 1.5181/1.5181061146882/1.51809372152955/-1</t>
  </si>
  <si>
    <t>2015-1-20 16:0:46.39: DirectionIndicator - notify - price/longMA/ShortMA/prevDirection are 1.51805/1.51809591201762/1.51807914768637/-1</t>
  </si>
  <si>
    <t>2015-1-20 16:0:46.457: DirectionIndicator - notify - price/longMA/ShortMA/prevDirection are 1.5181/1.51809665528714/1.51808609845758/-1</t>
  </si>
  <si>
    <t>2015-1-20 16:0:47.3: DirectionIndicator - notify - price/longMA/ShortMA/prevDirection are 1.51805/1.51808817250766/1.51807406563838/-1</t>
  </si>
  <si>
    <t>2015-1-20 16:0:47.165: DirectionIndicator - notify - price/longMA/ShortMA/prevDirection are 1.5181/1.51809032296081/1.51808271042559/-1</t>
  </si>
  <si>
    <t>2015-1-20 16:0:47.248: DirectionIndicator - notify - price/longMA/ShortMA/prevDirection are 1.51815/1.51810117333158/1.51810514028373/-1</t>
  </si>
  <si>
    <t>2015-1-20 16:0:48.374: DirectionIndicator - notify - price/longMA/ShortMA/prevDirection are 1.5182/1.51811914181674/1.51813676018915/-1</t>
  </si>
  <si>
    <t>2015-1-20 16:0:48.428: DirectionIndicator - notify - price/longMA/ShortMA/prevDirection are 1.51825/1.5181429342137/1.51817450679277/-1</t>
  </si>
  <si>
    <t>2015-1-20 16:0:48.839: DirectionIndicator - notify - price/longMA/ShortMA/prevDirection are 1.5182/1.51815330981121/1.51818300452851/1</t>
  </si>
  <si>
    <t>2015-1-20 16:0:49.804: DirectionIndicator - notify - price/longMA/ShortMA/prevDirection are 1.51825/1.51817088984553/1.51820533635234/1</t>
  </si>
  <si>
    <t>2015-1-20 16:0:50.81: DirectionIndicator - notify - price/longMA/ShortMA/prevDirection are 1.5182/1.51817618260089/1.51820355756823/1</t>
  </si>
  <si>
    <t>2015-1-20 16:0:50.339: DirectionIndicator - notify - price/longMA/ShortMA/prevDirection are 1.51825/1.51818960394618/1.51821903837882/1</t>
  </si>
  <si>
    <t>2015-1-20 16:0:51.82: DirectionIndicator - notify - price/longMA/ShortMA/prevDirection are 1.5183/1.51820967595597/1.51824602558588/1</t>
  </si>
  <si>
    <t>2015-1-20 16:0:51.135: DirectionIndicator - notify - price/longMA/ShortMA/prevDirection are 1.51835/1.51823518941852/1.51828068372392/1</t>
  </si>
  <si>
    <t>2015-1-20 16:0:56.47: DirectionIndicator - notify - price/longMA/ShortMA/prevDirection are 1.5184/1.51826515497879/1.51832045581595/1</t>
  </si>
  <si>
    <t>2015-1-20 16:0:56.422: DirectionIndicator - notify - price/longMA/ShortMA/prevDirection are 1.51845/1.51829876316446/1.51836363721063/1</t>
  </si>
  <si>
    <t>2015-1-20 16:0:59.846: DirectionIndicator - notify - price/longMA/ShortMA/prevDirection are 1.5185/1.51833535168002/1.51840909147375/1</t>
  </si>
  <si>
    <t>2015-1-20 16:1:0.840: DirectionIndicator - notify - price/longMA/ShortMA/prevDirection are 1.51855/1.51837437864729/1.5184560609825/1</t>
  </si>
  <si>
    <t>2015-1-20 16:1:3.917: DirectionIndicator - notify - price/longMA/ShortMA/prevDirection are 1.5186/1.51841540071142/1.518504040655/1</t>
  </si>
  <si>
    <t>2015-1-20 16:1:3.972: DirectionIndicator - notify - price/longMA/ShortMA/prevDirection are 1.51865/1.51845805512752/1.51855269377/1</t>
  </si>
  <si>
    <t>2015-1-20 16:1:4.926: DirectionIndicator - notify - price/longMA/ShortMA/prevDirection are 1.5186/1.51848386328615/1.51856846251333/1</t>
  </si>
  <si>
    <t>2015-1-20 16:1:5.384: DirectionIndicator - notify - price/longMA/ShortMA/prevDirection are 1.51855/1.51849588814322/1.51856230834222/1</t>
  </si>
  <si>
    <t>2015-1-20 16:1:5.501: DirectionIndicator - notify - price/longMA/ShortMA/prevDirection are 1.5186/1.51851481757172/1.51857487222815/1</t>
  </si>
  <si>
    <t>2015-1-20 16:1:5.755: DirectionIndicator - notify - price/longMA/ShortMA/prevDirection are 1.51855/1.51852121437686/1.51856658148543/1</t>
  </si>
  <si>
    <t>2015-1-20 16:1:6.7: TransitionLogger - flushFile - flushing file</t>
  </si>
  <si>
    <t>2015-1-20 16:1:6.7: TransitionLogger - openTransitionFile - opening file C:\temp\transitionlog_2015-01-20_153021</t>
  </si>
  <si>
    <t>2015-1-20 16:1:7.296: DirectionIndicator - notify - price/longMA/ShortMA/prevDirection are 1.5186/1.51853553903562/1.51857772099029/1</t>
  </si>
  <si>
    <t>2015-1-20 16:1:7.839: DirectionIndicator - notify - price/longMA/ShortMA/prevDirection are 1.51855/1.51853816830187/1.51856848066019/1</t>
  </si>
  <si>
    <t>2015-1-20 16:1:10.131: DirectionIndicator - notify - price/longMA/ShortMA/prevDirection are 1.5185/1.51853122861062/1.51854565377346/1</t>
  </si>
  <si>
    <t>2015-1-20 16:1:10.209: DirectionIndicator - notify - price/longMA/ShortMA/prevDirection are 1.51845/1.51851645977232/1.51851376918231/1</t>
  </si>
  <si>
    <t>2015-1-20 16:1:10.633: DirectionIndicator - notify - price/longMA/ShortMA/prevDirection are 1.5185/1.51851346708645/1.51850917945487/1</t>
  </si>
  <si>
    <t>2015-1-20 16:1:11.961: DirectionIndicator - notify - price/longMA/ShortMA/prevDirection are 1.51855/1.51852010943437/1.51852278630325/1</t>
  </si>
  <si>
    <t>2015-1-20 16:1:12.887: DirectionIndicator - notify - price/longMA/ShortMA/prevDirection are 1.5185/1.51851645317357/1.51851519086883/1</t>
  </si>
  <si>
    <t>2015-1-20 16:1:13.206: DirectionIndicator - notify - price/longMA/ShortMA/prevDirection are 1.51855/1.51852255259656/1.51852679391255/1</t>
  </si>
  <si>
    <t>2015-1-20 16:1:14.282: DirectionIndicator - notify - price/longMA/ShortMA/prevDirection are 1.5185/1.51851845212446/1.51851786260837/1</t>
  </si>
  <si>
    <t>2015-1-20 16:1:14.668: DirectionIndicator - notify - price/longMA/ShortMA/prevDirection are 1.51875/1.51856055173819/1.51859524173891/1</t>
  </si>
  <si>
    <t>2015-1-20 16:1:14.720: DirectionIndicator - notify - price/longMA/ShortMA/prevDirection are 1.51895/1.51863136051307/1.51871349449261/1</t>
  </si>
  <si>
    <t>2015-1-20 16:1:15.723: DirectionIndicator - notify - price/longMA/ShortMA/prevDirection are 1.5189/1.51868020405615/1.51877566299507/1</t>
  </si>
  <si>
    <t>2015-1-20 16:1:16.298: DirectionIndicator - notify - price/longMA/ShortMA/prevDirection are 1.51885/1.51871107604594/1.51880044199671/1</t>
  </si>
  <si>
    <t>2015-1-20 16:1:16.881: DirectionIndicator - notify - price/longMA/ShortMA/prevDirection are 1.5189/1.51874542585577/1.51883362799781/1</t>
  </si>
  <si>
    <t>2015-1-20 16:1:16.961: DirectionIndicator - notify - price/longMA/ShortMA/prevDirection are 1.51895/1.51878262115472/1.51887241866521/1</t>
  </si>
  <si>
    <t>2015-1-20 16:1:17.928: DirectionIndicator - notify - price/longMA/ShortMA/prevDirection are 1.5189/1.51880396276295/1.51888161244347/1</t>
  </si>
  <si>
    <t>2015-1-20 16:1:18.0: DirectionIndicator - notify - price/longMA/ShortMA/prevDirection are 1.51885/1.51881233316969/1.51887107496231/1</t>
  </si>
  <si>
    <t>2015-1-20 16:1:24.51: DirectionIndicator - notify - price/longMA/ShortMA/prevDirection are 1.5189/1.51882827259338/1.51888071664154/1</t>
  </si>
  <si>
    <t>2015-1-20 16:1:24.128: DirectionIndicator - notify - price/longMA/ShortMA/prevDirection are 1.519/1.51885949575822/1.51892047776103/1</t>
  </si>
  <si>
    <t>2015-1-20 16:1:24.966: DirectionIndicator - notify - price/longMA/ShortMA/prevDirection are 1.51905/1.51889413289309/1.51896365184069/1</t>
  </si>
  <si>
    <t>2015-1-20 16:1:25.418: DirectionIndicator - notify - price/longMA/ShortMA/prevDirection are 1.519/1.51891338145798/1.51897576789379/1</t>
  </si>
  <si>
    <t>2015-1-20 16:1:25.474: DirectionIndicator - notify - price/longMA/ShortMA/prevDirection are 1.51895/1.51892003937471/1.51896717859586/1</t>
  </si>
  <si>
    <t>2015-1-20 16:1:26.42: DirectionIndicator - notify - price/longMA/ShortMA/prevDirection are 1.5189/1.51891639585204/1.51894478573057/1</t>
  </si>
  <si>
    <t>2015-1-20 16:1:26.96: DirectionIndicator - notify - price/longMA/ShortMA/prevDirection are 1.51885/1.51890432387894/1.51891319048705/1</t>
  </si>
  <si>
    <t>2015-1-20 16:1:26.214: DirectionIndicator - notify - price/longMA/ShortMA/prevDirection are 1.5189/1.51890353771913/1.51890879365803/1</t>
  </si>
  <si>
    <t>2015-1-20 16:1:27.394: DirectionIndicator - notify - price/longMA/ShortMA/prevDirection are 1.51885/1.51889380358838/1.51888919577202/1</t>
  </si>
  <si>
    <t>2015-1-20 16:1:27.500: DirectionIndicator - notify - price/longMA/ShortMA/prevDirection are 1.5189/1.51889493020868/1.51889279718135/1</t>
  </si>
  <si>
    <t>2015-1-20 16:1:27.595: DirectionIndicator - notify - price/longMA/ShortMA/prevDirection are 1.51895/1.51890494289801/1.51891186478757/1</t>
  </si>
  <si>
    <t>2015-1-20 16:1:28.126: DirectionIndicator - notify - price/longMA/ShortMA/prevDirection are 1.5189/1.51890404418928/1.51890790985838/1</t>
  </si>
  <si>
    <t>2015-1-20 16:1:29.11: TransitionLogger - flushFile - flushing file</t>
  </si>
  <si>
    <t>2015-1-20 16:1:29.12: TransitionLogger - openTransitionFile - opening file C:\temp\transitionlog_2015-01-20_153021</t>
  </si>
  <si>
    <t>2015-1-20 16:1:29.176: DirectionIndicator - notify - price/longMA/ShortMA/prevDirection are 1.51885/1.51889421797305/1.51888860657225/1</t>
  </si>
  <si>
    <t>2015-1-20 16:1:29.460: DirectionIndicator - notify - price/longMA/ShortMA/prevDirection are 1.5189/1.51889526925067/1.5188924043815/1</t>
  </si>
  <si>
    <t>2015-1-20 16:1:29.513: DirectionIndicator - notify - price/longMA/ShortMA/prevDirection are 1.51895/1.51890522029601/1.518911602921/1</t>
  </si>
  <si>
    <t>2015-1-20 16:1:32.294: DirectionIndicator - notify - price/longMA/ShortMA/prevDirection are 1.5189/1.51890427115128/1.51890773528067/1</t>
  </si>
  <si>
    <t>2015-1-20 16:1:32.349: DirectionIndicator - notify - price/longMA/ShortMA/prevDirection are 1.51885/1.51889440366923/1.51888849018711/1</t>
  </si>
  <si>
    <t>2015-1-20 16:1:32.553: DirectionIndicator - notify - price/longMA/ShortMA/prevDirection are 1.5189/1.51889542118391/1.51889232679141/1</t>
  </si>
  <si>
    <t>2015-1-20 16:1:33.7: DirectionIndicator - notify - price/longMA/ShortMA/prevDirection are 1.51885/1.51888716278684/1.51887821786094/1</t>
  </si>
  <si>
    <t>2015-1-20 16:1:33.511: DirectionIndicator - notify - price/longMA/ShortMA/prevDirection are 1.5189/1.51888949682559/1.51888547857396/1</t>
  </si>
  <si>
    <t>2015-1-20 16:1:33.763: DirectionIndicator - notify - price/longMA/ShortMA/prevDirection are 1.51885/1.51888231558458/1.51887365238264/1</t>
  </si>
  <si>
    <t>2015-1-20 16:1:34.972: DirectionIndicator - notify - price/longMA/ShortMA/prevDirection are 1.5188/1.51886734911465/1.51884910158843/1</t>
  </si>
  <si>
    <t>2015-1-20 16:1:37.425: DirectionIndicator - notify - price/longMA/ShortMA/prevDirection are 1.51875/1.51884601291199/1.51881606772562/1</t>
  </si>
  <si>
    <t>2015-1-20 16:1:37.751: DirectionIndicator - notify - price/longMA/ShortMA/prevDirection are 1.5188/1.51883764692799/1.51881071181708/-1</t>
  </si>
  <si>
    <t>2015-1-20 16:1:37.807: DirectionIndicator - notify - price/longMA/ShortMA/prevDirection are 1.51885/1.51883989294108/1.51882380787805/-1</t>
  </si>
  <si>
    <t>2015-1-20 16:1:39.599: DirectionIndicator - notify - price/longMA/ShortMA/prevDirection are 1.5188/1.51883263967907/1.5188158719187/-1</t>
  </si>
  <si>
    <t>2015-1-20 16:1:40.424: DirectionIndicator - notify - price/longMA/ShortMA/prevDirection are 1.51875/1.51881761428287/1.51879391461247/-1</t>
  </si>
  <si>
    <t>2015-1-20 16:1:43.9: DirectionIndicator - notify - price/longMA/ShortMA/prevDirection are 1.5188/1.51881441168599/1.51879594307498/-1</t>
  </si>
  <si>
    <t>2015-1-20 16:1:44.192: DirectionIndicator - notify - price/longMA/ShortMA/prevDirection are 1.51875/1.51880270047035/1.51878062871665/-1</t>
  </si>
  <si>
    <t>2015-1-20 16:1:45.197: DirectionIndicator - notify - price/longMA/ShortMA/prevDirection are 1.5188/1.51880220947574/1.5187870858111/-1</t>
  </si>
  <si>
    <t>2015-1-20 16:1:46.469: DirectionIndicator - notify - price/longMA/ShortMA/prevDirection are 1.51875/1.51879271684379/1.51877472387407/-1</t>
  </si>
  <si>
    <t>2015-1-20 16:1:46.998: DirectionIndicator - notify - price/longMA/ShortMA/prevDirection are 1.5188/1.51879404105401/1.51878314924938/-1</t>
  </si>
  <si>
    <t>2015-1-20 16:1:50.713: DirectionIndicator - notify - price/longMA/ShortMA/prevDirection are 1.51875/1.51878603358964/1.51877209949959/-1</t>
  </si>
  <si>
    <t>2015-1-20 16:1:51.545: DirectionIndicator - notify - price/longMA/ShortMA/prevDirection are 1.5188/1.51878857293698/1.51878139966639/-1</t>
  </si>
  <si>
    <t>2015-1-20 16:1:52.118: DirectionIndicator - notify - price/longMA/ShortMA/prevDirection are 1.51875/1.51878155967571/1.51877093311093/-1</t>
  </si>
  <si>
    <t>2015-1-20 16:1:52.331: DirectionIndicator - notify - price/longMA/ShortMA/prevDirection are 1.5188/1.51878491246195/1.51878062207395/-1</t>
  </si>
  <si>
    <t>2015-1-20 16:1:53.49: DirectionIndicator - notify - price/longMA/ShortMA/prevDirection are 1.51875/1.51877856474159/1.51877041471597/-1</t>
  </si>
  <si>
    <t>2015-1-20 16:1:53.175: DirectionIndicator - notify - price/longMA/ShortMA/prevDirection are 1.5188/1.5187824620613/1.51878027647731/-1</t>
  </si>
  <si>
    <t>2015-1-20 16:1:55.264: DirectionIndicator - notify - price/longMA/ShortMA/prevDirection are 1.51875/1.51877655986834/1.51877018431821/-1</t>
  </si>
  <si>
    <t>2015-1-20 16:1:59.128: DirectionIndicator - notify - price/longMA/ShortMA/prevDirection are 1.5187/1.51876263989228/1.51874678954547/-1</t>
  </si>
  <si>
    <t>2015-1-20 16:1:59.182: DirectionIndicator - notify - price/longMA/ShortMA/prevDirection are 1.51865/1.51874215991186/1.51871452636365/-1</t>
  </si>
  <si>
    <t>2015-1-20 16:1:59.554: DirectionIndicator - notify - price/longMA/ShortMA/prevDirection are 1.5187/1.51873449447334/1.51870968424243/-1</t>
  </si>
  <si>
    <t>2015-1-20 16:2:0.294: DirectionIndicator - notify - price/longMA/ShortMA/prevDirection are 1.51865/1.51871913184183/1.51868978949495/-1</t>
  </si>
  <si>
    <t>2015-1-20 16:2:0.633: DirectionIndicator - notify - price/longMA/ShortMA/prevDirection are 1.5187/1.51871565332513/1.51869319299664/-1</t>
  </si>
  <si>
    <t>2015-1-20 16:2:0.757: DirectionIndicator - notify - price/longMA/ShortMA/prevDirection are 1.51865/1.51870371635692/1.51867879533109/-1</t>
  </si>
  <si>
    <t>2015-1-20 16:2:4.897: DirectionIndicator - notify - price/longMA/ShortMA/prevDirection are 1.5187/1.51870304065567/1.51868586355406/-1</t>
  </si>
  <si>
    <t>2015-1-20 16:2:4.963: DirectionIndicator - notify - price/longMA/ShortMA/prevDirection are 1.51875/1.51871157871827/1.51870724236937/-1</t>
  </si>
  <si>
    <t>2015-1-20 16:2:6.11: TransitionLogger - flushFile - flushing file</t>
  </si>
  <si>
    <t>2015-1-20 16:2:6.11: TransitionLogger - openTransitionFile - opening file C:\temp\transitionlog_2015-01-20_153021</t>
  </si>
  <si>
    <t>2015-1-20 16:2:8.301: DirectionIndicator - notify - price/longMA/ShortMA/prevDirection are 1.5188/1.51872765531495/1.51873816157958/-1</t>
  </si>
  <si>
    <t>2015-1-20 16:2:8.844: DirectionIndicator - notify - price/longMA/ShortMA/prevDirection are 1.51875/1.51873171798496/1.51874210771972/-1</t>
  </si>
  <si>
    <t>2015-1-20 16:2:9.461: DirectionIndicator - notify - price/longMA/ShortMA/prevDirection are 1.5188/1.51874413289678/1.51876140514648/-1</t>
  </si>
  <si>
    <t>2015-1-20 16:2:9.759: DirectionIndicator - notify - price/longMA/ShortMA/prevDirection are 1.51875/1.51874519964282/1.51875760343099/-1</t>
  </si>
  <si>
    <t>2015-1-20 16:2:10.557: DirectionIndicator - notify - price/longMA/ShortMA/prevDirection are 1.5187/1.51873698152595/1.51873840228732/-1</t>
  </si>
  <si>
    <t>2015-1-20 16:2:16.292: DirectionIndicator - notify - price/longMA/ShortMA/prevDirection are 1.51875/1.51873934852123/1.51874226819155/-1</t>
  </si>
  <si>
    <t>2015-1-20 16:2:18.265: DirectionIndicator - notify - price/longMA/ShortMA/prevDirection are 1.5188/1.51875037606282/1.5187615121277/-1</t>
  </si>
  <si>
    <t>2015-1-20 16:2:18.339: DirectionIndicator - notify - price/longMA/ShortMA/prevDirection are 1.51885/1.51876848950595/1.51879100808513/-1</t>
  </si>
  <si>
    <t>2015-1-20 16:2:18.857: DirectionIndicator - notify - price/longMA/ShortMA/prevDirection are 1.5188/1.51877421868668/1.51879400539009/1</t>
  </si>
  <si>
    <t>2015-1-20 16:2:19.461: DirectionIndicator - notify - price/longMA/ShortMA/prevDirection are 1.51875/1.5187698152891/1.51877933692673/1</t>
  </si>
  <si>
    <t>2015-1-20 16:2:19.721: DirectionIndicator - notify - price/longMA/ShortMA/prevDirection are 1.5188/1.51877530341836/1.51878622461782/1</t>
  </si>
  <si>
    <t>2015-1-20 16:2:20.396: DirectionIndicator - notify - price/longMA/ShortMA/prevDirection are 1.51875/1.51877070279684/1.51877414974521/1</t>
  </si>
  <si>
    <t>2015-1-20 16:2:20.558: DirectionIndicator - notify - price/longMA/ShortMA/prevDirection are 1.5188/1.51877602956105/1.51878276649681/1</t>
  </si>
  <si>
    <t>2015-1-20 16:2:22.172: Algorithm - FindNextStrikes - price is 1.5188 nextStrikeUp/Down 1.52/1.515</t>
  </si>
  <si>
    <t>2015-1-20 16:2:22.172: Algorithm - getPortfolioForwardDelta - required deltas is 100 currentHedgePosition is 100</t>
  </si>
  <si>
    <t>2015-1-20 16:2:22.173: Algorithm - getHedgeShortfall - required deltas is 100 price is 1.5189 currentHedgePositionDeltas is 100</t>
  </si>
  <si>
    <t>2015-1-20 16:2:22.173: Algorithm - processTransitionPoint - nextUpper/LowerStrikes are 1.52/1.515 requiredDeltas/currentPosition/currentHedgeShortfall/direction/transitionPrice are 100/100/0/1/1.5189</t>
  </si>
  <si>
    <t>2015-1-20 16:2:22.174: TransitionLogger - processTransitionpoint - checking transition - currentHedgeShortfall is 0</t>
  </si>
  <si>
    <t>2015-1-20 16:2:22.175: Algorithm - updatePortfolio - haveAllDetails is True</t>
  </si>
  <si>
    <t>2015-1-20 16:2:22.176: RTWSControl - updatePortfolioEx - An Error Occured Object variable or With block variable not set</t>
  </si>
  <si>
    <t>2015-1-20 16:2:22.216: Algorithm - FindNextStrikes - price is 1.5188 nextStrikeUp/Down 1.52/1.515</t>
  </si>
  <si>
    <t>2015-1-20 16:2:22.217: Algorithm - getPortfolioForwardDelta - required deltas is 100 currentHedgePosition is 100</t>
  </si>
  <si>
    <t>2015-1-20 16:2:22.217: Algorithm - getHedgeShortfall - required deltas is 100 price is 1.5189 currentHedgePositionDeltas is 100</t>
  </si>
  <si>
    <t>2015-1-20 16:2:22.218: Algorithm - processTransitionPoint - nextUpper/LowerStrikes are 1.52/1.515 requiredDeltas/currentPosition/currentHedgeShortfall/direction/transitionPrice are 100/100/0/1/1.5189</t>
  </si>
  <si>
    <t>2015-1-20 16:2:22.218: TransitionLogger - processTransitionpoint - checking transition - currentHedgeShortfall is 0</t>
  </si>
  <si>
    <t>2015-1-20 16:2:22.219: Algorithm - updatePortfolio - haveAllDetails is True</t>
  </si>
  <si>
    <t>2015-1-20 16:2:22.220: RTWSControl - updatePortfolioEx - An Error Occured Object variable or With block variable not set</t>
  </si>
  <si>
    <t>2015-1-20 16:2:22.269: Algorithm - FindNextStrikes - price is 1.5188 nextStrikeUp/Down 1.52/1.515</t>
  </si>
  <si>
    <t>2015-1-20 16:2:22.269: Algorithm - getPortfolioForwardDelta - required deltas is 100 currentHedgePosition is 100</t>
  </si>
  <si>
    <t>2015-1-20 16:2:22.270: Algorithm - getHedgeShortfall - required deltas is 100 price is 1.5189 currentHedgePositionDeltas is 100</t>
  </si>
  <si>
    <t>2015-1-20 16:2:22.270: Algorithm - processTransitionPoint - nextUpper/LowerStrikes are 1.52/1.515 requiredDeltas/currentPosition/currentHedgeShortfall/direction/transitionPrice are 100/100/0/1/1.5189</t>
  </si>
  <si>
    <t>2015-1-20 16:2:22.270: TransitionLogger - processTransitionpoint - checking transition - currentHedgeShortfall is 0</t>
  </si>
  <si>
    <t>2015-1-20 16:2:22.271: Algorithm - updatePortfolio - haveAllDetails is True</t>
  </si>
  <si>
    <t>2015-1-20 16:2:22.272: RTWSControl - updatePortfolioEx - An Error Occured Object variable or With block variable not set</t>
  </si>
  <si>
    <t>2015-1-20 16:2:22.325: Algorithm - FindNextStrikes - price is 1.5188 nextStrikeUp/Down 1.52/1.515</t>
  </si>
  <si>
    <t>2015-1-20 16:2:22.325: Algorithm - getPortfolioForwardDelta - required deltas is 100 currentHedgePosition is 100</t>
  </si>
  <si>
    <t>2015-1-20 16:2:22.326: Algorithm - getHedgeShortfall - required deltas is 100 price is 1.5189 currentHedgePositionDeltas is 100</t>
  </si>
  <si>
    <t>2015-1-20 16:2:22.326: Algorithm - processTransitionPoint - nextUpper/LowerStrikes are 1.52/1.515 requiredDeltas/currentPosition/currentHedgeShortfall/direction/transitionPrice are 100/100/0/1/1.5189</t>
  </si>
  <si>
    <t>2015-1-20 16:2:22.327: TransitionLogger - processTransitionpoint - checking transition - currentHedgeShortfall is 0</t>
  </si>
  <si>
    <t>2015-1-20 16:2:22.328: Algorithm - updatePortfolio - haveAllDetails is True</t>
  </si>
  <si>
    <t>2015-1-20 16:2:22.329: RTWSControl - updatePortfolioEx - An Error Occured Object variable or With block variable not set</t>
  </si>
  <si>
    <t>2015-1-20 16:2:22.391: Algorithm - FindNextStrikes - price is 1.5188 nextStrikeUp/Down 1.52/1.515</t>
  </si>
  <si>
    <t>2015-1-20 16:2:22.391: Algorithm - getPortfolioForwardDelta - required deltas is 100 currentHedgePosition is 100</t>
  </si>
  <si>
    <t>2015-1-20 16:2:22.392: Algorithm - getHedgeShortfall - required deltas is 100 price is 1.5189 currentHedgePositionDeltas is 100</t>
  </si>
  <si>
    <t>2015-1-20 16:2:22.392: Algorithm - processTransitionPoint - nextUpper/LowerStrikes are 1.52/1.515 requiredDeltas/currentPosition/currentHedgeShortfall/direction/transitionPrice are 100/100/0/1/1.5189</t>
  </si>
  <si>
    <t>2015-1-20 16:2:22.392: TransitionLogger - processTransitionpoint - checking transition - currentHedgeShortfall is 0</t>
  </si>
  <si>
    <t>2015-1-20 16:2:22.393: Algorithm - updatePortfolio - haveAllDetails is True</t>
  </si>
  <si>
    <t>2015-1-20 16:2:22.394: RTWSControl - updatePortfolioEx - An Error Occured Object variable or With block variable not set</t>
  </si>
  <si>
    <t>2015-1-20 16:2:22.452: Algorithm - FindNextStrikes - price is 1.5188 nextStrikeUp/Down 1.52/1.515</t>
  </si>
  <si>
    <t>2015-1-20 16:2:22.452: Algorithm - getPortfolioForwardDelta - required deltas is 100 currentHedgePosition is 100</t>
  </si>
  <si>
    <t>2015-1-20 16:2:22.453: Algorithm - getHedgeShortfall - required deltas is 100 price is 1.5189 currentHedgePositionDeltas is 100</t>
  </si>
  <si>
    <t>2015-1-20 16:2:22.453: Algorithm - processTransitionPoint - nextUpper/LowerStrikes are 1.52/1.515 requiredDeltas/currentPosition/currentHedgeShortfall/direction/transitionPrice are 100/100/0/1/1.5189</t>
  </si>
  <si>
    <t>2015-1-20 16:2:22.453: TransitionLogger - processTransitionpoint - checking transition - currentHedgeShortfall is 0</t>
  </si>
  <si>
    <t>2015-1-20 16:2:22.454: Algorithm - updatePortfolio - haveAllDetails is True</t>
  </si>
  <si>
    <t>2015-1-20 16:2:22.456: RTWSControl - updatePortfolioEx - An Error Occured Object variable or With block variable not set</t>
  </si>
  <si>
    <t>2015-1-20 16:2:22.557: DirectionIndicator - notify - price/longMA/ShortMA/prevDirection are 1.51875/1.51877129691359/1.51877184433121/1</t>
  </si>
  <si>
    <t>2015-1-20 16:2:23.504: DirectionIndicator - notify - price/longMA/ShortMA/prevDirection are 1.5188/1.51877651565657/1.51878122955414/1</t>
  </si>
  <si>
    <t>2015-1-20 16:2:25.136: DirectionIndicator - notify - price/longMA/ShortMA/prevDirection are 1.51885/1.51878987644628/1.51880415303609/1</t>
  </si>
  <si>
    <t>2015-1-20 16:2:25.682: DirectionIndicator - notify - price/longMA/ShortMA/prevDirection are 1.5188/1.51879171709241/1.51880276869073/1</t>
  </si>
  <si>
    <t>2015-1-20 16:2:25.755: DirectionIndicator - notify - price/longMA/ShortMA/prevDirection are 1.51875/1.51878413216652/1.51878517912715/1</t>
  </si>
  <si>
    <t>2015-1-20 16:2:29.219: TransitionLogger - flushFile - flushing file</t>
  </si>
  <si>
    <t>2015-1-20 16:2:29.220: TransitionLogger - openTransitionFile - opening file C:\temp\transitionlog_2015-01-20_153021</t>
  </si>
  <si>
    <t>2015-1-20 16:2:39.358: DirectionIndicator - notify - price/longMA/ShortMA/prevDirection are 1.5187/1.51876883540897/1.51875678608477/1</t>
  </si>
  <si>
    <t>2015-1-20 16:2:39.555: DirectionIndicator - notify - price/longMA/ShortMA/prevDirection are 1.51875/1.51876541078916/1.51875452405651/1</t>
  </si>
  <si>
    <t>2015-1-20 16:2:48.87: DirectionIndicator - notify - price/longMA/ShortMA/prevDirection are 1.5187/1.5187535179184/1.51873634937101/1</t>
  </si>
  <si>
    <t>2015-1-20 16:2:49.907: DirectionIndicator - notify - price/longMA/ShortMA/prevDirection are 1.51875/1.51875287829687/1.51874089958067/1</t>
  </si>
  <si>
    <t>2015-1-20 16:3:6.303: TransitionLogger - flushFile - flushing file</t>
  </si>
  <si>
    <t>2015-1-20 16:3:6.305: TransitionLogger - openTransitionFile - opening file C:\temp\transitionlog_2015-01-20_153021</t>
  </si>
  <si>
    <t>2015-1-20 16:3:6.976: DirectionIndicator - notify - price/longMA/ShortMA/prevDirection are 1.5188/1.51876144587926/1.51876059972045/1</t>
  </si>
  <si>
    <t>2015-1-20 16:3:7.49: DirectionIndicator - notify - price/longMA/ShortMA/prevDirection are 1.51885/1.51877754662849/1.51879039981363/1</t>
  </si>
  <si>
    <t>2015-1-20 16:3:7.600: DirectionIndicator - notify - price/longMA/ShortMA/prevDirection are 1.5189/1.51879981087785/1.51882693320909/1</t>
  </si>
  <si>
    <t>2015-1-20 16:3:7.673: DirectionIndicator - notify - price/longMA/ShortMA/prevDirection are 1.51895/1.51882711799097/1.51886795547273/1</t>
  </si>
  <si>
    <t>2015-1-20 16:3:13.305: DirectionIndicator - notify - price/longMA/ShortMA/prevDirection are 1.5189/1.51884036926534/1.51887863698182/1</t>
  </si>
  <si>
    <t>2015-1-20 16:3:19.584: DirectionIndicator - notify - price/longMA/ShortMA/prevDirection are 1.51885/1.518842120308/1.51886909132121/1</t>
  </si>
  <si>
    <t>2015-1-20 16:3:19.839: DirectionIndicator - notify - price/longMA/ShortMA/prevDirection are 1.5189/1.51885264388837/1.51887939421414/1</t>
  </si>
  <si>
    <t>2015-1-20 16:3:20.38: DirectionIndicator - notify - price/longMA/ShortMA/prevDirection are 1.51885/1.51885216318139/1.51886959614276/1</t>
  </si>
  <si>
    <t>2015-1-20 16:3:20.511: DirectionIndicator - notify - price/longMA/ShortMA/prevDirection are 1.5189/1.51886086078477/1.51887973076184/1</t>
  </si>
  <si>
    <t>2015-1-20 16:3:20.591: DirectionIndicator - notify - price/longMA/ShortMA/prevDirection are 1.51895/1.51887706791482/1.51890315384123/1</t>
  </si>
  <si>
    <t>2015-1-20 16:3:21.54: DirectionIndicator - notify - price/longMA/ShortMA/prevDirection are 1.5189/1.51888123738485/1.51890210256082/1</t>
  </si>
  <si>
    <t>2015-1-20 16:3:21.133: DirectionIndicator - notify - price/longMA/ShortMA/prevDirection are 1.51885/1.51887555786033/1.51888473504055/1</t>
  </si>
  <si>
    <t>2015-1-20 16:3:21.761: DirectionIndicator - notify - price/longMA/ShortMA/prevDirection are 1.5189/1.51888000188573/1.51888982336036/1</t>
  </si>
  <si>
    <t>2015-1-20 16:3:22.137: DirectionIndicator - notify - price/longMA/ShortMA/prevDirection are 1.51895/1.51889272881559/1.51890988224024/1</t>
  </si>
  <si>
    <t>2015-1-20 16:3:26.268: DirectionIndicator - notify - price/longMA/ShortMA/prevDirection are 1.519/1.5189122326673/1.51893992149349/1</t>
  </si>
  <si>
    <t>2015-1-20 16:3:26.339: DirectionIndicator - notify - price/longMA/ShortMA/prevDirection are 1.51905/1.51893728127325/1.518976614329/1</t>
  </si>
  <si>
    <t>2015-1-20 16:3:29.113: TransitionLogger - flushFile - flushing file</t>
  </si>
  <si>
    <t>2015-1-20 16:3:29.114: TransitionLogger - openTransitionFile - opening file C:\temp\transitionlog_2015-01-20_153021</t>
  </si>
  <si>
    <t>2015-1-20 16:3:34.704: DirectionIndicator - notify - price/longMA/ShortMA/prevDirection are 1.519/1.51894868467811/1.51898440955266/1</t>
  </si>
  <si>
    <t>2015-1-20 16:3:34.802: DirectionIndicator - notify - price/longMA/ShortMA/prevDirection are 1.51895/1.51894892382755/1.51897293970178/1</t>
  </si>
  <si>
    <t>2015-1-20 16:3:36.310: DirectionIndicator - notify - price/longMA/ShortMA/prevDirection are 1.519/1.51895821040436/1.51898195980118/1</t>
  </si>
  <si>
    <t>2015-1-20 16:3:36.384: DirectionIndicator - notify - price/longMA/ShortMA/prevDirection are 1.51905/1.51897489942175/1.51900463986746/1</t>
  </si>
  <si>
    <t>2015-1-20 16:3:49.981: DirectionIndicator - notify - price/longMA/ShortMA/prevDirection are 1.519/1.51897946316325/1.51900309324497/1</t>
  </si>
  <si>
    <t>2015-1-20 16:3:54.400: DirectionIndicator - notify - price/longMA/ShortMA/prevDirection are 1.51895/1.51897410622447/1.51898539549665/1</t>
  </si>
  <si>
    <t>2015-1-20 16:3:55.67: DirectionIndicator - notify - price/longMA/ShortMA/prevDirection are 1.519/1.51897881418366/1.51899026366443/1</t>
  </si>
  <si>
    <t>2015-1-20 16:4:3.793: DirectionIndicator - notify - price/longMA/ShortMA/prevDirection are 1.51895/1.51897357524118/1.51897684244295/1</t>
  </si>
  <si>
    <t>2015-1-20 16:4:4.432: DirectionIndicator - notify - price/longMA/ShortMA/prevDirection are 1.519/1.51897837974278/1.51898456162864/1</t>
  </si>
  <si>
    <t>2015-1-20 16:4:5.56: DirectionIndicator - notify - price/longMA/ShortMA/prevDirection are 1.51895/1.51897321978955/1.51897304108576/1</t>
  </si>
  <si>
    <t>2015-1-20 16:4:6.49: TransitionLogger - flushFile - flushing file</t>
  </si>
  <si>
    <t>2015-1-20 16:4:6.50: TransitionLogger - openTransitionFile - opening file C:\temp\transitionlog_2015-01-20_153021</t>
  </si>
  <si>
    <t>2015-1-20 16:4:14.303: DirectionIndicator - notify - price/longMA/ShortMA/prevDirection are 1.519/1.51897808891872/1.5189820273905/1</t>
  </si>
  <si>
    <t>2015-1-20 16:4:14.766: DirectionIndicator - notify - price/longMA/ShortMA/prevDirection are 1.51895/1.51897298184259/1.51897135159367/1</t>
  </si>
  <si>
    <t>2015-1-20 16:4:24.433: DirectionIndicator - notify - price/longMA/ShortMA/prevDirection are 1.519/1.51897789423485/1.51898090106245/1</t>
  </si>
  <si>
    <t>2015-1-20 16:4:24.512: DirectionIndicator - notify - price/longMA/ShortMA/prevDirection are 1.51905/1.51899100437397/1.51900393404163/1</t>
  </si>
  <si>
    <t>2015-1-20 16:4:26.729: DirectionIndicator - notify - price/longMA/ShortMA/prevDirection are 1.519/1.51899263994234/1.51900262269442/1</t>
  </si>
  <si>
    <t>2015-1-20 16:4:27.225: DirectionIndicator - notify - price/longMA/ShortMA/prevDirection are 1.51895/1.51898488722555/1.51898508179628/1</t>
  </si>
  <si>
    <t>2015-1-20 16:4:27.355: DirectionIndicator - notify - price/longMA/ShortMA/prevDirection are 1.519/1.51898763500272/1.51899005453085/1</t>
  </si>
  <si>
    <t>2015-1-20 16:4:28.106: DirectionIndicator - notify - price/longMA/ShortMA/prevDirection are 1.51905/1.51899897409313/1.5190100363539/1</t>
  </si>
  <si>
    <t>2015-1-20 16:4:29.50: TransitionLogger - flushFile - flushing file</t>
  </si>
  <si>
    <t>2015-1-20 16:4:29.50: TransitionLogger - openTransitionFile - opening file C:\temp\transitionlog_2015-01-20_153021</t>
  </si>
  <si>
    <t>2015-1-20 16:4:33.56: DirectionIndicator - notify - price/longMA/ShortMA/prevDirection are 1.519/1.51899916062166/1.5190066909026/1</t>
  </si>
  <si>
    <t>2015-1-20 16:4:53.2: DirectionIndicator - notify - price/longMA/ShortMA/prevDirection are 1.51905/1.51900840414499/1.5190211272684/1</t>
  </si>
  <si>
    <t>2015-1-20 16:4:53.887: DirectionIndicator - notify - price/longMA/ShortMA/prevDirection are 1.519/1.51900687611863/1.5190140848456/1</t>
  </si>
  <si>
    <t>2015-1-20 16:5:0.203: DirectionIndicator - notify - price/longMA/ShortMA/prevDirection are 1.51905/1.51901471682433/1.51902605656373/1</t>
  </si>
  <si>
    <t>2015-1-20 16:5:6.78: TransitionLogger - flushFile - flushing file</t>
  </si>
  <si>
    <t>2015-1-20 16:5:6.79: TransitionLogger - openTransitionFile - opening file C:\temp\transitionlog_2015-01-20_153021</t>
  </si>
  <si>
    <t>2015-1-20 16:5:17.182: DirectionIndicator - notify - price/longMA/ShortMA/prevDirection are 1.519/1.51901204103809/1.51901737104249/1</t>
  </si>
  <si>
    <t>2015-1-20 16:5:18.275: DirectionIndicator - notify - price/longMA/ShortMA/prevDirection are 1.51895/1.51900076084935/1.51899491402833/1</t>
  </si>
  <si>
    <t>2015-1-20 16:5:19.222: DirectionIndicator - notify - price/longMA/ShortMA/prevDirection are 1.519/1.5190006225131/1.51899660935222/1</t>
  </si>
  <si>
    <t>2015-1-20 16:5:22.23: Algorithm - FindNextStrikes - price is 1.519 nextStrikeUp/Down 1.52/1.515</t>
  </si>
  <si>
    <t>2015-1-20 16:5:22.23: Algorithm - getPortfolioForwardDelta - required deltas is 100 currentHedgePosition is 100</t>
  </si>
  <si>
    <t>2015-1-20 16:5:22.25: Algorithm - getHedgeShortfall - required deltas is 100 price is 1.5191 currentHedgePositionDeltas is 100</t>
  </si>
  <si>
    <t>2015-1-20 16:5:22.25: Algorithm - processTransitionPoint - nextUpper/LowerStrikes are 1.52/1.515 requiredDeltas/currentPosition/currentHedgeShortfall/direction/transitionPrice are 100/100/0/1/1.5191</t>
  </si>
  <si>
    <t>2015-1-20 16:5:22.26: TransitionLogger - processTransitionpoint - checking transition - currentHedgeShortfall is 0</t>
  </si>
  <si>
    <t>2015-1-20 16:5:22.27: Algorithm - updatePortfolio - haveAllDetails is True</t>
  </si>
  <si>
    <t>2015-1-20 16:5:22.28: RTWSControl - updatePortfolioEx - An Error Occured Object variable or With block variable not set</t>
  </si>
  <si>
    <t>2015-1-20 16:5:22.70: Algorithm - FindNextStrikes - price is 1.519 nextStrikeUp/Down 1.52/1.515</t>
  </si>
  <si>
    <t>2015-1-20 16:5:22.70: Algorithm - getPortfolioForwardDelta - required deltas is 100 currentHedgePosition is 100</t>
  </si>
  <si>
    <t>2015-1-20 16:5:22.71: Algorithm - getHedgeShortfall - required deltas is 100 price is 1.5191 currentHedgePositionDeltas is 100</t>
  </si>
  <si>
    <t>2015-1-20 16:5:22.71: Algorithm - processTransitionPoint - nextUpper/LowerStrikes are 1.52/1.515 requiredDeltas/currentPosition/currentHedgeShortfall/direction/transitionPrice are 100/100/0/1/1.5191</t>
  </si>
  <si>
    <t>2015-1-20 16:5:22.72: TransitionLogger - processTransitionpoint - checking transition - currentHedgeShortfall is 0</t>
  </si>
  <si>
    <t>2015-1-20 16:5:22.73: Algorithm - updatePortfolio - haveAllDetails is True</t>
  </si>
  <si>
    <t>2015-1-20 16:5:22.74: RTWSControl - updatePortfolioEx - An Error Occured Object variable or With block variable not set</t>
  </si>
  <si>
    <t>2015-1-20 16:5:22.117: Algorithm - FindNextStrikes - price is 1.519 nextStrikeUp/Down 1.52/1.515</t>
  </si>
  <si>
    <t>2015-1-20 16:5:22.117: Algorithm - getPortfolioForwardDelta - required deltas is 100 currentHedgePosition is 100</t>
  </si>
  <si>
    <t>2015-1-20 16:5:22.118: Algorithm - getHedgeShortfall - required deltas is 100 price is 1.5191 currentHedgePositionDeltas is 100</t>
  </si>
  <si>
    <t>2015-1-20 16:5:22.118: Algorithm - processTransitionPoint - nextUpper/LowerStrikes are 1.52/1.515 requiredDeltas/currentPosition/currentHedgeShortfall/direction/transitionPrice are 100/100/0/1/1.5191</t>
  </si>
  <si>
    <t>2015-1-20 16:5:22.118: TransitionLogger - processTransitionpoint - checking transition - currentHedgeShortfall is 0</t>
  </si>
  <si>
    <t>2015-1-20 16:5:22.119: Algorithm - updatePortfolio - haveAllDetails is True</t>
  </si>
  <si>
    <t>2015-1-20 16:5:22.121: RTWSControl - updatePortfolioEx - An Error Occured Object variable or With block variable not set</t>
  </si>
  <si>
    <t>2015-1-20 16:5:22.191: Algorithm - FindNextStrikes - price is 1.519 nextStrikeUp/Down 1.52/1.515</t>
  </si>
  <si>
    <t>2015-1-20 16:5:22.192: Algorithm - getPortfolioForwardDelta - required deltas is 100 currentHedgePosition is 100</t>
  </si>
  <si>
    <t>2015-1-20 16:5:22.192: Algorithm - getHedgeShortfall - required deltas is 100 price is 1.5191 currentHedgePositionDeltas is 100</t>
  </si>
  <si>
    <t>2015-1-20 16:5:22.193: Algorithm - processTransitionPoint - nextUpper/LowerStrikes are 1.52/1.515 requiredDeltas/currentPosition/currentHedgeShortfall/direction/transitionPrice are 100/100/0/1/1.5191</t>
  </si>
  <si>
    <t>2015-1-20 16:5:22.193: TransitionLogger - processTransitionpoint - checking transition - currentHedgeShortfall is 0</t>
  </si>
  <si>
    <t>2015-1-20 16:5:22.194: Algorithm - updatePortfolio - haveAllDetails is True</t>
  </si>
  <si>
    <t>2015-1-20 16:5:22.195: RTWSControl - updatePortfolioEx - An Error Occured Object variable or With block variable not set</t>
  </si>
  <si>
    <t>2015-1-20 16:5:22.252: Algorithm - FindNextStrikes - price is 1.519 nextStrikeUp/Down 1.52/1.515</t>
  </si>
  <si>
    <t>2015-1-20 16:5:22.252: Algorithm - getPortfolioForwardDelta - required deltas is 100 currentHedgePosition is 100</t>
  </si>
  <si>
    <t>2015-1-20 16:5:22.253: Algorithm - getHedgeShortfall - required deltas is 100 price is 1.5191 currentHedgePositionDeltas is 100</t>
  </si>
  <si>
    <t>2015-1-20 16:5:22.253: Algorithm - processTransitionPoint - nextUpper/LowerStrikes are 1.52/1.515 requiredDeltas/currentPosition/currentHedgeShortfall/direction/transitionPrice are 100/100/0/1/1.5191</t>
  </si>
  <si>
    <t>2015-1-20 16:5:22.253: TransitionLogger - processTransitionpoint - checking transition - currentHedgeShortfall is 0</t>
  </si>
  <si>
    <t>2015-1-20 16:5:22.254: Algorithm - updatePortfolio - haveAllDetails is True</t>
  </si>
  <si>
    <t>2015-1-20 16:5:22.256: RTWSControl - updatePortfolioEx - An Error Occured Object variable or With block variable not set</t>
  </si>
  <si>
    <t>2015-1-20 16:5:22.318: Algorithm - FindNextStrikes - price is 1.519 nextStrikeUp/Down 1.52/1.515</t>
  </si>
  <si>
    <t>2015-1-20 16:5:22.319: Algorithm - getPortfolioForwardDelta - required deltas is 100 currentHedgePosition is 100</t>
  </si>
  <si>
    <t>2015-1-20 16:5:22.319: Algorithm - getHedgeShortfall - required deltas is 100 price is 1.5191 currentHedgePositionDeltas is 100</t>
  </si>
  <si>
    <t>2015-1-20 16:5:22.320: Algorithm - processTransitionPoint - nextUpper/LowerStrikes are 1.52/1.515 requiredDeltas/currentPosition/currentHedgeShortfall/direction/transitionPrice are 100/100/0/1/1.5191</t>
  </si>
  <si>
    <t>2015-1-20 16:5:22.320: TransitionLogger - processTransitionpoint - checking transition - currentHedgeShortfall is 0</t>
  </si>
  <si>
    <t>2015-1-20 16:5:22.321: Algorithm - updatePortfolio - haveAllDetails is True</t>
  </si>
  <si>
    <t>2015-1-20 16:5:22.322: RTWSControl - updatePortfolioEx - An Error Occured Object variable or With block variable not set</t>
  </si>
  <si>
    <t>2015-1-20 16:5:29.440: TransitionLogger - flushFile - flushing file</t>
  </si>
  <si>
    <t>2015-1-20 16:5:29.442: TransitionLogger - openTransitionFile - opening file C:\temp\transitionlog_2015-01-20_153021</t>
  </si>
  <si>
    <t>2015-1-20 16:5:30.384: DirectionIndicator - notify - price/longMA/ShortMA/prevDirection are 1.51905/1.51900960023799/1.51901440623481/1</t>
  </si>
  <si>
    <t>2015-1-20 16:5:31.566: DirectionIndicator - notify - price/longMA/ShortMA/prevDirection are 1.519/1.51900785474018/1.51900960415654/1</t>
  </si>
  <si>
    <t>2015-1-20 16:5:36.308: DirectionIndicator - notify - price/longMA/ShortMA/prevDirection are 1.51895/1.51899733569651/1.51898973610436/1</t>
  </si>
  <si>
    <t>2015-1-20 16:5:37.290: DirectionIndicator - notify - price/longMA/ShortMA/prevDirection are 1.519/1.51899782011532/1.51899315740291/1</t>
  </si>
  <si>
    <t>2015-1-20 16:5:40.138: DirectionIndicator - notify - price/longMA/ShortMA/prevDirection are 1.51895/1.5189891255489/1.51897877160194/1</t>
  </si>
  <si>
    <t>2015-1-20 16:5:44.779: DirectionIndicator - notify - price/longMA/ShortMA/prevDirection are 1.5189/1.51897292090365/1.51895251440129/1</t>
  </si>
  <si>
    <t>2015-1-20 16:5:48.439: DirectionIndicator - notify - price/longMA/ShortMA/prevDirection are 1.51885/1.51895057164844/1.51891834293419/-1</t>
  </si>
  <si>
    <t>2015-1-20 16:5:48.768: DirectionIndicator - notify - price/longMA/ShortMA/prevDirection are 1.5188/1.51892319498509/1.51887889528946/-1</t>
  </si>
  <si>
    <t>2015-1-20 16:5:48.821: DirectionIndicator - notify - price/longMA/ShortMA/prevDirection are 1.51875/1.5188917049878/1.51883593019298/-1</t>
  </si>
  <si>
    <t>2015-1-20 16:5:49.817: DirectionIndicator - notify - price/longMA/ShortMA/prevDirection are 1.5188/1.51887503135365/1.51882395346198/-1</t>
  </si>
  <si>
    <t>2015-1-20 16:5:49.891: DirectionIndicator - notify - price/longMA/ShortMA/prevDirection are 1.51885/1.51887048019844/1.51883263564132/-1</t>
  </si>
  <si>
    <t>2015-1-20 16:5:51.600: DirectionIndicator - notify - price/longMA/ShortMA/prevDirection are 1.5188/1.51885766561691/1.51882175709421/-1</t>
  </si>
  <si>
    <t>2015-1-20 16:5:52.189: DirectionIndicator - notify - price/longMA/ShortMA/prevDirection are 1.51875/1.5188380900502/1.51879783806281/-1</t>
  </si>
  <si>
    <t>2015-1-20 16:5:58.166: DirectionIndicator - notify - price/longMA/ShortMA/prevDirection are 1.5187/1.51881298276834/1.51876522537521/-1</t>
  </si>
  <si>
    <t>2015-1-20 16:5:58.606: DirectionIndicator - notify - price/longMA/ShortMA/prevDirection are 1.51865/1.51878334953774/1.5187268169168/-1</t>
  </si>
  <si>
    <t>2015-1-20 16:5:58.730: DirectionIndicator - notify - price/longMA/ShortMA/prevDirection are 1.5187/1.51876819507633/1.51871787794454/-1</t>
  </si>
  <si>
    <t>2015-1-20 16:5:58.821: DirectionIndicator - notify - price/longMA/ShortMA/prevDirection are 1.51865/1.51874670506245/1.51869525196302/-1</t>
  </si>
  <si>
    <t>2015-1-20 16:5:59.111: DirectionIndicator - notify - price/longMA/ShortMA/prevDirection are 1.5187/1.51873821323291/1.51869683464202/-1</t>
  </si>
  <si>
    <t>2015-1-20 16:5:59.185: DirectionIndicator - notify - price/longMA/ShortMA/prevDirection are 1.51875/1.51874035628148/1.51871455642801/-1</t>
  </si>
  <si>
    <t>2015-1-20 16:5:59.389: DirectionIndicator - notify - price/longMA/ShortMA/prevDirection are 1.5187/1.51873301877575/1.51870970428534/-1</t>
  </si>
  <si>
    <t>2015-1-20 16:6:2.121: DirectionIndicator - notify - price/longMA/ShortMA/prevDirection are 1.51875/1.51873610627107/1.51872313619023/-1</t>
  </si>
  <si>
    <t>2015-1-20 16:6:6.28: TransitionLogger - flushFile - flushing file</t>
  </si>
  <si>
    <t>2015-1-20 16:6:6.29: TransitionLogger - openTransitionFile - opening file C:\temp\transitionlog_2015-01-20_153021</t>
  </si>
  <si>
    <t>2015-1-20 16:6:20.990: DirectionIndicator - notify - price/longMA/ShortMA/prevDirection are 1.5188/1.51874772331269/1.51874875746015/-1</t>
  </si>
  <si>
    <t>2015-1-20 16:6:23.540: DirectionIndicator - notify - price/longMA/ShortMA/prevDirection are 1.51875/1.51874813725584/1.5187491716401/-1</t>
  </si>
  <si>
    <t>2015-1-20 16:6:29.1: TransitionLogger - flushFile - flushing file</t>
  </si>
  <si>
    <t>2015-1-20 16:6:29.1: TransitionLogger - openTransitionFile - opening file C:\temp\transitionlog_2015-01-20_153021</t>
  </si>
  <si>
    <t>2015-1-20 16:6:40.900: DirectionIndicator - notify - price/longMA/ShortMA/prevDirection are 1.5187/1.51873938502751/1.5187327810934/-1</t>
  </si>
  <si>
    <t>2015-1-20 16:6:43.302: DirectionIndicator - notify - price/longMA/ShortMA/prevDirection are 1.51865/1.51872313320432/1.5187051873956/-1</t>
  </si>
  <si>
    <t>2015-1-20 16:6:44.145: DirectionIndicator - notify - price/longMA/ShortMA/prevDirection are 1.5187/1.51871892716717/1.51870345826373/-1</t>
  </si>
  <si>
    <t>2015-1-20 16:6:49.433: DirectionIndicator - notify - price/longMA/ShortMA/prevDirection are 1.51865/1.51870639495496/1.51868563884249/-1</t>
  </si>
  <si>
    <t>2015-1-20 16:6:49.997: DirectionIndicator - notify - price/longMA/ShortMA/prevDirection are 1.5187/1.51870523223588/1.51869042589499/-1</t>
  </si>
  <si>
    <t>2015-1-20 16:6:50.150: DirectionIndicator - notify - price/longMA/ShortMA/prevDirection are 1.51865/1.51869519001117/1.51867695059666/-1</t>
  </si>
  <si>
    <t>2015-1-20 16:6:50.942: DirectionIndicator - notify - price/longMA/ShortMA/prevDirection are 1.5187/1.51869606455459/1.51868463373111/-1</t>
  </si>
  <si>
    <t>2015-1-20 16:6:52.181: DirectionIndicator - notify - price/longMA/ShortMA/prevDirection are 1.51875/1.51870587099921/1.51870642248741/-1</t>
  </si>
  <si>
    <t>2015-1-20 16:6:52.523: DirectionIndicator - notify - price/longMA/ShortMA/prevDirection are 1.5188/1.51872298536299/1.5187376149916/-1</t>
  </si>
  <si>
    <t>2015-1-20 16:7:6.23: TransitionLogger - flushFile - flushing file</t>
  </si>
  <si>
    <t>2015-1-20 16:7:6.26: TransitionLogger - openTransitionFile - opening file C:\temp\transitionlog_2015-01-20_153021</t>
  </si>
  <si>
    <t>2015-1-20 16:7:7.582: DirectionIndicator - notify - price/longMA/ShortMA/prevDirection are 1.51875/1.51872789711518/1.51874174332774/-1</t>
  </si>
  <si>
    <t>2015-1-20 16:7:8.107: DirectionIndicator - notify - price/longMA/ShortMA/prevDirection are 1.5188/1.5187410067306/1.51876116221849/-1</t>
  </si>
  <si>
    <t>2015-1-20 16:7:8.159: DirectionIndicator - notify - price/longMA/ShortMA/prevDirection are 1.51885/1.51876082368867/1.51879077481233/1</t>
  </si>
  <si>
    <t>2015-1-20 16:7:8.947: DirectionIndicator - notify - price/longMA/ShortMA/prevDirection are 1.5188/1.51876794665437/1.51879384987488/1</t>
  </si>
  <si>
    <t>2015-1-20 16:7:11.589: DirectionIndicator - notify - price/longMA/ShortMA/prevDirection are 1.51875/1.5187646836263/1.51877923324992/1</t>
  </si>
  <si>
    <t>2015-1-20 16:7:15.1: DirectionIndicator - notify - price/longMA/ShortMA/prevDirection are 1.5188/1.51877110478516/1.51878615549995/1</t>
  </si>
  <si>
    <t>2015-1-20 16:7:29.387: TransitionLogger - flushFile - flushing file</t>
  </si>
  <si>
    <t>2015-1-20 16:7:29.389: TransitionLogger - openTransitionFile - opening file C:\temp\transitionlog_2015-01-20_153021</t>
  </si>
  <si>
    <t>2015-1-20 16:7:31.50: DirectionIndicator - notify - price/longMA/ShortMA/prevDirection are 1.51885/1.51878544936967/1.51880743699997/1</t>
  </si>
  <si>
    <t>2015-1-20 16:7:33.983: DirectionIndicator - notify - price/longMA/ShortMA/prevDirection are 1.5188/1.51878809493882/1.51880495799998/1</t>
  </si>
  <si>
    <t>2015-1-20 16:7:34.291: DirectionIndicator - notify - price/longMA/ShortMA/prevDirection are 1.51885/1.51879935040449/1.51881997199998/1</t>
  </si>
  <si>
    <t>2015-1-20 16:7:35.647: DirectionIndicator - notify - price/longMA/ShortMA/prevDirection are 1.5189/1.51881765033095/1.51884664799999/1</t>
  </si>
  <si>
    <t>2015-1-20 16:7:36.110: DirectionIndicator - notify - price/longMA/ShortMA/prevDirection are 1.51895/1.51884171390714/1.51888109866666/1</t>
  </si>
  <si>
    <t>2015-1-20 16:7:36.857: DirectionIndicator - notify - price/longMA/ShortMA/prevDirection are 1.519/1.51887049319675/1.51892073244444/1</t>
  </si>
  <si>
    <t>2015-1-20 16:7:36.910: DirectionIndicator - notify - price/longMA/ShortMA/prevDirection are 1.51905/1.51890313079734/1.51896382162963/1</t>
  </si>
  <si>
    <t>2015-1-20 16:7:38.629: DirectionIndicator - notify - price/longMA/ShortMA/prevDirection are 1.5191/1.51893892519782/1.51900921441975/1</t>
  </si>
  <si>
    <t>2015-1-20 16:7:38.737: DirectionIndicator - notify - price/longMA/ShortMA/prevDirection are 1.51915/1.51897730243458/1.5190561429465/1</t>
  </si>
  <si>
    <t>2015-1-20 16:7:39.445: DirectionIndicator - notify - price/longMA/ShortMA/prevDirection are 1.5191/1.51899961108284/1.51907076196433/1</t>
  </si>
  <si>
    <t>2015-1-20 16:7:41.648: DirectionIndicator - notify - price/longMA/ShortMA/prevDirection are 1.51905/1.51900877270414/1.51906384130956/1</t>
  </si>
  <si>
    <t>2015-1-20 16:7:41.743: DirectionIndicator - notify - price/longMA/ShortMA/prevDirection are 1.5191/1.51902535948521/1.51907589420637/1</t>
  </si>
  <si>
    <t>2015-1-20 16:7:41.947: DirectionIndicator - notify - price/longMA/ShortMA/prevDirection are 1.51905/1.51902983957881/1.51906726280425/1</t>
  </si>
  <si>
    <t>2015-1-20 16:7:43.87: DirectionIndicator - notify - price/longMA/ShortMA/prevDirection are 1.5191/1.51904259601902/1.51907817520283/1</t>
  </si>
  <si>
    <t>2015-1-20 16:7:47.460: DirectionIndicator - notify - price/longMA/ShortMA/prevDirection are 1.51905/1.51904394219738/1.51906878346855/1</t>
  </si>
  <si>
    <t>2015-1-20 16:7:50.355: DirectionIndicator - notify - price/longMA/ShortMA/prevDirection are 1.5191/1.51905413452513/1.51907918897904/1</t>
  </si>
  <si>
    <t>2015-1-20 16:7:53.617: DirectionIndicator - notify - price/longMA/ShortMA/prevDirection are 1.51915/1.51907156461147/1.51910279265269/1</t>
  </si>
  <si>
    <t>2015-1-20 16:8:2.78: DirectionIndicator - notify - price/longMA/ShortMA/prevDirection are 1.5191/1.51907673468211/1.51910186176846/1</t>
  </si>
  <si>
    <t>2015-1-20 16:8:2.608: DirectionIndicator - notify - price/longMA/ShortMA/prevDirection are 1.51905/1.51907187383082/1.51908457451231/1</t>
  </si>
  <si>
    <t>2015-1-20 16:8:2.705: DirectionIndicator - notify - price/longMA/ShortMA/prevDirection are 1.5191/1.51907698767976/1.51908971634154/1</t>
  </si>
  <si>
    <t>2015-1-20 16:8:3.620: DirectionIndicator - notify - price/longMA/ShortMA/prevDirection are 1.51915/1.51909026264708/1.51910981089436/1</t>
  </si>
  <si>
    <t>2015-1-20 16:8:4.498: DirectionIndicator - notify - price/longMA/ShortMA/prevDirection are 1.5192/1.51911021489306/1.51913987392957/1</t>
  </si>
  <si>
    <t>2015-1-20 16:8:5.614: DirectionIndicator - notify - price/longMA/ShortMA/prevDirection are 1.51915/1.51911744854887/1.51914324928638/1</t>
  </si>
  <si>
    <t>2015-1-20 16:8:6.28: TransitionLogger - flushFile - flushing file</t>
  </si>
  <si>
    <t>2015-1-20 16:8:6.28: TransitionLogger - openTransitionFile - opening file C:\temp\transitionlog_2015-01-20_153021</t>
  </si>
  <si>
    <t>2015-1-20 16:8:7.508: DirectionIndicator - notify - price/longMA/ShortMA/prevDirection are 1.5192/1.51913245790362/1.51916216619092/1</t>
  </si>
  <si>
    <t>2015-1-20 16:8:7.608: DirectionIndicator - notify - price/longMA/ShortMA/prevDirection are 1.51925/1.51915382919387/1.51919144412728/1</t>
  </si>
  <si>
    <t>2015-1-20 16:8:8.240: DirectionIndicator - notify - price/longMA/ShortMA/prevDirection are 1.5192/1.51916222388589/1.51919429608485/1</t>
  </si>
  <si>
    <t>2015-1-20 16:8:8.993: DirectionIndicator - notify - price/longMA/ShortMA/prevDirection are 1.51915/1.51916000136119/1.51917953072324/1</t>
  </si>
  <si>
    <t>2015-1-20 16:8:9.526: DirectionIndicator - notify - price/longMA/ShortMA/prevDirection are 1.5191/1.51914909202279/1.51915302048216/1</t>
  </si>
  <si>
    <t>2015-1-20 16:8:10.309: DirectionIndicator - notify - price/longMA/ShortMA/prevDirection are 1.51905/1.51913107529137/1.51911868032144/1</t>
  </si>
  <si>
    <t>2015-1-20 16:8:21.912: Algorithm - FindNextStrikes - price is 1.51905 nextStrikeUp/Down 1.52/1.515</t>
  </si>
  <si>
    <t>2015-1-20 16:8:21.913: Algorithm - getPortfolioForwardDelta - required deltas is 100 currentHedgePosition is 100</t>
  </si>
  <si>
    <t>2015-1-20 16:8:21.913: Algorithm - getHedgeShortfall - required deltas is 100 price is 1.51915 currentHedgePositionDeltas is 100</t>
  </si>
  <si>
    <t>2015-1-20 16:8:21.914: Algorithm - processTransitionPoint - nextUpper/LowerStrikes are 1.52/1.515 requiredDeltas/currentPosition/currentHedgeShortfall/direction/transitionPrice are 100/100/0/1/1.51915</t>
  </si>
  <si>
    <t>2015-1-20 16:8:21.914: TransitionLogger - processTransitionpoint - checking transition - currentHedgeShortfall is 0</t>
  </si>
  <si>
    <t>2015-1-20 16:8:21.915: Algorithm - updatePortfolio - haveAllDetails is True</t>
  </si>
  <si>
    <t>2015-1-20 16:8:21.917: RTWSControl - updatePortfolioEx - An Error Occured Object variable or With block variable not set</t>
  </si>
  <si>
    <t>2015-1-20 16:8:21.963: Algorithm - FindNextStrikes - price is 1.51905 nextStrikeUp/Down 1.52/1.515</t>
  </si>
  <si>
    <t>2015-1-20 16:8:21.963: Algorithm - getPortfolioForwardDelta - required deltas is 100 currentHedgePosition is 100</t>
  </si>
  <si>
    <t>2015-1-20 16:8:21.964: Algorithm - getHedgeShortfall - required deltas is 100 price is 1.51915 currentHedgePositionDeltas is 100</t>
  </si>
  <si>
    <t>2015-1-20 16:8:21.964: Algorithm - processTransitionPoint - nextUpper/LowerStrikes are 1.52/1.515 requiredDeltas/currentPosition/currentHedgeShortfall/direction/transitionPrice are 100/100/0/1/1.51915</t>
  </si>
  <si>
    <t>2015-1-20 16:8:21.964: TransitionLogger - processTransitionpoint - checking transition - currentHedgeShortfall is 0</t>
  </si>
  <si>
    <t>2015-1-20 16:8:21.965: Algorithm - updatePortfolio - haveAllDetails is True</t>
  </si>
  <si>
    <t>2015-1-20 16:8:21.967: RTWSControl - updatePortfolioEx - An Error Occured Object variable or With block variable not set</t>
  </si>
  <si>
    <t>2015-1-20 16:8:22.36: Algorithm - FindNextStrikes - price is 1.51905 nextStrikeUp/Down 1.52/1.515</t>
  </si>
  <si>
    <t>2015-1-20 16:8:22.36: Algorithm - getPortfolioForwardDelta - required deltas is 100 currentHedgePosition is 100</t>
  </si>
  <si>
    <t>2015-1-20 16:8:22.37: Algorithm - getHedgeShortfall - required deltas is 100 price is 1.51915 currentHedgePositionDeltas is 100</t>
  </si>
  <si>
    <t>2015-1-20 16:8:22.37: Algorithm - processTransitionPoint - nextUpper/LowerStrikes are 1.52/1.515 requiredDeltas/currentPosition/currentHedgeShortfall/direction/transitionPrice are 100/100/0/1/1.51915</t>
  </si>
  <si>
    <t>2015-1-20 16:8:22.37: TransitionLogger - processTransitionpoint - checking transition - currentHedgeShortfall is 0</t>
  </si>
  <si>
    <t>2015-1-20 16:8:22.38: Algorithm - updatePortfolio - haveAllDetails is True</t>
  </si>
  <si>
    <t>2015-1-20 16:8:22.39: RTWSControl - updatePortfolioEx - An Error Occured Object variable or With block variable not set</t>
  </si>
  <si>
    <t>2015-1-20 16:8:22.93: Algorithm - FindNextStrikes - price is 1.51905 nextStrikeUp/Down 1.52/1.515</t>
  </si>
  <si>
    <t>2015-1-20 16:8:22.94: Algorithm - getPortfolioForwardDelta - required deltas is 100 currentHedgePosition is 100</t>
  </si>
  <si>
    <t>2015-1-20 16:8:22.94: Algorithm - getHedgeShortfall - required deltas is 100 price is 1.51915 currentHedgePositionDeltas is 100</t>
  </si>
  <si>
    <t>2015-1-20 16:8:22.95: Algorithm - processTransitionPoint - nextUpper/LowerStrikes are 1.52/1.515 requiredDeltas/currentPosition/currentHedgeShortfall/direction/transitionPrice are 100/100/0/1/1.51915</t>
  </si>
  <si>
    <t>2015-1-20 16:8:22.95: TransitionLogger - processTransitionpoint - checking transition - currentHedgeShortfall is 0</t>
  </si>
  <si>
    <t>2015-1-20 16:8:22.96: Algorithm - updatePortfolio - haveAllDetails is True</t>
  </si>
  <si>
    <t>2015-1-20 16:8:22.97: RTWSControl - updatePortfolioEx - An Error Occured Object variable or With block variable not set</t>
  </si>
  <si>
    <t>2015-1-20 16:8:23.965: DirectionIndicator - notify - price/longMA/ShortMA/prevDirection are 1.5191/1.5191254252384/1.51911245354763/1</t>
  </si>
  <si>
    <t>2015-1-20 16:8:24.82: DirectionIndicator - notify - price/longMA/ShortMA/prevDirection are 1.51915/1.51912989337687/1.51912496903175/1</t>
  </si>
  <si>
    <t>2015-1-20 16:8:26.316: DirectionIndicator - notify - price/longMA/ShortMA/prevDirection are 1.5191/1.51912445821744/1.51911664602117/1</t>
  </si>
  <si>
    <t>2015-1-20 16:8:27.260: DirectionIndicator - notify - price/longMA/ShortMA/prevDirection are 1.51905/1.51911092035972/1.51909443068078/1</t>
  </si>
  <si>
    <t>2015-1-20 16:8:28.69: DirectionIndicator - notify - price/longMA/ShortMA/prevDirection are 1.5191/1.51910893483977/1.51909628712052/1</t>
  </si>
  <si>
    <t>2015-1-20 16:8:28.150: DirectionIndicator - notify - price/longMA/ShortMA/prevDirection are 1.51915/1.51911640123254/1.51911419141368/1</t>
  </si>
  <si>
    <t>2015-1-20 16:8:28.448: DirectionIndicator - notify - price/longMA/ShortMA/prevDirection are 1.5191/1.51911341919026/1.51910946094245/1</t>
  </si>
  <si>
    <t>2015-1-20 16:8:29.10: TransitionLogger - flushFile - flushing file</t>
  </si>
  <si>
    <t>2015-1-20 16:8:29.11: TransitionLogger - openTransitionFile - opening file C:\temp\transitionlog_2015-01-20_153021</t>
  </si>
  <si>
    <t>2015-1-20 16:8:38.988: DirectionIndicator - notify - price/longMA/ShortMA/prevDirection are 1.51905/1.5191018884284/1.5190896406283/1</t>
  </si>
  <si>
    <t>2015-1-20 16:8:42.865: DirectionIndicator - notify - price/longMA/ShortMA/prevDirection are 1.519/1.5190833632596/1.51905976041887/1</t>
  </si>
  <si>
    <t>2015-1-20 16:8:42.945: DirectionIndicator - notify - price/longMA/ShortMA/prevDirection are 1.51895/1.51905911539422/1.51902317361258/-1</t>
  </si>
  <si>
    <t>2015-1-20 16:8:43.461: DirectionIndicator - notify - price/longMA/ShortMA/prevDirection are 1.519/1.51904836714072/1.51901544907505/-1</t>
  </si>
  <si>
    <t>2015-1-20 16:8:43.526: DirectionIndicator - notify - price/longMA/ShortMA/prevDirection are 1.51905/1.51904866402423/1.51902696605003/-1</t>
  </si>
  <si>
    <t>2015-1-20 16:8:43.698: DirectionIndicator - notify - price/longMA/ShortMA/prevDirection are 1.519/1.51903981601982/1.51901797736669/-1</t>
  </si>
  <si>
    <t>2015-1-20 16:8:44.865: DirectionIndicator - notify - price/longMA/ShortMA/prevDirection are 1.51905/1.51904166765258/1.51902865157779/-1</t>
  </si>
  <si>
    <t>2015-1-20 16:8:51.81: DirectionIndicator - notify - price/longMA/ShortMA/prevDirection are 1.519/1.51903409171575/1.51901910105186/-1</t>
  </si>
  <si>
    <t>2015-1-20 16:8:53.328: DirectionIndicator - notify - price/longMA/ShortMA/prevDirection are 1.51905/1.51903698413107/1.51902940070124/-1</t>
  </si>
  <si>
    <t>2015-1-20 16:8:53.863: DirectionIndicator - notify - price/longMA/ShortMA/prevDirection are 1.519/1.5190302597436/1.51901960046749/-1</t>
  </si>
  <si>
    <t>2015-1-20 16:8:54.32: DirectionIndicator - notify - price/longMA/ShortMA/prevDirection are 1.51905/1.51903384888113/1.519029733645/-1</t>
  </si>
  <si>
    <t>2015-1-20 16:8:55.892: DirectionIndicator - notify - price/longMA/ShortMA/prevDirection are 1.519/1.5190276945391/1.51901982243/-1</t>
  </si>
  <si>
    <t>2015-1-20 16:9:6.259: TransitionLogger - flushFile - flushing file</t>
  </si>
  <si>
    <t>2015-1-20 16:9:6.260: TransitionLogger - openTransitionFile - opening file C:\temp\transitionlog_2015-01-20_153021</t>
  </si>
  <si>
    <t>2015-1-20 16:9:11.986: DirectionIndicator - notify - price/longMA/ShortMA/prevDirection are 1.51895/1.51901356825927/1.51899654828666/-1</t>
  </si>
  <si>
    <t>2015-1-20 16:9:16.738: DirectionIndicator - notify - price/longMA/ShortMA/prevDirection are 1.519/1.51901110130304/1.51899769885778/-1</t>
  </si>
  <si>
    <t>2015-1-20 16:9:16.822: DirectionIndicator - notify - price/longMA/ShortMA/prevDirection are 1.51905/1.51901817379339/1.51901513257185/-1</t>
  </si>
  <si>
    <t>2015-1-20 16:9:18.496: DirectionIndicator - notify - price/longMA/ShortMA/prevDirection are 1.519/1.51901486946732/1.51901008838123/-1</t>
  </si>
  <si>
    <t>2015-1-20 16:9:20.418: DirectionIndicator - notify - price/longMA/ShortMA/prevDirection are 1.51905/1.5190212568369/1.51902339225416/-1</t>
  </si>
  <si>
    <t>2015-1-20 16:9:23.709: DirectionIndicator - notify - price/longMA/ShortMA/prevDirection are 1.519/1.51901739195746/1.5190155948361/-1</t>
  </si>
  <si>
    <t>2015-1-20 16:9:29.224: TransitionLogger - flushFile - flushing file</t>
  </si>
  <si>
    <t>2015-1-20 16:9:29.224: TransitionLogger - openTransitionFile - opening file C:\temp\transitionlog_2015-01-20_153021</t>
  </si>
  <si>
    <t>2015-1-20 16:9:31.237: DirectionIndicator - notify - price/longMA/ShortMA/prevDirection are 1.51905/1.51902332069247/1.51902706322407/-1</t>
  </si>
  <si>
    <t>2015-1-20 16:9:37.291: DirectionIndicator - notify - price/longMA/ShortMA/prevDirection are 1.519/1.51901908056657/1.51901804214938/-1</t>
  </si>
  <si>
    <t>2015-1-20 16:9:40.914: DirectionIndicator - notify - price/longMA/ShortMA/prevDirection are 1.51895/1.51900652046355/1.51899536143292/-1</t>
  </si>
  <si>
    <t>2015-1-20 16:9:42.430: DirectionIndicator - notify - price/longMA/ShortMA/prevDirection are 1.519/1.51900533492473/1.51899690762195/-1</t>
  </si>
  <si>
    <t>2015-1-20 16:9:44.785: DirectionIndicator - notify - price/longMA/ShortMA/prevDirection are 1.51895/1.51899527402932/1.51898127174796/-1</t>
  </si>
  <si>
    <t>2015-1-20 16:9:44.910: DirectionIndicator - notify - price/longMA/ShortMA/prevDirection are 1.519/1.51899613329672/1.51898751449864/-1</t>
  </si>
  <si>
    <t>2015-1-20 16:9:46.34: DirectionIndicator - notify - price/longMA/ShortMA/prevDirection are 1.51905/1.51900592724277/1.5190083429991/-1</t>
  </si>
  <si>
    <t>2015-1-20 16:9:54.159: DirectionIndicator - notify - price/longMA/ShortMA/prevDirection are 1.519/1.51900484956227/1.5190055619994/-1</t>
  </si>
  <si>
    <t>2015-1-20 16:9:54.210: DirectionIndicator - notify - price/longMA/ShortMA/prevDirection are 1.51895/1.51899487691458/1.51898704133293/-1</t>
  </si>
  <si>
    <t>2015-1-20 16:10:6.164: TransitionLogger - flushFile - flushing file</t>
  </si>
  <si>
    <t>2015-1-20 16:10:6.165: TransitionLogger - openTransitionFile - opening file C:\temp\transitionlog_2015-01-20_153021</t>
  </si>
  <si>
    <t>2015-1-20 16:10:8.399: DirectionIndicator - notify - price/longMA/ShortMA/prevDirection are 1.519/1.51899580838466/1.51899136088862/-1</t>
  </si>
  <si>
    <t>2015-1-20 16:10:9.557: DirectionIndicator - notify - price/longMA/ShortMA/prevDirection are 1.51905/1.51900566140563/1.51901090725908/-1</t>
  </si>
  <si>
    <t>2015-1-20 16:10:10.196: DirectionIndicator - notify - price/longMA/ShortMA/prevDirection are 1.519/1.51900463205915/1.51900727150605/-1</t>
  </si>
  <si>
    <t>2015-1-20 16:10:10.356: DirectionIndicator - notify - price/longMA/ShortMA/prevDirection are 1.51895/1.51899469895749/1.51898818100404/-1</t>
  </si>
  <si>
    <t>2015-1-20 16:10:11.319: DirectionIndicator - notify - price/longMA/ShortMA/prevDirection are 1.519/1.5189956627834/1.51899212066936/-1</t>
  </si>
  <si>
    <t>2015-1-20 16:10:11.747: DirectionIndicator - notify - price/longMA/ShortMA/prevDirection are 1.51895/1.51898736045914/1.51897808044624/-1</t>
  </si>
  <si>
    <t>2015-1-20 16:10:11.955: DirectionIndicator - notify - price/longMA/ShortMA/prevDirection are 1.519/1.51898965855748/1.51898538696416/-1</t>
  </si>
  <si>
    <t>2015-1-20 16:10:12.326: DirectionIndicator - notify - price/longMA/ShortMA/prevDirection are 1.51905/1.51900062972885/1.51900692464277/-1</t>
  </si>
  <si>
    <t>2015-1-20 16:10:18.135: DirectionIndicator - notify - price/longMA/ShortMA/prevDirection are 1.519/1.51900051523269/1.51900461642851/-1</t>
  </si>
  <si>
    <t>2015-1-20 16:10:21.595: DirectionIndicator - notify - price/longMA/ShortMA/prevDirection are 1.51895/1.51899133064493/1.51898641095234/-1</t>
  </si>
  <si>
    <t>2015-1-20 16:10:21.805: DirectionIndicator - notify - price/longMA/ShortMA/prevDirection are 1.519/1.51899290689131/1.5189909406349/-1</t>
  </si>
  <si>
    <t>2015-1-20 16:10:25.707: DirectionIndicator - notify - price/longMA/ShortMA/prevDirection are 1.51895/1.51898510563834/1.5189772937566/-1</t>
  </si>
  <si>
    <t>2015-1-20 16:10:26.197: DirectionIndicator - notify - price/longMA/ShortMA/prevDirection are 1.519/1.5189878137041/1.5189848625044/-1</t>
  </si>
  <si>
    <t>2015-1-20 16:10:26.837: DirectionIndicator - notify - price/longMA/ShortMA/prevDirection are 1.51905/1.51899912030335/1.51900657500293/-1</t>
  </si>
  <si>
    <t>2015-1-20 16:10:27.405: DirectionIndicator - notify - price/longMA/ShortMA/prevDirection are 1.519/1.5189992802482/1.51900438333529/-1</t>
  </si>
  <si>
    <t>2015-1-20 16:10:29.93: TransitionLogger - flushFile - flushing file</t>
  </si>
  <si>
    <t>2015-1-20 16:10:29.94: TransitionLogger - openTransitionFile - opening file C:\temp\transitionlog_2015-01-20_153021</t>
  </si>
  <si>
    <t>2015-1-20 16:10:31.313: DirectionIndicator - notify - price/longMA/ShortMA/prevDirection are 1.51905/1.51900850202125/1.51901958889019/-1</t>
  </si>
  <si>
    <t>2015-1-20 16:10:32.248: DirectionIndicator - notify - price/longMA/ShortMA/prevDirection are 1.519/1.51900695619921/1.51901305926013/-1</t>
  </si>
  <si>
    <t>2015-1-20 16:10:32.327: DirectionIndicator - notify - price/longMA/ShortMA/prevDirection are 1.51895/1.51899660052662/1.51899203950675/-1</t>
  </si>
  <si>
    <t>2015-1-20 16:10:35.759: DirectionIndicator - notify - price/longMA/ShortMA/prevDirection are 1.519/1.51899721861269/1.5189946930045/-1</t>
  </si>
  <si>
    <t>2015-1-20 16:10:35.824: DirectionIndicator - notify - price/longMA/ShortMA/prevDirection are 1.51905/1.51900681522857/1.51901312866967/-1</t>
  </si>
  <si>
    <t>2015-1-20 16:10:36.478: DirectionIndicator - notify - price/longMA/ShortMA/prevDirection are 1.5191/1.51902375791428/1.51904208577978/-1</t>
  </si>
  <si>
    <t>2015-1-20 16:10:37.965: DirectionIndicator - notify - price/longMA/ShortMA/prevDirection are 1.51905/1.51902852920259/1.51904472385319/-1</t>
  </si>
  <si>
    <t>2015-1-20 16:10:40.353: DirectionIndicator - notify - price/longMA/ShortMA/prevDirection are 1.519/1.51902334207485/1.51902981590212/-1</t>
  </si>
  <si>
    <t>2015-1-20 16:10:44.951: DirectionIndicator - notify - price/longMA/ShortMA/prevDirection are 1.51905/1.51902818897033/1.51903654393475/-1</t>
  </si>
  <si>
    <t>2015-1-20 16:10:50.339: DirectionIndicator - notify - price/longMA/ShortMA/prevDirection are 1.5191/1.51904124552118/1.5190576959565/-1</t>
  </si>
  <si>
    <t>2015-1-20 16:10:53.210: DirectionIndicator - notify - price/longMA/ShortMA/prevDirection are 1.51915/1.51906101906278/1.519088463971/-1</t>
  </si>
  <si>
    <t>2015-1-20 16:10:55.168: DirectionIndicator - notify - price/longMA/ShortMA/prevDirection are 1.5191/1.51906810650591/1.519092309314/1</t>
  </si>
  <si>
    <t>2015-1-20 16:10:58.500: DirectionIndicator - notify - price/longMA/ShortMA/prevDirection are 1.51905/1.51906481441393/1.51907820620933/1</t>
  </si>
  <si>
    <t>2015-1-20 16:11:0.52: DirectionIndicator - notify - price/longMA/ShortMA/prevDirection are 1.519/1.51905302997503/1.51905213747289/1</t>
  </si>
  <si>
    <t>2015-1-20 16:11:0.598: DirectionIndicator - notify - price/longMA/ShortMA/prevDirection are 1.51895/1.5190342972523/1.51901809164859/1</t>
  </si>
  <si>
    <t>2015-1-20 16:11:5.212: DirectionIndicator - notify - price/longMA/ShortMA/prevDirection are 1.5189/1.51900987957006/1.51897872776573/1</t>
  </si>
  <si>
    <t>2015-1-20 16:11:5.285: DirectionIndicator - notify - price/longMA/ShortMA/prevDirection are 1.51885/1.51898081055732/1.51893581851049/-1</t>
  </si>
  <si>
    <t>2015-1-20 16:11:6.212: TransitionLogger - flushFile - flushing file</t>
  </si>
  <si>
    <t>2015-1-20 16:11:6.213: TransitionLogger - openTransitionFile - opening file C:\temp\transitionlog_2015-01-20_153021</t>
  </si>
  <si>
    <t>2015-1-20 16:11:8.625: DirectionIndicator - notify - price/longMA/ShortMA/prevDirection are 1.5188/1.51894793591054/1.51889054567366/-1</t>
  </si>
  <si>
    <t>2015-1-20 16:11:8.672: DirectionIndicator - notify - price/longMA/ShortMA/prevDirection are 1.51875/1.51891194756317/1.51884369711577/-1</t>
  </si>
  <si>
    <t>2015-1-20 16:11:9.47: DirectionIndicator - notify - price/longMA/ShortMA/prevDirection are 1.5188/1.51889159346077/1.51882913141051/-1</t>
  </si>
  <si>
    <t>2015-1-20 16:11:12.715: DirectionIndicator - notify - price/longMA/ShortMA/prevDirection are 1.51885/1.51888403101336/1.51883608760701/-1</t>
  </si>
  <si>
    <t>2015-1-20 16:11:17.840: DirectionIndicator - notify - price/longMA/ShortMA/prevDirection are 1.5188/1.51886875264729/1.51882405840467/-1</t>
  </si>
  <si>
    <t>2015-1-20 16:11:19.370: DirectionIndicator - notify - price/longMA/ShortMA/prevDirection are 1.51875/1.51884716125688/1.51879937226978/-1</t>
  </si>
  <si>
    <t>2015-1-20 16:11:20.295: DirectionIndicator - notify - price/longMA/ShortMA/prevDirection are 1.5187/1.51882040466472/1.51876624817985/-1</t>
  </si>
  <si>
    <t>2015-1-20 16:11:22.298: Algorithm - FindNextStrikes - price is 1.5187 nextStrikeUp/Down 1.52/1.515</t>
  </si>
  <si>
    <t>2015-1-20 16:11:22.298: Algorithm - getPortfolioForwardDelta - required deltas is 100 currentHedgePosition is 100</t>
  </si>
  <si>
    <t>2015-1-20 16:11:22.299: Algorithm - getHedgeShortfall - required deltas is 100 price is 1.5186 currentHedgePositionDeltas is 100</t>
  </si>
  <si>
    <t>2015-1-20 16:11:22.299: Algorithm - processTransitionPoint - nextUpper/LowerStrikes are 1.52/1.515 requiredDeltas/currentPosition/currentHedgeShortfall/direction/transitionPrice are 100/100/0/-1/1.5186</t>
  </si>
  <si>
    <t>2015-1-20 16:11:22.300: TransitionLogger - processTransitionpoint - checking transition - currentHedgeShortfall is 0</t>
  </si>
  <si>
    <t>2015-1-20 16:11:22.301: Algorithm - updatePortfolio - haveAllDetails is True</t>
  </si>
  <si>
    <t>2015-1-20 16:11:22.302: RTWSControl - updatePortfolioEx - An Error Occured Object variable or With block variable not set</t>
  </si>
  <si>
    <t>2015-1-20 16:11:22.343: Algorithm - FindNextStrikes - price is 1.5187 nextStrikeUp/Down 1.52/1.515</t>
  </si>
  <si>
    <t>2015-1-20 16:11:22.343: Algorithm - getPortfolioForwardDelta - required deltas is 100 currentHedgePosition is 100</t>
  </si>
  <si>
    <t>2015-1-20 16:11:22.344: Algorithm - getHedgeShortfall - required deltas is 100 price is 1.5186 currentHedgePositionDeltas is 100</t>
  </si>
  <si>
    <t>2015-1-20 16:11:22.344: Algorithm - processTransitionPoint - nextUpper/LowerStrikes are 1.52/1.515 requiredDeltas/currentPosition/currentHedgeShortfall/direction/transitionPrice are 100/100/0/-1/1.5186</t>
  </si>
  <si>
    <t>2015-1-20 16:11:22.344: TransitionLogger - processTransitionpoint - checking transition - currentHedgeShortfall is 0</t>
  </si>
  <si>
    <t>2015-1-20 16:11:22.345: Algorithm - updatePortfolio - haveAllDetails is True</t>
  </si>
  <si>
    <t>2015-1-20 16:11:22.347: RTWSControl - updatePortfolioEx - An Error Occured Object variable or With block variable not set</t>
  </si>
  <si>
    <t>2015-1-20 16:11:22.413: Algorithm - FindNextStrikes - price is 1.5187 nextStrikeUp/Down 1.52/1.515</t>
  </si>
  <si>
    <t>2015-1-20 16:11:22.414: Algorithm - getPortfolioForwardDelta - required deltas is 100 currentHedgePosition is 100</t>
  </si>
  <si>
    <t>2015-1-20 16:11:22.414: Algorithm - getHedgeShortfall - required deltas is 100 price is 1.5186 currentHedgePositionDeltas is 100</t>
  </si>
  <si>
    <t>2015-1-20 16:11:22.415: Algorithm - processTransitionPoint - nextUpper/LowerStrikes are 1.52/1.515 requiredDeltas/currentPosition/currentHedgeShortfall/direction/transitionPrice are 100/100/0/-1/1.5186</t>
  </si>
  <si>
    <t>2015-1-20 16:11:22.415: TransitionLogger - processTransitionpoint - checking transition - currentHedgeShortfall is 0</t>
  </si>
  <si>
    <t>2015-1-20 16:11:22.416: Algorithm - updatePortfolio - haveAllDetails is True</t>
  </si>
  <si>
    <t>2015-1-20 16:11:22.417: RTWSControl - updatePortfolioEx - An Error Occured Object variable or With block variable not set</t>
  </si>
  <si>
    <t>2015-1-20 16:11:22.474: Algorithm - FindNextStrikes - price is 1.5187 nextStrikeUp/Down 1.52/1.515</t>
  </si>
  <si>
    <t>2015-1-20 16:11:22.475: Algorithm - getPortfolioForwardDelta - required deltas is 100 currentHedgePosition is 100</t>
  </si>
  <si>
    <t>2015-1-20 16:11:22.475: Algorithm - getHedgeShortfall - required deltas is 100 price is 1.5186 currentHedgePositionDeltas is 100</t>
  </si>
  <si>
    <t>2015-1-20 16:11:22.476: Algorithm - processTransitionPoint - nextUpper/LowerStrikes are 1.52/1.515 requiredDeltas/currentPosition/currentHedgeShortfall/direction/transitionPrice are 100/100/0/-1/1.5186</t>
  </si>
  <si>
    <t>2015-1-20 16:11:22.476: TransitionLogger - processTransitionpoint - checking transition - currentHedgeShortfall is 0</t>
  </si>
  <si>
    <t>2015-1-20 16:11:22.477: Algorithm - updatePortfolio - haveAllDetails is True</t>
  </si>
  <si>
    <t>2015-1-20 16:11:22.478: RTWSControl - updatePortfolioEx - An Error Occured Object variable or With block variable not set</t>
  </si>
  <si>
    <t>2015-1-20 16:11:22.521: Algorithm - FindNextStrikes - price is 1.5187 nextStrikeUp/Down 1.52/1.515</t>
  </si>
  <si>
    <t>2015-1-20 16:11:22.522: Algorithm - getPortfolioForwardDelta - required deltas is 100 currentHedgePosition is 100</t>
  </si>
  <si>
    <t>2015-1-20 16:11:22.522: Algorithm - getHedgeShortfall - required deltas is 100 price is 1.5186 currentHedgePositionDeltas is 100</t>
  </si>
  <si>
    <t>2015-1-20 16:11:22.523: Algorithm - processTransitionPoint - nextUpper/LowerStrikes are 1.52/1.515 requiredDeltas/currentPosition/currentHedgeShortfall/direction/transitionPrice are 100/100/0/-1/1.5186</t>
  </si>
  <si>
    <t>2015-1-20 16:11:22.523: TransitionLogger - processTransitionpoint - checking transition - currentHedgeShortfall is 0</t>
  </si>
  <si>
    <t>2015-1-20 16:11:22.524: Algorithm - updatePortfolio - haveAllDetails is True</t>
  </si>
  <si>
    <t>2015-1-20 16:11:22.525: RTWSControl - updatePortfolioEx - An Error Occured Object variable or With block variable not set</t>
  </si>
  <si>
    <t>2015-1-20 16:11:22.588: Algorithm - FindNextStrikes - price is 1.5187 nextStrikeUp/Down 1.52/1.515</t>
  </si>
  <si>
    <t>2015-1-20 16:11:22.589: Algorithm - getPortfolioForwardDelta - required deltas is 100 currentHedgePosition is 100</t>
  </si>
  <si>
    <t>2015-1-20 16:11:22.589: Algorithm - getHedgeShortfall - required deltas is 100 price is 1.5186 currentHedgePositionDeltas is 100</t>
  </si>
  <si>
    <t>2015-1-20 16:11:22.590: Algorithm - processTransitionPoint - nextUpper/LowerStrikes are 1.52/1.515 requiredDeltas/currentPosition/currentHedgeShortfall/direction/transitionPrice are 100/100/0/-1/1.5186</t>
  </si>
  <si>
    <t>2015-1-20 16:11:22.590: TransitionLogger - processTransitionpoint - checking transition - currentHedgeShortfall is 0</t>
  </si>
  <si>
    <t>2015-1-20 16:11:22.591: Algorithm - updatePortfolio - haveAllDetails is True</t>
  </si>
  <si>
    <t>2015-1-20 16:11:22.592: RTWSControl - updatePortfolioEx - An Error Occured Object variable or With block variable not set</t>
  </si>
  <si>
    <t>2015-1-20 16:11:22.680: DirectionIndicator - notify - price/longMA/ShortMA/prevDirection are 1.51875/1.51880760381659/1.5187608321199/-1</t>
  </si>
  <si>
    <t>2015-1-20 16:11:23.165: DirectionIndicator - notify - price/longMA/ShortMA/prevDirection are 1.51865/1.51877894857721/1.51872388807994/-1</t>
  </si>
  <si>
    <t>2015-1-20 16:11:23.245: DirectionIndicator - notify - price/longMA/ShortMA/prevDirection are 1.5186/1.51874641247226/1.51868259205329/-1</t>
  </si>
  <si>
    <t>2015-1-20 16:11:23.792: DirectionIndicator - notify - price/longMA/ShortMA/prevDirection are 1.51855/1.51871070111367/1.51863839470219/-1</t>
  </si>
  <si>
    <t>2015-1-20 16:11:26.8: DirectionIndicator - notify - price/longMA/ShortMA/prevDirection are 1.5186/1.51869057363846/1.51862559646813/-1</t>
  </si>
  <si>
    <t>2015-1-20 16:11:27.48: DirectionIndicator - notify - price/longMA/ShortMA/prevDirection are 1.51855/1.5186650147951/1.51860039764542/-1</t>
  </si>
  <si>
    <t>2015-1-20 16:11:27.453: DirectionIndicator - notify - price/longMA/ShortMA/prevDirection are 1.5186/1.51865319392326/1.51860026509695/-1</t>
  </si>
  <si>
    <t>2015-1-20 16:11:27.548: DirectionIndicator - notify - price/longMA/ShortMA/prevDirection are 1.51855/1.51863443139176/1.51858351006463/-1</t>
  </si>
  <si>
    <t>2015-1-20 16:11:28.995: DirectionIndicator - notify - price/longMA/ShortMA/prevDirection are 1.5185/1.51860998932053/1.51855567337642/-1</t>
  </si>
  <si>
    <t>2015-1-20 16:11:29.38: TransitionLogger - flushFile - flushing file</t>
  </si>
  <si>
    <t>2015-1-20 16:11:29.38: TransitionLogger - openTransitionFile - opening file C:\temp\transitionlog_2015-01-20_153021</t>
  </si>
  <si>
    <t>2015-1-20 16:11:29.51: DirectionIndicator - notify - price/longMA/ShortMA/prevDirection are 1.51845/1.51858090035316/1.51852044891761/-1</t>
  </si>
  <si>
    <t>2015-1-20 16:11:29.912: DirectionIndicator - notify - price/longMA/ShortMA/prevDirection are 1.5185/1.51856619119804/1.51851363261174/-1</t>
  </si>
  <si>
    <t>2015-1-20 16:11:30.334: DirectionIndicator - notify - price/longMA/ShortMA/prevDirection are 1.51845/1.51854506552567/1.51849242174116/-1</t>
  </si>
  <si>
    <t>2015-1-20 16:11:33.90: DirectionIndicator - notify - price/longMA/ShortMA/prevDirection are 1.5185/1.51853687179373/1.51849494782744/-1</t>
  </si>
  <si>
    <t>2015-1-20 16:11:33.536: DirectionIndicator - notify - price/longMA/ShortMA/prevDirection are 1.51855/1.51853925874033/1.51851329855163/-1</t>
  </si>
  <si>
    <t>2015-1-20 16:11:33.948: DirectionIndicator - notify - price/longMA/ShortMA/prevDirection are 1.5185/1.51853212078754/1.51850886570108/-1</t>
  </si>
  <si>
    <t>2015-1-20 16:11:36.105: DirectionIndicator - notify - price/longMA/ShortMA/prevDirection are 1.51845/1.51851718973526/1.51848924380072/-1</t>
  </si>
  <si>
    <t>2015-1-20 16:11:37.279: DirectionIndicator - notify - price/longMA/ShortMA/prevDirection are 1.5185/1.51851406432885/1.51849282920048/-1</t>
  </si>
  <si>
    <t>2015-1-20 16:11:37.341: DirectionIndicator - notify - price/longMA/ShortMA/prevDirection are 1.51855/1.51852059808724/1.51851188613365/-1</t>
  </si>
  <si>
    <t>2015-1-20 16:11:38.739: DirectionIndicator - notify - price/longMA/ShortMA/prevDirection are 1.5185/1.51851685298047/1.5185079240891/-1</t>
  </si>
  <si>
    <t>2015-1-20 16:11:41.812: DirectionIndicator - notify - price/longMA/ShortMA/prevDirection are 1.51855/1.51852287971129/1.51852194939274/-1</t>
  </si>
  <si>
    <t>2015-1-20 16:11:42.668: DirectionIndicator - notify - price/longMA/ShortMA/prevDirection are 1.5186/1.51853690158197/1.51854796626182/-1</t>
  </si>
  <si>
    <t>2015-1-20 16:11:50.373: DirectionIndicator - notify - price/longMA/ShortMA/prevDirection are 1.51865/1.5185574649307/1.51858197750788/-1</t>
  </si>
  <si>
    <t>2015-1-20 16:11:51.327: DirectionIndicator - notify - price/longMA/ShortMA/prevDirection are 1.5186/1.51856519857966/1.51858798500525/1</t>
  </si>
  <si>
    <t>2015-1-20 16:11:53.113: DirectionIndicator - notify - price/longMA/ShortMA/prevDirection are 1.51855/1.51856243520154/1.51857532333684/1</t>
  </si>
  <si>
    <t>2015-1-20 16:12:1.834: DirectionIndicator - notify - price/longMA/ShortMA/prevDirection are 1.5186/1.5185692651649/1.51858354889122/1</t>
  </si>
  <si>
    <t>2015-1-20 16:12:3.569: DirectionIndicator - notify - price/longMA/ShortMA/prevDirection are 1.51855/1.51856576240764/1.51857236592748/1</t>
  </si>
  <si>
    <t>2015-1-20 16:12:3.842: DirectionIndicator - notify - price/longMA/ShortMA/prevDirection are 1.5185/1.51855380560625/1.51854824395166/1</t>
  </si>
  <si>
    <t>2015-1-20 16:12:4.432: DirectionIndicator - notify - price/longMA/ShortMA/prevDirection are 1.51855/1.51855311367784/1.5185488293011/1</t>
  </si>
  <si>
    <t>2015-1-20 16:12:6.10: TransitionLogger - flushFile - flushing file</t>
  </si>
  <si>
    <t>2015-1-20 16:12:6.11: TransitionLogger - openTransitionFile - opening file C:\temp\transitionlog_2015-01-20_153021</t>
  </si>
  <si>
    <t>2015-1-20 16:12:7.22: DirectionIndicator - notify - price/longMA/ShortMA/prevDirection are 1.5185/1.51854345664551/1.5185325528674/1</t>
  </si>
  <si>
    <t>2015-1-20 16:12:7.503: DirectionIndicator - notify - price/longMA/ShortMA/prevDirection are 1.51855/1.51854464634633/1.51853836857827/1</t>
  </si>
  <si>
    <t>2015-1-20 16:12:9.790: DirectionIndicator - notify - price/longMA/ShortMA/prevDirection are 1.5185/1.51853652882881/1.51852557905218/1</t>
  </si>
  <si>
    <t>2015-1-20 16:12:10.206: DirectionIndicator - notify - price/longMA/ShortMA/prevDirection are 1.51855/1.51853897813266/1.51853371936812/1</t>
  </si>
  <si>
    <t>2015-1-20 16:12:12.173: DirectionIndicator - notify - price/longMA/ShortMA/prevDirection are 1.5186/1.51855007301763/1.51855581291208/1</t>
  </si>
  <si>
    <t>2015-1-20 16:12:12.223: DirectionIndicator - notify - price/longMA/ShortMA/prevDirection are 1.51865/1.51856824155988/1.51858720860805/1</t>
  </si>
  <si>
    <t>2015-1-20 16:12:12.631: DirectionIndicator - notify - price/longMA/ShortMA/prevDirection are 1.5186/1.51857401582172/1.51859147240537/1</t>
  </si>
  <si>
    <t>2015-1-20 16:12:17.930: DirectionIndicator - notify - price/longMA/ShortMA/prevDirection are 1.51855/1.51856964930868/1.51857764827025/1</t>
  </si>
  <si>
    <t>2015-1-20 16:12:24.430: DirectionIndicator - notify - price/longMA/ShortMA/prevDirection are 1.5186/1.51857516761619/1.51858509884683/1</t>
  </si>
  <si>
    <t>2015-1-20 16:12:29.496: TransitionLogger - flushFile - flushing file</t>
  </si>
  <si>
    <t>2015-1-20 16:12:29.498: TransitionLogger - openTransitionFile - opening file C:\temp\transitionlog_2015-01-20_153021</t>
  </si>
  <si>
    <t>2015-1-20 16:12:29.762: DirectionIndicator - notify - price/longMA/ShortMA/prevDirection are 1.51855/1.51857059168598/1.51857339923122/1</t>
  </si>
  <si>
    <t>2015-1-20 16:12:32.696: DirectionIndicator - notify - price/longMA/ShortMA/prevDirection are 1.5186/1.51857593865216/1.51858226615415/1</t>
  </si>
  <si>
    <t>2015-1-20 16:12:33.557: DirectionIndicator - notify - price/longMA/ShortMA/prevDirection are 1.51865/1.51858940435177/1.51860484410276/1</t>
  </si>
  <si>
    <t>2015-1-20 16:12:34.129: DirectionIndicator - notify - price/longMA/ShortMA/prevDirection are 1.5186/1.51859133083327/1.51860322940184/1</t>
  </si>
  <si>
    <t>2015-1-20 16:12:39.217: DirectionIndicator - notify - price/longMA/ShortMA/prevDirection are 1.51865/1.51860199795449/1.51861881960123/1</t>
  </si>
  <si>
    <t>2015-1-20 16:12:40.675: DirectionIndicator - notify - price/longMA/ShortMA/prevDirection are 1.5186/1.51860163469004/1.51861254640082/1</t>
  </si>
  <si>
    <t>2015-1-20 16:12:41.171: DirectionIndicator - notify - price/longMA/ShortMA/prevDirection are 1.51865/1.51861042838276/1.51862503093388/1</t>
  </si>
  <si>
    <t>2015-1-20 16:12:41.461: DirectionIndicator - notify - price/longMA/ShortMA/prevDirection are 1.5186/1.51860853231317/1.51861668728925/1</t>
  </si>
  <si>
    <t>2015-1-20 16:12:44.383: DirectionIndicator - notify - price/longMA/ShortMA/prevDirection are 1.51865/1.51861607189259/1.51862779152617/1</t>
  </si>
  <si>
    <t>2015-1-20 16:12:49.297: DirectionIndicator - notify - price/longMA/ShortMA/prevDirection are 1.5186/1.5186131497303/1.51861852768411/1</t>
  </si>
  <si>
    <t>2015-1-20 16:12:50.340: DirectionIndicator - notify - price/longMA/ShortMA/prevDirection are 1.51855/1.51860166796116/1.51859568512274/1</t>
  </si>
  <si>
    <t>2015-1-20 16:12:52.343: DirectionIndicator - notify - price/longMA/ShortMA/prevDirection are 1.5185/1.51858318287731/1.51856379008183/1</t>
  </si>
  <si>
    <t>2015-1-20 16:12:54.713: DirectionIndicator - notify - price/longMA/ShortMA/prevDirection are 1.51855/1.51857714962689/1.51855919338789/1</t>
  </si>
  <si>
    <t>2015-1-20 16:12:55.375: DirectionIndicator - notify - price/longMA/ShortMA/prevDirection are 1.5185/1.518563122422/1.51853946225859/1</t>
  </si>
  <si>
    <t>2015-1-20 16:13:3.130: DirectionIndicator - notify - price/longMA/ShortMA/prevDirection are 1.51855/1.51856073652709/1.51854297483906/-1</t>
  </si>
  <si>
    <t>2015-1-20 16:13:4.548: DirectionIndicator - notify - price/longMA/ShortMA/prevDirection are 1.5185/1.51854969352217/1.51852864989271/-1</t>
  </si>
  <si>
    <t>2015-1-20 16:13:8.477: TransitionLogger - flushFile - flushing file</t>
  </si>
  <si>
    <t>2015-1-20 16:13:8.478: TransitionLogger - openTransitionFile - opening file C:\temp\transitionlog_2015-01-20_153021</t>
  </si>
  <si>
    <t>2015-1-20 16:13:9.152: DirectionIndicator - notify - price/longMA/ShortMA/prevDirection are 1.51855/1.51854974924541/1.51853576659514/-1</t>
  </si>
  <si>
    <t>2015-1-20 16:13:16.917: DirectionIndicator - notify - price/longMA/ShortMA/prevDirection are 1.5185/1.51854070392806/1.51852384439676/-1</t>
  </si>
  <si>
    <t>2015-1-20 16:13:16.970: DirectionIndicator - notify - price/longMA/ShortMA/prevDirection are 1.51845/1.51852421230478/1.51849922959784/-1</t>
  </si>
  <si>
    <t>2015-1-20 16:13:28.950: DirectionIndicator - notify - price/longMA/ShortMA/prevDirection are 1.5184/1.51850162824936/1.51846615306523/-1</t>
  </si>
  <si>
    <t>2015-1-20 16:13:29.20: TransitionLogger - flushFile - flushing file</t>
  </si>
  <si>
    <t>2015-1-20 16:13:29.21: TransitionLogger - openTransitionFile - opening file C:\temp\transitionlog_2015-01-20_153021</t>
  </si>
  <si>
    <t>2015-1-20 16:13:29.45: DirectionIndicator - notify - price/longMA/ShortMA/prevDirection are 1.51835/1.51847405947675/1.51842743537682/-1</t>
  </si>
  <si>
    <t>2015-1-20 16:13:29.674: DirectionIndicator - notify - price/longMA/ShortMA/prevDirection are 1.5183/1.51844241229916/1.51838495691788/-1</t>
  </si>
  <si>
    <t>2015-1-20 16:13:29.752: DirectionIndicator - notify - price/longMA/ShortMA/prevDirection are 1.51825/1.51840742824477/1.51833997127859/-1</t>
  </si>
  <si>
    <t>2015-1-20 16:13:30.756: DirectionIndicator - notify - price/longMA/ShortMA/prevDirection are 1.51815/1.51832976601509/1.51824554279048/-1</t>
  </si>
  <si>
    <t>2015-1-20 16:13:31.960: DirectionIndicator - notify - price/longMA/ShortMA/prevDirection are 1.5181/1.51828799037598/1.51819702852699/-1</t>
  </si>
  <si>
    <t>2015-1-20 16:13:32.303: DirectionIndicator - notify - price/longMA/ShortMA/prevDirection are 1.51805/1.51824471939853/1.51814801901799/-1</t>
  </si>
  <si>
    <t>2015-1-20 16:13:32.378: DirectionIndicator - notify - price/longMA/ShortMA/prevDirection are 1.51795/1.51819113405335/1.51808201267866/-1</t>
  </si>
  <si>
    <t>2015-1-20 16:13:33.132: DirectionIndicator - notify - price/longMA/ShortMA/prevDirection are 1.518/1.51815638240728/1.51805467511911/-1</t>
  </si>
  <si>
    <t>2015-1-20 16:13:33.381: DirectionIndicator - notify - price/longMA/ShortMA/prevDirection are 1.51805/1.51813704015141/1.51805311674607/-1</t>
  </si>
  <si>
    <t>2015-1-20 16:13:33.753: DirectionIndicator - notify - price/longMA/ShortMA/prevDirection are 1.5181/1.51813030557843/1.51806874449738/-1</t>
  </si>
  <si>
    <t>2015-1-20 16:13:35.91: DirectionIndicator - notify - price/longMA/ShortMA/prevDirection are 1.51805/1.51811570456417/1.51806249633159/-1</t>
  </si>
  <si>
    <t>2015-1-20 16:13:35.424: DirectionIndicator - notify - price/longMA/ShortMA/prevDirection are 1.5181/1.51811284918887/1.51807499755439/-1</t>
  </si>
  <si>
    <t>2015-1-20 16:13:36.212: DirectionIndicator - notify - price/longMA/ShortMA/prevDirection are 1.51815/1.5181196038818/1.51809999836959/-1</t>
  </si>
  <si>
    <t>2015-1-20 16:13:38.715: DirectionIndicator - notify - price/longMA/ShortMA/prevDirection are 1.5182/1.51813422135784/1.5181333322464/-1</t>
  </si>
  <si>
    <t>2015-1-20 16:13:38.795: DirectionIndicator - notify - price/longMA/ShortMA/prevDirection are 1.51825/1.51815527202005/1.5181722214976/-1</t>
  </si>
  <si>
    <t>2015-1-20 16:13:40.591: DirectionIndicator - notify - price/longMA/ShortMA/prevDirection are 1.5182/1.51816340438004/1.5181814809984/-1</t>
  </si>
  <si>
    <t>2015-1-20 16:13:40.650: DirectionIndicator - notify - price/longMA/ShortMA/prevDirection are 1.51815/1.51816096722003/1.51817098733227/-1</t>
  </si>
  <si>
    <t>2015-1-20 16:13:43.552: DirectionIndicator - notify - price/longMA/ShortMA/prevDirection are 1.5181/1.51814988227093/1.51814732488818/-1</t>
  </si>
  <si>
    <t>2015-1-20 16:13:44.518: DirectionIndicator - notify - price/longMA/ShortMA/prevDirection are 1.51805/1.51813172185804/1.51811488325878/-1</t>
  </si>
  <si>
    <t>2015-1-20 16:13:45.3: DirectionIndicator - notify - price/longMA/ShortMA/prevDirection are 1.5181/1.51812595424749/1.51810992217252/-1</t>
  </si>
  <si>
    <t>2015-1-20 16:13:46.507: DirectionIndicator - notify - price/longMA/ShortMA/prevDirection are 1.51805/1.51811214438431/1.51808994811502/-1</t>
  </si>
  <si>
    <t>2015-1-20 16:13:47.173: DirectionIndicator - notify - price/longMA/ShortMA/prevDirection are 1.5181/1.51810993631443/1.51809329874334/-1</t>
  </si>
  <si>
    <t>2015-1-20 16:13:49.495: DirectionIndicator - notify - price/longMA/ShortMA/prevDirection are 1.51805/1.51809903880272/1.5180788658289/-1</t>
  </si>
  <si>
    <t>2015-1-20 16:13:51.109: DirectionIndicator - notify - price/longMA/ShortMA/prevDirection are 1.5181/1.51809921356586/1.5180859105526/-1</t>
  </si>
  <si>
    <t>2015-1-20 16:13:52.371: DirectionIndicator - notify - price/longMA/ShortMA/prevDirection are 1.51805/1.51809026564479/1.5180739403684/-1</t>
  </si>
  <si>
    <t>2015-1-20 16:13:54.263: DirectionIndicator - notify - price/longMA/ShortMA/prevDirection are 1.5181/1.51809203552756/1.51808262691227/-1</t>
  </si>
  <si>
    <t>2015-1-20 16:13:54.310: DirectionIndicator - notify - price/longMA/ShortMA/prevDirection are 1.51815/1.51810257452255/1.51810508460818/-1</t>
  </si>
  <si>
    <t>2015-1-20 16:13:54.553: DirectionIndicator - notify - price/longMA/ShortMA/prevDirection are 1.5181/1.51810210642754/1.51810338973878/-1</t>
  </si>
  <si>
    <t>2015-1-20 16:13:57.3: DirectionIndicator - notify - price/longMA/ShortMA/prevDirection are 1.51805/1.51809263253162/1.51808559315919/-1</t>
  </si>
  <si>
    <t>2015-1-20 16:13:57.154: DirectionIndicator - notify - price/longMA/ShortMA/prevDirection are 1.5181/1.51809397207133/1.51809039543946/-1</t>
  </si>
  <si>
    <t>2015-1-20 16:14:0.496: DirectionIndicator - notify - price/longMA/ShortMA/prevDirection are 1.51805/1.51808597714927/1.51807693029297/-1</t>
  </si>
  <si>
    <t>2015-1-20 16:14:1.953: DirectionIndicator - notify - price/longMA/ShortMA/prevDirection are 1.5181/1.51808852675849/1.51808462019532/-1</t>
  </si>
  <si>
    <t>2015-1-20 16:14:2.664: DirectionIndicator - notify - price/longMA/ShortMA/prevDirection are 1.51805/1.51808152189331/1.51807308013021/-1</t>
  </si>
  <si>
    <t>2015-1-20 16:14:4.153: DirectionIndicator - notify - price/longMA/ShortMA/prevDirection are 1.5181/1.51808488154907/1.51808205342014/-1</t>
  </si>
  <si>
    <t>2015-1-20 16:14:5.910: DirectionIndicator - notify - price/longMA/ShortMA/prevDirection are 1.51805/1.51807853944924/1.51807136894676/-1</t>
  </si>
  <si>
    <t>2015-1-20 16:14:6.120: DirectionIndicator - notify - price/longMA/ShortMA/prevDirection are 1.5181/1.51808244136756/1.51808091263117/-1</t>
  </si>
  <si>
    <t>2015-1-20 16:14:6.336: DirectionIndicator - notify - price/longMA/ShortMA/prevDirection are 1.51805/1.5180765429371/1.51807060842078/-1</t>
  </si>
  <si>
    <t>2015-1-20 16:14:7.390: DirectionIndicator - notify - price/longMA/ShortMA/prevDirection are 1.5181/1.51808080785762/1.51808040561385/-1</t>
  </si>
  <si>
    <t>2015-1-20 16:14:8.56: TransitionLogger - flushFile - flushing file</t>
  </si>
  <si>
    <t>2015-1-20 16:14:8.56: TransitionLogger - openTransitionFile - opening file C:\temp\transitionlog_2015-01-20_153021</t>
  </si>
  <si>
    <t>2015-1-20 16:14:8.844: DirectionIndicator - notify - price/longMA/ShortMA/prevDirection are 1.51805/1.51807520642897/1.51807027040924/-1</t>
  </si>
  <si>
    <t>2015-1-20 16:14:21.894: Algorithm - FindNextStrikes - price is 1.51805 nextStrikeUp/Down 1.52/1.515</t>
  </si>
  <si>
    <t>2015-1-20 16:14:21.895: Algorithm - getPortfolioForwardDelta - required deltas is 100 currentHedgePosition is 100</t>
  </si>
  <si>
    <t>2015-1-20 16:14:21.895: Algorithm - getHedgeShortfall - required deltas is 100 price is 1.51795 currentHedgePositionDeltas is 100</t>
  </si>
  <si>
    <t>2015-1-20 16:14:21.896: Algorithm - processTransitionPoint - nextUpper/LowerStrikes are 1.52/1.515 requiredDeltas/currentPosition/currentHedgeShortfall/direction/transitionPrice are 100/100/0/-1/1.51795</t>
  </si>
  <si>
    <t>2015-1-20 16:14:21.896: TransitionLogger - processTransitionpoint - checking transition - currentHedgeShortfall is 0</t>
  </si>
  <si>
    <t>2015-1-20 16:14:21.897: Algorithm - updatePortfolio - haveAllDetails is True</t>
  </si>
  <si>
    <t>2015-1-20 16:14:21.899: RTWSControl - updatePortfolioEx - An Error Occured Object variable or With block variable not set</t>
  </si>
  <si>
    <t>2015-1-20 16:14:21.937: Algorithm - FindNextStrikes - price is 1.51805 nextStrikeUp/Down 1.52/1.515</t>
  </si>
  <si>
    <t>2015-1-20 16:14:21.938: Algorithm - getPortfolioForwardDelta - required deltas is 100 currentHedgePosition is 100</t>
  </si>
  <si>
    <t>2015-1-20 16:14:21.938: Algorithm - getHedgeShortfall - required deltas is 100 price is 1.51795 currentHedgePositionDeltas is 100</t>
  </si>
  <si>
    <t>2015-1-20 16:14:21.939: Algorithm - processTransitionPoint - nextUpper/LowerStrikes are 1.52/1.515 requiredDeltas/currentPosition/currentHedgeShortfall/direction/transitionPrice are 100/100/0/-1/1.51795</t>
  </si>
  <si>
    <t>2015-1-20 16:14:21.939: TransitionLogger - processTransitionpoint - checking transition - currentHedgeShortfall is 0</t>
  </si>
  <si>
    <t>2015-1-20 16:14:21.940: Algorithm - updatePortfolio - haveAllDetails is True</t>
  </si>
  <si>
    <t>2015-1-20 16:14:21.941: RTWSControl - updatePortfolioEx - An Error Occured Object variable or With block variable not set</t>
  </si>
  <si>
    <t>2015-1-20 16:14:22.9: Algorithm - FindNextStrikes - price is 1.51805 nextStrikeUp/Down 1.52/1.515</t>
  </si>
  <si>
    <t>2015-1-20 16:14:22.10: Algorithm - getPortfolioForwardDelta - required deltas is 100 currentHedgePosition is 100</t>
  </si>
  <si>
    <t>2015-1-20 16:14:22.10: Algorithm - getHedgeShortfall - required deltas is 100 price is 1.51795 currentHedgePositionDeltas is 100</t>
  </si>
  <si>
    <t>2015-1-20 16:14:22.10: Algorithm - processTransitionPoint - nextUpper/LowerStrikes are 1.52/1.515 requiredDeltas/currentPosition/currentHedgeShortfall/direction/transitionPrice are 100/100/0/-1/1.51795</t>
  </si>
  <si>
    <t>2015-1-20 16:14:22.11: TransitionLogger - processTransitionpoint - checking transition - currentHedgeShortfall is 0</t>
  </si>
  <si>
    <t>2015-1-20 16:14:22.12: Algorithm - updatePortfolio - haveAllDetails is True</t>
  </si>
  <si>
    <t>2015-1-20 16:14:22.13: RTWSControl - updatePortfolioEx - An Error Occured Object variable or With block variable not set</t>
  </si>
  <si>
    <t>2015-1-20 16:14:22.68: Algorithm - FindNextStrikes - price is 1.51805 nextStrikeUp/Down 1.52/1.515</t>
  </si>
  <si>
    <t>2015-1-20 16:14:22.68: Algorithm - getPortfolioForwardDelta - required deltas is 100 currentHedgePosition is 100</t>
  </si>
  <si>
    <t>2015-1-20 16:14:22.69: Algorithm - getHedgeShortfall - required deltas is 100 price is 1.51795 currentHedgePositionDeltas is 100</t>
  </si>
  <si>
    <t>2015-1-20 16:14:22.69: Algorithm - processTransitionPoint - nextUpper/LowerStrikes are 1.52/1.515 requiredDeltas/currentPosition/currentHedgeShortfall/direction/transitionPrice are 100/100/0/-1/1.51795</t>
  </si>
  <si>
    <t>2015-1-20 16:14:22.70: TransitionLogger - processTransitionpoint - checking transition - currentHedgeShortfall is 0</t>
  </si>
  <si>
    <t>2015-1-20 16:14:22.70: Algorithm - updatePortfolio - haveAllDetails is True</t>
  </si>
  <si>
    <t>2015-1-20 16:14:22.71: RTWSControl - updatePortfolioEx - An Error Occured Object variable or With block variable not set</t>
  </si>
  <si>
    <t>2015-1-20 16:14:22.115: Algorithm - FindNextStrikes - price is 1.51805 nextStrikeUp/Down 1.52/1.515</t>
  </si>
  <si>
    <t>2015-1-20 16:14:22.115: Algorithm - getPortfolioForwardDelta - required deltas is 100 currentHedgePosition is 100</t>
  </si>
  <si>
    <t>2015-1-20 16:14:22.116: Algorithm - getHedgeShortfall - required deltas is 100 price is 1.51795 currentHedgePositionDeltas is 100</t>
  </si>
  <si>
    <t>2015-1-20 16:14:22.116: Algorithm - processTransitionPoint - nextUpper/LowerStrikes are 1.52/1.515 requiredDeltas/currentPosition/currentHedgeShortfall/direction/transitionPrice are 100/100/0/-1/1.51795</t>
  </si>
  <si>
    <t>2015-1-20 16:14:22.117: TransitionLogger - processTransitionpoint - checking transition - currentHedgeShortfall is 0</t>
  </si>
  <si>
    <t>2015-1-20 16:14:22.118: Algorithm - updatePortfolio - haveAllDetails is True</t>
  </si>
  <si>
    <t>2015-1-20 16:14:22.119: RTWSControl - updatePortfolioEx - An Error Occured Object variable or With block variable not set</t>
  </si>
  <si>
    <t>2015-1-20 16:14:22.183: Algorithm - FindNextStrikes - price is 1.51805 nextStrikeUp/Down 1.52/1.515</t>
  </si>
  <si>
    <t>2015-1-20 16:14:22.183: Algorithm - getPortfolioForwardDelta - required deltas is 100 currentHedgePosition is 100</t>
  </si>
  <si>
    <t>2015-1-20 16:14:22.183: Algorithm - getHedgeShortfall - required deltas is 100 price is 1.51795 currentHedgePositionDeltas is 100</t>
  </si>
  <si>
    <t>2015-1-20 16:14:22.184: Algorithm - processTransitionPoint - nextUpper/LowerStrikes are 1.52/1.515 requiredDeltas/currentPosition/currentHedgeShortfall/direction/transitionPrice are 100/100/0/-1/1.51795</t>
  </si>
  <si>
    <t>2015-1-20 16:14:22.184: TransitionLogger - processTransitionpoint - checking transition - currentHedgeShortfall is 0</t>
  </si>
  <si>
    <t>2015-1-20 16:14:22.185: Algorithm - updatePortfolio - haveAllDetails is True</t>
  </si>
  <si>
    <t>2015-1-20 16:14:22.186: RTWSControl - updatePortfolioEx - An Error Occured Object variable or With block variable not set</t>
  </si>
  <si>
    <t>2015-1-20 16:14:24.253: DirectionIndicator - notify - price/longMA/ShortMA/prevDirection are 1.518/1.51806153253279/1.51804684693949/-1</t>
  </si>
  <si>
    <t>2015-1-20 16:14:26.389: DirectionIndicator - notify - price/longMA/ShortMA/prevDirection are 1.51805/1.51805943570865/1.51804789795966/-1</t>
  </si>
  <si>
    <t>2015-1-20 16:14:27.17: DirectionIndicator - notify - price/longMA/ShortMA/prevDirection are 1.518/1.51804862921617/1.51803193197311/-1</t>
  </si>
  <si>
    <t>2015-1-20 16:14:29.74: TransitionLogger - flushFile - flushing file</t>
  </si>
  <si>
    <t>2015-1-20 16:14:29.76: TransitionLogger - openTransitionFile - opening file C:\temp\transitionlog_2015-01-20_153021</t>
  </si>
  <si>
    <t>2015-1-20 16:14:30.274: DirectionIndicator - notify - price/longMA/ShortMA/prevDirection are 1.51795/1.51803069663141/1.5180046213154/-1</t>
  </si>
  <si>
    <t>2015-1-20 16:14:31.135: DirectionIndicator - notify - price/longMA/ShortMA/prevDirection are 1.5179/1.51800693360752/1.5179697475436/-1</t>
  </si>
  <si>
    <t>2015-1-20 16:14:31.594: DirectionIndicator - notify - price/longMA/ShortMA/prevDirection are 1.51785/1.51797840022433/1.51792983169574/-1</t>
  </si>
  <si>
    <t>2015-1-20 16:14:32.389: DirectionIndicator - notify - price/longMA/ShortMA/prevDirection are 1.5178/1.51794596381991/1.51788655446382/-1</t>
  </si>
  <si>
    <t>2015-1-20 16:14:32.509: DirectionIndicator - notify - price/longMA/ShortMA/prevDirection are 1.51775/1.51791033403447/1.51784103630922/-1</t>
  </si>
  <si>
    <t>2015-1-20 16:14:32.844: DirectionIndicator - notify - price/longMA/ShortMA/prevDirection are 1.5178/1.51789027330093/1.51782735753948/-1</t>
  </si>
  <si>
    <t>2015-1-20 16:14:33.463: DirectionIndicator - notify - price/longMA/ShortMA/prevDirection are 1.51785/1.51788295088258/1.51783490502632/-1</t>
  </si>
  <si>
    <t>2015-1-20 16:14:34.802: DirectionIndicator - notify - price/longMA/ShortMA/prevDirection are 1.5179/1.51788605072211/1.51785660335088/-1</t>
  </si>
  <si>
    <t>2015-1-20 16:14:35.183: DirectionIndicator - notify - price/longMA/ShortMA/prevDirection are 1.51785/1.51787949604536/1.51785440223392/-1</t>
  </si>
  <si>
    <t>2015-1-20 16:14:35.769: DirectionIndicator - notify - price/longMA/ShortMA/prevDirection are 1.5179/1.51788322403711/1.51786960148928/-1</t>
  </si>
  <si>
    <t>2015-1-20 16:14:36.479: DirectionIndicator - notify - price/longMA/ShortMA/prevDirection are 1.51785/1.51787718330309/1.51786306765952/-1</t>
  </si>
  <si>
    <t>2015-1-20 16:14:38.344: DirectionIndicator - notify - price/longMA/ShortMA/prevDirection are 1.5178/1.51786314997526/1.51784204510635/-1</t>
  </si>
  <si>
    <t>2015-1-20 16:14:38.423: DirectionIndicator - notify - price/longMA/ShortMA/prevDirection are 1.51775/1.51784257725248/1.51781136340423/-1</t>
  </si>
  <si>
    <t>2015-1-20 16:14:39.891: DirectionIndicator - notify - price/longMA/ShortMA/prevDirection are 1.5178/1.51783483593385/1.51780757560282/-1</t>
  </si>
  <si>
    <t>2015-1-20 16:14:40.844: DirectionIndicator - notify - price/longMA/ShortMA/prevDirection are 1.51785/1.51783759303679/1.51782171706855/-1</t>
  </si>
  <si>
    <t>2015-1-20 16:14:42.951: DirectionIndicator - notify - price/longMA/ShortMA/prevDirection are 1.5178/1.51783075793919/1.5178144780457/-1</t>
  </si>
  <si>
    <t>2015-1-20 16:15:3.265: DirectionIndicator - notify - price/longMA/ShortMA/prevDirection are 1.51785/1.5178342564957/1.51782631869713/-1</t>
  </si>
  <si>
    <t>2015-1-20 16:15:7.342: DirectionIndicator - notify - price/longMA/ShortMA/prevDirection are 1.5179/1.51784620986012/1.51785087913142/-1</t>
  </si>
  <si>
    <t>2015-1-20 16:15:7.395: DirectionIndicator - notify - price/longMA/ShortMA/prevDirection are 1.51795/1.51786508079464/1.51788391942095/-1</t>
  </si>
  <si>
    <t>2015-1-20 16:15:8.140: TransitionLogger - flushFile - flushing file</t>
  </si>
  <si>
    <t>2015-1-20 16:15:8.141: TransitionLogger - openTransitionFile - opening file C:\temp\transitionlog_2015-01-20_153021</t>
  </si>
  <si>
    <t>2015-1-20 16:15:14.721: DirectionIndicator - notify - price/longMA/ShortMA/prevDirection are 1.518/1.51788961155925/1.5179226129473/-1</t>
  </si>
  <si>
    <t>2015-1-20 16:15:21.110: DirectionIndicator - notify - price/longMA/ShortMA/prevDirection are 1.51795/1.51790059127575/1.51793174196487/1</t>
  </si>
  <si>
    <t>2015-1-20 16:15:21.234: DirectionIndicator - notify - price/longMA/ShortMA/prevDirection are 1.518/1.51791866558925/1.51795449464324/1</t>
  </si>
  <si>
    <t>2015-1-20 16:15:21.429: DirectionIndicator - notify - price/longMA/ShortMA/prevDirection are 1.51795/1.51792436275484/1.51795299642883/1</t>
  </si>
  <si>
    <t>2015-1-20 16:15:21.682: DirectionIndicator - notify - price/longMA/ShortMA/prevDirection are 1.518/1.51793811498123/1.51796866428589/1</t>
  </si>
  <si>
    <t>2015-1-20 16:15:29.361: TransitionLogger - flushFile - flushing file</t>
  </si>
  <si>
    <t>2015-1-20 16:15:29.363: TransitionLogger - openTransitionFile - opening file C:\temp\transitionlog_2015-01-20_153021</t>
  </si>
  <si>
    <t>2015-1-20 16:15:30.132: DirectionIndicator - notify - price/longMA/ShortMA/prevDirection are 1.51795/1.51794027589374/1.51796244285726/1</t>
  </si>
  <si>
    <t>2015-1-20 16:15:31.15: DirectionIndicator - notify - price/longMA/ShortMA/prevDirection are 1.518/1.51795113482215/1.51797496190484/1</t>
  </si>
  <si>
    <t>2015-1-20 16:15:31.928: DirectionIndicator - notify - price/longMA/ShortMA/prevDirection are 1.51795/1.51795092849085/1.51796664126989/1</t>
  </si>
  <si>
    <t>2015-1-20 16:15:34.755: DirectionIndicator - notify - price/longMA/ShortMA/prevDirection are 1.518/1.51795985058342/1.51797776084659/1</t>
  </si>
  <si>
    <t>2015-1-20 16:15:37.889: DirectionIndicator - notify - price/longMA/ShortMA/prevDirection are 1.51795/1.51795805956825/1.51796850723106/1</t>
  </si>
  <si>
    <t>2015-1-20 16:15:38.907: DirectionIndicator - notify - price/longMA/ShortMA/prevDirection are 1.518/1.5179656851013/1.51797900482071/1</t>
  </si>
  <si>
    <t>2015-1-20 16:15:39.355: DirectionIndicator - notify - price/longMA/ShortMA/prevDirection are 1.51795/1.5179628332647/1.51796933654714/1</t>
  </si>
  <si>
    <t>2015-1-20 16:15:40.354: DirectionIndicator - notify - price/longMA/ShortMA/prevDirection are 1.518/1.51796959085294/1.51797955769809/1</t>
  </si>
  <si>
    <t>2015-1-20 16:15:40.848: DirectionIndicator - notify - price/longMA/ShortMA/prevDirection are 1.51795/1.51796602887967/1.51796970513206/1</t>
  </si>
  <si>
    <t>2015-1-20 16:15:42.190: DirectionIndicator - notify - price/longMA/ShortMA/prevDirection are 1.518/1.51797220544701/1.51797980342137/1</t>
  </si>
  <si>
    <t>2015-1-20 16:15:42.394: DirectionIndicator - notify - price/longMA/ShortMA/prevDirection are 1.51795/1.51796816809301/1.51796986894758/1</t>
  </si>
  <si>
    <t>2015-1-20 16:15:43.202: DirectionIndicator - notify - price/longMA/ShortMA/prevDirection are 1.518/1.51797395571246/1.51797991263172/1</t>
  </si>
  <si>
    <t>2015-1-20 16:15:43.413: DirectionIndicator - notify - price/longMA/ShortMA/prevDirection are 1.51795/1.51796960012838/1.51796994175448/1</t>
  </si>
  <si>
    <t>2015-1-20 16:15:45.165: DirectionIndicator - notify - price/longMA/ShortMA/prevDirection are 1.518/1.51797512737776/1.51797996116965/1</t>
  </si>
  <si>
    <t>2015-1-20 16:15:45.568: DirectionIndicator - notify - price/longMA/ShortMA/prevDirection are 1.51795/1.51797055876362/1.5179699741131/1</t>
  </si>
  <si>
    <t>2015-1-20 16:15:46.576: DirectionIndicator - notify - price/longMA/ShortMA/prevDirection are 1.518/1.51797591171569/1.51797998274207/1</t>
  </si>
  <si>
    <t>2015-1-20 16:15:47.475: DirectionIndicator - notify - price/longMA/ShortMA/prevDirection are 1.51795/1.51797120049466/1.51796998849471/1</t>
  </si>
  <si>
    <t>2015-1-20 16:15:48.479: DirectionIndicator - notify - price/longMA/ShortMA/prevDirection are 1.518/1.51797643676836/1.51797999232981/1</t>
  </si>
  <si>
    <t>2015-1-20 16:15:49.590: DirectionIndicator - notify - price/longMA/ShortMA/prevDirection are 1.51795/1.5179716300832/1.51796999488654/1</t>
  </si>
  <si>
    <t>2015-1-20 16:15:50.486: DirectionIndicator - notify - price/longMA/ShortMA/prevDirection are 1.518/1.51797678824989/1.51797999659103/1</t>
  </si>
  <si>
    <t>2015-1-20 16:15:52.989: DirectionIndicator - notify - price/longMA/ShortMA/prevDirection are 1.51805/1.51799009947718/1.51800333106068/1</t>
  </si>
  <si>
    <t>2015-1-20 16:15:57.52: DirectionIndicator - notify - price/longMA/ShortMA/prevDirection are 1.518/1.51799189957224/1.51800222070712/1</t>
  </si>
  <si>
    <t>2015-1-20 16:15:57.104: DirectionIndicator - notify - price/longMA/ShortMA/prevDirection are 1.51795/1.5179842814682/1.51798481380475/1</t>
  </si>
  <si>
    <t>2015-1-20 16:15:57.607: DirectionIndicator - notify - price/longMA/ShortMA/prevDirection are 1.518/1.51798713938307/1.51798987586983/1</t>
  </si>
  <si>
    <t>2015-1-20 16:15:58.438: DirectionIndicator - notify - price/longMA/ShortMA/prevDirection are 1.51795/1.51798038676797/1.51797658391322/1</t>
  </si>
  <si>
    <t>2015-1-20 16:16:2.746: DirectionIndicator - notify - price/longMA/ShortMA/prevDirection are 1.518/1.51798395281015/1.51798438927548/1</t>
  </si>
  <si>
    <t>2015-1-20 16:16:2.805: DirectionIndicator - notify - price/longMA/ShortMA/prevDirection are 1.51805/1.51799596139013/1.51800625951699/1</t>
  </si>
  <si>
    <t>2015-1-20 16:16:3.515: DirectionIndicator - notify - price/longMA/ShortMA/prevDirection are 1.518/1.51799669568283/1.51800417301132/1</t>
  </si>
  <si>
    <t>2015-1-20 16:16:4.20: DirectionIndicator - notify - price/longMA/ShortMA/prevDirection are 1.51795/1.51798820555868/1.51798611534088/1</t>
  </si>
  <si>
    <t>2015-1-20 16:16:4.642: DirectionIndicator - notify - price/longMA/ShortMA/prevDirection are 1.5179/1.51797216818437/1.51795741022726/1</t>
  </si>
  <si>
    <t>2015-1-20 16:16:4.693: DirectionIndicator - notify - price/longMA/ShortMA/prevDirection are 1.51785/1.51794995578722/1.51792160681817/1</t>
  </si>
  <si>
    <t>2015-1-20 16:16:6.152: DirectionIndicator - notify - price/longMA/ShortMA/prevDirection are 1.5179/1.51794087291681/1.51791440454545/-1</t>
  </si>
  <si>
    <t>2015-1-20 16:16:6.437: DirectionIndicator - notify - price/longMA/ShortMA/prevDirection are 1.51785/1.5179243505683/1.51789293636363/-1</t>
  </si>
  <si>
    <t>2015-1-20 16:16:6.810: DirectionIndicator - notify - price/longMA/ShortMA/prevDirection are 1.5179/1.51791992319225/1.51789529090909/-1</t>
  </si>
  <si>
    <t>2015-1-20 16:16:8.10: TransitionLogger - flushFile - flushing file</t>
  </si>
  <si>
    <t>2015-1-20 16:16:8.11: TransitionLogger - openTransitionFile - opening file C:\temp\transitionlog_2015-01-20_153021</t>
  </si>
  <si>
    <t>2015-1-20 16:16:8.850: DirectionIndicator - notify - price/longMA/ShortMA/prevDirection are 1.51795/1.51792539170275/1.51791352727272/-1</t>
  </si>
  <si>
    <t>2015-1-20 16:16:12.97: DirectionIndicator - notify - price/longMA/ShortMA/prevDirection are 1.518/1.5179389568477/1.51794235151515/-1</t>
  </si>
  <si>
    <t>2015-1-20 16:16:12.350: DirectionIndicator - notify - price/longMA/ShortMA/prevDirection are 1.51805/1.51795914651176/1.51797823434343/-1</t>
  </si>
  <si>
    <t>2015-1-20 16:16:13.596: DirectionIndicator - notify - price/longMA/ShortMA/prevDirection are 1.5181/1.51798475623689/1.51801882289562/-1</t>
  </si>
  <si>
    <t>2015-1-20 16:16:14.392: DirectionIndicator - notify - price/longMA/ShortMA/prevDirection are 1.51815/1.51801480055746/1.51806254859708/1</t>
  </si>
  <si>
    <t>2015-1-20 16:16:25.977: DirectionIndicator - notify - price/longMA/ShortMA/prevDirection are 1.5182/1.51804847318337/1.51810836573139/1</t>
  </si>
  <si>
    <t>2015-1-20 16:16:26.55: DirectionIndicator - notify - price/longMA/ShortMA/prevDirection are 1.51825/1.51808511442276/1.51815557715426/1</t>
  </si>
  <si>
    <t>2015-1-20 16:16:29.61: TransitionLogger - flushFile - flushing file</t>
  </si>
  <si>
    <t>2015-1-20 16:16:29.62: TransitionLogger - openTransitionFile - opening file C:\temp\transitionlog_2015-01-20_153021</t>
  </si>
  <si>
    <t>2015-1-20 16:16:34.972: DirectionIndicator - notify - price/longMA/ShortMA/prevDirection are 1.5183/1.51812418452771/1.51820371810284/1</t>
  </si>
  <si>
    <t>2015-1-20 16:16:35.396: DirectionIndicator - notify - price/longMA/ShortMA/prevDirection are 1.51825/1.51814706006813/1.51821914540189/1</t>
  </si>
  <si>
    <t>2015-1-20 16:16:40.561: DirectionIndicator - notify - price/longMA/ShortMA/prevDirection are 1.5182/1.51815668551029/1.51821276360126/1</t>
  </si>
  <si>
    <t>2015-1-20 16:16:40.639: DirectionIndicator - notify - price/longMA/ShortMA/prevDirection are 1.51815/1.51815546996296/1.51819184240084/1</t>
  </si>
  <si>
    <t>2015-1-20 16:16:41.567: DirectionIndicator - notify - price/longMA/ShortMA/prevDirection are 1.5181/1.51814538451515/1.51816122826723/1</t>
  </si>
  <si>
    <t>2015-1-20 16:16:41.638: DirectionIndicator - notify - price/longMA/ShortMA/prevDirection are 1.51805/1.51812804187603/1.51812415217815/1</t>
  </si>
  <si>
    <t>2015-1-20 16:16:42.352: DirectionIndicator - notify - price/longMA/ShortMA/prevDirection are 1.518/1.51810476153494/1.51808276811877/1</t>
  </si>
  <si>
    <t>2015-1-20 16:16:42.603: DirectionIndicator - notify - price/longMA/ShortMA/prevDirection are 1.51805/1.51809480489222/1.51807184541251/-1</t>
  </si>
  <si>
    <t>2015-1-20 16:16:43.486: DirectionIndicator - notify - price/longMA/ShortMA/prevDirection are 1.518/1.51807756763909/1.51804789694167/-1</t>
  </si>
  <si>
    <t>2015-1-20 16:16:43.936: DirectionIndicator - notify - price/longMA/ShortMA/prevDirection are 1.51805/1.51807255534107/1.51804859796112/-1</t>
  </si>
  <si>
    <t>2015-1-20 16:16:44.431: DirectionIndicator - notify - price/longMA/ShortMA/prevDirection are 1.5181/1.51807754527906/1.51806573197408/-1</t>
  </si>
  <si>
    <t>2015-1-20 16:16:44.484: DirectionIndicator - notify - price/longMA/ShortMA/prevDirection are 1.51815/1.51809071886469/1.51809382131605/-1</t>
  </si>
  <si>
    <t>2015-1-20 16:16:48.37: DirectionIndicator - notify - price/longMA/ShortMA/prevDirection are 1.5181/1.51809240634383/1.51809588087737/-1</t>
  </si>
  <si>
    <t>2015-1-20 16:16:48.925: DirectionIndicator - notify - price/longMA/ShortMA/prevDirection are 1.51805/1.5180846960995/1.51808058725158/-1</t>
  </si>
  <si>
    <t>2015-1-20 16:16:54.894: DirectionIndicator - notify - price/longMA/ShortMA/prevDirection are 1.518/1.51806929680868/1.51805372483439/-1</t>
  </si>
  <si>
    <t>2015-1-20 16:16:54.971: DirectionIndicator - notify - price/longMA/ShortMA/prevDirection are 1.51795/1.51804760647983/1.51801914988959/-1</t>
  </si>
  <si>
    <t>2015-1-20 16:16:55.352: DirectionIndicator - notify - price/longMA/ShortMA/prevDirection are 1.518/1.51803895075622/1.51801276659306/-1</t>
  </si>
  <si>
    <t>2015-1-20 16:16:55.441: DirectionIndicator - notify - price/longMA/ShortMA/prevDirection are 1.51795/1.51802277789146/1.51799184439537/-1</t>
  </si>
  <si>
    <t>2015-1-20 16:16:55.816: DirectionIndicator - notify - price/longMA/ShortMA/prevDirection are 1.518/1.51801863645665/1.51799456293025/-1</t>
  </si>
  <si>
    <t>2015-1-20 16:16:56.64: DirectionIndicator - notify - price/longMA/ShortMA/prevDirection are 1.51795/1.51800615710089/1.51797970862017/-1</t>
  </si>
  <si>
    <t>2015-1-20 16:16:58.643: DirectionIndicator - notify - price/longMA/ShortMA/prevDirection are 1.518/1.518005037628/1.51798647241344/-1</t>
  </si>
  <si>
    <t>2015-1-20 16:16:59.964: DirectionIndicator - notify - price/longMA/ShortMA/prevDirection are 1.51795/1.51799503078655/1.5179743149423/-1</t>
  </si>
  <si>
    <t>2015-1-20 16:17:1.181: DirectionIndicator - notify - price/longMA/ShortMA/prevDirection are 1.518/1.5179959342799/1.5179828766282/-1</t>
  </si>
  <si>
    <t>2015-1-20 16:17:2.370: DirectionIndicator - notify - price/longMA/ShortMA/prevDirection are 1.51795/1.51798758259265/1.51797191775213/-1</t>
  </si>
  <si>
    <t>2015-1-20 16:17:4.200: DirectionIndicator - notify - price/longMA/ShortMA/prevDirection are 1.518/1.51798984030308/1.51798127850142/-1</t>
  </si>
  <si>
    <t>2015-1-20 16:17:8.101: TransitionLogger - flushFile - flushing file</t>
  </si>
  <si>
    <t>2015-1-20 16:17:8.102: TransitionLogger - openTransitionFile - opening file C:\temp\transitionlog_2015-01-20_153021</t>
  </si>
  <si>
    <t>2015-1-20 16:17:22.267: Algorithm - FindNextStrikes - price is 1.518 nextStrikeUp/Down 1.52/1.515</t>
  </si>
  <si>
    <t>2015-1-20 16:17:22.268: Algorithm - getPortfolioForwardDelta - required deltas is 100 currentHedgePosition is 100</t>
  </si>
  <si>
    <t>2015-1-20 16:17:22.268: Algorithm - getHedgeShortfall - required deltas is 100 price is 1.5179 currentHedgePositionDeltas is 100</t>
  </si>
  <si>
    <t>2015-1-20 16:17:22.269: Algorithm - processTransitionPoint - nextUpper/LowerStrikes are 1.52/1.515 requiredDeltas/currentPosition/currentHedgeShortfall/direction/transitionPrice are 100/100/0/-1/1.5179</t>
  </si>
  <si>
    <t>2015-1-20 16:17:22.269: TransitionLogger - processTransitionpoint - checking transition - currentHedgeShortfall is 0</t>
  </si>
  <si>
    <t>2015-1-20 16:17:22.270: Algorithm - updatePortfolio - haveAllDetails is True</t>
  </si>
  <si>
    <t>2015-1-20 16:17:22.271: RTWSControl - updatePortfolioEx - An Error Occured Object variable or With block variable not set</t>
  </si>
  <si>
    <t>2015-1-20 16:17:22.313: Algorithm - FindNextStrikes - price is 1.518 nextStrikeUp/Down 1.52/1.515</t>
  </si>
  <si>
    <t>2015-1-20 16:17:22.313: Algorithm - getPortfolioForwardDelta - required deltas is 100 currentHedgePosition is 100</t>
  </si>
  <si>
    <t>2015-1-20 16:17:22.314: Algorithm - getHedgeShortfall - required deltas is 100 price is 1.5179 currentHedgePositionDeltas is 100</t>
  </si>
  <si>
    <t>2015-1-20 16:17:22.314: Algorithm - processTransitionPoint - nextUpper/LowerStrikes are 1.52/1.515 requiredDeltas/currentPosition/currentHedgeShortfall/direction/transitionPrice are 100/100/0/-1/1.5179</t>
  </si>
  <si>
    <t>2015-1-20 16:17:22.315: TransitionLogger - processTransitionpoint - checking transition - currentHedgeShortfall is 0</t>
  </si>
  <si>
    <t>2015-1-20 16:17:22.316: Algorithm - updatePortfolio - haveAllDetails is True</t>
  </si>
  <si>
    <t>2015-1-20 16:17:22.317: RTWSControl - updatePortfolioEx - An Error Occured Object variable or With block variable not set</t>
  </si>
  <si>
    <t>2015-1-20 16:17:22.363: Algorithm - FindNextStrikes - price is 1.518 nextStrikeUp/Down 1.52/1.515</t>
  </si>
  <si>
    <t>2015-1-20 16:17:22.363: Algorithm - getPortfolioForwardDelta - required deltas is 100 currentHedgePosition is 100</t>
  </si>
  <si>
    <t>2015-1-20 16:17:22.364: Algorithm - getHedgeShortfall - required deltas is 100 price is 1.5179 currentHedgePositionDeltas is 100</t>
  </si>
  <si>
    <t>2015-1-20 16:17:22.364: Algorithm - processTransitionPoint - nextUpper/LowerStrikes are 1.52/1.515 requiredDeltas/currentPosition/currentHedgeShortfall/direction/transitionPrice are 100/100/0/-1/1.5179</t>
  </si>
  <si>
    <t>2015-1-20 16:17:22.364: TransitionLogger - processTransitionpoint - checking transition - currentHedgeShortfall is 0</t>
  </si>
  <si>
    <t>2015-1-20 16:17:22.365: Algorithm - updatePortfolio - haveAllDetails is True</t>
  </si>
  <si>
    <t>2015-1-20 16:17:22.366: RTWSControl - updatePortfolioEx - An Error Occured Object variable or With block variable not set</t>
  </si>
  <si>
    <t>2015-1-20 16:17:22.416: Algorithm - FindNextStrikes - price is 1.518 nextStrikeUp/Down 1.52/1.515</t>
  </si>
  <si>
    <t>2015-1-20 16:17:22.416: Algorithm - getPortfolioForwardDelta - required deltas is 100 currentHedgePosition is 100</t>
  </si>
  <si>
    <t>2015-1-20 16:17:22.417: Algorithm - getHedgeShortfall - required deltas is 100 price is 1.5179 currentHedgePositionDeltas is 100</t>
  </si>
  <si>
    <t>2015-1-20 16:17:22.417: Algorithm - processTransitionPoint - nextUpper/LowerStrikes are 1.52/1.515 requiredDeltas/currentPosition/currentHedgeShortfall/direction/transitionPrice are 100/100/0/-1/1.5179</t>
  </si>
  <si>
    <t>2015-1-20 16:17:22.418: TransitionLogger - processTransitionpoint - checking transition - currentHedgeShortfall is 0</t>
  </si>
  <si>
    <t>2015-1-20 16:17:22.419: Algorithm - updatePortfolio - haveAllDetails is True</t>
  </si>
  <si>
    <t>2015-1-20 16:17:22.420: RTWSControl - updatePortfolioEx - An Error Occured Object variable or With block variable not set</t>
  </si>
  <si>
    <t>2015-1-20 16:17:22.482: Algorithm - FindNextStrikes - price is 1.518 nextStrikeUp/Down 1.52/1.515</t>
  </si>
  <si>
    <t>2015-1-20 16:17:22.482: Algorithm - getPortfolioForwardDelta - required deltas is 100 currentHedgePosition is 100</t>
  </si>
  <si>
    <t>2015-1-20 16:17:22.483: Algorithm - getHedgeShortfall - required deltas is 100 price is 1.5179 currentHedgePositionDeltas is 100</t>
  </si>
  <si>
    <t>2015-1-20 16:17:22.483: Algorithm - processTransitionPoint - nextUpper/LowerStrikes are 1.52/1.515 requiredDeltas/currentPosition/currentHedgeShortfall/direction/transitionPrice are 100/100/0/-1/1.5179</t>
  </si>
  <si>
    <t>2015-1-20 16:17:22.483: TransitionLogger - processTransitionpoint - checking transition - currentHedgeShortfall is 0</t>
  </si>
  <si>
    <t>2015-1-20 16:17:22.484: Algorithm - updatePortfolio - haveAllDetails is True</t>
  </si>
  <si>
    <t>2015-1-20 16:17:22.485: RTWSControl - updatePortfolioEx - An Error Occured Object variable or With block variable not set</t>
  </si>
  <si>
    <t>2015-1-20 16:17:22.541: Algorithm - FindNextStrikes - price is 1.518 nextStrikeUp/Down 1.52/1.515</t>
  </si>
  <si>
    <t>2015-1-20 16:17:22.541: Algorithm - getPortfolioForwardDelta - required deltas is 100 currentHedgePosition is 100</t>
  </si>
  <si>
    <t>2015-1-20 16:17:22.541: Algorithm - getHedgeShortfall - required deltas is 100 price is 1.5179 currentHedgePositionDeltas is 100</t>
  </si>
  <si>
    <t>2015-1-20 16:17:22.542: Algorithm - processTransitionPoint - nextUpper/LowerStrikes are 1.52/1.515 requiredDeltas/currentPosition/currentHedgeShortfall/direction/transitionPrice are 100/100/0/-1/1.5179</t>
  </si>
  <si>
    <t>2015-1-20 16:17:22.542: TransitionLogger - processTransitionpoint - checking transition - currentHedgeShortfall is 0</t>
  </si>
  <si>
    <t>2015-1-20 16:17:22.543: Algorithm - updatePortfolio - haveAllDetails is True</t>
  </si>
  <si>
    <t>2015-1-20 16:17:22.544: RTWSControl - updatePortfolioEx - An Error Occured Object variable or With block variable not set</t>
  </si>
  <si>
    <t>2015-1-20 16:17:23.35: DirectionIndicator - notify - price/longMA/ShortMA/prevDirection are 1.51795/1.51798259661161/1.51797085233428/-1</t>
  </si>
  <si>
    <t>2015-1-20 16:17:24.275: DirectionIndicator - notify - price/longMA/ShortMA/prevDirection are 1.518/1.51798576086404/1.51798056822285/-1</t>
  </si>
  <si>
    <t>2015-1-20 16:17:24.858: DirectionIndicator - notify - price/longMA/ShortMA/prevDirection are 1.51795/1.51797925888876/1.51797037881524/-1</t>
  </si>
  <si>
    <t>2015-1-20 16:17:25.99: DirectionIndicator - notify - price/longMA/ShortMA/prevDirection are 1.518/1.5179830299999/1.51798025254349/-1</t>
  </si>
  <si>
    <t>2015-1-20 16:17:26.348: DirectionIndicator - notify - price/longMA/ShortMA/prevDirection are 1.51795/1.51797702454537/1.51797016836233/-1</t>
  </si>
  <si>
    <t>2015-1-20 16:17:26.897: DirectionIndicator - notify - price/longMA/ShortMA/prevDirection are 1.518/1.51798120190076/1.51798011224155/-1</t>
  </si>
  <si>
    <t>2015-1-20 16:17:29.241: TransitionLogger - flushFile - flushing file</t>
  </si>
  <si>
    <t>2015-1-20 16:17:29.242: TransitionLogger - openTransitionFile - opening file C:\temp\transitionlog_2015-01-20_153021</t>
  </si>
  <si>
    <t>2015-1-20 16:17:29.750: DirectionIndicator - notify - price/longMA/ShortMA/prevDirection are 1.51805/1.51799371064607/1.51800340816103/-1</t>
  </si>
  <si>
    <t>2015-1-20 16:17:31.530: DirectionIndicator - notify - price/longMA/ShortMA/prevDirection are 1.5181/1.51801303598315/1.51803560544069/-1</t>
  </si>
  <si>
    <t>2015-1-20 16:17:31.599: DirectionIndicator - notify - price/longMA/ShortMA/prevDirection are 1.51815/1.51803793853167/1.51807373696046/1</t>
  </si>
  <si>
    <t>2015-1-20 16:17:39.988: DirectionIndicator - notify - price/longMA/ShortMA/prevDirection are 1.51805/1.51804013152591/1.51806582464031/1</t>
  </si>
  <si>
    <t>2015-1-20 16:17:40.60: DirectionIndicator - notify - price/longMA/ShortMA/prevDirection are 1.518/1.51803283488484/1.51804388309354/1</t>
  </si>
  <si>
    <t>2015-1-20 16:17:40.856: DirectionIndicator - notify - price/longMA/ShortMA/prevDirection are 1.51795/1.51801777399668/1.51801258872903/1</t>
  </si>
  <si>
    <t>2015-1-20 16:17:42.320: DirectionIndicator - notify - price/longMA/ShortMA/prevDirection are 1.5179/1.51799636054274/1.51797505915268/1</t>
  </si>
  <si>
    <t>2015-1-20 16:17:42.392: DirectionIndicator - notify - price/longMA/ShortMA/prevDirection are 1.51785/1.51796974953497/1.51793337276846/-1</t>
  </si>
  <si>
    <t>2015-1-20 16:17:42.688: DirectionIndicator - notify - price/longMA/ShortMA/prevDirection are 1.5179/1.51795706780134/1.5179222485123/-1</t>
  </si>
  <si>
    <t>2015-1-20 16:17:42.736: DirectionIndicator - notify - price/longMA/ShortMA/prevDirection are 1.51795/1.51795578274655/1.5179314990082/-1</t>
  </si>
  <si>
    <t>2015-1-20 16:17:42.854: DirectionIndicator - notify - price/longMA/ShortMA/prevDirection are 1.5179/1.517945640429/1.5179209993388/-1</t>
  </si>
  <si>
    <t>2015-1-20 16:17:45.87: DirectionIndicator - notify - price/longMA/ShortMA/prevDirection are 1.51785/1.51792825126009/1.51789733289253/-1</t>
  </si>
  <si>
    <t>2015-1-20 16:17:46.317: DirectionIndicator - notify - price/longMA/ShortMA/prevDirection are 1.5178/1.51790493284916/1.51786488859502/-1</t>
  </si>
  <si>
    <t>2015-1-20 16:17:46.735: DirectionIndicator - notify - price/longMA/ShortMA/prevDirection are 1.51775/1.51787676324022/1.51782659239668/-1</t>
  </si>
  <si>
    <t>2015-1-20 16:17:47.475: DirectionIndicator - notify - price/longMA/ShortMA/prevDirection are 1.5178/1.51786280628746/1.51781772826445/-1</t>
  </si>
  <si>
    <t>2015-1-20 16:17:47.772: DirectionIndicator - notify - price/longMA/ShortMA/prevDirection are 1.51775/1.51784229605337/1.5177951521763/-1</t>
  </si>
  <si>
    <t>2015-1-20 16:17:48.479: DirectionIndicator - notify - price/longMA/ShortMA/prevDirection are 1.5178/1.51783460586185/1.51779676811754/-1</t>
  </si>
  <si>
    <t>2015-1-20 16:17:49.26: DirectionIndicator - notify - price/longMA/ShortMA/prevDirection are 1.51785/1.51783740479606/1.51781451207836/-1</t>
  </si>
  <si>
    <t>2015-1-20 16:17:55.234: DirectionIndicator - notify - price/longMA/ShortMA/prevDirection are 1.5179/1.51784878574223/1.51784300805224/-1</t>
  </si>
  <si>
    <t>2015-1-20 16:17:55.310: DirectionIndicator - notify - price/longMA/ShortMA/prevDirection are 1.51795/1.51786718833455/1.51787867203483/-1</t>
  </si>
  <si>
    <t>2015-1-20 16:17:56.152: DirectionIndicator - notify - price/longMA/ShortMA/prevDirection are 1.5179/1.51787315409191/1.51788578135655/-1</t>
  </si>
  <si>
    <t>2015-1-20 16:17:56.369: DirectionIndicator - notify - price/longMA/ShortMA/prevDirection are 1.51785/1.51786894425701/1.5178738542377/-1</t>
  </si>
  <si>
    <t>2015-1-20 16:17:58.597: DirectionIndicator - notify - price/longMA/ShortMA/prevDirection are 1.5179/1.51787459075574/1.5178825694918/-1</t>
  </si>
  <si>
    <t>2015-1-20 16:17:58.774: DirectionIndicator - notify - price/longMA/ShortMA/prevDirection are 1.51785/1.51787011970924/1.51787171299453/-1</t>
  </si>
  <si>
    <t>2015-1-20 16:18:0.311: Algorithm - FindNextStrikes - price is 1.51785 nextStrikeUp/Down 1.52/1.515</t>
  </si>
  <si>
    <t>2015-1-20 16:18:0.311: Algorithm - getPortfolioForwardDelta - required deltas is 100 currentHedgePosition is 100</t>
  </si>
  <si>
    <t>2015-1-20 16:18:0.311: Algorithm - getHedgeShortfall - required deltas is 100 price is 1.51775 currentHedgePositionDeltas is 100</t>
  </si>
  <si>
    <t>2015-1-20 16:18:0.312: Algorithm - processTransitionPoint - nextUpper/LowerStrikes are 1.52/1.515 requiredDeltas/currentPosition/currentHedgeShortfall/direction/transitionPrice are 100/100/0/-1/1.51775</t>
  </si>
  <si>
    <t>2015-1-20 16:18:0.313: TransitionLogger - processTransitionpoint - checking transition - currentHedgeShortfall is 0</t>
  </si>
  <si>
    <t>2015-1-20 16:18:0.314: Algorithm - updatePortfolio - haveAllDetails is True</t>
  </si>
  <si>
    <t>2015-1-20 16:18:0.315: RTWSControl - updatePortfolioEx - An Error Occured Object variable or With block variable not set</t>
  </si>
  <si>
    <t>2015-1-20 16:18:0.354: Algorithm - FindNextStrikes - price is 1.51785 nextStrikeUp/Down 1.52/1.515</t>
  </si>
  <si>
    <t>2015-1-20 16:18:0.355: Algorithm - getPortfolioForwardDelta - required deltas is 100 currentHedgePosition is 100</t>
  </si>
  <si>
    <t>2015-1-20 16:18:0.355: Algorithm - getHedgeShortfall - required deltas is 100 price is 1.51775 currentHedgePositionDeltas is 100</t>
  </si>
  <si>
    <t>2015-1-20 16:18:0.356: Algorithm - processTransitionPoint - nextUpper/LowerStrikes are 1.52/1.515 requiredDeltas/currentPosition/currentHedgeShortfall/direction/transitionPrice are 100/100/0/-1/1.51775</t>
  </si>
  <si>
    <t>2015-1-20 16:18:0.356: TransitionLogger - processTransitionpoint - checking transition - currentHedgeShortfall is 0</t>
  </si>
  <si>
    <t>2015-1-20 16:18:0.357: Algorithm - updatePortfolio - haveAllDetails is True</t>
  </si>
  <si>
    <t>2015-1-20 16:18:0.359: RTWSControl - updatePortfolioEx - An Error Occured Object variable or With block variable not set</t>
  </si>
  <si>
    <t>2015-1-20 16:18:0.405: Algorithm - FindNextStrikes - price is 1.51785 nextStrikeUp/Down 1.52/1.515</t>
  </si>
  <si>
    <t>2015-1-20 16:18:0.406: Algorithm - getPortfolioForwardDelta - required deltas is 100 currentHedgePosition is 100</t>
  </si>
  <si>
    <t>2015-1-20 16:18:0.406: Algorithm - getHedgeShortfall - required deltas is 100 price is 1.51775 currentHedgePositionDeltas is 100</t>
  </si>
  <si>
    <t>2015-1-20 16:18:0.407: Algorithm - processTransitionPoint - nextUpper/LowerStrikes are 1.52/1.515 requiredDeltas/currentPosition/currentHedgeShortfall/direction/transitionPrice are 100/100/0/-1/1.51775</t>
  </si>
  <si>
    <t>2015-1-20 16:18:0.407: TransitionLogger - processTransitionpoint - checking transition - currentHedgeShortfall is 0</t>
  </si>
  <si>
    <t>2015-1-20 16:18:0.408: Algorithm - updatePortfolio - haveAllDetails is True</t>
  </si>
  <si>
    <t>2015-1-20 16:18:0.410: RTWSControl - updatePortfolioEx - An Error Occured Object variable or With block variable not set</t>
  </si>
  <si>
    <t>2015-1-20 16:18:0.460: Algorithm - FindNextStrikes - price is 1.51785 nextStrikeUp/Down 1.52/1.515</t>
  </si>
  <si>
    <t>2015-1-20 16:18:0.460: Algorithm - getPortfolioForwardDelta - required deltas is 100 currentHedgePosition is 100</t>
  </si>
  <si>
    <t>2015-1-20 16:18:0.461: Algorithm - getHedgeShortfall - required deltas is 100 price is 1.51775 currentHedgePositionDeltas is 100</t>
  </si>
  <si>
    <t>2015-1-20 16:18:0.461: Algorithm - processTransitionPoint - nextUpper/LowerStrikes are 1.52/1.515 requiredDeltas/currentPosition/currentHedgeShortfall/direction/transitionPrice are 100/100/0/-1/1.51775</t>
  </si>
  <si>
    <t>2015-1-20 16:18:0.462: TransitionLogger - processTransitionpoint - checking transition - currentHedgeShortfall is 0</t>
  </si>
  <si>
    <t>2015-1-20 16:18:0.462: Algorithm - updatePortfolio - haveAllDetails is True</t>
  </si>
  <si>
    <t>2015-1-20 16:18:0.464: RTWSControl - updatePortfolioEx - An Error Occured Object variable or With block variable not set</t>
  </si>
  <si>
    <t>2015-1-20 16:18:0.526: Algorithm - FindNextStrikes - price is 1.51785 nextStrikeUp/Down 1.52/1.515</t>
  </si>
  <si>
    <t>2015-1-20 16:18:0.527: Algorithm - getPortfolioForwardDelta - required deltas is 100 currentHedgePosition is 100</t>
  </si>
  <si>
    <t>2015-1-20 16:18:0.527: Algorithm - getHedgeShortfall - required deltas is 100 price is 1.51775 currentHedgePositionDeltas is 100</t>
  </si>
  <si>
    <t>2015-1-20 16:18:0.528: Algorithm - processTransitionPoint - nextUpper/LowerStrikes are 1.52/1.515 requiredDeltas/currentPosition/currentHedgeShortfall/direction/transitionPrice are 100/100/0/-1/1.51775</t>
  </si>
  <si>
    <t>2015-1-20 16:18:0.528: TransitionLogger - processTransitionpoint - checking transition - currentHedgeShortfall is 0</t>
  </si>
  <si>
    <t>2015-1-20 16:18:0.529: Algorithm - updatePortfolio - haveAllDetails is True</t>
  </si>
  <si>
    <t>2015-1-20 16:18:0.530: RTWSControl - updatePortfolioEx - An Error Occured Object variable or With block variable not set</t>
  </si>
  <si>
    <t>2015-1-20 16:18:0.588: Algorithm - FindNextStrikes - price is 1.51785 nextStrikeUp/Down 1.52/1.515</t>
  </si>
  <si>
    <t>2015-1-20 16:18:0.588: Algorithm - getPortfolioForwardDelta - required deltas is 100 currentHedgePosition is 100</t>
  </si>
  <si>
    <t>2015-1-20 16:18:0.589: Algorithm - getHedgeShortfall - required deltas is 100 price is 1.51775 currentHedgePositionDeltas is 100</t>
  </si>
  <si>
    <t>2015-1-20 16:18:0.589: Algorithm - processTransitionPoint - nextUpper/LowerStrikes are 1.52/1.515 requiredDeltas/currentPosition/currentHedgeShortfall/direction/transitionPrice are 100/100/0/-1/1.51775</t>
  </si>
  <si>
    <t>2015-1-20 16:18:0.590: TransitionLogger - processTransitionpoint - checking transition - currentHedgeShortfall is 0</t>
  </si>
  <si>
    <t>2015-1-20 16:18:0.591: Algorithm - updatePortfolio - haveAllDetails is True</t>
  </si>
  <si>
    <t>2015-1-20 16:18:0.592: RTWSControl - updatePortfolioEx - An Error Occured Object variable or With block variable not set</t>
  </si>
  <si>
    <t>2015-1-20 16:18:0.644: DirectionIndicator - notify - price/longMA/ShortMA/prevDirection are 1.5179/1.51787555248938/1.51788114199636/-1</t>
  </si>
  <si>
    <t>2015-1-20 16:18:0.815: DirectionIndicator - notify - price/longMA/ShortMA/prevDirection are 1.51785/1.51787090658222/1.5178707613309/-1</t>
  </si>
  <si>
    <t>2015-1-20 16:18:3.653: DirectionIndicator - notify - price/longMA/ShortMA/prevDirection are 1.5178/1.51785801447636/1.5178471742206/-1</t>
  </si>
  <si>
    <t>2015-1-20 16:18:4.27: DirectionIndicator - notify - price/longMA/ShortMA/prevDirection are 1.51775/1.51783837548066/1.51781478281373/-1</t>
  </si>
  <si>
    <t>2015-1-20 16:18:4.613: DirectionIndicator - notify - price/longMA/ShortMA/prevDirection are 1.5177/1.51781321630236/1.51777652187582/-1</t>
  </si>
  <si>
    <t>2015-1-20 16:18:5.315: DirectionIndicator - notify - price/longMA/ShortMA/prevDirection are 1.51765/1.51778354061102/1.51773434791722/-1</t>
  </si>
  <si>
    <t>2015-1-20 16:18:5.608: DirectionIndicator - notify - price/longMA/ShortMA/prevDirection are 1.5177/1.51776835140902/1.51772289861148/-1</t>
  </si>
  <si>
    <t>2015-1-20 16:18:7.153: DirectionIndicator - notify - price/longMA/ShortMA/prevDirection are 1.51775/1.5177650147892/1.51773193240765/-1</t>
  </si>
  <si>
    <t>2015-1-20 16:18:8.112: TransitionLogger - flushFile - flushing file</t>
  </si>
  <si>
    <t>2015-1-20 16:18:8.113: TransitionLogger - openTransitionFile - opening file C:\temp\transitionlog_2015-01-20_153021</t>
  </si>
  <si>
    <t>2015-1-20 16:18:13.72: DirectionIndicator - notify - price/longMA/ShortMA/prevDirection are 1.5178/1.51777137573661/1.5177546216051/-1</t>
  </si>
  <si>
    <t>2015-1-20 16:18:13.142: DirectionIndicator - notify - price/longMA/ShortMA/prevDirection are 1.51785/1.51778567105723/1.5177864144034/-1</t>
  </si>
  <si>
    <t>2015-1-20 16:18:13.734: DirectionIndicator - notify - price/longMA/ShortMA/prevDirection are 1.5178/1.51778827631955/1.5177909429356/-1</t>
  </si>
  <si>
    <t>2015-1-20 16:18:17.77: DirectionIndicator - notify - price/longMA/ShortMA/prevDirection are 1.51785/1.51779949880691/1.51781062862373/-1</t>
  </si>
  <si>
    <t>2015-1-20 16:18:17.961: DirectionIndicator - notify - price/longMA/ShortMA/prevDirection are 1.5178/1.51779958993292/1.51780708574916/-1</t>
  </si>
  <si>
    <t>2015-1-20 16:18:20.281: DirectionIndicator - notify - price/longMA/ShortMA/prevDirection are 1.51775/1.51779057358148/1.5177880571661/-1</t>
  </si>
  <si>
    <t>2015-1-20 16:18:20.565: DirectionIndicator - notify - price/longMA/ShortMA/prevDirection are 1.5178/1.51779228747576/1.51779203811074/-1</t>
  </si>
  <si>
    <t>2015-1-20 16:18:20.816: DirectionIndicator - notify - price/longMA/ShortMA/prevDirection are 1.51775/1.5177845988438/1.51777802540716/-1</t>
  </si>
  <si>
    <t>2015-1-20 16:18:23.274: Util - logStaleData - Data is stale!</t>
  </si>
  <si>
    <t>2015-1-20 16:18:29.16: TransitionLogger - flushFile - flushing file</t>
  </si>
  <si>
    <t>2015-1-20 16:18:29.17: TransitionLogger - openTransitionFile - opening file C:\temp\transitionlog_2015-01-20_153021</t>
  </si>
  <si>
    <t>2015-1-20 16:18:29.22: Util - logStaleData - Data is stale!</t>
  </si>
  <si>
    <t>2015-1-20 16:18:29.447: DirectionIndicator - notify - price/longMA/ShortMA/prevDirection are 1.5177/1.51776921723584/1.5177520169381/-1</t>
  </si>
  <si>
    <t>2015-1-20 16:18:29.521: DirectionIndicator - notify - price/longMA/ShortMA/prevDirection are 1.51765/1.51774754137478/1.51771801129207/-1</t>
  </si>
  <si>
    <t>2015-1-20 16:18:44.984: DirectionIndicator - notify - price/longMA/ShortMA/prevDirection are 1.5177/1.51773889748845/1.51771200752805/-1</t>
  </si>
  <si>
    <t>2015-1-20 16:18:45.31: DirectionIndicator - notify - price/longMA/ShortMA/prevDirection are 1.51775/1.51774091612692/1.51772467168536/-1</t>
  </si>
  <si>
    <t>2015-1-20 16:18:46.718: DirectionIndicator - notify - price/longMA/ShortMA/prevDirection are 1.5177/1.51773347683111/1.51771644779024/-1</t>
  </si>
  <si>
    <t>2015-1-20 16:18:47.152: DirectionIndicator - notify - price/longMA/ShortMA/prevDirection are 1.51765/1.51771829922546/1.51769429852683/-1</t>
  </si>
  <si>
    <t>2015-1-20 16:18:47.806: DirectionIndicator - notify - price/longMA/ShortMA/prevDirection are 1.5177/1.51771497209356/1.51769619901789/-1</t>
  </si>
  <si>
    <t>2015-1-20 16:18:49.178: DirectionIndicator - notify - price/longMA/ShortMA/prevDirection are 1.51765/1.51770315898564/1.51768079934526/-1</t>
  </si>
  <si>
    <t>2015-1-20 16:18:49.745: DirectionIndicator - notify - price/longMA/ShortMA/prevDirection are 1.5177/1.51770258462461/1.5176871995635/-1</t>
  </si>
  <si>
    <t>2015-1-20 16:18:59.904: DirectionIndicator - notify - price/longMA/ShortMA/prevDirection are 1.51775/1.51771120560195/1.51770813304234/-1</t>
  </si>
  <si>
    <t>2015-1-20 16:19:0.234: DirectionIndicator - notify - price/longMA/ShortMA/prevDirection are 1.5178/1.51772735003796/1.51773875536156/-1</t>
  </si>
  <si>
    <t>2015-1-20 16:19:4.899: DirectionIndicator - notify - price/longMA/ShortMA/prevDirection are 1.51775/1.51773146821288/1.51774250357437/-1</t>
  </si>
  <si>
    <t>2015-1-20 16:19:6.533: DirectionIndicator - notify - price/longMA/ShortMA/prevDirection are 1.5178/1.51774392853781/1.51776166904958/-1</t>
  </si>
  <si>
    <t>2015-1-20 16:19:6.605: DirectionIndicator - notify - price/longMA/ShortMA/prevDirection are 1.51785/1.51776321425821/1.51779111269972/-1</t>
  </si>
  <si>
    <t>2015-1-20 16:19:8.111: TransitionLogger - flushFile - flushing file</t>
  </si>
  <si>
    <t>2015-1-20 16:19:8.111: TransitionLogger - openTransitionFile - opening file C:\temp\transitionlog_2015-01-20_153021</t>
  </si>
  <si>
    <t>2015-1-20 16:19:12.979: DirectionIndicator - notify - price/longMA/ShortMA/prevDirection are 1.5179/1.51778808439308/1.51782740846648/1</t>
  </si>
  <si>
    <t>2015-1-20 16:19:13.261: DirectionIndicator - notify - price/longMA/ShortMA/prevDirection are 1.51795/1.51781752359434/1.51786827231099/1</t>
  </si>
  <si>
    <t>2015-1-20 16:19:14.368: DirectionIndicator - notify - price/longMA/ShortMA/prevDirection are 1.5179/1.51783251930446/1.51787884820732/1</t>
  </si>
  <si>
    <t>2015-1-20 16:19:15.725: DirectionIndicator - notify - price/longMA/ShortMA/prevDirection are 1.51795/1.51785387943092/1.51790256547155/1</t>
  </si>
  <si>
    <t>2015-1-20 16:19:16.741: DirectionIndicator - notify - price/longMA/ShortMA/prevDirection are 1.518/1.51788044680712/1.5179350436477/1</t>
  </si>
  <si>
    <t>2015-1-20 16:19:17.693: DirectionIndicator - notify - price/longMA/ShortMA/prevDirection are 1.51805/1.51791127466037/1.5179733624318/1</t>
  </si>
  <si>
    <t>2015-1-20 16:19:17.949: DirectionIndicator - notify - price/longMA/ShortMA/prevDirection are 1.518/1.5179274065403/1.5179822416212/1</t>
  </si>
  <si>
    <t>2015-1-20 16:19:18.823: DirectionIndicator - notify - price/longMA/ShortMA/prevDirection are 1.51805/1.51794969626025/1.51800482774747/1</t>
  </si>
  <si>
    <t>2015-1-20 16:19:21.75: DirectionIndicator - notify - price/longMA/ShortMA/prevDirection are 1.5181/1.51797702421293/1.51803655183164/1</t>
  </si>
  <si>
    <t>2015-1-20 16:19:22.32: DirectionIndicator - notify - price/longMA/ShortMA/prevDirection are 1.51815/1.51800847435603/1.51807436788776/1</t>
  </si>
  <si>
    <t>2015-1-20 16:19:24.391: DirectionIndicator - notify - price/longMA/ShortMA/prevDirection are 1.5181/1.51802511538221/1.51808291192518/1</t>
  </si>
  <si>
    <t>2015-1-20 16:19:25.50: DirectionIndicator - notify - price/longMA/ShortMA/prevDirection are 1.51805/1.51802963985817/1.51807194128345/1</t>
  </si>
  <si>
    <t>2015-1-20 16:19:29.32: TransitionLogger - flushFile - flushing file</t>
  </si>
  <si>
    <t>2015-1-20 16:19:29.33: TransitionLogger - openTransitionFile - opening file C:\temp\transitionlog_2015-01-20_153021</t>
  </si>
  <si>
    <t>2015-1-20 16:19:30.356: DirectionIndicator - notify - price/longMA/ShortMA/prevDirection are 1.518/1.51802425079305/1.51804796085563/1</t>
  </si>
  <si>
    <t>2015-1-20 16:19:30.409: DirectionIndicator - notify - price/longMA/ShortMA/prevDirection are 1.51795/1.51801075064886/1.51801530723709/1</t>
  </si>
  <si>
    <t>2015-1-20 16:19:31.440: DirectionIndicator - notify - price/longMA/ShortMA/prevDirection are 1.5179/1.51799061416725/1.51797687149139/1</t>
  </si>
  <si>
    <t>2015-1-20 16:19:31.492: DirectionIndicator - notify - price/longMA/ShortMA/prevDirection are 1.51785/1.51796504795502/1.51793458099426/1</t>
  </si>
  <si>
    <t>2015-1-20 16:19:31.782: DirectionIndicator - notify - price/longMA/ShortMA/prevDirection are 1.5179/1.51795322105411/1.51792305399617/-1</t>
  </si>
  <si>
    <t>2015-1-20 16:19:32.70: DirectionIndicator - notify - price/longMA/ShortMA/prevDirection are 1.51785/1.51793445358972/1.51789870266412/-1</t>
  </si>
  <si>
    <t>2015-1-20 16:19:32.149: DirectionIndicator - notify - price/longMA/ShortMA/prevDirection are 1.5179/1.51792818930068/1.51789913510941/-1</t>
  </si>
  <si>
    <t>2015-1-20 16:19:32.243: DirectionIndicator - notify - price/longMA/ShortMA/prevDirection are 1.51785/1.5179139730642/1.51788275673961/-1</t>
  </si>
  <si>
    <t>2015-1-20 16:19:32.585: DirectionIndicator - notify - price/longMA/ShortMA/prevDirection are 1.5179/1.51791143250707/1.51788850449307/-1</t>
  </si>
  <si>
    <t>2015-1-20 16:19:33.319: DirectionIndicator - notify - price/longMA/ShortMA/prevDirection are 1.51785/1.51790026296033/1.51787566966205/-1</t>
  </si>
  <si>
    <t>2015-1-20 16:19:34.736: DirectionIndicator - notify - price/longMA/ShortMA/prevDirection are 1.5179/1.51790021514936/1.5178837797747/-1</t>
  </si>
  <si>
    <t>2015-1-20 16:19:36.950: DirectionIndicator - notify - price/longMA/ShortMA/prevDirection are 1.51795/1.51790926694039/1.51790585318313/-1</t>
  </si>
  <si>
    <t>2015-1-20 16:19:37.611: DirectionIndicator - notify - price/longMA/ShortMA/prevDirection are 1.5179/1.51790758204213/1.51790390212209/-1</t>
  </si>
  <si>
    <t>2015-1-20 16:19:38.350: DirectionIndicator - notify - price/longMA/ShortMA/prevDirection are 1.51795/1.51791529439811/1.51791926808139/-1</t>
  </si>
  <si>
    <t>2015-1-20 16:19:39.519: DirectionIndicator - notify - price/longMA/ShortMA/prevDirection are 1.5179/1.51791251359845/1.51791284538759/-1</t>
  </si>
  <si>
    <t>2015-1-20 16:19:39.593: DirectionIndicator - notify - price/longMA/ShortMA/prevDirection are 1.51785/1.51790114748964/1.51789189692506/-1</t>
  </si>
  <si>
    <t>2015-1-20 16:19:40.357: DirectionIndicator - notify - price/longMA/ShortMA/prevDirection are 1.5179/1.51790093885516/1.51789459795004/-1</t>
  </si>
  <si>
    <t>2015-1-20 16:19:40.956: DirectionIndicator - notify - price/longMA/ShortMA/prevDirection are 1.51795/1.51790985906332/1.51791306530003/-1</t>
  </si>
  <si>
    <t>2015-1-20 16:19:44.173: DirectionIndicator - notify - price/longMA/ShortMA/prevDirection are 1.5179/1.51790806650635/1.51790871020002/-1</t>
  </si>
  <si>
    <t>2015-1-20 16:19:44.446: DirectionIndicator - notify - price/longMA/ShortMA/prevDirection are 1.51795/1.51791569077792/1.51792247346668/-1</t>
  </si>
  <si>
    <t>2015-1-20 16:19:48.111: DirectionIndicator - notify - price/longMA/ShortMA/prevDirection are 1.518/1.51793101972739/1.51794831564445/-1</t>
  </si>
  <si>
    <t>2015-1-20 16:19:48.192: DirectionIndicator - notify - price/longMA/ShortMA/prevDirection are 1.51805/1.51795265250423/1.51798221042964/-1</t>
  </si>
  <si>
    <t>2015-1-20 16:19:49.113: DirectionIndicator - notify - price/longMA/ShortMA/prevDirection are 1.5181/1.51797944295801/1.51802147361976/1</t>
  </si>
  <si>
    <t>2015-1-20 16:19:49.626: DirectionIndicator - notify - price/longMA/ShortMA/prevDirection are 1.51805/1.5179922715111/1.51803098241317/1</t>
  </si>
  <si>
    <t>2015-1-20 16:19:50.998: DirectionIndicator - notify - price/longMA/ShortMA/prevDirection are 1.5181/1.51801185850908/1.51805398827545/1</t>
  </si>
  <si>
    <t>2015-1-20 16:19:51.488: DirectionIndicator - notify - price/longMA/ShortMA/prevDirection are 1.51805/1.51801879332561/1.5180526588503/1</t>
  </si>
  <si>
    <t>2015-1-20 16:19:52.326: DirectionIndicator - notify - price/longMA/ShortMA/prevDirection are 1.5181/1.5180335581755/1.51806843923353/1</t>
  </si>
  <si>
    <t>2015-1-20 16:19:52.400: DirectionIndicator - notify - price/longMA/ShortMA/prevDirection are 1.51815/1.51805472941632/1.51809562615569/1</t>
  </si>
  <si>
    <t>2015-1-20 16:19:52.654: DirectionIndicator - notify - price/longMA/ShortMA/prevDirection are 1.5181/1.51806296043153/1.51809708410379/1</t>
  </si>
  <si>
    <t>2015-1-20 16:19:52.775: DirectionIndicator - notify - price/longMA/ShortMA/prevDirection are 1.51815/1.51807878580762/1.51811472273586/1</t>
  </si>
  <si>
    <t>2015-1-20 16:19:53.108: DirectionIndicator - notify - price/longMA/ShortMA/prevDirection are 1.5181/1.5180826429335/1.51810981515724/1</t>
  </si>
  <si>
    <t>2015-1-20 16:19:53.196: DirectionIndicator - notify - price/longMA/ShortMA/prevDirection are 1.51815/1.51809488967287/1.51812321010483/1</t>
  </si>
  <si>
    <t>2015-1-20 16:19:53.615: DirectionIndicator - notify - price/longMA/ShortMA/prevDirection are 1.5181/1.51809581882326/1.51811547340322/1</t>
  </si>
  <si>
    <t>2015-1-20 16:19:55.221: DirectionIndicator - notify - price/longMA/ShortMA/prevDirection are 1.51815/1.5181056699463/1.51812698226881/1</t>
  </si>
  <si>
    <t>2015-1-20 16:19:57.650: DirectionIndicator - notify - price/longMA/ShortMA/prevDirection are 1.5181/1.51810463904697/1.51811798817921/1</t>
  </si>
  <si>
    <t>2015-1-20 16:19:59.606: DirectionIndicator - notify - price/longMA/ShortMA/prevDirection are 1.51805/1.5180947046748/1.51809532545281/1</t>
  </si>
  <si>
    <t>2015-1-20 16:20:3.983: DirectionIndicator - notify - price/longMA/ShortMA/prevDirection are 1.5181/1.5180956674612/1.5180968836352/1</t>
  </si>
  <si>
    <t>2015-1-20 16:20:4.160: DirectionIndicator - notify - price/longMA/ShortMA/prevDirection are 1.51815/1.51810554610462/1.51811458909014/1</t>
  </si>
  <si>
    <t>2015-1-20 16:20:4.413: DirectionIndicator - notify - price/longMA/ShortMA/prevDirection are 1.5181/1.51810453772196/1.51810972606009/1</t>
  </si>
  <si>
    <t>2015-1-20 16:20:4.875: DirectionIndicator - notify - price/longMA/ShortMA/prevDirection are 1.51815/1.51811280359069/1.51812315070673/1</t>
  </si>
  <si>
    <t>2015-1-20 16:20:5.229: DirectionIndicator - notify - price/longMA/ShortMA/prevDirection are 1.5181/1.51811047566511/1.51811543380448/1</t>
  </si>
  <si>
    <t>2015-1-20 16:20:6.853: DirectionIndicator - notify - price/longMA/ShortMA/prevDirection are 1.51815/1.51811766190782/1.51812695586966/1</t>
  </si>
  <si>
    <t>2015-1-20 16:20:8.207: TransitionLogger - flushFile - flushing file</t>
  </si>
  <si>
    <t>2015-1-20 16:20:8.209: TransitionLogger - openTransitionFile - opening file C:\temp\transitionlog_2015-01-20_153021</t>
  </si>
  <si>
    <t>2015-1-20 16:20:9.108: DirectionIndicator - notify - price/longMA/ShortMA/prevDirection are 1.5181/1.51811445065185/1.51811797057977/1</t>
  </si>
  <si>
    <t>2015-1-20 16:20:9.362: DirectionIndicator - notify - price/longMA/ShortMA/prevDirection are 1.51805/1.51810273235152/1.51809531371985/1</t>
  </si>
  <si>
    <t>2015-1-20 16:20:10.818: DirectionIndicator - notify - price/longMA/ShortMA/prevDirection are 1.518/1.51808405374215/1.5180635424799/1</t>
  </si>
  <si>
    <t>2015-1-20 16:20:11.287: DirectionIndicator - notify - price/longMA/ShortMA/prevDirection are 1.51795/1.51805968033449/1.5180256949866/-1</t>
  </si>
  <si>
    <t>2015-1-20 16:20:12.744: DirectionIndicator - notify - price/longMA/ShortMA/prevDirection are 1.5179/1.5180306475464/1.51798379665773/-1</t>
  </si>
  <si>
    <t>2015-1-20 16:20:13.31: DirectionIndicator - notify - price/longMA/ShortMA/prevDirection are 1.51785/1.51799780253796/1.51793919777182/-1</t>
  </si>
  <si>
    <t>2015-1-20 16:20:13.537: DirectionIndicator - notify - price/longMA/ShortMA/prevDirection are 1.5178/1.51796183844015/1.51789279851455/-1</t>
  </si>
  <si>
    <t>2015-1-20 16:20:14.336: DirectionIndicator - notify - price/longMA/ShortMA/prevDirection are 1.51785/1.5179415041783/1.51787853234303/-1</t>
  </si>
  <si>
    <t>2015-1-20 16:20:15.162: DirectionIndicator - notify - price/longMA/ShortMA/prevDirection are 1.5178/1.51791577614589/1.51785235489535/-1</t>
  </si>
  <si>
    <t>2015-1-20 16:20:15.359: DirectionIndicator - notify - price/longMA/ShortMA/prevDirection are 1.51785/1.51790381684663/1.51785156993024/-1</t>
  </si>
  <si>
    <t>2015-1-20 16:20:15.483: DirectionIndicator - notify - price/longMA/ShortMA/prevDirection are 1.5178/1.51788494105634/1.51783437995349/-1</t>
  </si>
  <si>
    <t>2015-1-20 16:20:15.990: DirectionIndicator - notify - price/longMA/ShortMA/prevDirection are 1.51785/1.517878588137/1.51783958663566/-1</t>
  </si>
  <si>
    <t>2015-1-20 16:20:16.356: DirectionIndicator - notify - price/longMA/ShortMA/prevDirection are 1.5178/1.51786429938482/1.51782639109044/-1</t>
  </si>
  <si>
    <t>2015-1-20 16:20:16.485: DirectionIndicator - notify - price/longMA/ShortMA/prevDirection are 1.51785/1.51786169949667/1.51783426072696/-1</t>
  </si>
  <si>
    <t>2015-1-20 16:20:16.740: DirectionIndicator - notify - price/longMA/ShortMA/prevDirection are 1.5178/1.51785048140637/1.51782284048464/-1</t>
  </si>
  <si>
    <t>2015-1-20 16:20:16.786: DirectionIndicator - notify - price/longMA/ShortMA/prevDirection are 1.51775/1.51783221205976/1.51779856032309/-1</t>
  </si>
  <si>
    <t>2015-1-20 16:20:17.239: DirectionIndicator - notify - price/longMA/ShortMA/prevDirection are 1.5178/1.51782635532162/1.5177990402154/-1</t>
  </si>
  <si>
    <t>2015-1-20 16:20:17.657: DirectionIndicator - notify - price/longMA/ShortMA/prevDirection are 1.51785/1.51783065435405/1.51781602681026/-1</t>
  </si>
  <si>
    <t>2015-1-20 16:20:18.363: DirectionIndicator - notify - price/longMA/ShortMA/prevDirection are 1.5178/1.51782508083513/1.51781068454018/-1</t>
  </si>
  <si>
    <t>2015-1-20 16:20:18.442: DirectionIndicator - notify - price/longMA/ShortMA/prevDirection are 1.51775/1.5178114297742/1.51779045636012/-1</t>
  </si>
  <si>
    <t>2015-1-20 16:20:22.331: Algorithm - FindNextStrikes - price is 1.51775 nextStrikeUp/Down 1.52/1.515</t>
  </si>
  <si>
    <t>2015-1-20 16:20:22.331: Algorithm - getPortfolioForwardDelta - required deltas is 100 currentHedgePosition is 100</t>
  </si>
  <si>
    <t>2015-1-20 16:20:22.332: Algorithm - getHedgeShortfall - required deltas is 100 price is 1.51765 currentHedgePositionDeltas is 100</t>
  </si>
  <si>
    <t>2015-1-20 16:20:22.333: Algorithm - processTransitionPoint - nextUpper/LowerStrikes are 1.52/1.515 requiredDeltas/currentPosition/currentHedgeShortfall/direction/transitionPrice are 100/100/0/-1/1.51765</t>
  </si>
  <si>
    <t>2015-1-20 16:20:22.333: TransitionLogger - processTransitionpoint - checking transition - currentHedgeShortfall is 0</t>
  </si>
  <si>
    <t>2015-1-20 16:20:22.334: Algorithm - updatePortfolio - haveAllDetails is True</t>
  </si>
  <si>
    <t>2015-1-20 16:20:22.335: RTWSControl - updatePortfolioEx - An Error Occured Object variable or With block variable not set</t>
  </si>
  <si>
    <t>2015-1-20 16:20:22.374: Algorithm - FindNextStrikes - price is 1.51775 nextStrikeUp/Down 1.52/1.515</t>
  </si>
  <si>
    <t>2015-1-20 16:20:22.374: Algorithm - getPortfolioForwardDelta - required deltas is 100 currentHedgePosition is 100</t>
  </si>
  <si>
    <t>2015-1-20 16:20:22.375: Algorithm - getHedgeShortfall - required deltas is 100 price is 1.51765 currentHedgePositionDeltas is 100</t>
  </si>
  <si>
    <t>2015-1-20 16:20:22.375: Algorithm - processTransitionPoint - nextUpper/LowerStrikes are 1.52/1.515 requiredDeltas/currentPosition/currentHedgeShortfall/direction/transitionPrice are 100/100/0/-1/1.51765</t>
  </si>
  <si>
    <t>2015-1-20 16:20:22.376: TransitionLogger - processTransitionpoint - checking transition - currentHedgeShortfall is 0</t>
  </si>
  <si>
    <t>2015-1-20 16:20:22.377: Algorithm - updatePortfolio - haveAllDetails is True</t>
  </si>
  <si>
    <t>2015-1-20 16:20:22.378: RTWSControl - updatePortfolioEx - An Error Occured Object variable or With block variable not set</t>
  </si>
  <si>
    <t>2015-1-20 16:20:22.446: Algorithm - FindNextStrikes - price is 1.51775 nextStrikeUp/Down 1.52/1.515</t>
  </si>
  <si>
    <t>2015-1-20 16:20:22.446: Algorithm - getPortfolioForwardDelta - required deltas is 100 currentHedgePosition is 100</t>
  </si>
  <si>
    <t>2015-1-20 16:20:22.447: Algorithm - getHedgeShortfall - required deltas is 100 price is 1.51765 currentHedgePositionDeltas is 100</t>
  </si>
  <si>
    <t>2015-1-20 16:20:22.448: Algorithm - processTransitionPoint - nextUpper/LowerStrikes are 1.52/1.515 requiredDeltas/currentPosition/currentHedgeShortfall/direction/transitionPrice are 100/100/0/-1/1.51765</t>
  </si>
  <si>
    <t>2015-1-20 16:20:22.448: TransitionLogger - processTransitionpoint - checking transition - currentHedgeShortfall is 0</t>
  </si>
  <si>
    <t>2015-1-20 16:20:22.449: Algorithm - updatePortfolio - haveAllDetails is True</t>
  </si>
  <si>
    <t>2015-1-20 16:20:22.450: RTWSControl - updatePortfolioEx - An Error Occured Object variable or With block variable not set</t>
  </si>
  <si>
    <t>2015-1-20 16:20:22.506: Algorithm - FindNextStrikes - price is 1.51775 nextStrikeUp/Down 1.52/1.515</t>
  </si>
  <si>
    <t>2015-1-20 16:20:22.507: Algorithm - getPortfolioForwardDelta - required deltas is 100 currentHedgePosition is 100</t>
  </si>
  <si>
    <t>2015-1-20 16:20:22.507: Algorithm - getHedgeShortfall - required deltas is 100 price is 1.51765 currentHedgePositionDeltas is 100</t>
  </si>
  <si>
    <t>2015-1-20 16:20:22.507: Algorithm - processTransitionPoint - nextUpper/LowerStrikes are 1.52/1.515 requiredDeltas/currentPosition/currentHedgeShortfall/direction/transitionPrice are 100/100/0/-1/1.51765</t>
  </si>
  <si>
    <t>2015-1-20 16:20:22.508: TransitionLogger - processTransitionpoint - checking transition - currentHedgeShortfall is 0</t>
  </si>
  <si>
    <t>2015-1-20 16:20:22.509: Algorithm - updatePortfolio - haveAllDetails is True</t>
  </si>
  <si>
    <t>2015-1-20 16:20:22.510: RTWSControl - updatePortfolioEx - An Error Occured Object variable or With block variable not set</t>
  </si>
  <si>
    <t>2015-1-20 16:20:22.553: Algorithm - FindNextStrikes - price is 1.51775 nextStrikeUp/Down 1.52/1.515</t>
  </si>
  <si>
    <t>2015-1-20 16:20:22.553: Algorithm - getPortfolioForwardDelta - required deltas is 100 currentHedgePosition is 100</t>
  </si>
  <si>
    <t>2015-1-20 16:20:22.554: Algorithm - getHedgeShortfall - required deltas is 100 price is 1.51765 currentHedgePositionDeltas is 100</t>
  </si>
  <si>
    <t>2015-1-20 16:20:22.554: Algorithm - processTransitionPoint - nextUpper/LowerStrikes are 1.52/1.515 requiredDeltas/currentPosition/currentHedgeShortfall/direction/transitionPrice are 100/100/0/-1/1.51765</t>
  </si>
  <si>
    <t>2015-1-20 16:20:22.555: TransitionLogger - processTransitionpoint - checking transition - currentHedgeShortfall is 0</t>
  </si>
  <si>
    <t>2015-1-20 16:20:22.555: Algorithm - updatePortfolio - haveAllDetails is True</t>
  </si>
  <si>
    <t>2015-1-20 16:20:22.557: RTWSControl - updatePortfolioEx - An Error Occured Object variable or With block variable not set</t>
  </si>
  <si>
    <t>2015-1-20 16:20:22.618: Algorithm - FindNextStrikes - price is 1.51775 nextStrikeUp/Down 1.52/1.515</t>
  </si>
  <si>
    <t>2015-1-20 16:20:22.619: Algorithm - getPortfolioForwardDelta - required deltas is 100 currentHedgePosition is 100</t>
  </si>
  <si>
    <t>2015-1-20 16:20:22.619: Algorithm - getHedgeShortfall - required deltas is 100 price is 1.51765 currentHedgePositionDeltas is 100</t>
  </si>
  <si>
    <t>2015-1-20 16:20:22.620: Algorithm - processTransitionPoint - nextUpper/LowerStrikes are 1.52/1.515 requiredDeltas/currentPosition/currentHedgeShortfall/direction/transitionPrice are 100/100/0/-1/1.51765</t>
  </si>
  <si>
    <t>2015-1-20 16:20:22.620: TransitionLogger - processTransitionpoint - checking transition - currentHedgeShortfall is 0</t>
  </si>
  <si>
    <t>2015-1-20 16:20:22.621: Algorithm - updatePortfolio - haveAllDetails is True</t>
  </si>
  <si>
    <t>2015-1-20 16:20:22.622: RTWSControl - updatePortfolioEx - An Error Occured Object variable or With block variable not set</t>
  </si>
  <si>
    <t>2015-1-20 16:20:22.912: DirectionIndicator - notify - price/longMA/ShortMA/prevDirection are 1.5177/1.51779116981525/1.51776030424008/-1</t>
  </si>
  <si>
    <t>2015-1-20 16:20:22.983: DirectionIndicator - notify - price/longMA/ShortMA/prevDirection are 1.51765/1.51776550257612/1.51772353616005/-1</t>
  </si>
  <si>
    <t>2015-1-20 16:20:23.322: DirectionIndicator - notify - price/longMA/ShortMA/prevDirection are 1.5177/1.51775359301682/1.51771569077337/-1</t>
  </si>
  <si>
    <t>2015-1-20 16:20:23.443: DirectionIndicator - notify - price/longMA/ShortMA/prevDirection are 1.51765/1.51773475792286/1.51769379384891/-1</t>
  </si>
  <si>
    <t>2015-1-20 16:20:29.159: TransitionLogger - flushFile - flushing file</t>
  </si>
  <si>
    <t>2015-1-20 16:20:29.160: TransitionLogger - openTransitionFile - opening file C:\temp\transitionlog_2015-01-20_153021</t>
  </si>
  <si>
    <t>2015-1-20 16:20:32.204: DirectionIndicator - notify - price/longMA/ShortMA/prevDirection are 1.5176/1.51771025648234/1.51766252923261/-1</t>
  </si>
  <si>
    <t>2015-1-20 16:20:32.277: DirectionIndicator - notify - price/longMA/ShortMA/prevDirection are 1.51755/1.51768111894009/1.51762501948841/-1</t>
  </si>
  <si>
    <t>2015-1-20 16:20:32.783: DirectionIndicator - notify - price/longMA/ShortMA/prevDirection are 1.5176/1.51766637004189/1.51761667965894/-1</t>
  </si>
  <si>
    <t>2015-1-20 16:20:34.135: DirectionIndicator - notify - price/longMA/ShortMA/prevDirection are 1.51755/1.51764521185246/1.51759445310596/-1</t>
  </si>
  <si>
    <t>2015-1-20 16:20:37.74: DirectionIndicator - notify - price/longMA/ShortMA/prevDirection are 1.5176/1.51763699151565/1.51759630207064/-1</t>
  </si>
  <si>
    <t>2015-1-20 16:20:41.542: DirectionIndicator - notify - price/longMA/ShortMA/prevDirection are 1.51765/1.51763935669462/1.51761420138043/-1</t>
  </si>
  <si>
    <t>2015-1-20 16:20:42.78: DirectionIndicator - notify - price/longMA/ShortMA/prevDirection are 1.5177/1.51765038275014/1.51764280092028/-1</t>
  </si>
  <si>
    <t>2015-1-20 16:20:43.443: DirectionIndicator - notify - price/longMA/ShortMA/prevDirection are 1.51765/1.51765031315921/1.51764520061352/-1</t>
  </si>
  <si>
    <t>2015-1-20 16:20:44.866: DirectionIndicator - notify - price/longMA/ShortMA/prevDirection are 1.5177/1.51765934713026/1.51766346707568/-1</t>
  </si>
  <si>
    <t>2015-1-20 16:20:45.5: DirectionIndicator - notify - price/longMA/ShortMA/prevDirection are 1.51765/1.51765764765203/1.51765897805045/-1</t>
  </si>
  <si>
    <t>2015-1-20 16:20:45.450: DirectionIndicator - notify - price/longMA/ShortMA/prevDirection are 1.5177/1.51766534807894/1.51767265203364/-1</t>
  </si>
  <si>
    <t>2015-1-20 16:20:46.858: DirectionIndicator - notify - price/longMA/ShortMA/prevDirection are 1.51765/1.51766255751913/1.51766510135576/-1</t>
  </si>
  <si>
    <t>2015-1-20 16:20:56.921: DirectionIndicator - notify - price/longMA/ShortMA/prevDirection are 1.5177/1.51766936524292/1.51767673423717/-1</t>
  </si>
  <si>
    <t>2015-1-20 16:21:1.459: DirectionIndicator - notify - price/longMA/ShortMA/prevDirection are 1.51775/1.51768402610785/1.51770115615811/-1</t>
  </si>
  <si>
    <t>2015-1-20 16:21:5.324: DirectionIndicator - notify - price/longMA/ShortMA/prevDirection are 1.5178/1.51770511227006/1.51773410410541/-1</t>
  </si>
  <si>
    <t>2015-1-20 16:21:5.405: DirectionIndicator - notify - price/longMA/ShortMA/prevDirection are 1.51785/1.51773145549368/1.51777273607027/1</t>
  </si>
  <si>
    <t>2015-1-20 16:21:6.284: DirectionIndicator - notify - price/longMA/ShortMA/prevDirection are 1.5178/1.51774391813119/1.51778182404685/1</t>
  </si>
  <si>
    <t>2015-1-20 16:21:6.535: DirectionIndicator - notify - price/longMA/ShortMA/prevDirection are 1.51785/1.5177632057437/1.51780454936457/1</t>
  </si>
  <si>
    <t>2015-1-20 16:21:8.38: TransitionLogger - flushFile - flushing file</t>
  </si>
  <si>
    <t>2015-1-20 16:21:8.39: TransitionLogger - openTransitionFile - opening file C:\temp\transitionlog_2015-01-20_153021</t>
  </si>
  <si>
    <t>2015-1-20 16:21:9.242: DirectionIndicator - notify - price/longMA/ShortMA/prevDirection are 1.5179/1.51778807742667/1.51783636624304/1</t>
  </si>
  <si>
    <t>2015-1-20 16:21:11.917: DirectionIndicator - notify - price/longMA/ShortMA/prevDirection are 1.51795/1.51781751789455/1.51787424416203/1</t>
  </si>
  <si>
    <t>2015-1-20 16:21:15.154: DirectionIndicator - notify - price/longMA/ShortMA/prevDirection are 1.5179/1.51783251464099/1.51788282944135/1</t>
  </si>
  <si>
    <t>2015-1-20 16:21:15.411: DirectionIndicator - notify - price/longMA/ShortMA/prevDirection are 1.51785/1.51783569379718/1.51787188629424/1</t>
  </si>
  <si>
    <t>2015-1-20 16:21:15.499: DirectionIndicator - notify - price/longMA/ShortMA/prevDirection are 1.5179/1.51784738583405/1.51788125752949/1</t>
  </si>
  <si>
    <t>2015-1-20 16:21:16.868: DirectionIndicator - notify - price/longMA/ShortMA/prevDirection are 1.51795/1.51786604295513/1.51790417168633/1</t>
  </si>
  <si>
    <t>2015-1-20 16:21:21.780: DirectionIndicator - notify - price/longMA/ShortMA/prevDirection are 1.5179/1.51787221696329/1.51790278112422/1</t>
  </si>
  <si>
    <t>2015-1-20 16:21:21.834: DirectionIndicator - notify - price/longMA/ShortMA/prevDirection are 1.51785/1.51786817751542/1.51788518741615/1</t>
  </si>
  <si>
    <t>2015-1-20 16:21:22.488: DirectionIndicator - notify - price/longMA/ShortMA/prevDirection are 1.5178/1.51785578160353/1.51785679161076/1</t>
  </si>
  <si>
    <t>2015-1-20 16:21:22.917: DirectionIndicator - notify - price/longMA/ShortMA/prevDirection are 1.51785/1.51785473040288/1.51785452774051/1</t>
  </si>
  <si>
    <t>2015-1-20 16:21:23.256: DirectionIndicator - notify - price/longMA/ShortMA/prevDirection are 1.51775/1.51783568851145/1.51781968516034/1</t>
  </si>
  <si>
    <t>2015-1-20 16:21:23.325: DirectionIndicator - notify - price/longMA/ShortMA/prevDirection are 1.5177/1.51781101787301/1.51777979010689/1</t>
  </si>
  <si>
    <t>2015-1-20 16:21:24.38: DirectionIndicator - notify - price/longMA/ShortMA/prevDirection are 1.51775/1.51779992371428/1.51776986007126/-1</t>
  </si>
  <si>
    <t>2015-1-20 16:21:24.159: DirectionIndicator - notify - price/longMA/ShortMA/prevDirection are 1.5177/1.51778175576623/1.51774657338084/-1</t>
  </si>
  <si>
    <t>2015-1-20 16:21:24.334: DirectionIndicator - notify - price/longMA/ShortMA/prevDirection are 1.51765/1.51775780017237/1.51771438225389/-1</t>
  </si>
  <si>
    <t>2015-1-20 16:21:27.415: DirectionIndicator - notify - price/longMA/ShortMA/prevDirection are 1.5176/1.51772910923194/1.51767625483593/-1</t>
  </si>
  <si>
    <t>2015-1-20 16:21:27.488: DirectionIndicator - notify - price/longMA/ShortMA/prevDirection are 1.51755/1.51769654391704/1.51763416989062/-1</t>
  </si>
  <si>
    <t>2015-1-20 16:21:29.77: TransitionLogger - flushFile - flushing file</t>
  </si>
  <si>
    <t>2015-1-20 16:21:29.79: TransitionLogger - openTransitionFile - opening file C:\temp\transitionlog_2015-01-20_153021</t>
  </si>
  <si>
    <t>2015-1-20 16:21:30.628: DirectionIndicator - notify - price/longMA/ShortMA/prevDirection are 1.5175/1.5176608086594/1.51758944659375/-1</t>
  </si>
  <si>
    <t>2015-1-20 16:21:30.699: DirectionIndicator - notify - price/longMA/ShortMA/prevDirection are 1.51745/1.51762247981223/1.51754296439583/-1</t>
  </si>
  <si>
    <t>2015-1-20 16:21:31.740: DirectionIndicator - notify - price/longMA/ShortMA/prevDirection are 1.5175/1.51760021075546/1.51752864293055/-1</t>
  </si>
  <si>
    <t>2015-1-20 16:21:37.10: DirectionIndicator - notify - price/longMA/ShortMA/prevDirection are 1.51745/1.51757289970902/1.51750242862037/-1</t>
  </si>
  <si>
    <t>2015-1-20 16:21:37.295: DirectionIndicator - notify - price/longMA/ShortMA/prevDirection are 1.5175/1.51755964521647/1.51750161908025/-1</t>
  </si>
  <si>
    <t>2015-1-20 16:21:37.410: DirectionIndicator - notify - price/longMA/ShortMA/prevDirection are 1.51755/1.51755789154075/1.5175177460535/-1</t>
  </si>
  <si>
    <t>2015-1-20 16:21:38.196: DirectionIndicator - notify - price/longMA/ShortMA/prevDirection are 1.5175/1.51754736580606/1.51751183070233/-1</t>
  </si>
  <si>
    <t>2015-1-20 16:21:38.281: DirectionIndicator - notify - price/longMA/ShortMA/prevDirection are 1.51745/1.51752966293224/1.51749122046822/-1</t>
  </si>
  <si>
    <t>2015-1-20 16:21:38.665: DirectionIndicator - notify - price/longMA/ShortMA/prevDirection are 1.5175/1.51752426967183/1.51749414697881/-1</t>
  </si>
  <si>
    <t>2015-1-20 16:21:38.868: DirectionIndicator - notify - price/longMA/ShortMA/prevDirection are 1.51745/1.51751076609513/1.51747943131921/-1</t>
  </si>
  <si>
    <t>2015-1-20 16:21:40.973: DirectionIndicator - notify - price/longMA/ShortMA/prevDirection are 1.5175/1.51750880862329/1.51748628754614/-1</t>
  </si>
  <si>
    <t>2015-1-20 16:21:43.834: DirectionIndicator - notify - price/longMA/ShortMA/prevDirection are 1.51755/1.51751629796451/1.51750752503076/-1</t>
  </si>
  <si>
    <t>2015-1-20 16:21:50.199: DirectionIndicator - notify - price/longMA/ShortMA/prevDirection are 1.5176/1.51753151651642/1.51753835002051/-1</t>
  </si>
  <si>
    <t>2015-1-20 16:21:50.280: DirectionIndicator - notify - price/longMA/ShortMA/prevDirection are 1.51765/1.51755305896798/1.51757556668034/-1</t>
  </si>
  <si>
    <t>2015-1-20 16:21:53.364: DirectionIndicator - notify - price/longMA/ShortMA/prevDirection are 1.5177/1.51757977551925/1.51761704445356/1</t>
  </si>
  <si>
    <t>2015-1-20 16:21:55.47: DirectionIndicator - notify - price/longMA/ShortMA/prevDirection are 1.51775/1.51761072542484/1.51766136296904/1</t>
  </si>
  <si>
    <t>2015-1-20 16:21:55.533: DirectionIndicator - notify - price/longMA/ShortMA/prevDirection are 1.5177/1.51762695716578/1.51767424197936/1</t>
  </si>
  <si>
    <t>2015-1-20 16:21:55.585: DirectionIndicator - notify - price/longMA/ShortMA/prevDirection are 1.51765/1.517631146772/1.51766616131957/1</t>
  </si>
  <si>
    <t>2015-1-20 16:22:0.221: DirectionIndicator - notify - price/longMA/ShortMA/prevDirection are 1.5176/1.51762548372255/1.51764410754638/1</t>
  </si>
  <si>
    <t>2015-1-20 16:22:0.281: DirectionIndicator - notify - price/longMA/ShortMA/prevDirection are 1.51755/1.51761175940936/1.51761273836425/1</t>
  </si>
  <si>
    <t>2015-1-20 16:22:8.14: TransitionLogger - flushFile - flushing file</t>
  </si>
  <si>
    <t>2015-1-20 16:22:8.15: TransitionLogger - openTransitionFile - opening file C:\temp\transitionlog_2015-01-20_153021</t>
  </si>
  <si>
    <t>2015-1-20 16:22:14.865: DirectionIndicator - notify - price/longMA/ShortMA/prevDirection are 1.5176/1.51760962133493/1.51760849224284/1</t>
  </si>
  <si>
    <t>2015-1-20 16:22:14.951: DirectionIndicator - notify - price/longMA/ShortMA/prevDirection are 1.51765/1.5176169629104/1.51762232816189/1</t>
  </si>
  <si>
    <t>2015-1-20 16:22:21.199: DirectionIndicator - notify - price/longMA/ShortMA/prevDirection are 1.5176/1.51761387874487/1.51761488544126/1</t>
  </si>
  <si>
    <t>2015-1-20 16:22:28.149: DirectionIndicator - notify - price/longMA/ShortMA/prevDirection are 1.51765/1.5176204462458/1.51762659029417/1</t>
  </si>
  <si>
    <t>2015-1-20 16:22:29.30: TransitionLogger - flushFile - flushing file</t>
  </si>
  <si>
    <t>2015-1-20 16:22:29.30: TransitionLogger - openTransitionFile - opening file C:\temp\transitionlog_2015-01-20_153021</t>
  </si>
  <si>
    <t>2015-1-20 16:22:35.454: DirectionIndicator - notify - price/longMA/ShortMA/prevDirection are 1.5176/1.51761672874657/1.51761772686278/1</t>
  </si>
  <si>
    <t>2015-1-20 16:22:35.709: DirectionIndicator - notify - price/longMA/ShortMA/prevDirection are 1.51755/1.51760459624719/1.51759515124186/1</t>
  </si>
  <si>
    <t>2015-1-20 16:22:49.233: DirectionIndicator - notify - price/longMA/ShortMA/prevDirection are 1.5175/1.5175855787477/1.51756343416124/1</t>
  </si>
  <si>
    <t>2015-1-20 16:22:49.302: DirectionIndicator - notify - price/longMA/ShortMA/prevDirection are 1.51745/1.5175609280663/1.51752562277416/-1</t>
  </si>
  <si>
    <t>2015-1-20 16:23:8.27: TransitionLogger - flushFile - flushing file</t>
  </si>
  <si>
    <t>2015-1-20 16:23:8.28: TransitionLogger - openTransitionFile - opening file C:\temp\transitionlog_2015-01-20_153021</t>
  </si>
  <si>
    <t>2015-1-20 16:23:13.163: DirectionIndicator - notify - price/longMA/ShortMA/prevDirection are 1.5175/1.51754985023606/1.51751708184944/-1</t>
  </si>
  <si>
    <t>2015-1-20 16:23:13.488: DirectionIndicator - notify - price/longMA/ShortMA/prevDirection are 1.51755/1.51754987746587/1.51752805456629/-1</t>
  </si>
  <si>
    <t>2015-1-20 16:23:15.89: DirectionIndicator - notify - price/longMA/ShortMA/prevDirection are 1.5175/1.51754080883571/1.5175187030442/-1</t>
  </si>
  <si>
    <t>2015-1-20 16:23:15.161: DirectionIndicator - notify - price/longMA/ShortMA/prevDirection are 1.51745/1.51752429813831/1.51749580202946/-1</t>
  </si>
  <si>
    <t>2015-1-20 16:23:16.994: DirectionIndicator - notify - price/longMA/ShortMA/prevDirection are 1.5175/1.51751988029498/1.51749720135298/-1</t>
  </si>
  <si>
    <t>2015-1-20 16:23:17.88: DirectionIndicator - notify - price/longMA/ShortMA/prevDirection are 1.51745/1.5175071747868/1.51748146756865/-1</t>
  </si>
  <si>
    <t>2015-1-20 16:23:19.144: DirectionIndicator - notify - price/longMA/ShortMA/prevDirection are 1.5175/1.51750587028011/1.51748764504577/-1</t>
  </si>
  <si>
    <t>2015-1-20 16:23:19.386: DirectionIndicator - notify - price/longMA/ShortMA/prevDirection are 1.51745/1.51749571204736/1.51747509669718/-1</t>
  </si>
  <si>
    <t>2015-1-20 16:23:20.250: DirectionIndicator - notify - price/longMA/ShortMA/prevDirection are 1.5175/1.51749649167512/1.51748339779812/-1</t>
  </si>
  <si>
    <t>2015-1-20 16:23:20.298: DirectionIndicator - notify - price/longMA/ShortMA/prevDirection are 1.51755/1.51750622046146/1.51750559853208/-1</t>
  </si>
  <si>
    <t>2015-1-20 16:23:22.87: Algorithm - FindNextStrikes - price is 1.51755 nextStrikeUp/Down 1.52/1.515</t>
  </si>
  <si>
    <t>2015-1-20 16:23:22.88: Algorithm - getPortfolioForwardDelta - required deltas is 100 currentHedgePosition is 100</t>
  </si>
  <si>
    <t>2015-1-20 16:23:22.88: Algorithm - getHedgeShortfall - required deltas is 100 price is 1.51745 currentHedgePositionDeltas is 100</t>
  </si>
  <si>
    <t>2015-1-20 16:23:22.89: Algorithm - processTransitionPoint - nextUpper/LowerStrikes are 1.52/1.515 requiredDeltas/currentPosition/currentHedgeShortfall/direction/transitionPrice are 100/100/0/-1/1.51745</t>
  </si>
  <si>
    <t>2015-1-20 16:23:22.89: TransitionLogger - processTransitionpoint - checking transition - currentHedgeShortfall is 0</t>
  </si>
  <si>
    <t>2015-1-20 16:23:22.90: Algorithm - updatePortfolio - haveAllDetails is True</t>
  </si>
  <si>
    <t>2015-1-20 16:23:22.91: RTWSControl - updatePortfolioEx - An Error Occured Object variable or With block variable not set</t>
  </si>
  <si>
    <t>2015-1-20 16:23:22.132: Algorithm - FindNextStrikes - price is 1.51755 nextStrikeUp/Down 1.52/1.515</t>
  </si>
  <si>
    <t>2015-1-20 16:23:22.132: Algorithm - getPortfolioForwardDelta - required deltas is 100 currentHedgePosition is 100</t>
  </si>
  <si>
    <t>2015-1-20 16:23:22.133: Algorithm - getHedgeShortfall - required deltas is 100 price is 1.51745 currentHedgePositionDeltas is 100</t>
  </si>
  <si>
    <t>2015-1-20 16:23:22.134: Algorithm - processTransitionPoint - nextUpper/LowerStrikes are 1.52/1.515 requiredDeltas/currentPosition/currentHedgeShortfall/direction/transitionPrice are 100/100/0/-1/1.51745</t>
  </si>
  <si>
    <t>2015-1-20 16:23:22.134: TransitionLogger - processTransitionpoint - checking transition - currentHedgeShortfall is 0</t>
  </si>
  <si>
    <t>2015-1-20 16:23:22.135: Algorithm - updatePortfolio - haveAllDetails is True</t>
  </si>
  <si>
    <t>2015-1-20 16:23:22.136: RTWSControl - updatePortfolioEx - An Error Occured Object variable or With block variable not set</t>
  </si>
  <si>
    <t>2015-1-20 16:23:22.179: Algorithm - FindNextStrikes - price is 1.51755 nextStrikeUp/Down 1.52/1.515</t>
  </si>
  <si>
    <t>2015-1-20 16:23:22.179: Algorithm - getPortfolioForwardDelta - required deltas is 100 currentHedgePosition is 100</t>
  </si>
  <si>
    <t>2015-1-20 16:23:22.180: Algorithm - getHedgeShortfall - required deltas is 100 price is 1.51745 currentHedgePositionDeltas is 100</t>
  </si>
  <si>
    <t>2015-1-20 16:23:22.180: Algorithm - processTransitionPoint - nextUpper/LowerStrikes are 1.52/1.515 requiredDeltas/currentPosition/currentHedgeShortfall/direction/transitionPrice are 100/100/0/-1/1.51745</t>
  </si>
  <si>
    <t>2015-1-20 16:23:22.181: TransitionLogger - processTransitionpoint - checking transition - currentHedgeShortfall is 0</t>
  </si>
  <si>
    <t>2015-1-20 16:23:22.182: Algorithm - updatePortfolio - haveAllDetails is True</t>
  </si>
  <si>
    <t>2015-1-20 16:23:22.183: RTWSControl - updatePortfolioEx - An Error Occured Object variable or With block variable not set</t>
  </si>
  <si>
    <t>2015-1-20 16:23:22.254: Algorithm - FindNextStrikes - price is 1.51755 nextStrikeUp/Down 1.52/1.515</t>
  </si>
  <si>
    <t>2015-1-20 16:23:22.254: Algorithm - getPortfolioForwardDelta - required deltas is 100 currentHedgePosition is 100</t>
  </si>
  <si>
    <t>2015-1-20 16:23:22.255: Algorithm - getHedgeShortfall - required deltas is 100 price is 1.51745 currentHedgePositionDeltas is 100</t>
  </si>
  <si>
    <t>2015-1-20 16:23:22.255: Algorithm - processTransitionPoint - nextUpper/LowerStrikes are 1.52/1.515 requiredDeltas/currentPosition/currentHedgeShortfall/direction/transitionPrice are 100/100/0/-1/1.51745</t>
  </si>
  <si>
    <t>2015-1-20 16:23:22.256: TransitionLogger - processTransitionpoint - checking transition - currentHedgeShortfall is 0</t>
  </si>
  <si>
    <t>2015-1-20 16:23:22.257: Algorithm - updatePortfolio - haveAllDetails is True</t>
  </si>
  <si>
    <t>2015-1-20 16:23:22.258: RTWSControl - updatePortfolioEx - An Error Occured Object variable or With block variable not set</t>
  </si>
  <si>
    <t>2015-1-20 16:23:22.312: Algorithm - FindNextStrikes - price is 1.51755 nextStrikeUp/Down 1.52/1.515</t>
  </si>
  <si>
    <t>2015-1-20 16:23:22.312: Algorithm - getPortfolioForwardDelta - required deltas is 100 currentHedgePosition is 100</t>
  </si>
  <si>
    <t>2015-1-20 16:23:22.312: Algorithm - getHedgeShortfall - required deltas is 100 price is 1.51745 currentHedgePositionDeltas is 100</t>
  </si>
  <si>
    <t>2015-1-20 16:23:22.313: Algorithm - processTransitionPoint - nextUpper/LowerStrikes are 1.52/1.515 requiredDeltas/currentPosition/currentHedgeShortfall/direction/transitionPrice are 100/100/0/-1/1.51745</t>
  </si>
  <si>
    <t>2015-1-20 16:23:22.313: TransitionLogger - processTransitionpoint - checking transition - currentHedgeShortfall is 0</t>
  </si>
  <si>
    <t>2015-1-20 16:23:22.314: Algorithm - updatePortfolio - haveAllDetails is True</t>
  </si>
  <si>
    <t>2015-1-20 16:23:22.316: RTWSControl - updatePortfolioEx - An Error Occured Object variable or With block variable not set</t>
  </si>
  <si>
    <t>2015-1-20 16:23:22.379: Algorithm - FindNextStrikes - price is 1.51755 nextStrikeUp/Down 1.52/1.515</t>
  </si>
  <si>
    <t>2015-1-20 16:23:22.379: Algorithm - getPortfolioForwardDelta - required deltas is 100 currentHedgePosition is 100</t>
  </si>
  <si>
    <t>2015-1-20 16:23:22.380: Algorithm - getHedgeShortfall - required deltas is 100 price is 1.51745 currentHedgePositionDeltas is 100</t>
  </si>
  <si>
    <t>2015-1-20 16:23:22.380: Algorithm - processTransitionPoint - nextUpper/LowerStrikes are 1.52/1.515 requiredDeltas/currentPosition/currentHedgeShortfall/direction/transitionPrice are 100/100/0/-1/1.51745</t>
  </si>
  <si>
    <t>2015-1-20 16:23:22.381: TransitionLogger - processTransitionpoint - checking transition - currentHedgeShortfall is 0</t>
  </si>
  <si>
    <t>2015-1-20 16:23:22.382: Algorithm - updatePortfolio - haveAllDetails is True</t>
  </si>
  <si>
    <t>2015-1-20 16:23:22.383: RTWSControl - updatePortfolioEx - An Error Occured Object variable or With block variable not set</t>
  </si>
  <si>
    <t>2015-1-20 16:23:23.451: DirectionIndicator - notify - price/longMA/ShortMA/prevDirection are 1.5176/1.51752327128665/1.51753706568805/-1</t>
  </si>
  <si>
    <t>2015-1-20 16:23:29.308: TransitionLogger - flushFile - flushing file</t>
  </si>
  <si>
    <t>2015-1-20 16:23:29.310: TransitionLogger - openTransitionFile - opening file C:\temp\transitionlog_2015-01-20_153021</t>
  </si>
  <si>
    <t>2015-1-20 16:23:31.746: DirectionIndicator - notify - price/longMA/ShortMA/prevDirection are 1.51755/1.51752813105271/1.51754137712537/-1</t>
  </si>
  <si>
    <t>2015-1-20 16:23:33.611: DirectionIndicator - notify - price/longMA/ShortMA/prevDirection are 1.5176/1.51754119813404/1.51756091808358/-1</t>
  </si>
  <si>
    <t>2015-1-20 16:23:35.237: DirectionIndicator - notify - price/longMA/ShortMA/prevDirection are 1.51765/1.51756098029148/1.51759061205572/-1</t>
  </si>
  <si>
    <t>2015-1-20 16:23:35.499: DirectionIndicator - notify - price/longMA/ShortMA/prevDirection are 1.5176/1.51756807478394/1.51759374137048/1</t>
  </si>
  <si>
    <t>2015-1-20 16:23:37.635: DirectionIndicator - notify - price/longMA/ShortMA/prevDirection are 1.51765/1.51758297027777/1.51761249424699/1</t>
  </si>
  <si>
    <t>2015-1-20 16:23:38.600: DirectionIndicator - notify - price/longMA/ShortMA/prevDirection are 1.5176/1.5175860665909/1.51760832949799/1</t>
  </si>
  <si>
    <t>2015-1-20 16:23:55.28: DirectionIndicator - notify - price/longMA/ShortMA/prevDirection are 1.51755/1.51757950902892/1.51758888633199/1</t>
  </si>
  <si>
    <t>2015-1-20 16:24:8.121: TransitionLogger - flushFile - flushing file</t>
  </si>
  <si>
    <t>2015-1-20 16:24:8.123: TransitionLogger - openTransitionFile - opening file C:\temp\transitionlog_2015-01-20_153021</t>
  </si>
  <si>
    <t>2015-1-20 16:24:13.799: DirectionIndicator - notify - price/longMA/ShortMA/prevDirection are 1.5176/1.51758323466003/1.517592590888/1</t>
  </si>
  <si>
    <t>2015-1-20 16:24:15.141: DirectionIndicator - notify - price/longMA/ShortMA/prevDirection are 1.51755/1.51757719199457/1.51757839392533/1</t>
  </si>
  <si>
    <t>2015-1-20 16:24:17.850: DirectionIndicator - notify - price/longMA/ShortMA/prevDirection are 1.5176/1.51758133890465/1.51758559595022/1</t>
  </si>
  <si>
    <t>2015-1-20 16:24:18.251: DirectionIndicator - notify - price/longMA/ShortMA/prevDirection are 1.51755/1.51757564092198/1.51757373063348/1</t>
  </si>
  <si>
    <t>2015-1-20 16:24:18.553: DirectionIndicator - notify - price/longMA/ShortMA/prevDirection are 1.5176/1.51758006984526/1.51758248708899/1</t>
  </si>
  <si>
    <t>2015-1-20 16:24:19.153: DirectionIndicator - notify - price/longMA/ShortMA/prevDirection are 1.51755/1.51757460260067/1.51757165805932/1</t>
  </si>
  <si>
    <t>2015-1-20 16:24:29.319: TransitionLogger - flushFile - flushing file</t>
  </si>
  <si>
    <t>2015-1-20 16:24:29.320: TransitionLogger - openTransitionFile - opening file C:\temp\transitionlog_2015-01-20_153021</t>
  </si>
  <si>
    <t>2015-1-20 16:24:33.688: DirectionIndicator - notify - price/longMA/ShortMA/prevDirection are 1.5176/1.51757922030964/1.51758110537288/1</t>
  </si>
  <si>
    <t>2015-1-20 16:24:33.752: DirectionIndicator - notify - price/longMA/ShortMA/prevDirection are 1.51765/1.51759208934425/1.51760407024859/1</t>
  </si>
  <si>
    <t>2015-1-20 16:24:34.677: DirectionIndicator - notify - price/longMA/ShortMA/prevDirection are 1.5176/1.51759352764529/1.51760271349906/1</t>
  </si>
  <si>
    <t>2015-1-20 16:24:34.749: DirectionIndicator - notify - price/longMA/ShortMA/prevDirection are 1.51755/1.51758561352797/1.51758514233271/1</t>
  </si>
  <si>
    <t>2015-1-20 16:24:34.875: DirectionIndicator - notify - price/longMA/ShortMA/prevDirection are 1.5176/1.51758822925016/1.51759009488847/1</t>
  </si>
  <si>
    <t>2015-1-20 16:24:38.360: DirectionIndicator - notify - price/longMA/ShortMA/prevDirection are 1.51755/1.5175812784774/1.51757672992565/1</t>
  </si>
  <si>
    <t>2015-1-20 16:24:38.788: DirectionIndicator - notify - price/longMA/ShortMA/prevDirection are 1.5176/1.5175846823906/1.5175844866171/1</t>
  </si>
  <si>
    <t>2015-1-20 16:24:42.471: DirectionIndicator - notify - price/longMA/ShortMA/prevDirection are 1.51755/1.5175783765014/1.51757299107807/1</t>
  </si>
  <si>
    <t>2015-1-20 16:24:43.493: DirectionIndicator - notify - price/longMA/ShortMA/prevDirection are 1.5176/1.5175823080466/1.51758199405204/1</t>
  </si>
  <si>
    <t>2015-1-20 16:24:46.195: DirectionIndicator - notify - price/longMA/ShortMA/prevDirection are 1.51755/1.51757643385631/1.51757132936803/1</t>
  </si>
  <si>
    <t>2015-1-20 16:24:46.427: DirectionIndicator - notify - price/longMA/ShortMA/prevDirection are 1.5176/1.51758071860971/1.51758088624535/1</t>
  </si>
  <si>
    <t>2015-1-20 16:24:49.175: DirectionIndicator - notify - price/longMA/ShortMA/prevDirection are 1.51765/1.51759331522612/1.51760392416357/1</t>
  </si>
  <si>
    <t>2015-1-20 16:25:2.623: DirectionIndicator - notify - price/longMA/ShortMA/prevDirection are 1.5176/1.51759453063956/1.51760261610905/1</t>
  </si>
  <si>
    <t>2015-1-20 16:25:3.433: DirectionIndicator - notify - price/longMA/ShortMA/prevDirection are 1.51755/1.51758643415964/1.51758507740603/1</t>
  </si>
  <si>
    <t>2015-1-20 16:25:8.178: TransitionLogger - flushFile - flushing file</t>
  </si>
  <si>
    <t>2015-1-20 16:25:8.179: TransitionLogger - openTransitionFile - opening file C:\temp\transitionlog_2015-01-20_153021</t>
  </si>
  <si>
    <t>2015-1-20 16:25:11.588: DirectionIndicator - notify - price/longMA/ShortMA/prevDirection are 1.5176/1.51758890067607/1.51759005160402/1</t>
  </si>
  <si>
    <t>2015-1-20 16:25:11.800: DirectionIndicator - notify - price/longMA/ShortMA/prevDirection are 1.51755/1.51758182782587/1.51757670106935/1</t>
  </si>
  <si>
    <t>2015-1-20 16:25:13.192: DirectionIndicator - notify - price/longMA/ShortMA/prevDirection are 1.5176/1.51758513185753/1.51758446737956/1</t>
  </si>
  <si>
    <t>2015-1-20 16:25:14.494: DirectionIndicator - notify - price/longMA/ShortMA/prevDirection are 1.51755/1.51757874424707/1.51757297825304/1</t>
  </si>
  <si>
    <t>2015-1-20 16:25:16.220: DirectionIndicator - notify - price/longMA/ShortMA/prevDirection are 1.5175/1.51756442711124/1.5175486521687/1</t>
  </si>
  <si>
    <t>2015-1-20 16:25:16.293: DirectionIndicator - notify - price/longMA/ShortMA/prevDirection are 1.51745/1.51754362218192/1.51751576811246/1</t>
  </si>
  <si>
    <t>2015-1-20 16:25:18.869: DirectionIndicator - notify - price/longMA/ShortMA/prevDirection are 1.5175/1.51753569087612/1.51751051207498/-1</t>
  </si>
  <si>
    <t>2015-1-20 16:25:19.78: DirectionIndicator - notify - price/longMA/ShortMA/prevDirection are 1.51745/1.51752011071683/1.51749034138332/-1</t>
  </si>
  <si>
    <t>2015-1-20 16:25:20.171: DirectionIndicator - notify - price/longMA/ShortMA/prevDirection are 1.5175/1.51751645422286/1.51749356092221/-1</t>
  </si>
  <si>
    <t>2015-1-20 16:25:20.341: DirectionIndicator - notify - price/longMA/ShortMA/prevDirection are 1.51745/1.51750437163688/1.51747904061481/-1</t>
  </si>
  <si>
    <t>2015-1-20 16:25:21.91: DirectionIndicator - notify - price/longMA/ShortMA/prevDirection are 1.5175/1.51750357679381/1.51748602707654/-1</t>
  </si>
  <si>
    <t>2015-1-20 16:25:21.230: DirectionIndicator - notify - price/longMA/ShortMA/prevDirection are 1.51745/1.51749383555857/1.51747401805103/-1</t>
  </si>
  <si>
    <t>2015-1-20 16:25:22.195: DirectionIndicator - notify - price/longMA/ShortMA/prevDirection are 1.5175/1.51749495636611/1.51748267870068/-1</t>
  </si>
  <si>
    <t>2015-1-20 16:25:22.619: DirectionIndicator - notify - price/longMA/ShortMA/prevDirection are 1.51745/1.51748678248136/1.51747178580046/-1</t>
  </si>
  <si>
    <t>2015-1-20 16:25:24.372: DirectionIndicator - notify - price/longMA/ShortMA/prevDirection are 1.5175/1.51748918566657/1.51748119053364/-1</t>
  </si>
  <si>
    <t>2015-1-20 16:25:24.581: DirectionIndicator - notify - price/longMA/ShortMA/prevDirection are 1.51745/1.51748206099992/1.51747079368909/-1</t>
  </si>
  <si>
    <t>2015-1-20 16:25:25.523: DirectionIndicator - notify - price/longMA/ShortMA/prevDirection are 1.5175/1.5174853226363/1.51748052912606/-1</t>
  </si>
  <si>
    <t>2015-1-20 16:25:25.857: DirectionIndicator - notify - price/longMA/ShortMA/prevDirection are 1.51745/1.51747890033879/1.51747035275071/-1</t>
  </si>
  <si>
    <t>2015-1-20 16:25:29.374: TransitionLogger - flushFile - flushing file</t>
  </si>
  <si>
    <t>2015-1-20 16:25:29.375: TransitionLogger - openTransitionFile - opening file C:\temp\transitionlog_2015-01-20_153021</t>
  </si>
  <si>
    <t>2015-1-20 16:25:36.412: DirectionIndicator - notify - price/longMA/ShortMA/prevDirection are 1.5175/1.51748273664083/1.51748023516714/-1</t>
  </si>
  <si>
    <t>2015-1-20 16:25:36.688: DirectionIndicator - notify - price/longMA/ShortMA/prevDirection are 1.51745/1.51747678452431/1.51747015677809/-1</t>
  </si>
  <si>
    <t>2015-1-20 16:25:43.788: DirectionIndicator - notify - price/longMA/ShortMA/prevDirection are 1.5175/1.51748100551989/1.51748010451873/-1</t>
  </si>
  <si>
    <t>2015-1-20 16:25:44.669: DirectionIndicator - notify - price/longMA/ShortMA/prevDirection are 1.51755/1.51749354997082/1.51750340301249/-1</t>
  </si>
  <si>
    <t>2015-1-20 16:25:47.11: DirectionIndicator - notify - price/longMA/ShortMA/prevDirection are 1.5175/1.5174947227034/1.51750226867499/-1</t>
  </si>
  <si>
    <t>2015-1-20 16:25:47.92: DirectionIndicator - notify - price/longMA/ShortMA/prevDirection are 1.51745/1.51748659130278/1.51748484578333/-1</t>
  </si>
  <si>
    <t>2015-1-20 16:25:50.529: DirectionIndicator - notify - price/longMA/ShortMA/prevDirection are 1.5175/1.51748902924773/1.51748989718888/-1</t>
  </si>
  <si>
    <t>2015-1-20 16:25:50.633: DirectionIndicator - notify - price/longMA/ShortMA/prevDirection are 1.51755/1.51750011483905/1.51750993145926/-1</t>
  </si>
  <si>
    <t>2015-1-20 16:25:50.840: DirectionIndicator - notify - price/longMA/ShortMA/prevDirection are 1.5175/1.51750009395922/1.51750662097284/-1</t>
  </si>
  <si>
    <t>2015-1-20 16:25:56.712: DirectionIndicator - notify - price/longMA/ShortMA/prevDirection are 1.51745/1.51749098596664/1.51748774731523/-1</t>
  </si>
  <si>
    <t>2015-1-20 16:26:8.48: TransitionLogger - flushFile - flushing file</t>
  </si>
  <si>
    <t>2015-1-20 16:26:8.49: TransitionLogger - openTransitionFile - opening file C:\temp\transitionlog_2015-01-20_153021</t>
  </si>
  <si>
    <t>2015-1-20 16:26:11.693: DirectionIndicator - notify - price/longMA/ShortMA/prevDirection are 1.5174/1.51747444306361/1.51745849821015/-1</t>
  </si>
  <si>
    <t>2015-1-20 16:26:11.755: DirectionIndicator - notify - price/longMA/ShortMA/prevDirection are 1.51735/1.51745181705205/1.5174223321401/-1</t>
  </si>
  <si>
    <t>2015-1-20 16:26:22.341: Algorithm - FindNextStrikes - price is 1.51735 nextStrikeUp/Down 1.52/1.515</t>
  </si>
  <si>
    <t>2015-1-20 16:26:22.341: Algorithm - getPortfolioForwardDelta - required deltas is 100 currentHedgePosition is 100</t>
  </si>
  <si>
    <t>2015-1-20 16:26:22.342: Algorithm - getHedgeShortfall - required deltas is 100 price is 1.51725 currentHedgePositionDeltas is 100</t>
  </si>
  <si>
    <t>2015-1-20 16:26:22.342: Algorithm - processTransitionPoint - nextUpper/LowerStrikes are 1.52/1.515 requiredDeltas/currentPosition/currentHedgeShortfall/direction/transitionPrice are 100/100/0/-1/1.51725</t>
  </si>
  <si>
    <t>2015-1-20 16:26:22.343: TransitionLogger - processTransitionpoint - checking transition - currentHedgeShortfall is 0</t>
  </si>
  <si>
    <t>2015-1-20 16:26:22.344: Algorithm - updatePortfolio - haveAllDetails is True</t>
  </si>
  <si>
    <t>2015-1-20 16:26:22.345: RTWSControl - updatePortfolioEx - An Error Occured Object variable or With block variable not set</t>
  </si>
  <si>
    <t>2015-1-20 16:26:22.385: Algorithm - FindNextStrikes - price is 1.51735 nextStrikeUp/Down 1.52/1.515</t>
  </si>
  <si>
    <t>2015-1-20 16:26:22.386: Algorithm - getPortfolioForwardDelta - required deltas is 100 currentHedgePosition is 100</t>
  </si>
  <si>
    <t>2015-1-20 16:26:22.386: Algorithm - getHedgeShortfall - required deltas is 100 price is 1.51725 currentHedgePositionDeltas is 100</t>
  </si>
  <si>
    <t>2015-1-20 16:26:22.387: Algorithm - processTransitionPoint - nextUpper/LowerStrikes are 1.52/1.515 requiredDeltas/currentPosition/currentHedgeShortfall/direction/transitionPrice are 100/100/0/-1/1.51725</t>
  </si>
  <si>
    <t>2015-1-20 16:26:22.387: TransitionLogger - processTransitionpoint - checking transition - currentHedgeShortfall is 0</t>
  </si>
  <si>
    <t>2015-1-20 16:26:22.388: Algorithm - updatePortfolio - haveAllDetails is True</t>
  </si>
  <si>
    <t>2015-1-20 16:26:22.389: RTWSControl - updatePortfolioEx - An Error Occured Object variable or With block variable not set</t>
  </si>
  <si>
    <t>2015-1-20 16:26:22.437: Algorithm - FindNextStrikes - price is 1.51735 nextStrikeUp/Down 1.52/1.515</t>
  </si>
  <si>
    <t>2015-1-20 16:26:22.438: Algorithm - getPortfolioForwardDelta - required deltas is 100 currentHedgePosition is 100</t>
  </si>
  <si>
    <t>2015-1-20 16:26:22.438: Algorithm - getHedgeShortfall - required deltas is 100 price is 1.51725 currentHedgePositionDeltas is 100</t>
  </si>
  <si>
    <t>2015-1-20 16:26:22.439: Algorithm - processTransitionPoint - nextUpper/LowerStrikes are 1.52/1.515 requiredDeltas/currentPosition/currentHedgeShortfall/direction/transitionPrice are 100/100/0/-1/1.51725</t>
  </si>
  <si>
    <t>2015-1-20 16:26:22.439: TransitionLogger - processTransitionpoint - checking transition - currentHedgeShortfall is 0</t>
  </si>
  <si>
    <t>2015-1-20 16:26:22.440: Algorithm - updatePortfolio - haveAllDetails is True</t>
  </si>
  <si>
    <t>2015-1-20 16:26:22.441: RTWSControl - updatePortfolioEx - An Error Occured Object variable or With block variable not set</t>
  </si>
  <si>
    <t>2015-1-20 16:26:22.492: Algorithm - FindNextStrikes - price is 1.51735 nextStrikeUp/Down 1.52/1.515</t>
  </si>
  <si>
    <t>2015-1-20 16:26:22.492: Algorithm - getPortfolioForwardDelta - required deltas is 100 currentHedgePosition is 100</t>
  </si>
  <si>
    <t>2015-1-20 16:26:22.493: Algorithm - getHedgeShortfall - required deltas is 100 price is 1.51725 currentHedgePositionDeltas is 100</t>
  </si>
  <si>
    <t>2015-1-20 16:26:22.493: Algorithm - processTransitionPoint - nextUpper/LowerStrikes are 1.52/1.515 requiredDeltas/currentPosition/currentHedgeShortfall/direction/transitionPrice are 100/100/0/-1/1.51725</t>
  </si>
  <si>
    <t>2015-1-20 16:26:22.494: TransitionLogger - processTransitionpoint - checking transition - currentHedgeShortfall is 0</t>
  </si>
  <si>
    <t>2015-1-20 16:26:22.495: Algorithm - updatePortfolio - haveAllDetails is True</t>
  </si>
  <si>
    <t>2015-1-20 16:26:22.496: RTWSControl - updatePortfolioEx - An Error Occured Object variable or With block variable not set</t>
  </si>
  <si>
    <t>2015-1-20 16:26:22.556: Algorithm - FindNextStrikes - price is 1.51735 nextStrikeUp/Down 1.52/1.515</t>
  </si>
  <si>
    <t>2015-1-20 16:26:22.556: Algorithm - getPortfolioForwardDelta - required deltas is 100 currentHedgePosition is 100</t>
  </si>
  <si>
    <t>2015-1-20 16:26:22.557: Algorithm - getHedgeShortfall - required deltas is 100 price is 1.51725 currentHedgePositionDeltas is 100</t>
  </si>
  <si>
    <t>2015-1-20 16:26:22.557: Algorithm - processTransitionPoint - nextUpper/LowerStrikes are 1.52/1.515 requiredDeltas/currentPosition/currentHedgeShortfall/direction/transitionPrice are 100/100/0/-1/1.51725</t>
  </si>
  <si>
    <t>2015-1-20 16:26:22.558: TransitionLogger - processTransitionpoint - checking transition - currentHedgeShortfall is 0</t>
  </si>
  <si>
    <t>2015-1-20 16:26:22.558: Algorithm - updatePortfolio - haveAllDetails is True</t>
  </si>
  <si>
    <t>2015-1-20 16:26:22.560: RTWSControl - updatePortfolioEx - An Error Occured Object variable or With block variable not set</t>
  </si>
  <si>
    <t>2015-1-20 16:26:22.616: Algorithm - FindNextStrikes - price is 1.51735 nextStrikeUp/Down 1.52/1.515</t>
  </si>
  <si>
    <t>2015-1-20 16:26:22.617: Algorithm - getPortfolioForwardDelta - required deltas is 100 currentHedgePosition is 100</t>
  </si>
  <si>
    <t>2015-1-20 16:26:22.617: Algorithm - getHedgeShortfall - required deltas is 100 price is 1.51725 currentHedgePositionDeltas is 100</t>
  </si>
  <si>
    <t>2015-1-20 16:26:22.618: Algorithm - processTransitionPoint - nextUpper/LowerStrikes are 1.52/1.515 requiredDeltas/currentPosition/currentHedgeShortfall/direction/transitionPrice are 100/100/0/-1/1.51725</t>
  </si>
  <si>
    <t>2015-1-20 16:26:22.618: TransitionLogger - processTransitionpoint - checking transition - currentHedgeShortfall is 0</t>
  </si>
  <si>
    <t>2015-1-20 16:26:22.619: Algorithm - updatePortfolio - haveAllDetails is True</t>
  </si>
  <si>
    <t>2015-1-20 16:26:22.620: RTWSControl - updatePortfolioEx - An Error Occured Object variable or With block variable not set</t>
  </si>
  <si>
    <t>2015-1-20 16:26:24.48: DirectionIndicator - notify - price/longMA/ShortMA/prevDirection are 1.5173/1.51742421395167/1.51738155476007/-1</t>
  </si>
  <si>
    <t>2015-1-20 16:26:24.101: DirectionIndicator - notify - price/longMA/ShortMA/prevDirection are 1.51725/1.51739253868773/1.51733770317338/-1</t>
  </si>
  <si>
    <t>2015-1-20 16:26:29.329: TransitionLogger - flushFile - flushing file</t>
  </si>
  <si>
    <t>2015-1-20 16:26:29.330: TransitionLogger - openTransitionFile - opening file C:\temp\transitionlog_2015-01-20_153021</t>
  </si>
  <si>
    <t>2015-1-20 16:26:33.317: DirectionIndicator - notify - price/longMA/ShortMA/prevDirection are 1.5172/1.5173575316536/1.51729180211559/-1</t>
  </si>
  <si>
    <t>2015-1-20 16:26:33.430: DirectionIndicator - notify - price/longMA/ShortMA/prevDirection are 1.51715/1.51731979862567/1.51724453474372/-1</t>
  </si>
  <si>
    <t>2015-1-20 16:26:49.860: DirectionIndicator - notify - price/longMA/ShortMA/prevDirection are 1.5172/1.51729801705737/1.51722968982915/-1</t>
  </si>
  <si>
    <t>2015-1-20 16:26:55.923: DirectionIndicator - notify - price/longMA/ShortMA/prevDirection are 1.51725/1.5172892866833/1.5172364598861/-1</t>
  </si>
  <si>
    <t>2015-1-20 16:26:58.93: DirectionIndicator - notify - price/longMA/ShortMA/prevDirection are 1.5172/1.51727305274088/1.51722430659073/-1</t>
  </si>
  <si>
    <t>2015-1-20 16:27:6.413: DirectionIndicator - notify - price/longMA/ShortMA/prevDirection are 1.51725/1.51726886133345/1.51723287106049/-1</t>
  </si>
  <si>
    <t>2015-1-20 16:27:8.257: TransitionLogger - flushFile - flushing file</t>
  </si>
  <si>
    <t>2015-1-20 16:27:8.259: TransitionLogger - openTransitionFile - opening file C:\temp\transitionlog_2015-01-20_153021</t>
  </si>
  <si>
    <t>2015-1-20 16:27:12.90: DirectionIndicator - notify - price/longMA/ShortMA/prevDirection are 1.5172/1.517256341091/1.51722191404033/-1</t>
  </si>
  <si>
    <t>2015-1-20 16:27:19.53: DirectionIndicator - notify - price/longMA/ShortMA/prevDirection are 1.51725/1.51725518816537/1.51723127602688/-1</t>
  </si>
  <si>
    <t>2015-1-20 16:27:19.238: DirectionIndicator - notify - price/longMA/ShortMA/prevDirection are 1.5172/1.51724515395348/1.51722085068459/-1</t>
  </si>
  <si>
    <t>2015-1-20 16:27:19.452: DirectionIndicator - notify - price/longMA/ShortMA/prevDirection are 1.51715/1.51722785323467/1.51719723378973/-1</t>
  </si>
  <si>
    <t>2015-1-20 16:27:21.473: DirectionIndicator - notify - price/longMA/ShortMA/prevDirection are 1.5172/1.51722278901018/1.51719815585982/-1</t>
  </si>
  <si>
    <t>2015-1-20 16:27:23.436: DirectionIndicator - notify - price/longMA/ShortMA/prevDirection are 1.51725/1.51722773646288/1.51721543723988/-1</t>
  </si>
  <si>
    <t>2015-1-20 16:27:23.847: DirectionIndicator - notify - price/longMA/ShortMA/prevDirection are 1.5172/1.51722269346963/1.51721029149325/-1</t>
  </si>
  <si>
    <t>2015-1-20 16:27:24.841: DirectionIndicator - notify - price/longMA/ShortMA/prevDirection are 1.51715/1.51720947647515/1.51719019432883/-1</t>
  </si>
  <si>
    <t>2015-1-20 16:27:25.431: DirectionIndicator - notify - price/longMA/ShortMA/prevDirection are 1.5172/1.51720775347967/1.51719346288589/-1</t>
  </si>
  <si>
    <t>2015-1-20 16:27:26.559: DirectionIndicator - notify - price/longMA/ShortMA/prevDirection are 1.51725/1.51721543466518/1.51721230859059/-1</t>
  </si>
  <si>
    <t>2015-1-20 16:27:29.420: TransitionLogger - flushFile - flushing file</t>
  </si>
  <si>
    <t>2015-1-20 16:27:29.421: TransitionLogger - openTransitionFile - opening file C:\temp\transitionlog_2015-01-20_153021</t>
  </si>
  <si>
    <t>2015-1-20 16:27:38.722: DirectionIndicator - notify - price/longMA/ShortMA/prevDirection are 1.5173/1.5172308101806/1.5172415390604/-1</t>
  </si>
  <si>
    <t>2015-1-20 16:27:38.803: DirectionIndicator - notify - price/longMA/ShortMA/prevDirection are 1.51735/1.51725248105686/1.51727769270693/-1</t>
  </si>
  <si>
    <t>2015-1-20 16:27:39.390: DirectionIndicator - notify - price/longMA/ShortMA/prevDirection are 1.5173/1.5172611208647/1.51728512847129/1</t>
  </si>
  <si>
    <t>2015-1-20 16:27:39.766: DirectionIndicator - notify - price/longMA/ShortMA/prevDirection are 1.51735/1.51727728070748/1.51730675231419/1</t>
  </si>
  <si>
    <t>2015-1-20 16:27:41.350: DirectionIndicator - notify - price/longMA/ShortMA/prevDirection are 1.5173/1.51728141148794/1.51730450154279/1</t>
  </si>
  <si>
    <t>2015-1-20 16:27:41.426: DirectionIndicator - notify - price/longMA/ShortMA/prevDirection are 1.51725/1.51727570030832/1.51728633436186/1</t>
  </si>
  <si>
    <t>2015-1-20 16:27:45.600: DirectionIndicator - notify - price/longMA/ShortMA/prevDirection are 1.5173/1.51728011843408/1.51729088957458/1</t>
  </si>
  <si>
    <t>2015-1-20 16:27:50.613: DirectionIndicator - notify - price/longMA/ShortMA/prevDirection are 1.51735/1.51729282417334/1.51731059304972/1</t>
  </si>
  <si>
    <t>2015-1-20 16:27:51.469: DirectionIndicator - notify - price/longMA/ShortMA/prevDirection are 1.5173/1.51729412886909/1.51730706203314/1</t>
  </si>
  <si>
    <t>2015-1-20 16:27:51.524: DirectionIndicator - notify - price/longMA/ShortMA/prevDirection are 1.51725/1.51728610543835/1.51728804135543/1</t>
  </si>
  <si>
    <t>2015-1-20 16:27:51.937: DirectionIndicator - notify - price/longMA/ShortMA/prevDirection are 1.5173/1.51728863172228/1.51729202757029/1</t>
  </si>
  <si>
    <t>2015-1-20 16:27:52.210: DirectionIndicator - notify - price/longMA/ShortMA/prevDirection are 1.51725/1.51728160777278/1.51727801838019/1</t>
  </si>
  <si>
    <t>2015-1-20 16:27:52.345: DirectionIndicator - notify - price/longMA/ShortMA/prevDirection are 1.5173/1.51728495181409/1.51728534558679/1</t>
  </si>
  <si>
    <t>2015-1-20 16:28:2.747: DirectionIndicator - notify - price/longMA/ShortMA/prevDirection are 1.51735/1.51729677875698/1.51730689705786/1</t>
  </si>
  <si>
    <t>2015-1-20 16:28:8.161: TransitionLogger - flushFile - flushing file</t>
  </si>
  <si>
    <t>2015-1-20 16:28:8.163: TransitionLogger - openTransitionFile - opening file C:\temp\transitionlog_2015-01-20_153021</t>
  </si>
  <si>
    <t>2015-1-20 16:28:9.16: DirectionIndicator - notify - price/longMA/ShortMA/prevDirection are 1.5173/1.51729736443753/1.51730459803858/1</t>
  </si>
  <si>
    <t>2015-1-20 16:28:9.270: DirectionIndicator - notify - price/longMA/ShortMA/prevDirection are 1.51725/1.51728875272162/1.51728639869238/1</t>
  </si>
  <si>
    <t>2015-1-20 16:28:10.50: DirectionIndicator - notify - price/longMA/ShortMA/prevDirection are 1.5173/1.51729079768132/1.51729093246159/1</t>
  </si>
  <si>
    <t>2015-1-20 16:28:10.403: DirectionIndicator - notify - price/longMA/ShortMA/prevDirection are 1.51725/1.51728337992108/1.51727728830773/1</t>
  </si>
  <si>
    <t>2015-1-20 16:28:15.126: DirectionIndicator - notify - price/longMA/ShortMA/prevDirection are 1.5173/1.51728640175361/1.51728485887182/1</t>
  </si>
  <si>
    <t>2015-1-20 16:28:15.943: DirectionIndicator - notify - price/longMA/ShortMA/prevDirection are 1.51725/1.51727978325296/1.51727323924788/1</t>
  </si>
  <si>
    <t>2015-1-20 16:28:16.183: DirectionIndicator - notify - price/longMA/ShortMA/prevDirection are 1.5173/1.51728345902515/1.51728215949859/1</t>
  </si>
  <si>
    <t>2015-1-20 16:28:16.304: DirectionIndicator - notify - price/longMA/ShortMA/prevDirection are 1.51725/1.51727737556603/1.51727143966572/1</t>
  </si>
  <si>
    <t>2015-1-20 16:28:29.108: TransitionLogger - flushFile - flushing file</t>
  </si>
  <si>
    <t>2015-1-20 16:28:29.109: TransitionLogger - openTransitionFile - opening file C:\temp\transitionlog_2015-01-20_153021</t>
  </si>
  <si>
    <t>2015-1-20 16:28:45.66: DirectionIndicator - notify - price/longMA/ShortMA/prevDirection are 1.5172/1.5172633072813/1.51724762644382/1</t>
  </si>
  <si>
    <t>2015-1-20 16:28:45.523: DirectionIndicator - notify - price/longMA/ShortMA/prevDirection are 1.51725/1.51726088777561/1.51724841762921/1</t>
  </si>
  <si>
    <t>2015-1-20 16:28:47.157: DirectionIndicator - notify - price/longMA/ShortMA/prevDirection are 1.5172/1.51724981727095/1.51723227841947/1</t>
  </si>
  <si>
    <t>2015-1-20 16:28:47.869: DirectionIndicator - notify - price/longMA/ShortMA/prevDirection are 1.51725/1.51724985049441/1.51723818561298/1</t>
  </si>
  <si>
    <t>2015-1-20 16:28:48.222: DirectionIndicator - notify - price/longMA/ShortMA/prevDirection are 1.5172/1.51724078676816/1.51722545707532/1</t>
  </si>
  <si>
    <t>2015-1-20 16:28:49.95: DirectionIndicator - notify - price/longMA/ShortMA/prevDirection are 1.51725/1.51724246190122/1.51723363805021/1</t>
  </si>
  <si>
    <t>2015-1-20 16:28:49.382: DirectionIndicator - notify - price/longMA/ShortMA/prevDirection are 1.5172/1.51723474155554/1.51722242536681/1</t>
  </si>
  <si>
    <t>2015-1-20 16:28:52.358: DirectionIndicator - notify - price/longMA/ShortMA/prevDirection are 1.51725/1.51723751581817/1.51723161691121/1</t>
  </si>
  <si>
    <t>2015-1-20 16:28:53.18: DirectionIndicator - notify - price/longMA/ShortMA/prevDirection are 1.5172/1.51723069476032/1.5172210779408/1</t>
  </si>
  <si>
    <t>2015-1-20 16:28:54.7: DirectionIndicator - notify - price/longMA/ShortMA/prevDirection are 1.51725/1.5172342048039/1.5172307186272/1</t>
  </si>
  <si>
    <t>2015-1-20 16:28:54.902: DirectionIndicator - notify - price/longMA/ShortMA/prevDirection are 1.5172/1.51722798574865/1.5172204790848/1</t>
  </si>
  <si>
    <t>2015-1-20 16:28:55.26: DirectionIndicator - notify - price/longMA/ShortMA/prevDirection are 1.51725/1.5172319883398/1.51723031938987/1</t>
  </si>
  <si>
    <t>2015-1-20 16:28:55.312: DirectionIndicator - notify - price/longMA/ShortMA/prevDirection are 1.5172/1.51722617227802/1.51722021292658/1</t>
  </si>
  <si>
    <t>2015-1-20 16:28:56.31: DirectionIndicator - notify - price/longMA/ShortMA/prevDirection are 1.51725/1.51723050459111/1.51723014195105/1</t>
  </si>
  <si>
    <t>2015-1-20 16:28:56.912: DirectionIndicator - notify - price/longMA/ShortMA/prevDirection are 1.5172/1.51722495830181/1.51722009463404/1</t>
  </si>
  <si>
    <t>2015-1-20 16:28:57.92: DirectionIndicator - notify - price/longMA/ShortMA/prevDirection are 1.51725/1.51722951133785/1.51723006308936/1</t>
  </si>
  <si>
    <t>2015-1-20 16:28:57.312: DirectionIndicator - notify - price/longMA/ShortMA/prevDirection are 1.5172/1.51722414564006/1.51722004205957/1</t>
  </si>
  <si>
    <t>2015-1-20 16:28:57.396: DirectionIndicator - notify - price/longMA/ShortMA/prevDirection are 1.51715/1.51721066461459/1.51719669470638/1</t>
  </si>
  <si>
    <t>2015-1-20 16:28:58.65: DirectionIndicator - notify - price/longMA/ShortMA/prevDirection are 1.5172/1.51720872559376/1.51719779647092/1</t>
  </si>
  <si>
    <t>2015-1-20 16:28:58.234: DirectionIndicator - notify - price/longMA/ShortMA/prevDirection are 1.51715/1.51719804821307/1.51718186431395/1</t>
  </si>
  <si>
    <t>2015-1-20 16:28:58.891: DirectionIndicator - notify - price/longMA/ShortMA/prevDirection are 1.5172/1.51719840308342/1.51718790954263/1</t>
  </si>
  <si>
    <t>2015-1-20 16:28:59.150: DirectionIndicator - notify - price/longMA/ShortMA/prevDirection are 1.51725/1.51720778434098/1.51720860636175/1</t>
  </si>
  <si>
    <t>2015-1-20 16:28:59.770: DirectionIndicator - notify - price/longMA/ShortMA/prevDirection are 1.5173/1.51722455082444/1.51723907090784/1</t>
  </si>
  <si>
    <t>2015-1-20 16:29:0.61: DirectionIndicator - notify - price/longMA/ShortMA/prevDirection are 1.51735/1.51724735976545/1.51727604727189/1</t>
  </si>
  <si>
    <t>2015-1-20 16:29:0.570: DirectionIndicator - notify - price/longMA/ShortMA/prevDirection are 1.5173/1.51725693071719/1.51728403151459/1</t>
  </si>
  <si>
    <t>2015-1-20 16:29:1.653: DirectionIndicator - notify - price/longMA/ShortMA/prevDirection are 1.51735/1.51727385240497/1.51730602100973/1</t>
  </si>
  <si>
    <t>2015-1-20 16:29:2.393: DirectionIndicator - notify - price/longMA/ShortMA/prevDirection are 1.5174/1.51729678833134/1.51733734733982/1</t>
  </si>
  <si>
    <t>2015-1-20 16:29:2.476: DirectionIndicator - notify - price/longMA/ShortMA/prevDirection are 1.51745/1.51732464499837/1.51737489822655/1</t>
  </si>
  <si>
    <t>2015-1-20 16:29:4.61: DirectionIndicator - notify - price/longMA/ShortMA/prevDirection are 1.5175/1.51735652772594/1.5174165988177/1</t>
  </si>
  <si>
    <t>2015-1-20 16:29:4.354: DirectionIndicator - notify - price/longMA/ShortMA/prevDirection are 1.51755/1.51739170450304/1.51746106587847/1</t>
  </si>
  <si>
    <t>2015-1-20 16:29:4.895: DirectionIndicator - notify - price/longMA/ShortMA/prevDirection are 1.5176/1.51742957641158/1.51750737725231/1</t>
  </si>
  <si>
    <t>2015-1-20 16:29:5.477: DirectionIndicator - notify - price/longMA/ShortMA/prevDirection are 1.51765/1.51746965342766/1.51755491816821/1</t>
  </si>
  <si>
    <t>2015-1-20 16:29:6.351: DirectionIndicator - notify - price/longMA/ShortMA/prevDirection are 1.5176/1.51749335280445/1.51756994544547/1</t>
  </si>
  <si>
    <t>2015-1-20 16:29:6.561: DirectionIndicator - notify - price/longMA/ShortMA/prevDirection are 1.51765/1.51752183411273/1.51759663029698/1</t>
  </si>
  <si>
    <t>2015-1-20 16:29:7.599: DirectionIndicator - notify - price/longMA/ShortMA/prevDirection are 1.5176/1.51753604609223/1.51759775353132/1</t>
  </si>
  <si>
    <t>2015-1-20 16:29:7.652: DirectionIndicator - notify - price/longMA/ShortMA/prevDirection are 1.51755/1.51753858316637/1.51758183568755/1</t>
  </si>
  <si>
    <t>2015-1-20 16:29:7.890: DirectionIndicator - notify - price/longMA/ShortMA/prevDirection are 1.5176/1.5175497498634/1.51758789045836/1</t>
  </si>
  <si>
    <t>2015-1-20 16:29:7.942: DirectionIndicator - notify - price/longMA/ShortMA/prevDirection are 1.51765/1.51756797716096/1.51760859363891/1</t>
  </si>
  <si>
    <t>2015-1-20 16:29:8.15: TransitionLogger - flushFile - flushing file</t>
  </si>
  <si>
    <t>2015-1-20 16:29:8.15: TransitionLogger - openTransitionFile - opening file C:\temp\transitionlog_2015-01-20_153021</t>
  </si>
  <si>
    <t>2015-1-20 16:29:8.271: DirectionIndicator - notify - price/longMA/ShortMA/prevDirection are 1.5177/1.51759198131351/1.51763906242594/1</t>
  </si>
  <si>
    <t>2015-1-20 16:29:8.515: DirectionIndicator - notify - price/longMA/ShortMA/prevDirection are 1.51775/1.51762071198378/1.51767604161729/1</t>
  </si>
  <si>
    <t>2015-1-20 16:29:8.983: DirectionIndicator - notify - price/longMA/ShortMA/prevDirection are 1.5177/1.51763512798673/1.51768402774486/1</t>
  </si>
  <si>
    <t>2015-1-20 16:29:9.56: DirectionIndicator - notify - price/longMA/ShortMA/prevDirection are 1.51765/1.51763783198914/1.51767268516324/1</t>
  </si>
  <si>
    <t>2015-1-20 16:29:9.432: DirectionIndicator - notify - price/longMA/ShortMA/prevDirection are 1.5177/1.51764913526385/1.51768179010883/1</t>
  </si>
  <si>
    <t>2015-1-20 16:29:9.741: DirectionIndicator - notify - price/longMA/ShortMA/prevDirection are 1.51775/1.51766747430678/1.51770452673922/1</t>
  </si>
  <si>
    <t>2015-1-20 16:29:10.568: DirectionIndicator - notify - price/longMA/ShortMA/prevDirection are 1.5177/1.51767338806919/1.51770301782615/1</t>
  </si>
  <si>
    <t>2015-1-20 16:29:10.641: DirectionIndicator - notify - price/longMA/ShortMA/prevDirection are 1.51765/1.51766913569297/1.51768534521743/1</t>
  </si>
  <si>
    <t>2015-1-20 16:29:14.265: DirectionIndicator - notify - price/longMA/ShortMA/prevDirection are 1.5176/1.51765656556698/1.51765689681162/1</t>
  </si>
  <si>
    <t>2015-1-20 16:29:14.395: DirectionIndicator - notify - price/longMA/ShortMA/prevDirection are 1.51755/1.51763719000934/1.51762126454108/1</t>
  </si>
  <si>
    <t>2015-1-20 16:29:20.526: DirectionIndicator - notify - price/longMA/ShortMA/prevDirection are 1.5175/1.51761224637128/1.51758084302739/1</t>
  </si>
  <si>
    <t>2015-1-20 16:29:20.600: DirectionIndicator - notify - price/longMA/ShortMA/prevDirection are 1.51745/1.51758274703105/1.51753722868492/-1</t>
  </si>
  <si>
    <t>2015-1-20 16:29:23.66: Algorithm - FindNextStrikes - price is 1.51745 nextStrikeUp/Down 1.52/1.515</t>
  </si>
  <si>
    <t>2015-1-20 16:29:23.66: Algorithm - getPortfolioForwardDelta - required deltas is 100 currentHedgePosition is 100</t>
  </si>
  <si>
    <t>2015-1-20 16:29:23.67: Algorithm - getHedgeShortfall - required deltas is 100 price is 1.51735 currentHedgePositionDeltas is 100</t>
  </si>
  <si>
    <t>2015-1-20 16:29:23.68: Algorithm - processTransitionPoint - nextUpper/LowerStrikes are 1.52/1.515 requiredDeltas/currentPosition/currentHedgeShortfall/direction/transitionPrice are 100/100/0/-1/1.51735</t>
  </si>
  <si>
    <t>2015-1-20 16:29:23.68: TransitionLogger - processTransitionpoint - checking transition - currentHedgeShortfall is 0</t>
  </si>
  <si>
    <t>2015-1-20 16:29:23.69: Algorithm - updatePortfolio - haveAllDetails is True</t>
  </si>
  <si>
    <t>2015-1-20 16:29:23.70: RTWSControl - updatePortfolioEx - An Error Occured Object variable or With block variable not set</t>
  </si>
  <si>
    <t>2015-1-20 16:29:23.111: Algorithm - FindNextStrikes - price is 1.51745 nextStrikeUp/Down 1.52/1.515</t>
  </si>
  <si>
    <t>2015-1-20 16:29:23.112: Algorithm - getPortfolioForwardDelta - required deltas is 100 currentHedgePosition is 100</t>
  </si>
  <si>
    <t>2015-1-20 16:29:23.112: Algorithm - getHedgeShortfall - required deltas is 100 price is 1.51735 currentHedgePositionDeltas is 100</t>
  </si>
  <si>
    <t>2015-1-20 16:29:23.113: Algorithm - processTransitionPoint - nextUpper/LowerStrikes are 1.52/1.515 requiredDeltas/currentPosition/currentHedgeShortfall/direction/transitionPrice are 100/100/0/-1/1.51735</t>
  </si>
  <si>
    <t>2015-1-20 16:29:23.113: TransitionLogger - processTransitionpoint - checking transition - currentHedgeShortfall is 0</t>
  </si>
  <si>
    <t>2015-1-20 16:29:23.114: Algorithm - updatePortfolio - haveAllDetails is True</t>
  </si>
  <si>
    <t>2015-1-20 16:29:23.115: RTWSControl - updatePortfolioEx - An Error Occured Object variable or With block variable not set</t>
  </si>
  <si>
    <t>2015-1-20 16:29:23.159: Algorithm - FindNextStrikes - price is 1.51745 nextStrikeUp/Down 1.52/1.515</t>
  </si>
  <si>
    <t>2015-1-20 16:29:23.159: Algorithm - getPortfolioForwardDelta - required deltas is 100 currentHedgePosition is 100</t>
  </si>
  <si>
    <t>2015-1-20 16:29:23.160: Algorithm - getHedgeShortfall - required deltas is 100 price is 1.51735 currentHedgePositionDeltas is 100</t>
  </si>
  <si>
    <t>2015-1-20 16:29:23.160: Algorithm - processTransitionPoint - nextUpper/LowerStrikes are 1.52/1.515 requiredDeltas/currentPosition/currentHedgeShortfall/direction/transitionPrice are 100/100/0/-1/1.51735</t>
  </si>
  <si>
    <t>2015-1-20 16:29:23.161: TransitionLogger - processTransitionpoint - checking transition - currentHedgeShortfall is 0</t>
  </si>
  <si>
    <t>2015-1-20 16:29:23.162: Algorithm - updatePortfolio - haveAllDetails is True</t>
  </si>
  <si>
    <t>2015-1-20 16:29:23.163: RTWSControl - updatePortfolioEx - An Error Occured Object variable or With block variable not set</t>
  </si>
  <si>
    <t>2015-1-20 16:29:23.234: Algorithm - FindNextStrikes - price is 1.51745 nextStrikeUp/Down 1.52/1.515</t>
  </si>
  <si>
    <t>2015-1-20 16:29:23.234: Algorithm - getPortfolioForwardDelta - required deltas is 100 currentHedgePosition is 100</t>
  </si>
  <si>
    <t>2015-1-20 16:29:23.235: Algorithm - getHedgeShortfall - required deltas is 100 price is 1.51735 currentHedgePositionDeltas is 100</t>
  </si>
  <si>
    <t>2015-1-20 16:29:23.235: Algorithm - processTransitionPoint - nextUpper/LowerStrikes are 1.52/1.515 requiredDeltas/currentPosition/currentHedgeShortfall/direction/transitionPrice are 100/100/0/-1/1.51735</t>
  </si>
  <si>
    <t>2015-1-20 16:29:23.236: TransitionLogger - processTransitionpoint - checking transition - currentHedgeShortfall is 0</t>
  </si>
  <si>
    <t>2015-1-20 16:29:23.236: Algorithm - updatePortfolio - haveAllDetails is True</t>
  </si>
  <si>
    <t>2015-1-20 16:29:23.237: RTWSControl - updatePortfolioEx - An Error Occured Object variable or With block variable not set</t>
  </si>
  <si>
    <t>2015-1-20 16:29:23.291: Algorithm - FindNextStrikes - price is 1.51745 nextStrikeUp/Down 1.52/1.515</t>
  </si>
  <si>
    <t>2015-1-20 16:29:23.292: Algorithm - getPortfolioForwardDelta - required deltas is 100 currentHedgePosition is 100</t>
  </si>
  <si>
    <t>2015-1-20 16:29:23.292: Algorithm - getHedgeShortfall - required deltas is 100 price is 1.51735 currentHedgePositionDeltas is 100</t>
  </si>
  <si>
    <t>2015-1-20 16:29:23.293: Algorithm - processTransitionPoint - nextUpper/LowerStrikes are 1.52/1.515 requiredDeltas/currentPosition/currentHedgeShortfall/direction/transitionPrice are 100/100/0/-1/1.51735</t>
  </si>
  <si>
    <t>2015-1-20 16:29:23.293: TransitionLogger - processTransitionpoint - checking transition - currentHedgeShortfall is 0</t>
  </si>
  <si>
    <t>2015-1-20 16:29:23.294: Algorithm - updatePortfolio - haveAllDetails is True</t>
  </si>
  <si>
    <t>2015-1-20 16:29:23.295: RTWSControl - updatePortfolioEx - An Error Occured Object variable or With block variable not set</t>
  </si>
  <si>
    <t>2015-1-20 16:29:23.361: Algorithm - FindNextStrikes - price is 1.51745 nextStrikeUp/Down 1.52/1.515</t>
  </si>
  <si>
    <t>2015-1-20 16:29:23.361: Algorithm - getPortfolioForwardDelta - required deltas is 100 currentHedgePosition is 100</t>
  </si>
  <si>
    <t>2015-1-20 16:29:23.362: Algorithm - getHedgeShortfall - required deltas is 100 price is 1.51735 currentHedgePositionDeltas is 100</t>
  </si>
  <si>
    <t>2015-1-20 16:29:23.362: Algorithm - processTransitionPoint - nextUpper/LowerStrikes are 1.52/1.515 requiredDeltas/currentPosition/currentHedgeShortfall/direction/transitionPrice are 100/100/0/-1/1.51735</t>
  </si>
  <si>
    <t>2015-1-20 16:29:23.363: TransitionLogger - processTransitionpoint - checking transition - currentHedgeShortfall is 0</t>
  </si>
  <si>
    <t>2015-1-20 16:29:23.363: Algorithm - updatePortfolio - haveAllDetails is True</t>
  </si>
  <si>
    <t>2015-1-20 16:29:23.365: RTWSControl - updatePortfolioEx - An Error Occured Object variable or With block variable not set</t>
  </si>
  <si>
    <t>2015-1-20 16:29:23.527: DirectionIndicator - notify - price/longMA/ShortMA/prevDirection are 1.5174/1.51754952029813/1.51749148578995/-1</t>
  </si>
  <si>
    <t>2015-1-20 16:29:23.602: DirectionIndicator - notify - price/longMA/ShortMA/prevDirection are 1.51735/1.51751324388029/1.51744432385997/-1</t>
  </si>
  <si>
    <t>2015-1-20 16:29:24.104: DirectionIndicator - notify - price/longMA/ShortMA/prevDirection are 1.5174/1.51749265408387/1.51742954923998/-1</t>
  </si>
  <si>
    <t>2015-1-20 16:29:24.522: DirectionIndicator - notify - price/longMA/ShortMA/prevDirection are 1.51745/1.5174848987959/1.51743636615999/-1</t>
  </si>
  <si>
    <t>2015-1-20 16:29:25.443: DirectionIndicator - notify - price/longMA/ShortMA/prevDirection are 1.5174/1.51746946265119/1.51742424410666/-1</t>
  </si>
  <si>
    <t>2015-1-20 16:29:26.201: DirectionIndicator - notify - price/longMA/ShortMA/prevDirection are 1.51735/1.51744774216915/1.5173994960711/-1</t>
  </si>
  <si>
    <t>2015-1-20 16:29:27.229: DirectionIndicator - notify - price/longMA/ShortMA/prevDirection are 1.5173/1.51742087995658/1.51736633071407/-1</t>
  </si>
  <si>
    <t>2015-1-20 16:29:27.521: DirectionIndicator - notify - price/longMA/ShortMA/prevDirection are 1.51725/1.51738981087357/1.51732755380938/-1</t>
  </si>
  <si>
    <t>2015-1-20 16:29:28.684: DirectionIndicator - notify - price/longMA/ShortMA/prevDirection are 1.5173/1.51737348162383/1.51731836920625/-1</t>
  </si>
  <si>
    <t>2015-1-20 16:29:28.901: DirectionIndicator - notify - price/longMA/ShortMA/prevDirection are 1.51725/1.51735103041949/1.51729557947084/-1</t>
  </si>
  <si>
    <t>2015-1-20 16:29:29.150: TransitionLogger - flushFile - flushing file</t>
  </si>
  <si>
    <t>2015-1-20 16:29:29.151: TransitionLogger - openTransitionFile - opening file C:\temp\transitionlog_2015-01-20_153021</t>
  </si>
  <si>
    <t>2015-1-20 16:29:30.577: DirectionIndicator - notify - price/longMA/ShortMA/prevDirection are 1.5173/1.5173417521614/1.51729705298056/-1</t>
  </si>
  <si>
    <t>2015-1-20 16:29:30.940: DirectionIndicator - notify - price/longMA/ShortMA/prevDirection are 1.51725/1.51732506995024/1.5172813686537/-1</t>
  </si>
  <si>
    <t>2015-1-20 16:29:33.862: DirectionIndicator - notify - price/longMA/ShortMA/prevDirection are 1.5172/1.51730232995929/1.51725424576914/-1</t>
  </si>
  <si>
    <t>2015-1-20 16:29:35.992: DirectionIndicator - notify - price/longMA/ShortMA/prevDirection are 1.51715/1.51727463360305/1.51721949717942/-1</t>
  </si>
  <si>
    <t>2015-1-20 16:29:38.816: DirectionIndicator - notify - price/longMA/ShortMA/prevDirection are 1.5171/1.51724288203886/1.51717966478628/-1</t>
  </si>
  <si>
    <t>2015-1-20 16:29:38.893: DirectionIndicator - notify - price/longMA/ShortMA/prevDirection are 1.51705/1.51720781257725/1.51713644319086/-1</t>
  </si>
  <si>
    <t>2015-1-20 16:29:39.864: DirectionIndicator - notify - price/longMA/ShortMA/prevDirection are 1.5171/1.51718821029048/1.51712429546057/-1</t>
  </si>
  <si>
    <t>2015-1-20 16:29:40.184: DirectionIndicator - notify - price/longMA/ShortMA/prevDirection are 1.51705/1.51716308114675/1.51709953030705/-1</t>
  </si>
  <si>
    <t>2015-1-20 16:29:40.277: DirectionIndicator - notify - price/longMA/ShortMA/prevDirection are 1.5171/1.51715161184734/1.51709968687136/-1</t>
  </si>
  <si>
    <t>2015-1-20 16:29:41.74: DirectionIndicator - notify - price/longMA/ShortMA/prevDirection are 1.51705/1.51713313696601/1.51708312458091/-1</t>
  </si>
  <si>
    <t>2015-1-20 16:29:41.142: DirectionIndicator - notify - price/longMA/ShortMA/prevDirection are 1.517/1.51710893024492/1.51705541638727/-1</t>
  </si>
  <si>
    <t>2015-1-20 16:29:41.777: DirectionIndicator - notify - price/longMA/ShortMA/prevDirection are 1.51705/1.51709821565493/1.51705361092485/-1</t>
  </si>
  <si>
    <t>2015-1-20 16:29:41.982: DirectionIndicator - notify - price/longMA/ShortMA/prevDirection are 1.5171/1.51709854008131/1.5170690739499/-1</t>
  </si>
  <si>
    <t>2015-1-20 16:29:42.773: DirectionIndicator - notify - price/longMA/ShortMA/prevDirection are 1.51705/1.51708971461198/1.5170627159666/-1</t>
  </si>
  <si>
    <t>2015-1-20 16:29:42.823: DirectionIndicator - notify - price/longMA/ShortMA/prevDirection are 1.51695/1.51706431195526/1.51702514397773/-1</t>
  </si>
  <si>
    <t>2015-1-20 16:29:42.939: DirectionIndicator - notify - price/longMA/ShortMA/prevDirection are 1.517/1.51705261887248/1.51701676265182/-1</t>
  </si>
  <si>
    <t>2015-1-20 16:29:43.58: DirectionIndicator - notify - price/longMA/ShortMA/prevDirection are 1.51695/1.51703396089567/1.51699450843455/-1</t>
  </si>
  <si>
    <t>2015-1-20 16:29:44.981: DirectionIndicator - notify - price/longMA/ShortMA/prevDirection are 1.5169/1.51700960436918/1.51696300562303/-1</t>
  </si>
  <si>
    <t>2015-1-20 16:29:45.443: DirectionIndicator - notify - price/longMA/ShortMA/prevDirection are 1.51685/1.51698058539297/1.51692533708202/-1</t>
  </si>
  <si>
    <t>2015-1-20 16:29:45.560: DirectionIndicator - notify - price/longMA/ShortMA/prevDirection are 1.5169/1.51696593350334/1.51691689138801/-1</t>
  </si>
  <si>
    <t>2015-1-20 16:29:45.655: DirectionIndicator - notify - price/longMA/ShortMA/prevDirection are 1.51685/1.51694485468455/1.51689459425868/-1</t>
  </si>
  <si>
    <t>2015-1-20 16:29:48.987: DirectionIndicator - notify - price/longMA/ShortMA/prevDirection are 1.5169/1.51693669928736/1.51689639617245/-1</t>
  </si>
  <si>
    <t>2015-1-20 16:29:49.60: DirectionIndicator - notify - price/longMA/ShortMA/prevDirection are 1.51695/1.51693911759875/1.51691426411497/-1</t>
  </si>
  <si>
    <t>2015-1-20 16:29:49.857: DirectionIndicator - notify - price/longMA/ShortMA/prevDirection are 1.517/1.51695018712625/1.51694284274331/-1</t>
  </si>
  <si>
    <t>2015-1-20 16:29:50.232: DirectionIndicator - notify - price/longMA/ShortMA/prevDirection are 1.51695/1.51695015310329/1.51694522849554/-1</t>
  </si>
  <si>
    <t>2015-1-20 16:29:50.322: DirectionIndicator - notify - price/longMA/ShortMA/prevDirection are 1.517/1.51695921617542/1.51696348566369/-1</t>
  </si>
  <si>
    <t>2015-1-20 16:29:51.29: DirectionIndicator - notify - price/longMA/ShortMA/prevDirection are 1.51695/1.51695754050716/1.51695899044246/-1</t>
  </si>
  <si>
    <t>2015-1-20 16:29:51.649: DirectionIndicator - notify - price/longMA/ShortMA/prevDirection are 1.5169/1.51694707859677/1.51693932696164/-1</t>
  </si>
  <si>
    <t>2015-1-20 16:29:52.732: DirectionIndicator - notify - price/longMA/ShortMA/prevDirection are 1.51695/1.51694760976099/1.51694288464109/-1</t>
  </si>
  <si>
    <t>2015-1-20 16:29:53.65: DirectionIndicator - notify - price/longMA/ShortMA/prevDirection are 1.5169/1.51693895344081/1.51692858976073/-1</t>
  </si>
  <si>
    <t>2015-1-20 16:29:53.732: DirectionIndicator - notify - price/longMA/ShortMA/prevDirection are 1.51695/1.51694096190612/1.51693572650715/-1</t>
  </si>
  <si>
    <t>2015-1-20 16:29:54.102: DirectionIndicator - notify - price/longMA/ShortMA/prevDirection are 1.5169/1.51693351428683/1.51692381767144/-1</t>
  </si>
  <si>
    <t>2015-1-20 16:29:55.240: DirectionIndicator - notify - price/longMA/ShortMA/prevDirection are 1.51685/1.51691832987104/1.51689921178096/-1</t>
  </si>
  <si>
    <t>2015-1-20 16:29:57.143: DirectionIndicator - notify - price/longMA/ShortMA/prevDirection are 1.5169/1.51691499716721/1.51689947452064/-1</t>
  </si>
  <si>
    <t>2015-1-20 16:29:59.324: DirectionIndicator - notify - price/longMA/ShortMA/prevDirection are 1.51685/1.51690317950045/1.51688298301376/-1</t>
  </si>
  <si>
    <t>2015-1-20 16:29:59.884: DirectionIndicator - notify - price/longMA/ShortMA/prevDirection are 1.5169/1.51690260140946/1.51688865534251/-1</t>
  </si>
  <si>
    <t>2015-1-20 16:30:1.16: DirectionIndicator - notify - price/longMA/ShortMA/prevDirection are 1.51695/1.51691121933501/1.51690910356167/-1</t>
  </si>
  <si>
    <t>2015-1-20 16:30:6.270: DirectionIndicator - notify - price/longMA/ShortMA/prevDirection are 1.517/1.5169273612741/1.51693940237445/-1</t>
  </si>
  <si>
    <t>2015-1-20 16:30:6.653: DirectionIndicator - notify - price/longMA/ShortMA/prevDirection are 1.51695/1.51693147740608/1.5169429349163/-1</t>
  </si>
  <si>
    <t>2015-1-20 16:30:8.114: TransitionLogger - flushFile - flushing file</t>
  </si>
  <si>
    <t>2015-1-20 16:30:8.115: TransitionLogger - openTransitionFile - opening file C:\temp\transitionlog_2015-01-20_153021</t>
  </si>
  <si>
    <t>2015-1-20 16:30:8.117: DirectionIndicator - notify - price/longMA/ShortMA/prevDirection are 1.517/1.51694393605952/1.51696195661087/-1</t>
  </si>
  <si>
    <t>2015-1-20 16:30:9.254: DirectionIndicator - notify - price/longMA/ShortMA/prevDirection are 1.51695/1.51694503859415/1.51695797107391/-1</t>
  </si>
  <si>
    <t>2015-1-20 16:30:10.501: DirectionIndicator - notify - price/longMA/ShortMA/prevDirection are 1.517/1.51695503157703/1.51697198071594/-1</t>
  </si>
  <si>
    <t>2015-1-20 16:30:11.608: DirectionIndicator - notify - price/longMA/ShortMA/prevDirection are 1.51705/1.51697229856303/1.51699798714396/-1</t>
  </si>
  <si>
    <t>2015-1-20 16:30:21.525: DirectionIndicator - notify - price/longMA/ShortMA/prevDirection are 1.5171/1.51699551700611/1.51703199142931/1</t>
  </si>
  <si>
    <t>2015-1-20 16:30:21.984: DirectionIndicator - notify - price/longMA/ShortMA/prevDirection are 1.51715/1.51702360482318/1.51707132761954/1</t>
  </si>
  <si>
    <t>2015-1-20 16:30:25.894: DirectionIndicator - notify - price/longMA/ShortMA/prevDirection are 1.5171/1.51703749485533/1.51708088507969/1</t>
  </si>
  <si>
    <t>2015-1-20 16:30:28.104: DirectionIndicator - notify - price/longMA/ShortMA/prevDirection are 1.51705/1.517039768518/1.51707059005313/1</t>
  </si>
  <si>
    <t>2015-1-20 16:30:29.173: TransitionLogger - flushFile - flushing file</t>
  </si>
  <si>
    <t>2015-1-20 16:30:29.175: TransitionLogger - openTransitionFile - opening file C:\temp\transitionlog_2015-01-20_153021</t>
  </si>
  <si>
    <t>2015-1-20 16:30:46.946: DirectionIndicator - notify - price/longMA/ShortMA/prevDirection are 1.5171/1.51705071969654/1.51708039336875/1</t>
  </si>
  <si>
    <t>2015-1-20 16:30:47.22: DirectionIndicator - notify - price/longMA/ShortMA/prevDirection are 1.51715/1.51706877066081/1.51710359557917/1</t>
  </si>
  <si>
    <t>2015-1-20 16:30:48.297: DirectionIndicator - notify - price/longMA/ShortMA/prevDirection are 1.5171/1.51707444872248/1.51710239705278/1</t>
  </si>
  <si>
    <t>2015-1-20 16:30:48.410: DirectionIndicator - notify - price/longMA/ShortMA/prevDirection are 1.51705/1.51707000350021/1.51708493136852/1</t>
  </si>
  <si>
    <t>2015-1-20 16:30:48.654: DirectionIndicator - notify - price/longMA/ShortMA/prevDirection are 1.5171/1.51707545740926/1.51708995424568/1</t>
  </si>
  <si>
    <t>2015-1-20 16:30:48.986: DirectionIndicator - notify - price/longMA/ShortMA/prevDirection are 1.51705/1.5170708287894/1.51707663616379/1</t>
  </si>
  <si>
    <t>2015-1-20 16:30:49.729: DirectionIndicator - notify - price/longMA/ShortMA/prevDirection are 1.5171/1.51707613264587/1.51708442410919/1</t>
  </si>
  <si>
    <t>2015-1-20 16:30:50.480: DirectionIndicator - notify - price/longMA/ShortMA/prevDirection are 1.51705/1.51707138125571/1.51707294940613/1</t>
  </si>
  <si>
    <t>2015-1-20 16:30:50.574: DirectionIndicator - notify - price/longMA/ShortMA/prevDirection are 1.5171/1.51707658466376/1.51708196627075/1</t>
  </si>
  <si>
    <t>2015-1-20 16:30:50.693: DirectionIndicator - notify - price/longMA/ShortMA/prevDirection are 1.51705/1.51707175108853/1.51707131084717/1</t>
  </si>
  <si>
    <t>2015-1-20 16:30:51.949: DirectionIndicator - notify - price/longMA/ShortMA/prevDirection are 1.5171/1.51707688725426/1.51708087389811/1</t>
  </si>
  <si>
    <t>2015-1-20 16:30:53.576: DirectionIndicator - notify - price/longMA/ShortMA/prevDirection are 1.51705/1.51707199866257/1.51707058259874/1</t>
  </si>
  <si>
    <t>2015-1-20 16:30:56.209: DirectionIndicator - notify - price/longMA/ShortMA/prevDirection are 1.5171/1.51707708981483/1.51708038839916/1</t>
  </si>
  <si>
    <t>2015-1-20 16:30:56.584: DirectionIndicator - notify - price/longMA/ShortMA/prevDirection are 1.51705/1.51707216439395/1.51707025893277/1</t>
  </si>
  <si>
    <t>2015-1-20 16:31:3.238: DirectionIndicator - notify - price/longMA/ShortMA/prevDirection are 1.5171/1.51707722541323/1.51708017262185/1</t>
  </si>
  <si>
    <t>2015-1-20 16:31:8.157: TransitionLogger - flushFile - flushing file</t>
  </si>
  <si>
    <t>2015-1-20 16:31:8.159: TransitionLogger - openTransitionFile - opening file C:\temp\transitionlog_2015-01-20_153021</t>
  </si>
  <si>
    <t>2015-1-20 16:31:15.275: DirectionIndicator - notify - price/longMA/ShortMA/prevDirection are 1.51705/1.5170722753381/1.51707011508123/1</t>
  </si>
  <si>
    <t>2015-1-20 16:31:21.868: DirectionIndicator - notify - price/longMA/ShortMA/prevDirection are 1.517/1.51705913436754/1.51704674338749/1</t>
  </si>
  <si>
    <t>2015-1-20 16:31:22.147: DirectionIndicator - notify - price/longMA/ShortMA/prevDirection are 1.51705/1.51705747357344/1.51704782892499/1</t>
  </si>
  <si>
    <t>2015-1-20 16:31:22.405: DirectionIndicator - notify - price/longMA/ShortMA/prevDirection are 1.517/1.51704702383281/1.51703188594999/1</t>
  </si>
  <si>
    <t>2015-1-20 16:31:22.778: DirectionIndicator - notify - price/longMA/ShortMA/prevDirection are 1.51705/1.51704756495412/1.51703792396666/1</t>
  </si>
  <si>
    <t>2015-1-20 16:31:29.120: TransitionLogger - flushFile - flushing file</t>
  </si>
  <si>
    <t>2015-1-20 16:31:29.121: TransitionLogger - openTransitionFile - opening file C:\temp\transitionlog_2015-01-20_153021</t>
  </si>
  <si>
    <t>2015-1-20 16:31:36.92: DirectionIndicator - notify - price/longMA/ShortMA/prevDirection are 1.517/1.51703891678064/1.51702528264444/1</t>
  </si>
  <si>
    <t>2015-1-20 16:31:37.42: DirectionIndicator - notify - price/longMA/ShortMA/prevDirection are 1.51695/1.51702275009325/1.51700018842963/1</t>
  </si>
  <si>
    <t>2015-1-20 16:31:46.915: DirectionIndicator - notify - price/longMA/ShortMA/prevDirection are 1.5169/1.51700043189448/1.51696679228642/-1</t>
  </si>
  <si>
    <t>2015-1-20 16:31:46.987: DirectionIndicator - notify - price/longMA/ShortMA/prevDirection are 1.51685/1.51697308064094/1.51692786152428/-1</t>
  </si>
  <si>
    <t>2015-1-20 16:31:47.653: DirectionIndicator - notify - price/longMA/ShortMA/prevDirection are 1.5168/1.5169416114335/1.51688524101619/-1</t>
  </si>
  <si>
    <t>2015-1-20 16:31:48.201: DirectionIndicator - notify - price/longMA/ShortMA/prevDirection are 1.51685/1.51692495480922/1.51687349401079/-1</t>
  </si>
  <si>
    <t>2015-1-20 16:31:48.363: DirectionIndicator - notify - price/longMA/ShortMA/prevDirection are 1.5168/1.516902235753/1.51684899600719/-1</t>
  </si>
  <si>
    <t>2015-1-20 16:31:48.442: DirectionIndicator - notify - price/longMA/ShortMA/prevDirection are 1.51675/1.51687455652518/1.51681599733813/-1</t>
  </si>
  <si>
    <t>2015-1-20 16:31:50.275: DirectionIndicator - notify - price/longMA/ShortMA/prevDirection are 1.5168/1.51686100079333/1.51681066489209/-1</t>
  </si>
  <si>
    <t>2015-1-20 16:31:50.331: DirectionIndicator - notify - price/longMA/ShortMA/prevDirection are 1.51685/1.51685900064909/1.51682377659472/-1</t>
  </si>
  <si>
    <t>2015-1-20 16:32:5.643: DirectionIndicator - notify - price/longMA/ShortMA/prevDirection are 1.5168/1.51684827325835/1.51681585106315/-1</t>
  </si>
  <si>
    <t>2015-1-20 16:32:6.514: DirectionIndicator - notify - price/longMA/ShortMA/prevDirection are 1.51685/1.51684858721137/1.5168272340421/-1</t>
  </si>
  <si>
    <t>2015-1-20 16:32:6.871: DirectionIndicator - notify - price/longMA/ShortMA/prevDirection are 1.5168/1.51683975317294/1.51681815602807/-1</t>
  </si>
  <si>
    <t>2015-1-20 16:32:7.156: DirectionIndicator - notify - price/longMA/ShortMA/prevDirection are 1.51675/1.51682343441423/1.51679543735204/-1</t>
  </si>
  <si>
    <t>2015-1-20 16:32:7.322: DirectionIndicator - notify - price/longMA/ShortMA/prevDirection are 1.5168/1.51681917361164/1.5167969582347/-1</t>
  </si>
  <si>
    <t>2015-1-20 16:32:7.916: DirectionIndicator - notify - price/longMA/ShortMA/prevDirection are 1.51685/1.51682477840952/1.51681463882313/-1</t>
  </si>
  <si>
    <t>2015-1-20 16:32:8.69: TransitionLogger - flushFile - flushing file</t>
  </si>
  <si>
    <t>2015-1-20 16:32:8.70: TransitionLogger - openTransitionFile - opening file C:\temp\transitionlog_2015-01-20_153021</t>
  </si>
  <si>
    <t>2015-1-20 16:32:22.367: Algorithm - FindNextStrikes - price is 1.51685 nextStrikeUp/Down 1.52/1.515</t>
  </si>
  <si>
    <t>2015-1-20 16:32:22.367: Algorithm - getPortfolioForwardDelta - required deltas is 100 currentHedgePosition is 100</t>
  </si>
  <si>
    <t>2015-1-20 16:32:22.368: Algorithm - getHedgeShortfall - required deltas is 100 price is 1.51675 currentHedgePositionDeltas is 100</t>
  </si>
  <si>
    <t>2015-1-20 16:32:22.369: Algorithm - processTransitionPoint - nextUpper/LowerStrikes are 1.52/1.515 requiredDeltas/currentPosition/currentHedgeShortfall/direction/transitionPrice are 100/100/0/-1/1.51675</t>
  </si>
  <si>
    <t>2015-1-20 16:32:22.369: TransitionLogger - processTransitionpoint - checking transition - currentHedgeShortfall is 0</t>
  </si>
  <si>
    <t>2015-1-20 16:32:22.370: Algorithm - updatePortfolio - haveAllDetails is True</t>
  </si>
  <si>
    <t>2015-1-20 16:32:22.371: RTWSControl - updatePortfolioEx - An Error Occured Object variable or With block variable not set</t>
  </si>
  <si>
    <t>2015-1-20 16:32:22.412: Algorithm - FindNextStrikes - price is 1.51685 nextStrikeUp/Down 1.52/1.515</t>
  </si>
  <si>
    <t>2015-1-20 16:32:22.412: Algorithm - getPortfolioForwardDelta - required deltas is 100 currentHedgePosition is 100</t>
  </si>
  <si>
    <t>2015-1-20 16:32:22.413: Algorithm - getHedgeShortfall - required deltas is 100 price is 1.51675 currentHedgePositionDeltas is 100</t>
  </si>
  <si>
    <t>2015-1-20 16:32:22.413: Algorithm - processTransitionPoint - nextUpper/LowerStrikes are 1.52/1.515 requiredDeltas/currentPosition/currentHedgeShortfall/direction/transitionPrice are 100/100/0/-1/1.51675</t>
  </si>
  <si>
    <t>2015-1-20 16:32:22.414: TransitionLogger - processTransitionpoint - checking transition - currentHedgeShortfall is 0</t>
  </si>
  <si>
    <t>2015-1-20 16:32:22.414: Algorithm - updatePortfolio - haveAllDetails is True</t>
  </si>
  <si>
    <t>2015-1-20 16:32:22.415: RTWSControl - updatePortfolioEx - An Error Occured Object variable or With block variable not set</t>
  </si>
  <si>
    <t>2015-1-20 16:32:22.462: Algorithm - FindNextStrikes - price is 1.51685 nextStrikeUp/Down 1.52/1.515</t>
  </si>
  <si>
    <t>2015-1-20 16:32:22.462: Algorithm - getPortfolioForwardDelta - required deltas is 100 currentHedgePosition is 100</t>
  </si>
  <si>
    <t>2015-1-20 16:32:22.462: Algorithm - getHedgeShortfall - required deltas is 100 price is 1.51675 currentHedgePositionDeltas is 100</t>
  </si>
  <si>
    <t>2015-1-20 16:32:22.463: Algorithm - processTransitionPoint - nextUpper/LowerStrikes are 1.52/1.515 requiredDeltas/currentPosition/currentHedgeShortfall/direction/transitionPrice are 100/100/0/-1/1.51675</t>
  </si>
  <si>
    <t>2015-1-20 16:32:22.463: TransitionLogger - processTransitionpoint - checking transition - currentHedgeShortfall is 0</t>
  </si>
  <si>
    <t>2015-1-20 16:32:22.464: Algorithm - updatePortfolio - haveAllDetails is True</t>
  </si>
  <si>
    <t>2015-1-20 16:32:22.465: RTWSControl - updatePortfolioEx - An Error Occured Object variable or With block variable not set</t>
  </si>
  <si>
    <t>2015-1-20 16:32:22.537: Algorithm - FindNextStrikes - price is 1.51685 nextStrikeUp/Down 1.52/1.515</t>
  </si>
  <si>
    <t>2015-1-20 16:32:22.537: Algorithm - getPortfolioForwardDelta - required deltas is 100 currentHedgePosition is 100</t>
  </si>
  <si>
    <t>2015-1-20 16:32:22.538: Algorithm - getHedgeShortfall - required deltas is 100 price is 1.51675 currentHedgePositionDeltas is 100</t>
  </si>
  <si>
    <t>2015-1-20 16:32:22.538: Algorithm - processTransitionPoint - nextUpper/LowerStrikes are 1.52/1.515 requiredDeltas/currentPosition/currentHedgeShortfall/direction/transitionPrice are 100/100/0/-1/1.51675</t>
  </si>
  <si>
    <t>2015-1-20 16:32:22.538: TransitionLogger - processTransitionpoint - checking transition - currentHedgeShortfall is 0</t>
  </si>
  <si>
    <t>2015-1-20 16:32:22.539: Algorithm - updatePortfolio - haveAllDetails is True</t>
  </si>
  <si>
    <t>2015-1-20 16:32:22.540: RTWSControl - updatePortfolioEx - An Error Occured Object variable or With block variable not set</t>
  </si>
  <si>
    <t>2015-1-20 16:32:22.594: Algorithm - FindNextStrikes - price is 1.51685 nextStrikeUp/Down 1.52/1.515</t>
  </si>
  <si>
    <t>2015-1-20 16:32:22.594: Algorithm - getPortfolioForwardDelta - required deltas is 100 currentHedgePosition is 100</t>
  </si>
  <si>
    <t>2015-1-20 16:32:22.595: Algorithm - getHedgeShortfall - required deltas is 100 price is 1.51675 currentHedgePositionDeltas is 100</t>
  </si>
  <si>
    <t>2015-1-20 16:32:22.595: Algorithm - processTransitionPoint - nextUpper/LowerStrikes are 1.52/1.515 requiredDeltas/currentPosition/currentHedgeShortfall/direction/transitionPrice are 100/100/0/-1/1.51675</t>
  </si>
  <si>
    <t>2015-1-20 16:32:22.596: TransitionLogger - processTransitionpoint - checking transition - currentHedgeShortfall is 0</t>
  </si>
  <si>
    <t>2015-1-20 16:32:22.597: Algorithm - updatePortfolio - haveAllDetails is True</t>
  </si>
  <si>
    <t>2015-1-20 16:32:22.598: RTWSControl - updatePortfolioEx - An Error Occured Object variable or With block variable not set</t>
  </si>
  <si>
    <t>2015-1-20 16:32:22.663: Algorithm - FindNextStrikes - price is 1.51685 nextStrikeUp/Down 1.52/1.515</t>
  </si>
  <si>
    <t>2015-1-20 16:32:22.663: Algorithm - getPortfolioForwardDelta - required deltas is 100 currentHedgePosition is 100</t>
  </si>
  <si>
    <t>2015-1-20 16:32:22.663: Algorithm - getHedgeShortfall - required deltas is 100 price is 1.51675 currentHedgePositionDeltas is 100</t>
  </si>
  <si>
    <t>2015-1-20 16:32:22.664: Algorithm - processTransitionPoint - nextUpper/LowerStrikes are 1.52/1.515 requiredDeltas/currentPosition/currentHedgeShortfall/direction/transitionPrice are 100/100/0/-1/1.51675</t>
  </si>
  <si>
    <t>2015-1-20 16:32:22.664: TransitionLogger - processTransitionpoint - checking transition - currentHedgeShortfall is 0</t>
  </si>
  <si>
    <t>2015-1-20 16:32:22.665: Algorithm - updatePortfolio - haveAllDetails is True</t>
  </si>
  <si>
    <t>2015-1-20 16:32:22.666: RTWSControl - updatePortfolioEx - An Error Occured Object variable or With block variable not set</t>
  </si>
  <si>
    <t>2015-1-20 16:32:28.131: DirectionIndicator - notify - price/longMA/ShortMA/prevDirection are 1.5168/1.51682027324415/1.51680975921542/-1</t>
  </si>
  <si>
    <t>2015-1-20 16:32:28.366: DirectionIndicator - notify - price/longMA/ShortMA/prevDirection are 1.51675/1.51680749629067/1.51678983947695/-1</t>
  </si>
  <si>
    <t>2015-1-20 16:32:29.29: TransitionLogger - flushFile - flushing file</t>
  </si>
  <si>
    <t>2015-1-20 16:32:29.29: TransitionLogger - openTransitionFile - opening file C:\temp\transitionlog_2015-01-20_153021</t>
  </si>
  <si>
    <t>2015-1-20 16:32:29.115: DirectionIndicator - notify - price/longMA/ShortMA/prevDirection are 1.5167/1.51678795151055/1.51675989298463/-1</t>
  </si>
  <si>
    <t>2015-1-20 16:32:29.533: DirectionIndicator - notify - price/longMA/ShortMA/prevDirection are 1.51665/1.51676286941772/1.51672326198975/-1</t>
  </si>
  <si>
    <t>2015-1-20 16:32:30.913: DirectionIndicator - notify - price/longMA/ShortMA/prevDirection are 1.5167/1.5167514386145/1.51671550799317/-1</t>
  </si>
  <si>
    <t>2015-1-20 16:32:33.790: DirectionIndicator - notify - price/longMA/ShortMA/prevDirection are 1.51675/1.51675117704823/1.51672700532878/-1</t>
  </si>
  <si>
    <t>2015-1-20 16:32:33.913: DirectionIndicator - notify - price/longMA/ShortMA/prevDirection are 1.5167/1.51674187213037/1.51671800355252/-1</t>
  </si>
  <si>
    <t>2015-1-20 16:32:38.360: DirectionIndicator - notify - price/longMA/ShortMA/prevDirection are 1.51675/1.51674334992485/1.51672866903501/-1</t>
  </si>
  <si>
    <t>2015-1-20 16:32:41.287: DirectionIndicator - notify - price/longMA/ShortMA/prevDirection are 1.5167/1.51673546812033/1.51671911269001/-1</t>
  </si>
  <si>
    <t>2015-1-20 16:32:41.361: DirectionIndicator - notify - price/longMA/ShortMA/prevDirection are 1.51665/1.51671992846209/1.51669607512667/-1</t>
  </si>
  <si>
    <t>2015-1-20 16:32:42.34: DirectionIndicator - notify - price/longMA/ShortMA/prevDirection are 1.5167/1.51671630510534/1.51669738341778/-1</t>
  </si>
  <si>
    <t>2015-1-20 16:32:42.711: DirectionIndicator - notify - price/longMA/ShortMA/prevDirection are 1.51665/1.51670424963165/1.51668158894519/-1</t>
  </si>
  <si>
    <t>2015-1-20 16:32:42.865: DirectionIndicator - notify - price/longMA/ShortMA/prevDirection are 1.5167/1.51670347697135/1.51668772596346/-1</t>
  </si>
  <si>
    <t>2015-1-20 16:32:43.575: DirectionIndicator - notify - price/longMA/ShortMA/prevDirection are 1.51675/1.51671193570383/1.51670848397564/-1</t>
  </si>
  <si>
    <t>2015-1-20 16:32:46.15: DirectionIndicator - notify - price/longMA/ShortMA/prevDirection are 1.5167/1.51670976557586/1.51670565598376/-1</t>
  </si>
  <si>
    <t>2015-1-20 16:32:47.81: DirectionIndicator - notify - price/longMA/ShortMA/prevDirection are 1.51665/1.51669889910752/1.51668710398917/-1</t>
  </si>
  <si>
    <t>2015-1-20 16:32:48.199: DirectionIndicator - notify - price/longMA/ShortMA/prevDirection are 1.5167/1.51669909926979/1.51669140265945/-1</t>
  </si>
  <si>
    <t>2015-1-20 16:32:48.284: DirectionIndicator - notify - price/longMA/ShortMA/prevDirection are 1.51665/1.51669017212983/1.51667760177297/-1</t>
  </si>
  <si>
    <t>2015-1-20 16:32:50.910: DirectionIndicator - notify - price/longMA/ShortMA/prevDirection are 1.5167/1.51669195901531/1.51668506784864/-1</t>
  </si>
  <si>
    <t>2015-1-20 16:32:52.877: DirectionIndicator - notify - price/longMA/ShortMA/prevDirection are 1.51665/1.51668433010344/1.51667337856576/-1</t>
  </si>
  <si>
    <t>2015-1-20 16:32:53.283: DirectionIndicator - notify - price/longMA/ShortMA/prevDirection are 1.5166/1.51666899735736/1.51664891904384/-1</t>
  </si>
  <si>
    <t>2015-1-20 16:32:53.953: DirectionIndicator - notify - price/longMA/ShortMA/prevDirection are 1.51655/1.5166473614742/1.51661594602923/-1</t>
  </si>
  <si>
    <t>2015-1-20 16:32:58.407: DirectionIndicator - notify - price/longMA/ShortMA/prevDirection are 1.5166/1.51663875029708/1.51661063068615/-1</t>
  </si>
  <si>
    <t>2015-1-20 16:33:2.246: DirectionIndicator - notify - price/longMA/ShortMA/prevDirection are 1.51665/1.51664079569761/1.51662375379077/-1</t>
  </si>
  <si>
    <t>2015-1-20 16:33:8.34: TransitionLogger - flushFile - flushing file</t>
  </si>
  <si>
    <t>2015-1-20 16:33:8.35: TransitionLogger - openTransitionFile - opening file C:\temp\transitionlog_2015-01-20_153021</t>
  </si>
  <si>
    <t>2015-1-20 16:33:14.79: DirectionIndicator - notify - price/longMA/ShortMA/prevDirection are 1.5166/1.51663337829804/1.51661583586051/-1</t>
  </si>
  <si>
    <t>2015-1-20 16:33:15.364: DirectionIndicator - notify - price/longMA/ShortMA/prevDirection are 1.51665/1.51663640042567/1.51662722390701/-1</t>
  </si>
  <si>
    <t>2015-1-20 16:33:16.788: DirectionIndicator - notify - price/longMA/ShortMA/prevDirection are 1.5166/1.51662978216646/1.51661814927134/-1</t>
  </si>
  <si>
    <t>2015-1-20 16:33:17.405: DirectionIndicator - notify - price/longMA/ShortMA/prevDirection are 1.51665/1.51663345813619/1.51662876618089/-1</t>
  </si>
  <si>
    <t>2015-1-20 16:33:23.285: DirectionIndicator - notify - price/longMA/ShortMA/prevDirection are 1.5167/1.51664555665688/1.51665251078726/-1</t>
  </si>
  <si>
    <t>2015-1-20 16:33:24.410: DirectionIndicator - notify - price/longMA/ShortMA/prevDirection are 1.51665/1.51664636453745/1.51665167385817/-1</t>
  </si>
  <si>
    <t>2015-1-20 16:33:29.291: TransitionLogger - flushFile - flushing file</t>
  </si>
  <si>
    <t>2015-1-20 16:33:29.293: TransitionLogger - openTransitionFile - opening file C:\temp\transitionlog_2015-01-20_153021</t>
  </si>
  <si>
    <t>2015-1-20 16:33:29.936: DirectionIndicator - notify - price/longMA/ShortMA/prevDirection are 1.5167/1.51665611643973/1.51666778257212/-1</t>
  </si>
  <si>
    <t>2015-1-20 16:33:30.508: DirectionIndicator - notify - price/longMA/ShortMA/prevDirection are 1.51665/1.51665500435978/1.51666185504808/-1</t>
  </si>
  <si>
    <t>2015-1-20 16:33:38.208: DirectionIndicator - notify - price/longMA/ShortMA/prevDirection are 1.5167/1.51666318538528/1.51667457003205/-1</t>
  </si>
  <si>
    <t>2015-1-20 16:33:41.833: DirectionIndicator - notify - price/longMA/ShortMA/prevDirection are 1.51675/1.51667896986068/1.5166997133547/-1</t>
  </si>
  <si>
    <t>2015-1-20 16:33:45.742: DirectionIndicator - notify - price/longMA/ShortMA/prevDirection are 1.5168/1.51670097534056/1.51673314223647/1</t>
  </si>
  <si>
    <t>2015-1-20 16:33:46.464: DirectionIndicator - notify - price/longMA/ShortMA/prevDirection are 1.51675/1.516709888915/1.51673876149098/1</t>
  </si>
  <si>
    <t>2015-1-20 16:33:50.203: DirectionIndicator - notify - price/longMA/ShortMA/prevDirection are 1.5167/1.51670809093046/1.51672584099399/1</t>
  </si>
  <si>
    <t>2015-1-20 16:33:50.797: DirectionIndicator - notify - price/longMA/ShortMA/prevDirection are 1.51665/1.5166975289431/1.51670056066266/1</t>
  </si>
  <si>
    <t>2015-1-20 16:33:51.221: DirectionIndicator - notify - price/longMA/ShortMA/prevDirection are 1.5167/1.51669797822617/1.5167003737751/1</t>
  </si>
  <si>
    <t>2015-1-20 16:33:52.378: DirectionIndicator - notify - price/longMA/ShortMA/prevDirection are 1.51675/1.5167074367305/1.51671691585007/1</t>
  </si>
  <si>
    <t>2015-1-20 16:33:53.167: DirectionIndicator - notify - price/longMA/ShortMA/prevDirection are 1.5167/1.51670608459769/1.51671127723338/1</t>
  </si>
  <si>
    <t>2015-1-20 16:34:2.9: DirectionIndicator - notify - price/longMA/ShortMA/prevDirection are 1.51665/1.51669588739811/1.51669085148892/1</t>
  </si>
  <si>
    <t>2015-1-20 16:34:2.337: DirectionIndicator - notify - price/longMA/ShortMA/prevDirection are 1.5167/1.51669663514391/1.51669390099261/1</t>
  </si>
  <si>
    <t>2015-1-20 16:34:2.492: DirectionIndicator - notify - price/longMA/ShortMA/prevDirection are 1.51665/1.51668815602683/1.51667926732841/1</t>
  </si>
  <si>
    <t>2015-1-20 16:34:8.191: TransitionLogger - flushFile - flushing file</t>
  </si>
  <si>
    <t>2015-1-20 16:34:8.192: TransitionLogger - openTransitionFile - opening file C:\temp\transitionlog_2015-01-20_153021</t>
  </si>
  <si>
    <t>2015-1-20 16:34:10.90: DirectionIndicator - notify - price/longMA/ShortMA/prevDirection are 1.5166/1.51667212765832/1.51665284488561/1</t>
  </si>
  <si>
    <t>2015-1-20 16:34:10.868: DirectionIndicator - notify - price/longMA/ShortMA/prevDirection are 1.51665/1.51666810444771/1.5166518965904/1</t>
  </si>
  <si>
    <t>2015-1-20 16:34:11.331: DirectionIndicator - notify - price/longMA/ShortMA/prevDirection are 1.5167/1.51667390363904/1.51666793106027/1</t>
  </si>
  <si>
    <t>2015-1-20 16:34:11.830: DirectionIndicator - notify - price/longMA/ShortMA/prevDirection are 1.51665/1.51666955752285/1.51666195404018/1</t>
  </si>
  <si>
    <t>2015-1-20 16:34:17.120: DirectionIndicator - notify - price/longMA/ShortMA/prevDirection are 1.5167/1.51667509251869/1.51667463602679/1</t>
  </si>
  <si>
    <t>2015-1-20 16:34:17.545: DirectionIndicator - notify - price/longMA/ShortMA/prevDirection are 1.51675/1.51668871206075/1.51669975735119/1</t>
  </si>
  <si>
    <t>2015-1-20 16:34:29.0: TransitionLogger - flushFile - flushing file</t>
  </si>
  <si>
    <t>2015-1-20 16:34:29.1: TransitionLogger - openTransitionFile - opening file C:\temp\transitionlog_2015-01-20_153021</t>
  </si>
  <si>
    <t>2015-1-20 16:34:38.794: DirectionIndicator - notify - price/longMA/ShortMA/prevDirection are 1.5167/1.51669076441334/1.51669983823413/1</t>
  </si>
  <si>
    <t>2015-1-20 16:34:38.868: DirectionIndicator - notify - price/longMA/ShortMA/prevDirection are 1.51665/1.51668335270182/1.51668322548942/1</t>
  </si>
  <si>
    <t>2015-1-20 16:34:56.995: DirectionIndicator - notify - price/longMA/ShortMA/prevDirection are 1.5166/1.51666819766513/1.51665548365961/1</t>
  </si>
  <si>
    <t>2015-1-20 16:34:58.577: DirectionIndicator - notify - price/longMA/ShortMA/prevDirection are 1.51655/1.51664670718056/1.51662032243974/1</t>
  </si>
  <si>
    <t>2015-1-20 16:35:8.10: TransitionLogger - flushFile - flushing file</t>
  </si>
  <si>
    <t>2015-1-20 16:35:8.11: TransitionLogger - openTransitionFile - opening file C:\temp\transitionlog_2015-01-20_153021</t>
  </si>
  <si>
    <t>2015-1-20 16:35:10.583: DirectionIndicator - notify - price/longMA/ShortMA/prevDirection are 1.5165/1.51662003314773/1.51658021495983/-1</t>
  </si>
  <si>
    <t>2015-1-20 16:35:10.636: DirectionIndicator - notify - price/longMA/ShortMA/prevDirection are 1.51645/1.51658911802996/1.51653680997322/-1</t>
  </si>
  <si>
    <t>2015-1-20 16:35:11.680: DirectionIndicator - notify - price/longMA/ShortMA/prevDirection are 1.5164/1.51655473293361/1.51649120664881/-1</t>
  </si>
  <si>
    <t>2015-1-20 16:35:11.874: DirectionIndicator - notify - price/longMA/ShortMA/prevDirection are 1.51645/1.51653569058204/1.51647747109921/-1</t>
  </si>
  <si>
    <t>2015-1-20 16:35:12.124: DirectionIndicator - notify - price/longMA/ShortMA/prevDirection are 1.5164/1.51651101956712/1.51645164739947/-1</t>
  </si>
  <si>
    <t>2015-1-20 16:35:12.204: DirectionIndicator - notify - price/longMA/ShortMA/prevDirection are 1.51635/1.51648174328219/1.51641776493298/-1</t>
  </si>
  <si>
    <t>2015-1-20 16:35:14.626: DirectionIndicator - notify - price/longMA/ShortMA/prevDirection are 1.5163/1.51644869904907/1.51637850995532/-1</t>
  </si>
  <si>
    <t>2015-1-20 16:35:14.704: DirectionIndicator - notify - price/longMA/ShortMA/prevDirection are 1.51625/1.51641257194924/1.51633567330355/-1</t>
  </si>
  <si>
    <t>2015-1-20 16:35:15.505: DirectionIndicator - notify - price/longMA/ShortMA/prevDirection are 1.5163/1.5163921043221/1.51632378220236/-1</t>
  </si>
  <si>
    <t>2015-1-20 16:35:17.33: DirectionIndicator - notify - price/longMA/ShortMA/prevDirection are 1.51625/1.51636626717263/1.51629918813491/-1</t>
  </si>
  <si>
    <t>2015-1-20 16:35:17.206: DirectionIndicator - notify - price/longMA/ShortMA/prevDirection are 1.5163/1.51635421859579/1.51629945875661/-1</t>
  </si>
  <si>
    <t>2015-1-20 16:35:18.332: DirectionIndicator - notify - price/longMA/ShortMA/prevDirection are 1.51635/1.51635345157837/1.51631630583774/-1</t>
  </si>
  <si>
    <t>2015-1-20 16:35:22.422: Algorithm - FindNextStrikes - price is 1.51635 nextStrikeUp/Down 1.52/1.515</t>
  </si>
  <si>
    <t>2015-1-20 16:35:22.422: Algorithm - getPortfolioForwardDelta - required deltas is 100 currentHedgePosition is 100</t>
  </si>
  <si>
    <t>2015-1-20 16:35:22.423: Algorithm - getHedgeShortfall - required deltas is 100 price is 1.51625 currentHedgePositionDeltas is 100</t>
  </si>
  <si>
    <t>2015-1-20 16:35:22.424: Algorithm - processTransitionPoint - nextUpper/LowerStrikes are 1.52/1.515 requiredDeltas/currentPosition/currentHedgeShortfall/direction/transitionPrice are 100/100/0/-1/1.51625</t>
  </si>
  <si>
    <t>2015-1-20 16:35:22.424: TransitionLogger - processTransitionpoint - checking transition - currentHedgeShortfall is 0</t>
  </si>
  <si>
    <t>2015-1-20 16:35:22.425: Algorithm - updatePortfolio - haveAllDetails is True</t>
  </si>
  <si>
    <t>2015-1-20 16:35:22.426: RTWSControl - updatePortfolioEx - An Error Occured Object variable or With block variable not set</t>
  </si>
  <si>
    <t>2015-1-20 16:35:22.467: Algorithm - FindNextStrikes - price is 1.51635 nextStrikeUp/Down 1.52/1.515</t>
  </si>
  <si>
    <t>2015-1-20 16:35:22.467: Algorithm - getPortfolioForwardDelta - required deltas is 100 currentHedgePosition is 100</t>
  </si>
  <si>
    <t>2015-1-20 16:35:22.468: Algorithm - getHedgeShortfall - required deltas is 100 price is 1.51625 currentHedgePositionDeltas is 100</t>
  </si>
  <si>
    <t>2015-1-20 16:35:22.468: Algorithm - processTransitionPoint - nextUpper/LowerStrikes are 1.52/1.515 requiredDeltas/currentPosition/currentHedgeShortfall/direction/transitionPrice are 100/100/0/-1/1.51625</t>
  </si>
  <si>
    <t>2015-1-20 16:35:22.469: TransitionLogger - processTransitionpoint - checking transition - currentHedgeShortfall is 0</t>
  </si>
  <si>
    <t>2015-1-20 16:35:22.470: Algorithm - updatePortfolio - haveAllDetails is True</t>
  </si>
  <si>
    <t>2015-1-20 16:35:22.471: RTWSControl - updatePortfolioEx - An Error Occured Object variable or With block variable not set</t>
  </si>
  <si>
    <t>2015-1-20 16:35:22.512: Algorithm - FindNextStrikes - price is 1.51635 nextStrikeUp/Down 1.52/1.515</t>
  </si>
  <si>
    <t>2015-1-20 16:35:22.513: Algorithm - getPortfolioForwardDelta - required deltas is 100 currentHedgePosition is 100</t>
  </si>
  <si>
    <t>2015-1-20 16:35:22.513: Algorithm - getHedgeShortfall - required deltas is 100 price is 1.51625 currentHedgePositionDeltas is 100</t>
  </si>
  <si>
    <t>2015-1-20 16:35:22.514: Algorithm - processTransitionPoint - nextUpper/LowerStrikes are 1.52/1.515 requiredDeltas/currentPosition/currentHedgeShortfall/direction/transitionPrice are 100/100/0/-1/1.51625</t>
  </si>
  <si>
    <t>2015-1-20 16:35:22.514: TransitionLogger - processTransitionpoint - checking transition - currentHedgeShortfall is 0</t>
  </si>
  <si>
    <t>2015-1-20 16:35:22.515: Algorithm - updatePortfolio - haveAllDetails is True</t>
  </si>
  <si>
    <t>2015-1-20 16:35:22.516: RTWSControl - updatePortfolioEx - An Error Occured Object variable or With block variable not set</t>
  </si>
  <si>
    <t>2015-1-20 16:35:22.590: Algorithm - FindNextStrikes - price is 1.51635 nextStrikeUp/Down 1.52/1.515</t>
  </si>
  <si>
    <t>2015-1-20 16:35:22.590: Algorithm - getPortfolioForwardDelta - required deltas is 100 currentHedgePosition is 100</t>
  </si>
  <si>
    <t>2015-1-20 16:35:22.591: Algorithm - getHedgeShortfall - required deltas is 100 price is 1.51625 currentHedgePositionDeltas is 100</t>
  </si>
  <si>
    <t>2015-1-20 16:35:22.591: Algorithm - processTransitionPoint - nextUpper/LowerStrikes are 1.52/1.515 requiredDeltas/currentPosition/currentHedgeShortfall/direction/transitionPrice are 100/100/0/-1/1.51625</t>
  </si>
  <si>
    <t>2015-1-20 16:35:22.591: TransitionLogger - processTransitionpoint - checking transition - currentHedgeShortfall is 0</t>
  </si>
  <si>
    <t>2015-1-20 16:35:22.592: Algorithm - updatePortfolio - haveAllDetails is True</t>
  </si>
  <si>
    <t>2015-1-20 16:35:22.593: RTWSControl - updatePortfolioEx - An Error Occured Object variable or With block variable not set</t>
  </si>
  <si>
    <t>2015-1-20 16:35:22.649: Algorithm - FindNextStrikes - price is 1.51635 nextStrikeUp/Down 1.52/1.515</t>
  </si>
  <si>
    <t>2015-1-20 16:35:22.650: Algorithm - getPortfolioForwardDelta - required deltas is 100 currentHedgePosition is 100</t>
  </si>
  <si>
    <t>2015-1-20 16:35:22.650: Algorithm - getHedgeShortfall - required deltas is 100 price is 1.51625 currentHedgePositionDeltas is 100</t>
  </si>
  <si>
    <t>2015-1-20 16:35:22.651: Algorithm - processTransitionPoint - nextUpper/LowerStrikes are 1.52/1.515 requiredDeltas/currentPosition/currentHedgeShortfall/direction/transitionPrice are 100/100/0/-1/1.51625</t>
  </si>
  <si>
    <t>2015-1-20 16:35:22.651: TransitionLogger - processTransitionpoint - checking transition - currentHedgeShortfall is 0</t>
  </si>
  <si>
    <t>2015-1-20 16:35:22.652: Algorithm - updatePortfolio - haveAllDetails is True</t>
  </si>
  <si>
    <t>2015-1-20 16:35:22.653: RTWSControl - updatePortfolioEx - An Error Occured Object variable or With block variable not set</t>
  </si>
  <si>
    <t>2015-1-20 16:35:22.714: Algorithm - FindNextStrikes - price is 1.51635 nextStrikeUp/Down 1.52/1.515</t>
  </si>
  <si>
    <t>2015-1-20 16:35:22.715: Algorithm - getPortfolioForwardDelta - required deltas is 100 currentHedgePosition is 100</t>
  </si>
  <si>
    <t>2015-1-20 16:35:22.715: Algorithm - getHedgeShortfall - required deltas is 100 price is 1.51625 currentHedgePositionDeltas is 100</t>
  </si>
  <si>
    <t>2015-1-20 16:35:22.716: Algorithm - processTransitionPoint - nextUpper/LowerStrikes are 1.52/1.515 requiredDeltas/currentPosition/currentHedgeShortfall/direction/transitionPrice are 100/100/0/-1/1.51625</t>
  </si>
  <si>
    <t>2015-1-20 16:35:22.716: TransitionLogger - processTransitionpoint - checking transition - currentHedgeShortfall is 0</t>
  </si>
  <si>
    <t>2015-1-20 16:35:22.717: Algorithm - updatePortfolio - haveAllDetails is True</t>
  </si>
  <si>
    <t>2015-1-20 16:35:22.718: RTWSControl - updatePortfolioEx - An Error Occured Object variable or With block variable not set</t>
  </si>
  <si>
    <t>2015-1-20 16:35:27.928: DirectionIndicator - notify - price/longMA/ShortMA/prevDirection are 1.5163/1.51634373310958/1.51631087055849/-1</t>
  </si>
  <si>
    <t>2015-1-20 16:35:27.997: DirectionIndicator - notify - price/longMA/ShortMA/prevDirection are 1.51625/1.51632669072602/1.51629058037233/-1</t>
  </si>
  <si>
    <t>2015-1-20 16:35:29.409: TransitionLogger - flushFile - flushing file</t>
  </si>
  <si>
    <t>2015-1-20 16:35:29.410: TransitionLogger - openTransitionFile - opening file C:\temp\transitionlog_2015-01-20_153021</t>
  </si>
  <si>
    <t>2015-1-20 16:35:32.299: DirectionIndicator - notify - price/longMA/ShortMA/prevDirection are 1.5162/1.51630365604856/1.51626038691489/-1</t>
  </si>
  <si>
    <t>2015-1-20 16:35:33.921: DirectionIndicator - notify - price/longMA/ShortMA/prevDirection are 1.51625/1.51629390040337/1.51625692460992/-1</t>
  </si>
  <si>
    <t>2015-1-20 16:35:38.751: DirectionIndicator - notify - price/longMA/ShortMA/prevDirection are 1.5163/1.51629500942094/1.51627128307328/-1</t>
  </si>
  <si>
    <t>2015-1-20 16:35:39.194: DirectionIndicator - notify - price/longMA/ShortMA/prevDirection are 1.51635/1.51630500770804/1.51629752204885/-1</t>
  </si>
  <si>
    <t>2015-1-20 16:35:40.384: DirectionIndicator - notify - price/longMA/ShortMA/prevDirection are 1.5164/1.51632227903385/1.5163316813659/-1</t>
  </si>
  <si>
    <t>2015-1-20 16:35:43.2: DirectionIndicator - notify - price/longMA/ShortMA/prevDirection are 1.51635/1.51632731920951/1.51633778757727/-1</t>
  </si>
  <si>
    <t>2015-1-20 16:35:45.943: DirectionIndicator - notify - price/longMA/ShortMA/prevDirection are 1.5164/1.51634053389869/1.51635852505151/-1</t>
  </si>
  <si>
    <t>2015-1-20 16:35:46.38: DirectionIndicator - notify - price/longMA/ShortMA/prevDirection are 1.51645/1.5163604368262/1.51638901670101/-1</t>
  </si>
  <si>
    <t>2015-1-20 16:36:0.261: DirectionIndicator - notify - price/longMA/ShortMA/prevDirection are 1.5164/1.51636763013053/1.51639267780067/1</t>
  </si>
  <si>
    <t>2015-1-20 16:36:0.332: DirectionIndicator - notify - price/longMA/ShortMA/prevDirection are 1.51635/1.51636442465225/1.51637845186711/1</t>
  </si>
  <si>
    <t>2015-1-20 16:36:0.671: DirectionIndicator - notify - price/longMA/ShortMA/prevDirection are 1.5164/1.5163708928973/1.51638563457808/1</t>
  </si>
  <si>
    <t>2015-1-20 16:36:1.809: DirectionIndicator - notify - price/longMA/ShortMA/prevDirection are 1.51645/1.51638527600688/1.51640708971872/1</t>
  </si>
  <si>
    <t>2015-1-20 16:36:7.374: DirectionIndicator - notify - price/longMA/ShortMA/prevDirection are 1.5164/1.51638795309654/1.51640472647915/1</t>
  </si>
  <si>
    <t>2015-1-20 16:36:8.444: TransitionLogger - flushFile - flushing file</t>
  </si>
  <si>
    <t>2015-1-20 16:36:8.446: TransitionLogger - openTransitionFile - opening file C:\temp\transitionlog_2015-01-20_153021</t>
  </si>
  <si>
    <t>2015-1-20 16:36:10.885: DirectionIndicator - notify - price/longMA/ShortMA/prevDirection are 1.51635/1.51638105253353/1.51638648431943/1</t>
  </si>
  <si>
    <t>2015-1-20 16:36:11.785: DirectionIndicator - notify - price/longMA/ShortMA/prevDirection are 1.5164/1.51638449752743/1.51639098954629/1</t>
  </si>
  <si>
    <t>2015-1-20 16:36:11.997: DirectionIndicator - notify - price/longMA/ShortMA/prevDirection are 1.51635/1.51637822524972/1.51637732636419/1</t>
  </si>
  <si>
    <t>2015-1-20 16:36:29.13: TransitionLogger - flushFile - flushing file</t>
  </si>
  <si>
    <t>2015-1-20 16:36:29.13: TransitionLogger - openTransitionFile - opening file C:\temp\transitionlog_2015-01-20_153021</t>
  </si>
  <si>
    <t>2015-1-20 16:36:31.626: DirectionIndicator - notify - price/longMA/ShortMA/prevDirection are 1.5163/1.51636400247704/1.51635155090946/1</t>
  </si>
  <si>
    <t>2015-1-20 16:36:31.679: DirectionIndicator - notify - price/longMA/ShortMA/prevDirection are 1.51625/1.51634327475394/1.51631770060631/1</t>
  </si>
  <si>
    <t>2015-1-20 16:36:35.464: DirectionIndicator - notify - price/longMA/ShortMA/prevDirection are 1.5163/1.51633540661686/1.5163118004042/-1</t>
  </si>
  <si>
    <t>2015-1-20 16:36:36.384: DirectionIndicator - notify - price/longMA/ShortMA/prevDirection are 1.51625/1.51631987814107/1.51629120026947/-1</t>
  </si>
  <si>
    <t>2015-1-20 16:36:36.676: DirectionIndicator - notify - price/longMA/ShortMA/prevDirection are 1.5163/1.5163162639336/1.51629413351298/-1</t>
  </si>
  <si>
    <t>2015-1-20 16:36:37.6: DirectionIndicator - notify - price/longMA/ShortMA/prevDirection are 1.51625/1.51630421594567/1.51627942234199/-1</t>
  </si>
  <si>
    <t>2015-1-20 16:36:42.681: DirectionIndicator - notify - price/longMA/ShortMA/prevDirection are 1.5162/1.51628526759192/1.51625294822799/-1</t>
  </si>
  <si>
    <t>2015-1-20 16:36:42.752: DirectionIndicator - notify - price/longMA/ShortMA/prevDirection are 1.51615/1.51626067348429/1.51621863215199/-1</t>
  </si>
  <si>
    <t>2015-1-20 16:36:59.270: DirectionIndicator - notify - price/longMA/ShortMA/prevDirection are 1.5161/1.51623146012351/1.51617908810133/-1</t>
  </si>
  <si>
    <t>2015-1-20 16:37:8.184: TransitionLogger - flushFile - flushing file</t>
  </si>
  <si>
    <t>2015-1-20 16:37:8.185: TransitionLogger - openTransitionFile - opening file C:\temp\transitionlog_2015-01-20_153021</t>
  </si>
  <si>
    <t>2015-1-20 16:37:9.546: DirectionIndicator - notify - price/longMA/ShortMA/prevDirection are 1.51615/1.51621664919197/1.51616939206755/-1</t>
  </si>
  <si>
    <t>2015-1-20 16:37:21.684: DirectionIndicator - notify - price/longMA/ShortMA/prevDirection are 1.5161/1.51619544024797/1.51614626137837/-1</t>
  </si>
  <si>
    <t>2015-1-20 16:37:27.91: DirectionIndicator - notify - price/longMA/ShortMA/prevDirection are 1.51605/1.51616899656652/1.51611417425225/-1</t>
  </si>
  <si>
    <t>2015-1-20 16:37:29.163: TransitionLogger - flushFile - flushing file</t>
  </si>
  <si>
    <t>2015-1-20 16:37:29.164: TransitionLogger - openTransitionFile - opening file C:\temp\transitionlog_2015-01-20_153021</t>
  </si>
  <si>
    <t>2015-1-20 16:37:29.425: DirectionIndicator - notify - price/longMA/ShortMA/prevDirection are 1.5161/1.51615645173625/1.5161094495015/-1</t>
  </si>
  <si>
    <t>2015-1-20 16:37:29.507: DirectionIndicator - notify - price/longMA/ShortMA/prevDirection are 1.51615/1.51615527869329/1.51612296633433/-1</t>
  </si>
  <si>
    <t>2015-1-20 16:37:31.213: DirectionIndicator - notify - price/longMA/ShortMA/prevDirection are 1.5162/1.51616340983997/1.51614864422289/-1</t>
  </si>
  <si>
    <t>2015-1-20 16:37:31.267: DirectionIndicator - notify - price/longMA/ShortMA/prevDirection are 1.51625/1.51617915350543/1.51618242948193/-1</t>
  </si>
  <si>
    <t>2015-1-20 16:37:31.638: DirectionIndicator - notify - price/longMA/ShortMA/prevDirection are 1.5162/1.51618294377717/1.51618828632128/-1</t>
  </si>
  <si>
    <t>2015-1-20 16:37:31.888: DirectionIndicator - notify - price/longMA/ShortMA/prevDirection are 1.51615/1.5161769539995/1.51617552421419/-1</t>
  </si>
  <si>
    <t>2015-1-20 16:37:34.299: DirectionIndicator - notify - price/longMA/ShortMA/prevDirection are 1.5161/1.51616296236323/1.51615034947613/-1</t>
  </si>
  <si>
    <t>2015-1-20 16:37:34.931: DirectionIndicator - notify - price/longMA/ShortMA/prevDirection are 1.51615/1.51616060556991/1.51615023298408/-1</t>
  </si>
  <si>
    <t>2015-1-20 16:37:37.347: DirectionIndicator - notify - price/longMA/ShortMA/prevDirection are 1.5162/1.51616776819357/1.51616682198939/-1</t>
  </si>
  <si>
    <t>2015-1-20 16:37:37.421: DirectionIndicator - notify - price/longMA/ShortMA/prevDirection are 1.51625/1.5161827194311/1.51619454799293/-1</t>
  </si>
  <si>
    <t>2015-1-20 16:37:44.11: DirectionIndicator - notify - price/longMA/ShortMA/prevDirection are 1.5162/1.51618586135272/1.51619636532862/-1</t>
  </si>
  <si>
    <t>2015-1-20 16:37:44.58: DirectionIndicator - notify - price/longMA/ShortMA/prevDirection are 1.51615/1.51617934110677/1.51618091021908/-1</t>
  </si>
  <si>
    <t>2015-1-20 16:37:51.212: DirectionIndicator - notify - price/longMA/ShortMA/prevDirection are 1.5161/1.51616491545099/1.51615394014605/-1</t>
  </si>
  <si>
    <t>2015-1-20 16:37:59.995: DirectionIndicator - notify - price/longMA/ShortMA/prevDirection are 1.51615/1.51616220355081/1.51615262676403/-1</t>
  </si>
  <si>
    <t>2015-1-20 16:38:1.342: DirectionIndicator - notify - price/longMA/ShortMA/prevDirection are 1.5162/1.51616907563248/1.51616841784269/-1</t>
  </si>
  <si>
    <t>2015-1-20 16:38:1.761: DirectionIndicator - notify - price/longMA/ShortMA/prevDirection are 1.51625/1.51618378915385/1.51619561189513/-1</t>
  </si>
  <si>
    <t>2015-1-20 16:38:7.105: DirectionIndicator - notify - price/longMA/ShortMA/prevDirection are 1.5162/1.51618673658042/1.51619707459675/-1</t>
  </si>
  <si>
    <t>2015-1-20 16:38:8.4: TransitionLogger - flushFile - flushing file</t>
  </si>
  <si>
    <t>2015-1-20 16:38:8.4: TransitionLogger - openTransitionFile - opening file C:\temp\transitionlog_2015-01-20_153021</t>
  </si>
  <si>
    <t>2015-1-20 16:38:14.381: DirectionIndicator - notify - price/longMA/ShortMA/prevDirection are 1.51615/1.51618005720216/1.5161813830645/-1</t>
  </si>
  <si>
    <t>2015-1-20 16:38:14.436: DirectionIndicator - notify - price/longMA/ShortMA/prevDirection are 1.5161/1.51616550134722/1.51615425537633/-1</t>
  </si>
  <si>
    <t>2015-1-20 16:38:15.262: DirectionIndicator - notify - price/longMA/ShortMA/prevDirection are 1.51615/1.51616268292046/1.51615283691756/-1</t>
  </si>
  <si>
    <t>2015-1-20 16:38:16.437: DirectionIndicator - notify - price/longMA/ShortMA/prevDirection are 1.5162/1.51616946784401/1.51616855794504/-1</t>
  </si>
  <si>
    <t>2015-1-20 16:38:16.507: DirectionIndicator - notify - price/longMA/ShortMA/prevDirection are 1.51625/1.51618411005419/1.51619570529669/-1</t>
  </si>
  <si>
    <t>2015-1-20 16:38:22.142: Algorithm - FindNextStrikes - price is 1.51625 nextStrikeUp/Down 1.52/1.515</t>
  </si>
  <si>
    <t>2015-1-20 16:38:22.142: Algorithm - getPortfolioForwardDelta - required deltas is 100 currentHedgePosition is 100</t>
  </si>
  <si>
    <t>2015-1-20 16:38:22.143: Algorithm - getHedgeShortfall - required deltas is 100 price is 1.51615 currentHedgePositionDeltas is 100</t>
  </si>
  <si>
    <t>2015-1-20 16:38:22.144: Algorithm - processTransitionPoint - nextUpper/LowerStrikes are 1.52/1.515 requiredDeltas/currentPosition/currentHedgeShortfall/direction/transitionPrice are 100/100/0/-1/1.51615</t>
  </si>
  <si>
    <t>2015-1-20 16:38:22.144: TransitionLogger - processTransitionpoint - checking transition - currentHedgeShortfall is 0</t>
  </si>
  <si>
    <t>2015-1-20 16:38:22.145: Algorithm - updatePortfolio - haveAllDetails is True</t>
  </si>
  <si>
    <t>2015-1-20 16:38:22.146: RTWSControl - updatePortfolioEx - An Error Occured Object variable or With block variable not set</t>
  </si>
  <si>
    <t>2015-1-20 16:38:22.193: Algorithm - FindNextStrikes - price is 1.51625 nextStrikeUp/Down 1.52/1.515</t>
  </si>
  <si>
    <t>2015-1-20 16:38:22.194: Algorithm - getPortfolioForwardDelta - required deltas is 100 currentHedgePosition is 100</t>
  </si>
  <si>
    <t>2015-1-20 16:38:22.194: Algorithm - getHedgeShortfall - required deltas is 100 price is 1.51615 currentHedgePositionDeltas is 100</t>
  </si>
  <si>
    <t>2015-1-20 16:38:22.195: Algorithm - processTransitionPoint - nextUpper/LowerStrikes are 1.52/1.515 requiredDeltas/currentPosition/currentHedgeShortfall/direction/transitionPrice are 100/100/0/-1/1.51615</t>
  </si>
  <si>
    <t>2015-1-20 16:38:22.195: TransitionLogger - processTransitionpoint - checking transition - currentHedgeShortfall is 0</t>
  </si>
  <si>
    <t>2015-1-20 16:38:22.196: Algorithm - updatePortfolio - haveAllDetails is True</t>
  </si>
  <si>
    <t>2015-1-20 16:38:22.197: RTWSControl - updatePortfolioEx - An Error Occured Object variable or With block variable not set</t>
  </si>
  <si>
    <t>2015-1-20 16:38:22.266: Algorithm - FindNextStrikes - price is 1.51625 nextStrikeUp/Down 1.52/1.515</t>
  </si>
  <si>
    <t>2015-1-20 16:38:22.266: Algorithm - getPortfolioForwardDelta - required deltas is 100 currentHedgePosition is 100</t>
  </si>
  <si>
    <t>2015-1-20 16:38:22.267: Algorithm - getHedgeShortfall - required deltas is 100 price is 1.51615 currentHedgePositionDeltas is 100</t>
  </si>
  <si>
    <t>2015-1-20 16:38:22.267: Algorithm - processTransitionPoint - nextUpper/LowerStrikes are 1.52/1.515 requiredDeltas/currentPosition/currentHedgeShortfall/direction/transitionPrice are 100/100/0/-1/1.51615</t>
  </si>
  <si>
    <t>2015-1-20 16:38:22.268: TransitionLogger - processTransitionpoint - checking transition - currentHedgeShortfall is 0</t>
  </si>
  <si>
    <t>2015-1-20 16:38:22.269: Algorithm - updatePortfolio - haveAllDetails is True</t>
  </si>
  <si>
    <t>2015-1-20 16:38:22.270: RTWSControl - updatePortfolioEx - An Error Occured Object variable or With block variable not set</t>
  </si>
  <si>
    <t>2015-1-20 16:38:22.325: Algorithm - FindNextStrikes - price is 1.51625 nextStrikeUp/Down 1.52/1.515</t>
  </si>
  <si>
    <t>2015-1-20 16:38:22.325: Algorithm - getPortfolioForwardDelta - required deltas is 100 currentHedgePosition is 100</t>
  </si>
  <si>
    <t>2015-1-20 16:38:22.326: Algorithm - getHedgeShortfall - required deltas is 100 price is 1.51615 currentHedgePositionDeltas is 100</t>
  </si>
  <si>
    <t>2015-1-20 16:38:22.326: Algorithm - processTransitionPoint - nextUpper/LowerStrikes are 1.52/1.515 requiredDeltas/currentPosition/currentHedgeShortfall/direction/transitionPrice are 100/100/0/-1/1.51615</t>
  </si>
  <si>
    <t>2015-1-20 16:38:22.327: TransitionLogger - processTransitionpoint - checking transition - currentHedgeShortfall is 0</t>
  </si>
  <si>
    <t>2015-1-20 16:38:22.328: Algorithm - updatePortfolio - haveAllDetails is True</t>
  </si>
  <si>
    <t>2015-1-20 16:38:22.329: RTWSControl - updatePortfolioEx - An Error Occured Object variable or With block variable not set</t>
  </si>
  <si>
    <t>2015-1-20 16:38:22.588: DirectionIndicator - notify - price/longMA/ShortMA/prevDirection are 1.5162/1.51618699913525/1.51619713686446/-1</t>
  </si>
  <si>
    <t>2015-1-20 16:38:22.642: DirectionIndicator - notify - price/longMA/ShortMA/prevDirection are 1.51615/1.51618027201975/1.51618142457631/-1</t>
  </si>
  <si>
    <t>2015-1-20 16:38:22.986: DirectionIndicator - notify - price/longMA/ShortMA/prevDirection are 1.5162/1.51618385892525/1.5161876163842/-1</t>
  </si>
  <si>
    <t>2015-1-20 16:38:23.47: DirectionIndicator - notify - price/longMA/ShortMA/prevDirection are 1.51625/1.5161958845752/1.5162084109228/-1</t>
  </si>
  <si>
    <t>2015-1-20 16:38:23.199: DirectionIndicator - notify - price/longMA/ShortMA/prevDirection are 1.5162/1.51619663283426/1.51620560728187/-1</t>
  </si>
  <si>
    <t>2015-1-20 16:38:28.266: DirectionIndicator - notify - price/longMA/ShortMA/prevDirection are 1.51625/1.5162063359553/1.51622040485458/-1</t>
  </si>
  <si>
    <t>2015-1-20 16:38:29.419: TransitionLogger - flushFile - flushing file</t>
  </si>
  <si>
    <t>2015-1-20 16:38:29.421: TransitionLogger - openTransitionFile - opening file C:\temp\transitionlog_2015-01-20_153021</t>
  </si>
  <si>
    <t>2015-1-20 16:38:31.727: DirectionIndicator - notify - price/longMA/ShortMA/prevDirection are 1.5162/1.51620518396343/1.51621360323639/-1</t>
  </si>
  <si>
    <t>2015-1-20 16:38:31.800: DirectionIndicator - notify - price/longMA/ShortMA/prevDirection are 1.51615/1.51619515051553/1.51619240215759/-1</t>
  </si>
  <si>
    <t>2015-1-20 16:38:32.114: DirectionIndicator - notify - price/longMA/ShortMA/prevDirection are 1.5162/1.51619603223998/1.51619493477173/-1</t>
  </si>
  <si>
    <t>2015-1-20 16:38:37.952: DirectionIndicator - notify - price/longMA/ShortMA/prevDirection are 1.51615/1.5161876627418/1.51617995651448/-1</t>
  </si>
  <si>
    <t>2015-1-20 16:38:38.49: DirectionIndicator - notify - price/longMA/ShortMA/prevDirection are 1.51605/1.51616263315238/1.51613663767632/-1</t>
  </si>
  <si>
    <t>2015-1-20 16:38:38.939: DirectionIndicator - notify - price/longMA/ShortMA/prevDirection are 1.5161/1.5161512453065/1.51612442511755/-1</t>
  </si>
  <si>
    <t>2015-1-20 16:38:39.8: DirectionIndicator - notify - price/longMA/ShortMA/prevDirection are 1.51615/1.51615101888713/1.51613295007837/-1</t>
  </si>
  <si>
    <t>2015-1-20 16:38:39.507: DirectionIndicator - notify - price/longMA/ShortMA/prevDirection are 1.5161/1.51614174272584/1.51612196671891/-1</t>
  </si>
  <si>
    <t>2015-1-20 16:38:39.632: DirectionIndicator - notify - price/longMA/ShortMA/prevDirection are 1.51615/1.51614324404841/1.51613131114594/-1</t>
  </si>
  <si>
    <t>2015-1-20 16:38:41.962: DirectionIndicator - notify - price/longMA/ShortMA/prevDirection are 1.5161/1.51613538149415/1.51612087409729/-1</t>
  </si>
  <si>
    <t>2015-1-20 16:38:42.48: DirectionIndicator - notify - price/longMA/ShortMA/prevDirection are 1.51605/1.51611985758613/1.5160972493982/-1</t>
  </si>
  <si>
    <t>2015-1-20 16:38:42.470: DirectionIndicator - notify - price/longMA/ShortMA/prevDirection are 1.5161/1.51611624711592/1.51609816626546/-1</t>
  </si>
  <si>
    <t>2015-1-20 16:38:42.839: DirectionIndicator - notify - price/longMA/ShortMA/prevDirection are 1.51615/1.51612238400394/1.51611544417698/-1</t>
  </si>
  <si>
    <t>2015-1-20 16:38:55.13: DirectionIndicator - notify - price/longMA/ShortMA/prevDirection are 1.5161/1.51611831418504/1.51611029611798/-1</t>
  </si>
  <si>
    <t>2015-1-20 16:39:1.56: DirectionIndicator - notify - price/longMA/ShortMA/prevDirection are 1.51615/1.5161240752423/1.51612353074532/-1</t>
  </si>
  <si>
    <t>2015-1-20 16:39:2.419: DirectionIndicator - notify - price/longMA/ShortMA/prevDirection are 1.5161/1.51611969792552/1.51611568716355/-1</t>
  </si>
  <si>
    <t>2015-1-20 16:39:3.157: DirectionIndicator - notify - price/longMA/ShortMA/prevDirection are 1.51615/1.51612520739361/1.5161271247757/-1</t>
  </si>
  <si>
    <t>2015-1-20 16:39:8.387: TransitionLogger - flushFile - flushing file</t>
  </si>
  <si>
    <t>2015-1-20 16:39:8.388: TransitionLogger - openTransitionFile - opening file C:\temp\transitionlog_2015-01-20_153021</t>
  </si>
  <si>
    <t>2015-1-20 16:39:13.22: DirectionIndicator - notify - price/longMA/ShortMA/prevDirection are 1.5161/1.51612062423113/1.5161180831838/-1</t>
  </si>
  <si>
    <t>2015-1-20 16:39:13.589: DirectionIndicator - notify - price/longMA/ShortMA/prevDirection are 1.51615/1.51612596528002/1.51612872212253/-1</t>
  </si>
  <si>
    <t>2015-1-20 16:39:16.977: DirectionIndicator - notify - price/longMA/ShortMA/prevDirection are 1.5162/1.5161394261382/1.51615248141502/-1</t>
  </si>
  <si>
    <t>2015-1-20 16:39:17.52: DirectionIndicator - notify - price/longMA/ShortMA/prevDirection are 1.51625/1.51615953047671/1.51618498761001/-1</t>
  </si>
  <si>
    <t>2015-1-20 16:39:17.939: DirectionIndicator - notify - price/longMA/ShortMA/prevDirection are 1.5162/1.51616688857185/1.51618999174001/1</t>
  </si>
  <si>
    <t>2015-1-20 16:39:18.348: DirectionIndicator - notify - price/longMA/ShortMA/prevDirection are 1.51615/1.51616381792242/1.51617666116001/1</t>
  </si>
  <si>
    <t>2015-1-20 16:39:18.927: DirectionIndicator - notify - price/longMA/ShortMA/prevDirection are 1.5162/1.51617039648198/1.51618444077334/1</t>
  </si>
  <si>
    <t>2015-1-20 16:39:19.899: DirectionIndicator - notify - price/longMA/ShortMA/prevDirection are 1.51615/1.51616668803071/1.51617296051556/1</t>
  </si>
  <si>
    <t>2015-1-20 16:39:20.64: DirectionIndicator - notify - price/longMA/ShortMA/prevDirection are 1.5162/1.5161727447524/1.51618197367704/1</t>
  </si>
  <si>
    <t>2015-1-20 16:39:20.394: DirectionIndicator - notify - price/longMA/ShortMA/prevDirection are 1.51625/1.51618679116106/1.51620464911803/1</t>
  </si>
  <si>
    <t>2015-1-20 16:39:20.760: DirectionIndicator - notify - price/longMA/ShortMA/prevDirection are 1.5162/1.51618919276814/1.51620309941202/1</t>
  </si>
  <si>
    <t>2015-1-20 16:39:22.48: DirectionIndicator - notify - price/longMA/ShortMA/prevDirection are 1.51625/1.51620024862848/1.51621873294134/1</t>
  </si>
  <si>
    <t>2015-1-20 16:39:29.13: TransitionLogger - flushFile - flushing file</t>
  </si>
  <si>
    <t>2015-1-20 16:39:29.14: TransitionLogger - openTransitionFile - opening file C:\temp\transitionlog_2015-01-20_153021</t>
  </si>
  <si>
    <t>2015-1-20 16:39:50.141: DirectionIndicator - notify - price/longMA/ShortMA/prevDirection are 1.5162/1.5162002034233/1.51621248862756/1</t>
  </si>
  <si>
    <t>2015-1-20 16:39:50.787: DirectionIndicator - notify - price/longMA/ShortMA/prevDirection are 1.51615/1.51619107552815/1.51619165908504/1</t>
  </si>
  <si>
    <t>2015-1-20 16:39:52.141: DirectionIndicator - notify - price/longMA/ShortMA/prevDirection are 1.5162/1.5161926981594/1.51619443939003/1</t>
  </si>
  <si>
    <t>2015-1-20 16:39:52.302: DirectionIndicator - notify - price/longMA/ShortMA/prevDirection are 1.51625/1.51620311667587/1.51621295959335/1</t>
  </si>
  <si>
    <t>2015-1-20 16:39:52.517: DirectionIndicator - notify - price/longMA/ShortMA/prevDirection are 1.5162/1.51620255000753/1.5162086397289/1</t>
  </si>
  <si>
    <t>2015-1-20 16:39:52.648: DirectionIndicator - notify - price/longMA/ShortMA/prevDirection are 1.51615/1.51619299546071/1.5161890931526/1</t>
  </si>
  <si>
    <t>2015-1-20 16:39:52.937: DirectionIndicator - notify - price/longMA/ShortMA/prevDirection are 1.5162/1.51619426901331/1.5161927287684/1</t>
  </si>
  <si>
    <t>2015-1-20 16:39:53.52: DirectionIndicator - notify - price/longMA/ShortMA/prevDirection are 1.51615/1.5161862201018/1.5161784858456/1</t>
  </si>
  <si>
    <t>2015-1-20 16:39:53.262: DirectionIndicator - notify - price/longMA/ShortMA/prevDirection are 1.5162/1.51618872553783/1.5161856572304/1</t>
  </si>
  <si>
    <t>2015-1-20 16:39:53.418: DirectionIndicator - notify - price/longMA/ShortMA/prevDirection are 1.51615/1.51618168453095/1.51617377148693/1</t>
  </si>
  <si>
    <t>2015-1-20 16:39:57.303: DirectionIndicator - notify - price/longMA/ShortMA/prevDirection are 1.5162/1.51618501461624/1.51618251432462/1</t>
  </si>
  <si>
    <t>2015-1-20 16:39:58.522: DirectionIndicator - notify - price/longMA/ShortMA/prevDirection are 1.51615/1.51617864832237/1.51617167621642/1</t>
  </si>
  <si>
    <t>2015-1-20 16:39:59.739: DirectionIndicator - notify - price/longMA/ShortMA/prevDirection are 1.5162/1.51618253044558/1.51618111747761/1</t>
  </si>
  <si>
    <t>2015-1-20 16:40:8.292: TransitionLogger - flushFile - flushing file</t>
  </si>
  <si>
    <t>2015-1-20 16:40:8.294: TransitionLogger - openTransitionFile - opening file C:\temp\transitionlog_2015-01-20_153021</t>
  </si>
  <si>
    <t>2015-1-20 16:40:14.600: DirectionIndicator - notify - price/longMA/ShortMA/prevDirection are 1.51625/1.51619479763729/1.51620407831841/1</t>
  </si>
  <si>
    <t>2015-1-20 16:40:14.935: DirectionIndicator - notify - price/longMA/ShortMA/prevDirection are 1.5162/1.51619574352142/1.51620271887894/1</t>
  </si>
  <si>
    <t>2015-1-20 16:40:17.673: DirectionIndicator - notify - price/longMA/ShortMA/prevDirection are 1.51625/1.51620560833571/1.51621847925263/1</t>
  </si>
  <si>
    <t>2015-1-20 16:40:18.276: DirectionIndicator - notify - price/longMA/ShortMA/prevDirection are 1.5162/1.51620458863831/1.51621231950175/1</t>
  </si>
  <si>
    <t>2015-1-20 16:40:18.347: DirectionIndicator - notify - price/longMA/ShortMA/prevDirection are 1.51615/1.51619466343134/1.5161915463345/1</t>
  </si>
  <si>
    <t>2015-1-20 16:40:18.522: DirectionIndicator - notify - price/longMA/ShortMA/prevDirection are 1.5162/1.51619563371655/1.516194364223/1</t>
  </si>
  <si>
    <t>2015-1-20 16:40:19.534: DirectionIndicator - notify - price/longMA/ShortMA/prevDirection are 1.51625/1.51620551849536/1.516212909482/1</t>
  </si>
  <si>
    <t>2015-1-20 16:40:29.261: TransitionLogger - flushFile - flushing file</t>
  </si>
  <si>
    <t>2015-1-20 16:40:29.262: TransitionLogger - openTransitionFile - opening file C:\temp\transitionlog_2015-01-20_153021</t>
  </si>
  <si>
    <t>2015-1-20 16:40:49.252: DirectionIndicator - notify - price/longMA/ShortMA/prevDirection are 1.5162/1.51620451513257/1.51620860632133/1</t>
  </si>
  <si>
    <t>2015-1-20 16:40:49.348: DirectionIndicator - notify - price/longMA/ShortMA/prevDirection are 1.51615/1.51619460329028/1.51618907088089/1</t>
  </si>
  <si>
    <t>2015-1-20 16:40:50.58: DirectionIndicator - notify - price/longMA/ShortMA/prevDirection are 1.5162/1.51619558451023/1.51619271392059/1</t>
  </si>
  <si>
    <t>2015-1-20 16:40:55.190: DirectionIndicator - notify - price/longMA/ShortMA/prevDirection are 1.51615/1.51618729641746/1.51617847594706/1</t>
  </si>
  <si>
    <t>2015-1-20 16:40:56.308: DirectionIndicator - notify - price/longMA/ShortMA/prevDirection are 1.5162/1.51618960615974/1.51618565063137/1</t>
  </si>
  <si>
    <t>2015-1-20 16:40:59.280: DirectionIndicator - notify - price/longMA/ShortMA/prevDirection are 1.51615/1.51618240503979/1.51617376708758/1</t>
  </si>
  <si>
    <t>2015-1-20 16:41:0.278: DirectionIndicator - notify - price/longMA/ShortMA/prevDirection are 1.5162/1.51618560412346/1.51618251139172/1</t>
  </si>
  <si>
    <t>2015-1-20 16:41:6.915: DirectionIndicator - notify - price/longMA/ShortMA/prevDirection are 1.51615/1.51617913064647/1.51617167426115/1</t>
  </si>
  <si>
    <t>2015-1-20 16:41:8.154: TransitionLogger - flushFile - flushing file</t>
  </si>
  <si>
    <t>2015-1-20 16:41:8.155: TransitionLogger - openTransitionFile - opening file C:\temp\transitionlog_2015-01-20_153021</t>
  </si>
  <si>
    <t>2015-1-20 16:41:20.439: DirectionIndicator - notify - price/longMA/ShortMA/prevDirection are 1.5161/1.5161647432562/1.51614778284077/1</t>
  </si>
  <si>
    <t>2015-1-20 16:41:22.197: Algorithm - FindNextStrikes - price is 1.5161 nextStrikeUp/Down 1.52/1.515</t>
  </si>
  <si>
    <t>2015-1-20 16:41:22.197: Algorithm - getPortfolioForwardDelta - required deltas is 100 currentHedgePosition is 100</t>
  </si>
  <si>
    <t>2015-1-20 16:41:22.198: Algorithm - getHedgeShortfall - required deltas is 100 price is 1.5162 currentHedgePositionDeltas is 100</t>
  </si>
  <si>
    <t>2015-1-20 16:41:22.198: Algorithm - processTransitionPoint - nextUpper/LowerStrikes are 1.52/1.515 requiredDeltas/currentPosition/currentHedgeShortfall/direction/transitionPrice are 100/100/0/1/1.5162</t>
  </si>
  <si>
    <t>2015-1-20 16:41:22.199: TransitionLogger - processTransitionpoint - checking transition - currentHedgeShortfall is 0</t>
  </si>
  <si>
    <t>2015-1-20 16:41:22.200: Algorithm - updatePortfolio - haveAllDetails is True</t>
  </si>
  <si>
    <t>2015-1-20 16:41:22.201: RTWSControl - updatePortfolioEx - An Error Occured Object variable or With block variable not set</t>
  </si>
  <si>
    <t>2015-1-20 16:41:22.240: Algorithm - FindNextStrikes - price is 1.5161 nextStrikeUp/Down 1.52/1.515</t>
  </si>
  <si>
    <t>2015-1-20 16:41:22.241: Algorithm - getPortfolioForwardDelta - required deltas is 100 currentHedgePosition is 100</t>
  </si>
  <si>
    <t>2015-1-20 16:41:22.241: Algorithm - getHedgeShortfall - required deltas is 100 price is 1.5162 currentHedgePositionDeltas is 100</t>
  </si>
  <si>
    <t>2015-1-20 16:41:22.243: Algorithm - processTransitionPoint - nextUpper/LowerStrikes are 1.52/1.515 requiredDeltas/currentPosition/currentHedgeShortfall/direction/transitionPrice are 100/100/0/1/1.5162</t>
  </si>
  <si>
    <t>2015-1-20 16:41:22.243: TransitionLogger - processTransitionpoint - checking transition - currentHedgeShortfall is 0</t>
  </si>
  <si>
    <t>2015-1-20 16:41:22.244: Algorithm - updatePortfolio - haveAllDetails is True</t>
  </si>
  <si>
    <t>2015-1-20 16:41:22.245: RTWSControl - updatePortfolioEx - An Error Occured Object variable or With block variable not set</t>
  </si>
  <si>
    <t>2015-1-20 16:41:22.311: Algorithm - FindNextStrikes - price is 1.5161 nextStrikeUp/Down 1.52/1.515</t>
  </si>
  <si>
    <t>2015-1-20 16:41:22.311: Algorithm - getPortfolioForwardDelta - required deltas is 100 currentHedgePosition is 100</t>
  </si>
  <si>
    <t>2015-1-20 16:41:22.312: Algorithm - getHedgeShortfall - required deltas is 100 price is 1.5162 currentHedgePositionDeltas is 100</t>
  </si>
  <si>
    <t>2015-1-20 16:41:22.312: Algorithm - processTransitionPoint - nextUpper/LowerStrikes are 1.52/1.515 requiredDeltas/currentPosition/currentHedgeShortfall/direction/transitionPrice are 100/100/0/1/1.5162</t>
  </si>
  <si>
    <t>2015-1-20 16:41:22.313: TransitionLogger - processTransitionpoint - checking transition - currentHedgeShortfall is 0</t>
  </si>
  <si>
    <t>2015-1-20 16:41:22.313: Algorithm - updatePortfolio - haveAllDetails is True</t>
  </si>
  <si>
    <t>2015-1-20 16:41:22.315: RTWSControl - updatePortfolioEx - An Error Occured Object variable or With block variable not set</t>
  </si>
  <si>
    <t>2015-1-20 16:41:22.371: Algorithm - FindNextStrikes - price is 1.5161 nextStrikeUp/Down 1.52/1.515</t>
  </si>
  <si>
    <t>2015-1-20 16:41:22.371: Algorithm - getPortfolioForwardDelta - required deltas is 100 currentHedgePosition is 100</t>
  </si>
  <si>
    <t>2015-1-20 16:41:22.372: Algorithm - getHedgeShortfall - required deltas is 100 price is 1.5162 currentHedgePositionDeltas is 100</t>
  </si>
  <si>
    <t>2015-1-20 16:41:22.372: Algorithm - processTransitionPoint - nextUpper/LowerStrikes are 1.52/1.515 requiredDeltas/currentPosition/currentHedgeShortfall/direction/transitionPrice are 100/100/0/1/1.5162</t>
  </si>
  <si>
    <t>2015-1-20 16:41:22.373: TransitionLogger - processTransitionpoint - checking transition - currentHedgeShortfall is 0</t>
  </si>
  <si>
    <t>2015-1-20 16:41:22.374: Algorithm - updatePortfolio - haveAllDetails is True</t>
  </si>
  <si>
    <t>2015-1-20 16:41:22.375: RTWSControl - updatePortfolioEx - An Error Occured Object variable or With block variable not set</t>
  </si>
  <si>
    <t>2015-1-20 16:41:22.417: Algorithm - FindNextStrikes - price is 1.5161 nextStrikeUp/Down 1.52/1.515</t>
  </si>
  <si>
    <t>2015-1-20 16:41:22.417: Algorithm - getPortfolioForwardDelta - required deltas is 100 currentHedgePosition is 100</t>
  </si>
  <si>
    <t>2015-1-20 16:41:22.418: Algorithm - getHedgeShortfall - required deltas is 100 price is 1.5162 currentHedgePositionDeltas is 100</t>
  </si>
  <si>
    <t>2015-1-20 16:41:22.418: Algorithm - processTransitionPoint - nextUpper/LowerStrikes are 1.52/1.515 requiredDeltas/currentPosition/currentHedgeShortfall/direction/transitionPrice are 100/100/0/1/1.5162</t>
  </si>
  <si>
    <t>2015-1-20 16:41:22.419: TransitionLogger - processTransitionpoint - checking transition - currentHedgeShortfall is 0</t>
  </si>
  <si>
    <t>2015-1-20 16:41:22.420: Algorithm - updatePortfolio - haveAllDetails is True</t>
  </si>
  <si>
    <t>2015-1-20 16:41:22.421: RTWSControl - updatePortfolioEx - An Error Occured Object variable or With block variable not set</t>
  </si>
  <si>
    <t>2015-1-20 16:41:22.485: Algorithm - FindNextStrikes - price is 1.5161 nextStrikeUp/Down 1.52/1.515</t>
  </si>
  <si>
    <t>2015-1-20 16:41:22.486: Algorithm - getPortfolioForwardDelta - required deltas is 100 currentHedgePosition is 100</t>
  </si>
  <si>
    <t>2015-1-20 16:41:22.486: Algorithm - getHedgeShortfall - required deltas is 100 price is 1.5162 currentHedgePositionDeltas is 100</t>
  </si>
  <si>
    <t>2015-1-20 16:41:22.487: Algorithm - processTransitionPoint - nextUpper/LowerStrikes are 1.52/1.515 requiredDeltas/currentPosition/currentHedgeShortfall/direction/transitionPrice are 100/100/0/1/1.5162</t>
  </si>
  <si>
    <t>2015-1-20 16:41:22.487: TransitionLogger - processTransitionpoint - checking transition - currentHedgeShortfall is 0</t>
  </si>
  <si>
    <t>2015-1-20 16:41:22.488: Algorithm - updatePortfolio - haveAllDetails is True</t>
  </si>
  <si>
    <t>2015-1-20 16:41:22.489: RTWSControl - updatePortfolioEx - An Error Occured Object variable or With block variable not set</t>
  </si>
  <si>
    <t>2015-1-20 16:41:29.50: TransitionLogger - flushFile - flushing file</t>
  </si>
  <si>
    <t>2015-1-20 16:41:29.51: TransitionLogger - openTransitionFile - opening file C:\temp\transitionlog_2015-01-20_153021</t>
  </si>
  <si>
    <t>2015-1-20 16:41:41.190: DirectionIndicator - notify - price/longMA/ShortMA/prevDirection are 1.51615/1.51616206266417/1.51614852189384/1</t>
  </si>
  <si>
    <t>2015-1-20 16:41:44.198: DirectionIndicator - notify - price/longMA/ShortMA/prevDirection are 1.5162/1.51616896036159/1.51616568126256/1</t>
  </si>
  <si>
    <t>2015-1-20 16:41:51.657: DirectionIndicator - notify - price/longMA/ShortMA/prevDirection are 1.51615/1.51616551302312/1.51616045417504/1</t>
  </si>
  <si>
    <t>2015-1-20 16:42:3.607: DirectionIndicator - notify - price/longMA/ShortMA/prevDirection are 1.5162/1.51617178338255/1.51617363611669/1</t>
  </si>
  <si>
    <t>2015-1-20 16:42:8.50: TransitionLogger - flushFile - flushing file</t>
  </si>
  <si>
    <t>2015-1-20 16:42:8.51: TransitionLogger - openTransitionFile - opening file C:\temp\transitionlog_2015-01-20_153021</t>
  </si>
  <si>
    <t>2015-1-20 16:42:14.436: DirectionIndicator - notify - price/longMA/ShortMA/prevDirection are 1.51625/1.51618600458572/1.51619909074446/1</t>
  </si>
  <si>
    <t>2015-1-20 16:42:15.357: DirectionIndicator - notify - price/longMA/ShortMA/prevDirection are 1.5163/1.51620673102468/1.51623272716298/1</t>
  </si>
  <si>
    <t>2015-1-20 16:42:18.233: DirectionIndicator - notify - price/longMA/ShortMA/prevDirection are 1.51635/1.51623277992929/1.51627181810865/1</t>
  </si>
  <si>
    <t>2015-1-20 16:42:21.304: DirectionIndicator - notify - price/longMA/ShortMA/prevDirection are 1.5164/1.51626318357851/1.51631454540577/1</t>
  </si>
  <si>
    <t>2015-1-20 16:42:21.407: DirectionIndicator - notify - price/longMA/ShortMA/prevDirection are 1.51645/1.5162971502006/1.51635969693718/1</t>
  </si>
  <si>
    <t>2015-1-20 16:42:22.701: DirectionIndicator - notify - price/longMA/ShortMA/prevDirection are 1.5164/1.51631585016412/1.51637313129145/1</t>
  </si>
  <si>
    <t>2015-1-20 16:42:22.947: DirectionIndicator - notify - price/longMA/ShortMA/prevDirection are 1.51645/1.51634024104337/1.5163987541943/1</t>
  </si>
  <si>
    <t>2015-1-20 16:42:23.32: DirectionIndicator - notify - price/longMA/ShortMA/prevDirection are 1.5164/1.51635110630822/1.51639916946287/1</t>
  </si>
  <si>
    <t>2015-1-20 16:42:23.157: DirectionIndicator - notify - price/longMA/ShortMA/prevDirection are 1.51645/1.51636908697945/1.51641611297524/1</t>
  </si>
  <si>
    <t>2015-1-20 16:42:25.563: DirectionIndicator - notify - price/longMA/ShortMA/prevDirection are 1.5165/1.51639288934682/1.51644407531683/1</t>
  </si>
  <si>
    <t>2015-1-20 16:42:25.617: DirectionIndicator - notify - price/longMA/ShortMA/prevDirection are 1.51655/1.51642145492013/1.51647938354455/1</t>
  </si>
  <si>
    <t>2015-1-20 16:42:28.65: DirectionIndicator - notify - price/longMA/ShortMA/prevDirection are 1.5166/1.51645391766192/1.5165195890297/1</t>
  </si>
  <si>
    <t>2015-1-20 16:42:28.147: DirectionIndicator - notify - price/longMA/ShortMA/prevDirection are 1.51665/1.51648956899612/1.51656305935313/1</t>
  </si>
  <si>
    <t>2015-1-20 16:42:28.620: DirectionIndicator - notify - price/longMA/ShortMA/prevDirection are 1.5166/1.51650964736046/1.51657537290209/1</t>
  </si>
  <si>
    <t>2015-1-20 16:42:29.30: TransitionLogger - flushFile - flushing file</t>
  </si>
  <si>
    <t>2015-1-20 16:42:29.30: TransitionLogger - openTransitionFile - opening file C:\temp\transitionlog_2015-01-20_153021</t>
  </si>
  <si>
    <t>2015-1-20 16:42:29.315: DirectionIndicator - notify - price/longMA/ShortMA/prevDirection are 1.51655/1.51651698420401/1.51656691526806/1</t>
  </si>
  <si>
    <t>2015-1-20 16:42:37.375: DirectionIndicator - notify - price/longMA/ShortMA/prevDirection are 1.5165/1.51651389616692/1.51654461017871/1</t>
  </si>
  <si>
    <t>2015-1-20 16:42:37.735: DirectionIndicator - notify - price/longMA/ShortMA/prevDirection are 1.51645/1.51650227868203/1.51651307345247/1</t>
  </si>
  <si>
    <t>2015-1-20 16:42:39.193: DirectionIndicator - notify - price/longMA/ShortMA/prevDirection are 1.5165/1.5165018643762/1.51650871563498/1</t>
  </si>
  <si>
    <t>2015-1-20 16:42:39.824: DirectionIndicator - notify - price/longMA/ShortMA/prevDirection are 1.51655/1.5165106163078/1.51652247708999/1</t>
  </si>
  <si>
    <t>2015-1-20 16:42:40.109: DirectionIndicator - notify - price/longMA/ShortMA/prevDirection are 1.5165/1.51650868607002/1.51651498472666/1</t>
  </si>
  <si>
    <t>2015-1-20 16:42:46.272: DirectionIndicator - notify - price/longMA/ShortMA/prevDirection are 1.51655/1.51651619769365/1.51652665648444/1</t>
  </si>
  <si>
    <t>2015-1-20 16:42:56.364: DirectionIndicator - notify - price/longMA/ShortMA/prevDirection are 1.5166/1.51653143447662/1.51655110432296/1</t>
  </si>
  <si>
    <t>2015-1-20 16:42:59.625: DirectionIndicator - notify - price/longMA/ShortMA/prevDirection are 1.51655/1.51653481002633/1.51655073621531/1</t>
  </si>
  <si>
    <t>2015-1-20 16:43:1.985: DirectionIndicator - notify - price/longMA/ShortMA/prevDirection are 1.5165/1.51652848093063/1.51653382414354/1</t>
  </si>
  <si>
    <t>2015-1-20 16:43:2.65: DirectionIndicator - notify - price/longMA/ShortMA/prevDirection are 1.51645/1.51651421167052/1.51650588276236/1</t>
  </si>
  <si>
    <t>2015-1-20 16:43:8.7: TransitionLogger - flushFile - flushing file</t>
  </si>
  <si>
    <t>2015-1-20 16:43:8.9: TransitionLogger - openTransitionFile - opening file C:\temp\transitionlog_2015-01-20_153021</t>
  </si>
  <si>
    <t>2015-1-20 16:43:8.443: DirectionIndicator - notify - price/longMA/ShortMA/prevDirection are 1.5164/1.51649344591224/1.51647058850824/1</t>
  </si>
  <si>
    <t>2015-1-20 16:43:8.949: DirectionIndicator - notify - price/longMA/ShortMA/prevDirection are 1.51645/1.51648554665547/1.51646372567216/-1</t>
  </si>
  <si>
    <t>2015-1-20 16:43:12.328: DirectionIndicator - notify - price/longMA/ShortMA/prevDirection are 1.5165/1.51648817453629/1.51647581711477/-1</t>
  </si>
  <si>
    <t>2015-1-20 16:43:12.399: DirectionIndicator - notify - price/longMA/ShortMA/prevDirection are 1.51655/1.5164994155297/1.51650054474318/-1</t>
  </si>
  <si>
    <t>2015-1-20 16:43:14.102: DirectionIndicator - notify - price/longMA/ShortMA/prevDirection are 1.5165/1.51649952179702/1.51650036316212/-1</t>
  </si>
  <si>
    <t>2015-1-20 16:43:14.292: DirectionIndicator - notify - price/longMA/ShortMA/prevDirection are 1.51645/1.51649051783393/1.51648357544141/-1</t>
  </si>
  <si>
    <t>2015-1-20 16:43:15.440: DirectionIndicator - notify - price/longMA/ShortMA/prevDirection are 1.5164/1.51647406004594/1.51645571696094/-1</t>
  </si>
  <si>
    <t>2015-1-20 16:43:16.903: DirectionIndicator - notify - price/longMA/ShortMA/prevDirection are 1.51635/1.51645150367395/1.51642047797396/-1</t>
  </si>
  <si>
    <t>2015-1-20 16:43:24.909: DirectionIndicator - notify - price/longMA/ShortMA/prevDirection are 1.5164/1.5164421393696/1.51641365198264/-1</t>
  </si>
  <si>
    <t>2015-1-20 16:43:24.981: DirectionIndicator - notify - price/longMA/ShortMA/prevDirection are 1.51645/1.51644356857512/1.51642576798843/-1</t>
  </si>
  <si>
    <t>2015-1-20 16:43:29.432: TransitionLogger - flushFile - flushing file</t>
  </si>
  <si>
    <t>2015-1-20 16:43:29.434: TransitionLogger - openTransitionFile - opening file C:\temp\transitionlog_2015-01-20_153021</t>
  </si>
  <si>
    <t>2015-1-20 16:43:43.65: DirectionIndicator - notify - price/longMA/ShortMA/prevDirection are 1.5164/1.51643564701601/1.51641717865895/-1</t>
  </si>
  <si>
    <t>2015-1-20 16:43:43.148: DirectionIndicator - notify - price/longMA/ShortMA/prevDirection are 1.51635/1.51642007483128/1.51639478577263/-1</t>
  </si>
  <si>
    <t>2015-1-20 16:43:44.578: DirectionIndicator - notify - price/longMA/ShortMA/prevDirection are 1.5163/1.51639824304378/1.51636319051509/-1</t>
  </si>
  <si>
    <t>2015-1-20 16:43:44.651: DirectionIndicator - notify - price/longMA/ShortMA/prevDirection are 1.51625/1.51637128976309/1.51632546034339/-1</t>
  </si>
  <si>
    <t>2015-1-20 16:43:45.280: DirectionIndicator - notify - price/longMA/ShortMA/prevDirection are 1.5163/1.51635832798798/1.51631697356226/-1</t>
  </si>
  <si>
    <t>2015-1-20 16:43:45.781: DirectionIndicator - notify - price/longMA/ShortMA/prevDirection are 1.51635/1.51635681380835/1.51632798237484/-1</t>
  </si>
  <si>
    <t>2015-1-20 16:43:48.465: DirectionIndicator - notify - price/longMA/ShortMA/prevDirection are 1.5163/1.51634648402501/1.51631865491656/-1</t>
  </si>
  <si>
    <t>2015-1-20 16:43:53.845: DirectionIndicator - notify - price/longMA/ShortMA/prevDirection are 1.51625/1.51632894147501/1.51629576994437/-1</t>
  </si>
  <si>
    <t>2015-1-20 16:43:56.901: DirectionIndicator - notify - price/longMA/ShortMA/prevDirection are 1.5162/1.51630549757046/1.51626384662958/-1</t>
  </si>
  <si>
    <t>2015-1-20 16:43:57.239: DirectionIndicator - notify - price/longMA/ShortMA/prevDirection are 1.51625/1.51629540710311/1.51625923108639/-1</t>
  </si>
  <si>
    <t>2015-1-20 16:44:1.162: DirectionIndicator - notify - price/longMA/ShortMA/prevDirection are 1.5163/1.51629624217527/1.51627282072426/-1</t>
  </si>
  <si>
    <t>2015-1-20 16:44:3.660: DirectionIndicator - notify - price/longMA/ShortMA/prevDirection are 1.51625/1.51628783450704/1.51626521381617/-1</t>
  </si>
  <si>
    <t>2015-1-20 16:44:4.579: DirectionIndicator - notify - price/longMA/ShortMA/prevDirection are 1.5163/1.51629004641485/1.51627680921078/-1</t>
  </si>
  <si>
    <t>2015-1-20 16:44:4.869: DirectionIndicator - notify - price/longMA/ShortMA/prevDirection are 1.51625/1.51628276524851/1.51626787280719/-1</t>
  </si>
  <si>
    <t>2015-1-20 16:44:8.188: TransitionLogger - flushFile - flushing file</t>
  </si>
  <si>
    <t>2015-1-20 16:44:8.188: TransitionLogger - openTransitionFile - opening file C:\temp\transitionlog_2015-01-20_153021</t>
  </si>
  <si>
    <t>2015-1-20 16:44:10.346: DirectionIndicator - notify - price/longMA/ShortMA/prevDirection are 1.5162/1.51626771702151/1.51624524853813/-1</t>
  </si>
  <si>
    <t>2015-1-20 16:44:17.613: DirectionIndicator - notify - price/longMA/ShortMA/prevDirection are 1.51625/1.51626449574487/1.51624683235875/-1</t>
  </si>
  <si>
    <t>2015-1-20 16:44:22.368: Algorithm - FindNextStrikes - price is 1.51625 nextStrikeUp/Down 1.52/1.515</t>
  </si>
  <si>
    <t>2015-1-20 16:44:22.369: Algorithm - getPortfolioForwardDelta - required deltas is 100 currentHedgePosition is 100</t>
  </si>
  <si>
    <t>2015-1-20 16:44:22.369: Algorithm - getHedgeShortfall - required deltas is 100 price is 1.51615 currentHedgePositionDeltas is 100</t>
  </si>
  <si>
    <t>2015-1-20 16:44:22.370: Algorithm - processTransitionPoint - nextUpper/LowerStrikes are 1.52/1.515 requiredDeltas/currentPosition/currentHedgeShortfall/direction/transitionPrice are 100/100/0/-1/1.51615</t>
  </si>
  <si>
    <t>2015-1-20 16:44:22.370: TransitionLogger - processTransitionpoint - checking transition - currentHedgeShortfall is 0</t>
  </si>
  <si>
    <t>2015-1-20 16:44:22.371: Algorithm - updatePortfolio - haveAllDetails is True</t>
  </si>
  <si>
    <t>2015-1-20 16:44:22.372: RTWSControl - updatePortfolioEx - An Error Occured Object variable or With block variable not set</t>
  </si>
  <si>
    <t>2015-1-20 16:44:22.414: Algorithm - FindNextStrikes - price is 1.51625 nextStrikeUp/Down 1.52/1.515</t>
  </si>
  <si>
    <t>2015-1-20 16:44:22.414: Algorithm - getPortfolioForwardDelta - required deltas is 100 currentHedgePosition is 100</t>
  </si>
  <si>
    <t>2015-1-20 16:44:22.415: Algorithm - getHedgeShortfall - required deltas is 100 price is 1.51615 currentHedgePositionDeltas is 100</t>
  </si>
  <si>
    <t>2015-1-20 16:44:22.415: Algorithm - processTransitionPoint - nextUpper/LowerStrikes are 1.52/1.515 requiredDeltas/currentPosition/currentHedgeShortfall/direction/transitionPrice are 100/100/0/-1/1.51615</t>
  </si>
  <si>
    <t>2015-1-20 16:44:22.415: TransitionLogger - processTransitionpoint - checking transition - currentHedgeShortfall is 0</t>
  </si>
  <si>
    <t>2015-1-20 16:44:22.416: Algorithm - updatePortfolio - haveAllDetails is True</t>
  </si>
  <si>
    <t>2015-1-20 16:44:22.417: RTWSControl - updatePortfolioEx - An Error Occured Object variable or With block variable not set</t>
  </si>
  <si>
    <t>2015-1-20 16:44:22.462: Algorithm - FindNextStrikes - price is 1.51625 nextStrikeUp/Down 1.52/1.515</t>
  </si>
  <si>
    <t>2015-1-20 16:44:22.462: Algorithm - getPortfolioForwardDelta - required deltas is 100 currentHedgePosition is 100</t>
  </si>
  <si>
    <t>2015-1-20 16:44:22.463: Algorithm - getHedgeShortfall - required deltas is 100 price is 1.51615 currentHedgePositionDeltas is 100</t>
  </si>
  <si>
    <t>2015-1-20 16:44:22.463: Algorithm - processTransitionPoint - nextUpper/LowerStrikes are 1.52/1.515 requiredDeltas/currentPosition/currentHedgeShortfall/direction/transitionPrice are 100/100/0/-1/1.51615</t>
  </si>
  <si>
    <t>2015-1-20 16:44:22.464: TransitionLogger - processTransitionpoint - checking transition - currentHedgeShortfall is 0</t>
  </si>
  <si>
    <t>2015-1-20 16:44:22.464: Algorithm - updatePortfolio - haveAllDetails is True</t>
  </si>
  <si>
    <t>2015-1-20 16:44:22.466: RTWSControl - updatePortfolioEx - An Error Occured Object variable or With block variable not set</t>
  </si>
  <si>
    <t>2015-1-20 16:44:22.536: Algorithm - FindNextStrikes - price is 1.51625 nextStrikeUp/Down 1.52/1.515</t>
  </si>
  <si>
    <t>2015-1-20 16:44:22.536: Algorithm - getPortfolioForwardDelta - required deltas is 100 currentHedgePosition is 100</t>
  </si>
  <si>
    <t>2015-1-20 16:44:22.537: Algorithm - getHedgeShortfall - required deltas is 100 price is 1.51615 currentHedgePositionDeltas is 100</t>
  </si>
  <si>
    <t>2015-1-20 16:44:22.537: Algorithm - processTransitionPoint - nextUpper/LowerStrikes are 1.52/1.515 requiredDeltas/currentPosition/currentHedgeShortfall/direction/transitionPrice are 100/100/0/-1/1.51615</t>
  </si>
  <si>
    <t>2015-1-20 16:44:22.538: TransitionLogger - processTransitionpoint - checking transition - currentHedgeShortfall is 0</t>
  </si>
  <si>
    <t>2015-1-20 16:44:22.539: Algorithm - updatePortfolio - haveAllDetails is True</t>
  </si>
  <si>
    <t>2015-1-20 16:44:22.540: RTWSControl - updatePortfolioEx - An Error Occured Object variable or With block variable not set</t>
  </si>
  <si>
    <t>2015-1-20 16:44:22.595: Algorithm - FindNextStrikes - price is 1.51625 nextStrikeUp/Down 1.52/1.515</t>
  </si>
  <si>
    <t>2015-1-20 16:44:22.595: Algorithm - getPortfolioForwardDelta - required deltas is 100 currentHedgePosition is 100</t>
  </si>
  <si>
    <t>2015-1-20 16:44:22.596: Algorithm - getHedgeShortfall - required deltas is 100 price is 1.51615 currentHedgePositionDeltas is 100</t>
  </si>
  <si>
    <t>2015-1-20 16:44:22.596: Algorithm - processTransitionPoint - nextUpper/LowerStrikes are 1.52/1.515 requiredDeltas/currentPosition/currentHedgeShortfall/direction/transitionPrice are 100/100/0/-1/1.51615</t>
  </si>
  <si>
    <t>2015-1-20 16:44:22.597: TransitionLogger - processTransitionpoint - checking transition - currentHedgeShortfall is 0</t>
  </si>
  <si>
    <t>2015-1-20 16:44:22.598: Algorithm - updatePortfolio - haveAllDetails is True</t>
  </si>
  <si>
    <t>2015-1-20 16:44:22.599: RTWSControl - updatePortfolioEx - An Error Occured Object variable or With block variable not set</t>
  </si>
  <si>
    <t>2015-1-20 16:44:22.663: Algorithm - FindNextStrikes - price is 1.51625 nextStrikeUp/Down 1.52/1.515</t>
  </si>
  <si>
    <t>2015-1-20 16:44:22.663: Algorithm - getPortfolioForwardDelta - required deltas is 100 currentHedgePosition is 100</t>
  </si>
  <si>
    <t>2015-1-20 16:44:22.664: Algorithm - getHedgeShortfall - required deltas is 100 price is 1.51615 currentHedgePositionDeltas is 100</t>
  </si>
  <si>
    <t>2015-1-20 16:44:22.664: Algorithm - processTransitionPoint - nextUpper/LowerStrikes are 1.52/1.515 requiredDeltas/currentPosition/currentHedgeShortfall/direction/transitionPrice are 100/100/0/-1/1.51615</t>
  </si>
  <si>
    <t>2015-1-20 16:44:22.665: TransitionLogger - processTransitionpoint - checking transition - currentHedgeShortfall is 0</t>
  </si>
  <si>
    <t>2015-1-20 16:44:22.666: Algorithm - updatePortfolio - haveAllDetails is True</t>
  </si>
  <si>
    <t>2015-1-20 16:44:22.667: RTWSControl - updatePortfolioEx - An Error Occured Object variable or With block variable not set</t>
  </si>
  <si>
    <t>2015-1-20 16:44:29.137: TransitionLogger - flushFile - flushing file</t>
  </si>
  <si>
    <t>2015-1-20 16:44:29.138: TransitionLogger - openTransitionFile - opening file C:\temp\transitionlog_2015-01-20_153021</t>
  </si>
  <si>
    <t>2015-1-20 16:44:30.598: DirectionIndicator - notify - price/longMA/ShortMA/prevDirection are 1.5162/1.5162527692458/1.5162312215725/-1</t>
  </si>
  <si>
    <t>2015-1-20 16:44:42.283: DirectionIndicator - notify - price/longMA/ShortMA/prevDirection are 1.5163/1.51626135665566/1.516254147715/-1</t>
  </si>
  <si>
    <t>2015-1-20 16:44:42.364: DirectionIndicator - notify - price/longMA/ShortMA/prevDirection are 1.51635/1.51627747362736/1.51628609847667/-1</t>
  </si>
  <si>
    <t>2015-1-20 16:44:43.321: DirectionIndicator - notify - price/longMA/ShortMA/prevDirection are 1.5164/1.51629975114966/1.51632406565111/-1</t>
  </si>
  <si>
    <t>2015-1-20 16:44:43.374: DirectionIndicator - notify - price/longMA/ShortMA/prevDirection are 1.51645/1.51632706912245/1.51636604376741/1</t>
  </si>
  <si>
    <t>2015-1-20 16:44:43.664: DirectionIndicator - notify - price/longMA/ShortMA/prevDirection are 1.5164/1.516340329282/1.5163773625116/1</t>
  </si>
  <si>
    <t>2015-1-20 16:44:43.782: DirectionIndicator - notify - price/longMA/ShortMA/prevDirection are 1.51635/1.51634208759436/1.5163682416744/1</t>
  </si>
  <si>
    <t>2015-1-20 16:44:43.867: DirectionIndicator - notify - price/longMA/ShortMA/prevDirection are 1.5164/1.51635261712266/1.51637882778294/1</t>
  </si>
  <si>
    <t>2015-1-20 16:44:57.327: DirectionIndicator - notify - price/longMA/ShortMA/prevDirection are 1.51635/1.51635214128218/1.51636921852196/1</t>
  </si>
  <si>
    <t>2015-1-20 16:45:0.975: DirectionIndicator - notify - price/longMA/ShortMA/prevDirection are 1.5164/1.51636084286724/1.51637947901464/1</t>
  </si>
  <si>
    <t>2015-1-20 16:45:1.71: DirectionIndicator - notify - price/longMA/ShortMA/prevDirection are 1.51645/1.51637705325501/1.51640298600976/1</t>
  </si>
  <si>
    <t>2015-1-20 16:45:2.45: DirectionIndicator - notify - price/longMA/ShortMA/prevDirection are 1.5164/1.51638122539046/1.51640199067317/1</t>
  </si>
  <si>
    <t>2015-1-20 16:45:2.631: DirectionIndicator - notify - price/longMA/ShortMA/prevDirection are 1.51635/1.51637554804674/1.51638466044878/1</t>
  </si>
  <si>
    <t>2015-1-20 16:45:2.863: DirectionIndicator - notify - price/longMA/ShortMA/prevDirection are 1.5164/1.51637999385643/1.51638977363252/1</t>
  </si>
  <si>
    <t>2015-1-20 16:45:2.916: DirectionIndicator - notify - price/longMA/ShortMA/prevDirection are 1.51645/1.51639272224617/1.51640984908835/1</t>
  </si>
  <si>
    <t>2015-1-20 16:45:5.118: DirectionIndicator - notify - price/longMA/ShortMA/prevDirection are 1.5165/1.51641222729232/1.51643989939223/1</t>
  </si>
  <si>
    <t>2015-1-20 16:45:8.311: TransitionLogger - flushFile - flushing file</t>
  </si>
  <si>
    <t>2015-1-20 16:45:8.313: TransitionLogger - openTransitionFile - opening file C:\temp\transitionlog_2015-01-20_153021</t>
  </si>
  <si>
    <t>2015-1-20 16:45:10.65: DirectionIndicator - notify - price/longMA/ShortMA/prevDirection are 1.51655/1.51643727687553/1.51647659959482/1</t>
  </si>
  <si>
    <t>2015-1-20 16:45:11.879: DirectionIndicator - notify - price/longMA/ShortMA/prevDirection are 1.5165/1.51644868107998/1.51648439972988/1</t>
  </si>
  <si>
    <t>2015-1-20 16:45:15.468: DirectionIndicator - notify - price/longMA/ShortMA/prevDirection are 1.51655/1.5164671027018/1.51650626648659/1</t>
  </si>
  <si>
    <t>2015-1-20 16:45:15.676: DirectionIndicator - notify - price/longMA/ShortMA/prevDirection are 1.5165/1.51647308402875/1.51650417765772/1</t>
  </si>
  <si>
    <t>2015-1-20 16:45:18.377: DirectionIndicator - notify - price/longMA/ShortMA/prevDirection are 1.51655/1.51648706875079/1.51651945177182/1</t>
  </si>
  <si>
    <t>2015-1-20 16:45:27.913: DirectionIndicator - notify - price/longMA/ShortMA/prevDirection are 1.5165/1.51648941988701/1.51651296784788/1</t>
  </si>
  <si>
    <t>2015-1-20 16:45:29.1: TransitionLogger - flushFile - flushing file</t>
  </si>
  <si>
    <t>2015-1-20 16:45:29.1: TransitionLogger - openTransitionFile - opening file C:\temp\transitionlog_2015-01-20_153021</t>
  </si>
  <si>
    <t>2015-1-20 16:45:30.833: DirectionIndicator - notify - price/longMA/ShortMA/prevDirection are 1.51655/1.51650043445301/1.51652531189859/1</t>
  </si>
  <si>
    <t>2015-1-20 16:45:32.853: DirectionIndicator - notify - price/longMA/ShortMA/prevDirection are 1.5165/1.51650035546155/1.51651687459906/1</t>
  </si>
  <si>
    <t>2015-1-20 16:45:39.245: DirectionIndicator - notify - price/longMA/ShortMA/prevDirection are 1.51645/1.51649119992309/1.51649458306604/1</t>
  </si>
  <si>
    <t>2015-1-20 16:45:41.39: DirectionIndicator - notify - price/longMA/ShortMA/prevDirection are 1.5165/1.51649279993707/1.51649638871069/1</t>
  </si>
  <si>
    <t>2015-1-20 16:45:44.851: DirectionIndicator - notify - price/longMA/ShortMA/prevDirection are 1.51645/1.51648501813033/1.51648092580713/1</t>
  </si>
  <si>
    <t>2015-1-20 16:45:45.116: DirectionIndicator - notify - price/longMA/ShortMA/prevDirection are 1.5165/1.51648774210664/1.51648728387142/1</t>
  </si>
  <si>
    <t>2015-1-20 16:45:45.486: DirectionIndicator - notify - price/longMA/ShortMA/prevDirection are 1.51655/1.51649906172361/1.51650818924761/1</t>
  </si>
  <si>
    <t>2015-1-20 16:46:8.385: TransitionLogger - flushFile - flushing file</t>
  </si>
  <si>
    <t>2015-1-20 16:46:8.386: TransitionLogger - openTransitionFile - opening file C:\temp\transitionlog_2015-01-20_153021</t>
  </si>
  <si>
    <t>2015-1-20 16:46:15.456: DirectionIndicator - notify - price/longMA/ShortMA/prevDirection are 1.5165/1.51649923231932/1.51650545949841/1</t>
  </si>
  <si>
    <t>2015-1-20 16:46:15.505: DirectionIndicator - notify - price/longMA/ShortMA/prevDirection are 1.51645/1.51649028098853/1.51648697299894/1</t>
  </si>
  <si>
    <t>2015-1-20 16:46:16.534: DirectionIndicator - notify - price/longMA/ShortMA/prevDirection are 1.5164/1.51647386626335/1.51645798199929/1</t>
  </si>
  <si>
    <t>2015-1-20 16:46:17.464: DirectionIndicator - notify - price/longMA/ShortMA/prevDirection are 1.51645/1.51646952694274/1.51645532133286/1</t>
  </si>
  <si>
    <t>2015-1-20 16:46:18.217: DirectionIndicator - notify - price/longMA/ShortMA/prevDirection are 1.5164/1.51645688568042/1.51643688088857/1</t>
  </si>
  <si>
    <t>2015-1-20 16:46:20.275: DirectionIndicator - notify - price/longMA/ShortMA/prevDirection are 1.51645/1.51645563373853/1.51644125392572/-1</t>
  </si>
  <si>
    <t>2015-1-20 16:46:21.377: DirectionIndicator - notify - price/longMA/ShortMA/prevDirection are 1.5164/1.51644551851334/1.51642750261714/-1</t>
  </si>
  <si>
    <t>2015-1-20 16:46:21.450: DirectionIndicator - notify - price/longMA/ShortMA/prevDirection are 1.51635/1.51642815151091/1.51640166841143/-1</t>
  </si>
  <si>
    <t>2015-1-20 16:46:29.34: DirectionIndicator - notify - price/longMA/ShortMA/prevDirection are 1.5164/1.51642303305438/1.51640111227429/-1</t>
  </si>
  <si>
    <t>2015-1-20 16:46:29.49: TransitionLogger - flushFile - flushing file</t>
  </si>
  <si>
    <t>2015-1-20 16:46:29.50: TransitionLogger - openTransitionFile - opening file C:\temp\transitionlog_2015-01-20_153021</t>
  </si>
  <si>
    <t>2015-1-20 16:46:29.178: DirectionIndicator - notify - price/longMA/ShortMA/prevDirection are 1.51645/1.51642793613541/1.51641740818286/-1</t>
  </si>
  <si>
    <t>2015-1-20 16:46:29.586: DirectionIndicator - notify - price/longMA/ShortMA/prevDirection are 1.5164/1.51642285683806/1.51641160545524/-1</t>
  </si>
  <si>
    <t>2015-1-20 16:46:30.16: DirectionIndicator - notify - price/longMA/ShortMA/prevDirection are 1.51645/1.51642779195841/1.51642440363683/-1</t>
  </si>
  <si>
    <t>2015-1-20 16:46:32.791: DirectionIndicator - notify - price/longMA/ShortMA/prevDirection are 1.5164/1.51642273887506/1.51641626909122/-1</t>
  </si>
  <si>
    <t>2015-1-20 16:46:33.85: DirectionIndicator - notify - price/longMA/ShortMA/prevDirection are 1.51645/1.51642769544323/1.51642751272748/-1</t>
  </si>
  <si>
    <t>2015-1-20 16:46:42.508: DirectionIndicator - notify - price/longMA/ShortMA/prevDirection are 1.5164/1.5164226599081/1.51641834181832/-1</t>
  </si>
  <si>
    <t>2015-1-20 16:46:44.251: DirectionIndicator - notify - price/longMA/ShortMA/prevDirection are 1.51645/1.5164276308339/1.51642889454555/-1</t>
  </si>
  <si>
    <t>2015-1-20 16:46:50.290: DirectionIndicator - notify - price/longMA/ShortMA/prevDirection are 1.5164/1.51642260704592/1.51641926303036/-1</t>
  </si>
  <si>
    <t>2015-1-20 16:47:5.212: DirectionIndicator - notify - price/longMA/ShortMA/prevDirection are 1.51645/1.51642758758302/1.51642950868691/-1</t>
  </si>
  <si>
    <t>2015-1-20 16:47:7.632: DirectionIndicator - notify - price/longMA/ShortMA/prevDirection are 1.5164/1.51642257165884/1.51641967245794/-1</t>
  </si>
  <si>
    <t>2015-1-20 16:47:7.918: DirectionIndicator - notify - price/longMA/ShortMA/prevDirection are 1.51645/1.51642755862996/1.51642978163863/-1</t>
  </si>
  <si>
    <t>2015-1-20 16:47:8.84: TransitionLogger - flushFile - flushing file</t>
  </si>
  <si>
    <t>2015-1-20 16:47:8.85: TransitionLogger - openTransitionFile - opening file C:\temp\transitionlog_2015-01-20_153021</t>
  </si>
  <si>
    <t>2015-1-20 16:47:9.234: DirectionIndicator - notify - price/longMA/ShortMA/prevDirection are 1.5164/1.51642254796997/1.51641985442575/-1</t>
  </si>
  <si>
    <t>2015-1-20 16:47:9.443: DirectionIndicator - notify - price/longMA/ShortMA/prevDirection are 1.51645/1.51642753924815/1.5164299029505/-1</t>
  </si>
  <si>
    <t>2015-1-20 16:47:9.827: DirectionIndicator - notify - price/longMA/ShortMA/prevDirection are 1.5164/1.51642253211213/1.51641993530033/-1</t>
  </si>
  <si>
    <t>2015-1-20 16:47:10.208: DirectionIndicator - notify - price/longMA/ShortMA/prevDirection are 1.51645/1.51642752627356/1.51642995686689/-1</t>
  </si>
  <si>
    <t>2015-1-20 16:47:10.525: DirectionIndicator - notify - price/longMA/ShortMA/prevDirection are 1.5164/1.51642252149655/1.51641997124459/-1</t>
  </si>
  <si>
    <t>2015-1-20 16:47:10.663: DirectionIndicator - notify - price/longMA/ShortMA/prevDirection are 1.51635/1.5164093357699/1.5163966474964/-1</t>
  </si>
  <si>
    <t>2015-1-20 16:47:10.834: DirectionIndicator - notify - price/longMA/ShortMA/prevDirection are 1.5164/1.51640763835719/1.5163977649976/-1</t>
  </si>
  <si>
    <t>2015-1-20 16:47:22.42: Algorithm - FindNextStrikes - price is 1.5164 nextStrikeUp/Down 1.52/1.515</t>
  </si>
  <si>
    <t>2015-1-20 16:47:22.42: Algorithm - getPortfolioForwardDelta - required deltas is 100 currentHedgePosition is 100</t>
  </si>
  <si>
    <t>2015-1-20 16:47:22.43: Algorithm - getHedgeShortfall - required deltas is 100 price is 1.5163 currentHedgePositionDeltas is 100</t>
  </si>
  <si>
    <t>2015-1-20 16:47:22.44: Algorithm - processTransitionPoint - nextUpper/LowerStrikes are 1.52/1.515 requiredDeltas/currentPosition/currentHedgeShortfall/direction/transitionPrice are 100/100/0/-1/1.5163</t>
  </si>
  <si>
    <t>2015-1-20 16:47:22.44: TransitionLogger - processTransitionpoint - checking transition - currentHedgeShortfall is 0</t>
  </si>
  <si>
    <t>2015-1-20 16:47:22.45: Algorithm - updatePortfolio - haveAllDetails is True</t>
  </si>
  <si>
    <t>2015-1-20 16:47:22.46: RTWSControl - updatePortfolioEx - An Error Occured Object variable or With block variable not set</t>
  </si>
  <si>
    <t>2015-1-20 16:47:22.84: Algorithm - FindNextStrikes - price is 1.5164 nextStrikeUp/Down 1.52/1.515</t>
  </si>
  <si>
    <t>2015-1-20 16:47:22.84: Algorithm - getPortfolioForwardDelta - required deltas is 100 currentHedgePosition is 100</t>
  </si>
  <si>
    <t>2015-1-20 16:47:22.85: Algorithm - getHedgeShortfall - required deltas is 100 price is 1.5163 currentHedgePositionDeltas is 100</t>
  </si>
  <si>
    <t>2015-1-20 16:47:22.85: Algorithm - processTransitionPoint - nextUpper/LowerStrikes are 1.52/1.515 requiredDeltas/currentPosition/currentHedgeShortfall/direction/transitionPrice are 100/100/0/-1/1.5163</t>
  </si>
  <si>
    <t>2015-1-20 16:47:22.86: TransitionLogger - processTransitionpoint - checking transition - currentHedgeShortfall is 0</t>
  </si>
  <si>
    <t>2015-1-20 16:47:22.87: Algorithm - updatePortfolio - haveAllDetails is True</t>
  </si>
  <si>
    <t>2015-1-20 16:47:22.88: RTWSControl - updatePortfolioEx - An Error Occured Object variable or With block variable not set</t>
  </si>
  <si>
    <t>2015-1-20 16:47:22.134: Algorithm - FindNextStrikes - price is 1.5164 nextStrikeUp/Down 1.52/1.515</t>
  </si>
  <si>
    <t>2015-1-20 16:47:22.134: Algorithm - getPortfolioForwardDelta - required deltas is 100 currentHedgePosition is 100</t>
  </si>
  <si>
    <t>2015-1-20 16:47:22.135: Algorithm - getHedgeShortfall - required deltas is 100 price is 1.5163 currentHedgePositionDeltas is 100</t>
  </si>
  <si>
    <t>2015-1-20 16:47:22.135: Algorithm - processTransitionPoint - nextUpper/LowerStrikes are 1.52/1.515 requiredDeltas/currentPosition/currentHedgeShortfall/direction/transitionPrice are 100/100/0/-1/1.5163</t>
  </si>
  <si>
    <t>2015-1-20 16:47:22.136: TransitionLogger - processTransitionpoint - checking transition - currentHedgeShortfall is 0</t>
  </si>
  <si>
    <t>2015-1-20 16:47:22.136: Algorithm - updatePortfolio - haveAllDetails is True</t>
  </si>
  <si>
    <t>2015-1-20 16:47:22.138: RTWSControl - updatePortfolioEx - An Error Occured Object variable or With block variable not set</t>
  </si>
  <si>
    <t>2015-1-20 16:47:22.188: Algorithm - FindNextStrikes - price is 1.5164 nextStrikeUp/Down 1.52/1.515</t>
  </si>
  <si>
    <t>2015-1-20 16:47:22.189: Algorithm - getPortfolioForwardDelta - required deltas is 100 currentHedgePosition is 100</t>
  </si>
  <si>
    <t>2015-1-20 16:47:22.189: Algorithm - getHedgeShortfall - required deltas is 100 price is 1.5163 currentHedgePositionDeltas is 100</t>
  </si>
  <si>
    <t>2015-1-20 16:47:22.189: Algorithm - processTransitionPoint - nextUpper/LowerStrikes are 1.52/1.515 requiredDeltas/currentPosition/currentHedgeShortfall/direction/transitionPrice are 100/100/0/-1/1.5163</t>
  </si>
  <si>
    <t>2015-1-20 16:47:22.190: TransitionLogger - processTransitionpoint - checking transition - currentHedgeShortfall is 0</t>
  </si>
  <si>
    <t>2015-1-20 16:47:22.191: Algorithm - updatePortfolio - haveAllDetails is True</t>
  </si>
  <si>
    <t>2015-1-20 16:47:22.192: RTWSControl - updatePortfolioEx - An Error Occured Object variable or With block variable not set</t>
  </si>
  <si>
    <t>2015-1-20 16:47:22.255: Algorithm - FindNextStrikes - price is 1.5164 nextStrikeUp/Down 1.52/1.515</t>
  </si>
  <si>
    <t>2015-1-20 16:47:22.255: Algorithm - getPortfolioForwardDelta - required deltas is 100 currentHedgePosition is 100</t>
  </si>
  <si>
    <t>2015-1-20 16:47:22.256: Algorithm - getHedgeShortfall - required deltas is 100 price is 1.5163 currentHedgePositionDeltas is 100</t>
  </si>
  <si>
    <t>2015-1-20 16:47:22.256: Algorithm - processTransitionPoint - nextUpper/LowerStrikes are 1.52/1.515 requiredDeltas/currentPosition/currentHedgeShortfall/direction/transitionPrice are 100/100/0/-1/1.5163</t>
  </si>
  <si>
    <t>2015-1-20 16:47:22.256: TransitionLogger - processTransitionpoint - checking transition - currentHedgeShortfall is 0</t>
  </si>
  <si>
    <t>2015-1-20 16:47:22.257: Algorithm - updatePortfolio - haveAllDetails is True</t>
  </si>
  <si>
    <t>2015-1-20 16:47:22.258: RTWSControl - updatePortfolioEx - An Error Occured Object variable or With block variable not set</t>
  </si>
  <si>
    <t>2015-1-20 16:47:22.322: Algorithm - FindNextStrikes - price is 1.5164 nextStrikeUp/Down 1.52/1.515</t>
  </si>
  <si>
    <t>2015-1-20 16:47:22.322: Algorithm - getPortfolioForwardDelta - required deltas is 100 currentHedgePosition is 100</t>
  </si>
  <si>
    <t>2015-1-20 16:47:22.323: Algorithm - getHedgeShortfall - required deltas is 100 price is 1.5163 currentHedgePositionDeltas is 100</t>
  </si>
  <si>
    <t>2015-1-20 16:47:22.324: Algorithm - processTransitionPoint - nextUpper/LowerStrikes are 1.52/1.515 requiredDeltas/currentPosition/currentHedgeShortfall/direction/transitionPrice are 100/100/0/-1/1.5163</t>
  </si>
  <si>
    <t>2015-1-20 16:47:22.324: TransitionLogger - processTransitionpoint - checking transition - currentHedgeShortfall is 0</t>
  </si>
  <si>
    <t>2015-1-20 16:47:22.325: Algorithm - updatePortfolio - haveAllDetails is True</t>
  </si>
  <si>
    <t>2015-1-20 16:47:22.326: RTWSControl - updatePortfolioEx - An Error Occured Object variable or With block variable not set</t>
  </si>
  <si>
    <t>2015-1-20 16:47:26.952: DirectionIndicator - notify - price/longMA/ShortMA/prevDirection are 1.51645/1.51641534047407/1.51641517666506/-1</t>
  </si>
  <si>
    <t>2015-1-20 16:47:29.458: TransitionLogger - flushFile - flushing file</t>
  </si>
  <si>
    <t>2015-1-20 16:47:29.460: TransitionLogger - openTransitionFile - opening file C:\temp\transitionlog_2015-01-20_153021</t>
  </si>
  <si>
    <t>2015-1-20 16:47:31.872: DirectionIndicator - notify - price/longMA/ShortMA/prevDirection are 1.5164/1.51641255129696/1.51641011777671/-1</t>
  </si>
  <si>
    <t>2015-1-20 16:47:33.489: DirectionIndicator - notify - price/longMA/ShortMA/prevDirection are 1.51635/1.51640117833388/1.51639007851781/-1</t>
  </si>
  <si>
    <t>2015-1-20 16:47:35.878: DirectionIndicator - notify - price/longMA/ShortMA/prevDirection are 1.5163/1.51638278227317/1.5163600523452/-1</t>
  </si>
  <si>
    <t>2015-1-20 16:47:37.307: DirectionIndicator - notify - price/longMA/ShortMA/prevDirection are 1.51635/1.51637682185987/1.51635670156347/-1</t>
  </si>
  <si>
    <t>2015-1-20 16:47:37.630: DirectionIndicator - notify - price/longMA/ShortMA/prevDirection are 1.5163/1.51636285424898/1.51633780104231/-1</t>
  </si>
  <si>
    <t>2015-1-20 16:47:39.691: DirectionIndicator - notify - price/longMA/ShortMA/prevDirection are 1.51625/1.51634233529462/1.51630853402821/-1</t>
  </si>
  <si>
    <t>2015-1-20 16:47:42.511: DirectionIndicator - notify - price/longMA/ShortMA/prevDirection are 1.5162/1.51631645615015/1.51627235601881/-1</t>
  </si>
  <si>
    <t>2015-1-20 16:47:42.961: DirectionIndicator - notify - price/longMA/ShortMA/prevDirection are 1.51615/1.51628619139557/1.5162315706792/-1</t>
  </si>
  <si>
    <t>2015-1-20 16:47:43.101: DirectionIndicator - notify - price/longMA/ShortMA/prevDirection are 1.5162/1.51627052023274/1.51622104711947/-1</t>
  </si>
  <si>
    <t>2015-1-20 16:47:44.12: DirectionIndicator - notify - price/longMA/ShortMA/prevDirection are 1.51625/1.51626678928134/1.51623069807965/-1</t>
  </si>
  <si>
    <t>2015-1-20 16:47:47.206: DirectionIndicator - notify - price/longMA/ShortMA/prevDirection are 1.5163/1.51627282759382/1.51625379871976/-1</t>
  </si>
  <si>
    <t>2015-1-20 16:47:47.259: DirectionIndicator - notify - price/longMA/ShortMA/prevDirection are 1.51635/1.5162868589404/1.51628586581318/-1</t>
  </si>
  <si>
    <t>2015-1-20 16:47:48.664: DirectionIndicator - notify - price/longMA/ShortMA/prevDirection are 1.5164/1.51630743004214/1.51632391054212/-1</t>
  </si>
  <si>
    <t>2015-1-20 16:47:48.717: DirectionIndicator - notify - price/longMA/ShortMA/prevDirection are 1.51645/1.51633335185266/1.51636594036141/-1</t>
  </si>
  <si>
    <t>2015-1-20 16:47:48.923: DirectionIndicator - notify - price/longMA/ShortMA/prevDirection are 1.5164/1.51634546969763/1.51637729357427/1</t>
  </si>
  <si>
    <t>2015-1-20 16:47:49.257: DirectionIndicator - notify - price/longMA/ShortMA/prevDirection are 1.51635/1.51634629338897/1.51636819571618/1</t>
  </si>
  <si>
    <t>2015-1-20 16:47:51.125: DirectionIndicator - notify - price/longMA/ShortMA/prevDirection are 1.5163/1.51633787640916/1.51634546381079/1</t>
  </si>
  <si>
    <t>2015-1-20 16:47:51.828: DirectionIndicator - notify - price/longMA/ShortMA/prevDirection are 1.51635/1.5163400806984/1.51634697587386/1</t>
  </si>
  <si>
    <t>2015-1-20 16:47:52.826: DirectionIndicator - notify - price/longMA/ShortMA/prevDirection are 1.5163/1.51633279329869/1.51633131724924/1</t>
  </si>
  <si>
    <t>2015-1-20 16:47:53.342: DirectionIndicator - notify - price/longMA/ShortMA/prevDirection are 1.51635/1.51633592178984/1.51633754483283/1</t>
  </si>
  <si>
    <t>2015-1-20 16:48:8.101: TransitionLogger - flushFile - flushing file</t>
  </si>
  <si>
    <t>2015-1-20 16:48:8.102: TransitionLogger - openTransitionFile - opening file C:\temp\transitionlog_2015-01-20_153021</t>
  </si>
  <si>
    <t>2015-1-20 16:48:29.247: TransitionLogger - flushFile - flushing file</t>
  </si>
  <si>
    <t>2015-1-20 16:48:29.248: TransitionLogger - openTransitionFile - opening file C:\temp\transitionlog_2015-01-20_153021</t>
  </si>
  <si>
    <t>2015-1-20 16:48:32.853: DirectionIndicator - notify - price/longMA/ShortMA/prevDirection are 1.5163/1.51632939055532/1.51632502988855/1</t>
  </si>
  <si>
    <t>2015-1-20 16:48:32.918: DirectionIndicator - notify - price/longMA/ShortMA/prevDirection are 1.51625/1.5163149559089/1.5163000199257/1</t>
  </si>
  <si>
    <t>2015-1-20 16:48:34.532: DirectionIndicator - notify - price/longMA/ShortMA/prevDirection are 1.5163/1.51631223665274/1.5163000132838/1</t>
  </si>
  <si>
    <t>2015-1-20 16:48:34.632: DirectionIndicator - notify - price/longMA/ShortMA/prevDirection are 1.51635/1.51631910271588/1.51631667552253/1</t>
  </si>
  <si>
    <t>2015-1-20 16:48:35.306: DirectionIndicator - notify - price/longMA/ShortMA/prevDirection are 1.5163/1.51631562949481/1.51631111701502/1</t>
  </si>
  <si>
    <t>2015-1-20 16:48:36.815: DirectionIndicator - notify - price/longMA/ShortMA/prevDirection are 1.51635/1.51632187867757/1.51632407801002/1</t>
  </si>
  <si>
    <t>2015-1-20 16:49:5.841: DirectionIndicator - notify - price/longMA/ShortMA/prevDirection are 1.5163/1.51631790073619/1.51631605200668/1</t>
  </si>
  <si>
    <t>2015-1-20 16:49:5.899: DirectionIndicator - notify - price/longMA/ShortMA/prevDirection are 1.51625/1.51630555514779/1.51629403467112/1</t>
  </si>
  <si>
    <t>2015-1-20 16:49:8.94: TransitionLogger - flushFile - flushing file</t>
  </si>
  <si>
    <t>2015-1-20 16:49:8.96: TransitionLogger - openTransitionFile - opening file C:\temp\transitionlog_2015-01-20_153021</t>
  </si>
  <si>
    <t>2015-1-20 16:49:18.800: DirectionIndicator - notify - price/longMA/ShortMA/prevDirection are 1.5162/1.51628636330274/1.51626268978075/1</t>
  </si>
  <si>
    <t>2015-1-20 16:49:18.879: DirectionIndicator - notify - price/longMA/ShortMA/prevDirection are 1.51615/1.51626156997497/1.5162251265205/-1</t>
  </si>
  <si>
    <t>2015-1-20 16:49:19.757: DirectionIndicator - notify - price/longMA/ShortMA/prevDirection are 1.5161/1.51623219361588/1.51618341768033/-1</t>
  </si>
  <si>
    <t>2015-1-20 16:49:19.839: DirectionIndicator - notify - price/longMA/ShortMA/prevDirection are 1.51605/1.51619906750391/1.51613894512022/-1</t>
  </si>
  <si>
    <t>2015-1-20 16:49:27.45: DirectionIndicator - notify - price/longMA/ShortMA/prevDirection are 1.516/1.51616287341229/1.51609263008015/-1</t>
  </si>
  <si>
    <t>2015-1-20 16:49:29.94: TransitionLogger - flushFile - flushing file</t>
  </si>
  <si>
    <t>2015-1-20 16:49:29.95: TransitionLogger - openTransitionFile - opening file C:\temp\transitionlog_2015-01-20_153021</t>
  </si>
  <si>
    <t>2015-1-20 16:49:30.269: DirectionIndicator - notify - price/longMA/ShortMA/prevDirection are 1.51605/1.51614235097369/1.51607842005343/-1</t>
  </si>
  <si>
    <t>2015-1-20 16:49:30.512: DirectionIndicator - notify - price/longMA/ShortMA/prevDirection are 1.516/1.51611646897847/1.51605228003562/-1</t>
  </si>
  <si>
    <t>2015-1-20 16:49:30.629: DirectionIndicator - notify - price/longMA/ShortMA/prevDirection are 1.51605/1.51610438370966/1.51605152002375/-1</t>
  </si>
  <si>
    <t>2015-1-20 16:49:32.293: DirectionIndicator - notify - price/longMA/ShortMA/prevDirection are 1.516/1.51608540485336/1.5160343466825/-1</t>
  </si>
  <si>
    <t>2015-1-20 16:49:32.504: DirectionIndicator - notify - price/longMA/ShortMA/prevDirection are 1.51605/1.51607896760729/1.516039564455/-1</t>
  </si>
  <si>
    <t>2015-1-20 16:49:32.890: DirectionIndicator - notify - price/longMA/ShortMA/prevDirection are 1.516/1.51606460986051/1.51602637630333/-1</t>
  </si>
  <si>
    <t>2015-1-20 16:49:33.8: DirectionIndicator - notify - price/longMA/ShortMA/prevDirection are 1.51605/1.51606195352224/1.51603425086889/-1</t>
  </si>
  <si>
    <t>2015-1-20 16:49:33.641: DirectionIndicator - notify - price/longMA/ShortMA/prevDirection are 1.516/1.51605068924547/1.51602283391259/-1</t>
  </si>
  <si>
    <t>2015-1-20 16:49:36.908: DirectionIndicator - notify - price/longMA/ShortMA/prevDirection are 1.51605/1.51605056392811/1.51603188927506/-1</t>
  </si>
  <si>
    <t>2015-1-20 16:50:0.872: DirectionIndicator - notify - price/longMA/ShortMA/prevDirection are 1.5161/1.51605955230482/1.51605459285004/-1</t>
  </si>
  <si>
    <t>2015-1-20 16:50:1.427: DirectionIndicator - notify - price/longMA/ShortMA/prevDirection are 1.51615/1.5160759973403/1.51608639523336/-1</t>
  </si>
  <si>
    <t>2015-1-20 16:50:5.389: DirectionIndicator - notify - price/longMA/ShortMA/prevDirection are 1.5161/1.51608036146025/1.51609093015557/-1</t>
  </si>
  <si>
    <t>2015-1-20 16:50:6.346: DirectionIndicator - notify - price/longMA/ShortMA/prevDirection are 1.51615/1.51609302301293/1.51611062010372/-1</t>
  </si>
  <si>
    <t>2015-1-20 16:50:7.408: DirectionIndicator - notify - price/longMA/ShortMA/prevDirection are 1.5161/1.51609429155603/1.51610708006914/-1</t>
  </si>
  <si>
    <t>2015-1-20 16:50:7.516: DirectionIndicator - notify - price/longMA/ShortMA/prevDirection are 1.51605/1.51608623854585/1.51608805337943/-1</t>
  </si>
  <si>
    <t>2015-1-20 16:50:8.16: TransitionLogger - flushFile - flushing file</t>
  </si>
  <si>
    <t>2015-1-20 16:50:8.16: TransitionLogger - openTransitionFile - opening file C:\temp\transitionlog_2015-01-20_153021</t>
  </si>
  <si>
    <t>2015-1-20 16:50:21.937: Algorithm - FindNextStrikes - price is 1.51605 nextStrikeUp/Down 1.52/1.515</t>
  </si>
  <si>
    <t>2015-1-20 16:50:21.937: Algorithm - getPortfolioForwardDelta - required deltas is 100 currentHedgePosition is 100</t>
  </si>
  <si>
    <t>2015-1-20 16:50:21.938: Algorithm - getHedgeShortfall - required deltas is 100 price is 1.51595 currentHedgePositionDeltas is 100</t>
  </si>
  <si>
    <t>2015-1-20 16:50:21.939: Algorithm - processTransitionPoint - nextUpper/LowerStrikes are 1.52/1.515 requiredDeltas/currentPosition/currentHedgeShortfall/direction/transitionPrice are 100/100/0/-1/1.51595</t>
  </si>
  <si>
    <t>2015-1-20 16:50:21.939: TransitionLogger - processTransitionpoint - checking transition - currentHedgeShortfall is 0</t>
  </si>
  <si>
    <t>2015-1-20 16:50:21.940: Algorithm - updatePortfolio - haveAllDetails is True</t>
  </si>
  <si>
    <t>2015-1-20 16:50:21.941: RTWSControl - updatePortfolioEx - An Error Occured Object variable or With block variable not set</t>
  </si>
  <si>
    <t>2015-1-20 16:50:21.980: Algorithm - FindNextStrikes - price is 1.51605 nextStrikeUp/Down 1.52/1.515</t>
  </si>
  <si>
    <t>2015-1-20 16:50:21.981: Algorithm - getPortfolioForwardDelta - required deltas is 100 currentHedgePosition is 100</t>
  </si>
  <si>
    <t>2015-1-20 16:50:21.981: Algorithm - getHedgeShortfall - required deltas is 100 price is 1.51595 currentHedgePositionDeltas is 100</t>
  </si>
  <si>
    <t>2015-1-20 16:50:21.982: Algorithm - processTransitionPoint - nextUpper/LowerStrikes are 1.52/1.515 requiredDeltas/currentPosition/currentHedgeShortfall/direction/transitionPrice are 100/100/0/-1/1.51595</t>
  </si>
  <si>
    <t>2015-1-20 16:50:21.983: TransitionLogger - processTransitionpoint - checking transition - currentHedgeShortfall is 0</t>
  </si>
  <si>
    <t>2015-1-20 16:50:21.984: Algorithm - updatePortfolio - haveAllDetails is True</t>
  </si>
  <si>
    <t>2015-1-20 16:50:21.985: RTWSControl - updatePortfolioEx - An Error Occured Object variable or With block variable not set</t>
  </si>
  <si>
    <t>2015-1-20 16:50:22.52: Algorithm - FindNextStrikes - price is 1.51605 nextStrikeUp/Down 1.52/1.515</t>
  </si>
  <si>
    <t>2015-1-20 16:50:22.52: Algorithm - getPortfolioForwardDelta - required deltas is 100 currentHedgePosition is 100</t>
  </si>
  <si>
    <t>2015-1-20 16:50:22.53: Algorithm - getHedgeShortfall - required deltas is 100 price is 1.51595 currentHedgePositionDeltas is 100</t>
  </si>
  <si>
    <t>2015-1-20 16:50:22.53: Algorithm - processTransitionPoint - nextUpper/LowerStrikes are 1.52/1.515 requiredDeltas/currentPosition/currentHedgeShortfall/direction/transitionPrice are 100/100/0/-1/1.51595</t>
  </si>
  <si>
    <t>2015-1-20 16:50:22.53: TransitionLogger - processTransitionpoint - checking transition - currentHedgeShortfall is 0</t>
  </si>
  <si>
    <t>2015-1-20 16:50:22.54: Algorithm - updatePortfolio - haveAllDetails is True</t>
  </si>
  <si>
    <t>2015-1-20 16:50:22.56: RTWSControl - updatePortfolioEx - An Error Occured Object variable or With block variable not set</t>
  </si>
  <si>
    <t>2015-1-20 16:50:22.112: Algorithm - FindNextStrikes - price is 1.51605 nextStrikeUp/Down 1.52/1.515</t>
  </si>
  <si>
    <t>2015-1-20 16:50:22.113: Algorithm - getPortfolioForwardDelta - required deltas is 100 currentHedgePosition is 100</t>
  </si>
  <si>
    <t>2015-1-20 16:50:22.113: Algorithm - getHedgeShortfall - required deltas is 100 price is 1.51595 currentHedgePositionDeltas is 100</t>
  </si>
  <si>
    <t>2015-1-20 16:50:22.113: Algorithm - processTransitionPoint - nextUpper/LowerStrikes are 1.52/1.515 requiredDeltas/currentPosition/currentHedgeShortfall/direction/transitionPrice are 100/100/0/-1/1.51595</t>
  </si>
  <si>
    <t>2015-1-20 16:50:22.114: TransitionLogger - processTransitionpoint - checking transition - currentHedgeShortfall is 0</t>
  </si>
  <si>
    <t>2015-1-20 16:50:22.115: Algorithm - updatePortfolio - haveAllDetails is True</t>
  </si>
  <si>
    <t>2015-1-20 16:50:22.116: RTWSControl - updatePortfolioEx - An Error Occured Object variable or With block variable not set</t>
  </si>
  <si>
    <t>2015-1-20 16:50:22.158: Algorithm - FindNextStrikes - price is 1.51605 nextStrikeUp/Down 1.52/1.515</t>
  </si>
  <si>
    <t>2015-1-20 16:50:22.158: Algorithm - getPortfolioForwardDelta - required deltas is 100 currentHedgePosition is 100</t>
  </si>
  <si>
    <t>2015-1-20 16:50:22.159: Algorithm - getHedgeShortfall - required deltas is 100 price is 1.51595 currentHedgePositionDeltas is 100</t>
  </si>
  <si>
    <t>2015-1-20 16:50:22.159: Algorithm - processTransitionPoint - nextUpper/LowerStrikes are 1.52/1.515 requiredDeltas/currentPosition/currentHedgeShortfall/direction/transitionPrice are 100/100/0/-1/1.51595</t>
  </si>
  <si>
    <t>2015-1-20 16:50:22.160: TransitionLogger - processTransitionpoint - checking transition - currentHedgeShortfall is 0</t>
  </si>
  <si>
    <t>2015-1-20 16:50:22.161: Algorithm - updatePortfolio - haveAllDetails is True</t>
  </si>
  <si>
    <t>2015-1-20 16:50:22.162: RTWSControl - updatePortfolioEx - An Error Occured Object variable or With block variable not set</t>
  </si>
  <si>
    <t>2015-1-20 16:50:22.223: Algorithm - FindNextStrikes - price is 1.51605 nextStrikeUp/Down 1.52/1.515</t>
  </si>
  <si>
    <t>2015-1-20 16:50:22.224: Algorithm - getPortfolioForwardDelta - required deltas is 100 currentHedgePosition is 100</t>
  </si>
  <si>
    <t>2015-1-20 16:50:22.224: Algorithm - getHedgeShortfall - required deltas is 100 price is 1.51595 currentHedgePositionDeltas is 100</t>
  </si>
  <si>
    <t>2015-1-20 16:50:22.225: Algorithm - processTransitionPoint - nextUpper/LowerStrikes are 1.52/1.515 requiredDeltas/currentPosition/currentHedgeShortfall/direction/transitionPrice are 100/100/0/-1/1.51595</t>
  </si>
  <si>
    <t>2015-1-20 16:50:22.225: TransitionLogger - processTransitionpoint - checking transition - currentHedgeShortfall is 0</t>
  </si>
  <si>
    <t>2015-1-20 16:50:22.226: Algorithm - updatePortfolio - haveAllDetails is True</t>
  </si>
  <si>
    <t>2015-1-20 16:50:22.227: RTWSControl - updatePortfolioEx - An Error Occured Object variable or With block variable not set</t>
  </si>
  <si>
    <t>2015-1-20 16:50:23.631: DirectionIndicator - notify - price/longMA/ShortMA/prevDirection are 1.5161/1.51608874062842/1.51609203558629/-1</t>
  </si>
  <si>
    <t>2015-1-20 16:50:23.718: DirectionIndicator - notify - price/longMA/ShortMA/prevDirection are 1.51615/1.51609987869598/1.51611135705752/-1</t>
  </si>
  <si>
    <t>2015-1-20 16:50:26.799: DirectionIndicator - notify - price/longMA/ShortMA/prevDirection are 1.5161/1.51609990075126/1.51610757137168/-1</t>
  </si>
  <si>
    <t>2015-1-20 16:50:27.469: DirectionIndicator - notify - price/longMA/ShortMA/prevDirection are 1.51605/1.51609082788739/1.51608838091446/-1</t>
  </si>
  <si>
    <t>2015-1-20 16:50:29.299: TransitionLogger - flushFile - flushing file</t>
  </si>
  <si>
    <t>2015-1-20 16:50:29.300: TransitionLogger - openTransitionFile - opening file C:\temp\transitionlog_2015-01-20_153021</t>
  </si>
  <si>
    <t>2015-1-20 16:50:54.591: DirectionIndicator - notify - price/longMA/ShortMA/prevDirection are 1.516/1.51607431372605/1.51605892060964/-1</t>
  </si>
  <si>
    <t>2015-1-20 16:50:57.440: DirectionIndicator - notify - price/longMA/ShortMA/prevDirection are 1.51605/1.51606989304858/1.51605594707309/-1</t>
  </si>
  <si>
    <t>2015-1-20 16:50:58.68: DirectionIndicator - notify - price/longMA/ShortMA/prevDirection are 1.516/1.51605718522157/1.51603729804873/-1</t>
  </si>
  <si>
    <t>2015-1-20 16:50:58.134: DirectionIndicator - notify - price/longMA/ShortMA/prevDirection are 1.51595/1.51603769699947/1.51600819869915/-1</t>
  </si>
  <si>
    <t>2015-1-20 16:51:0.14: DirectionIndicator - notify - price/longMA/ShortMA/prevDirection are 1.5159/1.51601266118138/1.5159721324661/-1</t>
  </si>
  <si>
    <t>2015-1-20 16:51:0.93: DirectionIndicator - notify - price/longMA/ShortMA/prevDirection are 1.51585/1.51598308642113/1.51593142164407/-1</t>
  </si>
  <si>
    <t>2015-1-20 16:51:4.22: DirectionIndicator - notify - price/longMA/ShortMA/prevDirection are 1.5158/1.51594979798092/1.51588761442938/-1</t>
  </si>
  <si>
    <t>2015-1-20 16:51:4.420: DirectionIndicator - notify - price/longMA/ShortMA/prevDirection are 1.51575/1.5159134710753/1.51584174295292/-1</t>
  </si>
  <si>
    <t>2015-1-20 16:51:4.634: DirectionIndicator - notify - price/longMA/ShortMA/prevDirection are 1.5158/1.5158928399707/1.51582782863528/-1</t>
  </si>
  <si>
    <t>2015-1-20 16:51:4.769: DirectionIndicator - notify - price/longMA/ShortMA/prevDirection are 1.51585/1.51588505088512/1.51583521909019/-1</t>
  </si>
  <si>
    <t>2015-1-20 16:51:6.306: DirectionIndicator - notify - price/longMA/ShortMA/prevDirection are 1.5158/1.51586958708783/1.51582347939346/-1</t>
  </si>
  <si>
    <t>2015-1-20 16:51:6.386: DirectionIndicator - notify - price/longMA/ShortMA/prevDirection are 1.51575/1.51584784398095/1.51579898626231/-1</t>
  </si>
  <si>
    <t>2015-1-20 16:51:8.10: TransitionLogger - flushFile - flushing file</t>
  </si>
  <si>
    <t>2015-1-20 16:51:8.11: TransitionLogger - openTransitionFile - opening file C:\temp\transitionlog_2015-01-20_153021</t>
  </si>
  <si>
    <t>2015-1-20 16:51:11.805: DirectionIndicator - notify - price/longMA/ShortMA/prevDirection are 1.5158/1.51583914507532/1.51579932417487/-1</t>
  </si>
  <si>
    <t>2015-1-20 16:51:11.944: DirectionIndicator - notify - price/longMA/ShortMA/prevDirection are 1.51585/1.51584111869799/1.51581621611658/-1</t>
  </si>
  <si>
    <t>2015-1-20 16:51:12.933: DirectionIndicator - notify - price/longMA/ShortMA/prevDirection are 1.5158/1.51583364257108/1.51581081074439/-1</t>
  </si>
  <si>
    <t>2015-1-20 16:51:15.604: DirectionIndicator - notify - price/longMA/ShortMA/prevDirection are 1.51575/1.51581843483089/1.51579054049626/-1</t>
  </si>
  <si>
    <t>2015-1-20 16:51:19.412: DirectionIndicator - notify - price/longMA/ShortMA/prevDirection are 1.5158/1.51581508304345/1.51579369366417/-1</t>
  </si>
  <si>
    <t>2015-1-20 16:51:19.543: DirectionIndicator - notify - price/longMA/ShortMA/prevDirection are 1.51585/1.51582143158101/1.51581246244278/-1</t>
  </si>
  <si>
    <t>2015-1-20 16:51:23.392: DirectionIndicator - notify - price/longMA/ShortMA/prevDirection are 1.5158/1.51581753492991/1.51580830829519/-1</t>
  </si>
  <si>
    <t>2015-1-20 16:51:26.9: DirectionIndicator - notify - price/longMA/ShortMA/prevDirection are 1.51585/1.51582343766993/1.51582220553012/-1</t>
  </si>
  <si>
    <t>2015-1-20 16:51:29.3: TransitionLogger - flushFile - flushing file</t>
  </si>
  <si>
    <t>2015-1-20 16:51:29.4: TransitionLogger - openTransitionFile - opening file C:\temp\transitionlog_2015-01-20_153021</t>
  </si>
  <si>
    <t>2015-1-20 16:51:29.110: DirectionIndicator - notify - price/longMA/ShortMA/prevDirection are 1.5158/1.5158191762754/1.51581480368675/-1</t>
  </si>
  <si>
    <t>2015-1-20 16:51:30.230: DirectionIndicator - notify - price/longMA/ShortMA/prevDirection are 1.51575/1.51580659877078/1.51579320245783/-1</t>
  </si>
  <si>
    <t>2015-1-20 16:51:36.886: DirectionIndicator - notify - price/longMA/ShortMA/prevDirection are 1.5157/1.51578721717609/1.51576213497189/-1</t>
  </si>
  <si>
    <t>2015-1-20 16:51:38.314: DirectionIndicator - notify - price/longMA/ShortMA/prevDirection are 1.51565/1.51576226859862/1.51572475664793/-1</t>
  </si>
  <si>
    <t>2015-1-20 16:51:48.893: DirectionIndicator - notify - price/longMA/ShortMA/prevDirection are 1.5157/1.51575094703524/1.51571650443195/-1</t>
  </si>
  <si>
    <t>2015-1-20 16:51:48.971: DirectionIndicator - notify - price/longMA/ShortMA/prevDirection are 1.51575/1.51575077484701/1.5157276696213/-1</t>
  </si>
  <si>
    <t>2015-1-20 16:51:49.970: DirectionIndicator - notify - price/longMA/ShortMA/prevDirection are 1.5158/1.51575972487483/1.51575177974753/-1</t>
  </si>
  <si>
    <t>2015-1-20 16:51:50.277: DirectionIndicator - notify - price/longMA/ShortMA/prevDirection are 1.51585/1.51577613853395/1.51578451983169/-1</t>
  </si>
  <si>
    <t>2015-1-20 16:51:56.851: DirectionIndicator - notify - price/longMA/ShortMA/prevDirection are 1.5158/1.51578047698232/1.51578967988779/-1</t>
  </si>
  <si>
    <t>2015-1-20 16:51:56.930: DirectionIndicator - notify - price/longMA/ShortMA/prevDirection are 1.51575/1.51577493571281/1.51577645325853/-1</t>
  </si>
  <si>
    <t>2015-1-20 16:52:0.132: DirectionIndicator - notify - price/longMA/ShortMA/prevDirection are 1.5158/1.51577949285593/1.51578430217235/-1</t>
  </si>
  <si>
    <t>2015-1-20 16:52:0.246: DirectionIndicator - notify - price/longMA/ShortMA/prevDirection are 1.51585/1.51579231233667/1.51580620144823/-1</t>
  </si>
  <si>
    <t>2015-1-20 16:52:5.67: DirectionIndicator - notify - price/longMA/ShortMA/prevDirection are 1.5159/1.51581189191182/1.51583746763216/-1</t>
  </si>
  <si>
    <t>2015-1-20 16:52:5.139: DirectionIndicator - notify - price/longMA/ShortMA/prevDirection are 1.51595/1.51583700247331/1.51587497842144/1</t>
  </si>
  <si>
    <t>2015-1-20 16:52:6.855: DirectionIndicator - notify - price/longMA/ShortMA/prevDirection are 1.5159/1.51584845656907/1.51588331894763/1</t>
  </si>
  <si>
    <t>2015-1-20 16:52:6.941: DirectionIndicator - notify - price/longMA/ShortMA/prevDirection are 1.51585/1.51584873719288/1.51587221263175/1</t>
  </si>
  <si>
    <t>2015-1-20 16:52:8.18: TransitionLogger - flushFile - flushing file</t>
  </si>
  <si>
    <t>2015-1-20 16:52:8.19: TransitionLogger - openTransitionFile - opening file C:\temp\transitionlog_2015-01-20_153021</t>
  </si>
  <si>
    <t>2015-1-20 16:52:9.231: DirectionIndicator - notify - price/longMA/ShortMA/prevDirection are 1.5159/1.51585805770326/1.51588147508783/1</t>
  </si>
  <si>
    <t>2015-1-20 16:52:9.305: DirectionIndicator - notify - price/longMA/ShortMA/prevDirection are 1.51595/1.51587477448449/1.51590431672522/1</t>
  </si>
  <si>
    <t>2015-1-20 16:52:9.894: DirectionIndicator - notify - price/longMA/ShortMA/prevDirection are 1.5159/1.51587936094185/1.51590287781681/1</t>
  </si>
  <si>
    <t>2015-1-20 16:52:9.942: DirectionIndicator - notify - price/longMA/ShortMA/prevDirection are 1.51585/1.51587402258879/1.51588525187788/1</t>
  </si>
  <si>
    <t>2015-1-20 16:52:14.933: DirectionIndicator - notify - price/longMA/ShortMA/prevDirection are 1.5158/1.51586056393628/1.51585683458525/1</t>
  </si>
  <si>
    <t>2015-1-20 16:52:16.64: DirectionIndicator - notify - price/longMA/ShortMA/prevDirection are 1.51575/1.51584046140241/1.51582122305683/1</t>
  </si>
  <si>
    <t>2015-1-20 16:52:20.214: DirectionIndicator - notify - price/longMA/ShortMA/prevDirection are 1.5158/1.51583310478379/1.51581414870456/1</t>
  </si>
  <si>
    <t>2015-1-20 16:52:20.354: DirectionIndicator - notify - price/longMA/ShortMA/prevDirection are 1.51585/1.51583617664128/1.51582609913637/1</t>
  </si>
  <si>
    <t>2015-1-20 16:52:24.351: DirectionIndicator - notify - price/longMA/ShortMA/prevDirection are 1.5159/1.51584778088832/1.51585073275758/1</t>
  </si>
  <si>
    <t>2015-1-20 16:52:24.432: DirectionIndicator - notify - price/longMA/ShortMA/prevDirection are 1.51595/1.51586636618136/1.51588382183839/1</t>
  </si>
  <si>
    <t>2015-1-20 16:52:25.190: DirectionIndicator - notify - price/longMA/ShortMA/prevDirection are 1.5159/1.51587248142111/1.51588921455892/1</t>
  </si>
  <si>
    <t>2015-1-20 16:52:25.267: DirectionIndicator - notify - price/longMA/ShortMA/prevDirection are 1.51585/1.51586839389/1.51587614303928/1</t>
  </si>
  <si>
    <t>2015-1-20 16:52:26.649: DirectionIndicator - notify - price/longMA/ShortMA/prevDirection are 1.5158/1.51585595863727/1.51585076202619/1</t>
  </si>
  <si>
    <t>2015-1-20 16:52:28.347: DirectionIndicator - notify - price/longMA/ShortMA/prevDirection are 1.51585/1.51585487524868/1.51585050801746/1</t>
  </si>
  <si>
    <t>2015-1-20 16:52:28.898: DirectionIndicator - notify - price/longMA/ShortMA/prevDirection are 1.5158/1.51584489793074/1.51583367201164/1</t>
  </si>
  <si>
    <t>2015-1-20 16:52:29.14: TransitionLogger - flushFile - flushing file</t>
  </si>
  <si>
    <t>2015-1-20 16:52:29.14: TransitionLogger - openTransitionFile - opening file C:\temp\transitionlog_2015-01-20_153021</t>
  </si>
  <si>
    <t>2015-1-20 16:52:30.66: DirectionIndicator - notify - price/longMA/ShortMA/prevDirection are 1.51585/1.51584582557969/1.51583911467443/1</t>
  </si>
  <si>
    <t>2015-1-20 16:52:41.116: DirectionIndicator - notify - price/longMA/ShortMA/prevDirection are 1.5158/1.51583749365611/1.51582607644962/1</t>
  </si>
  <si>
    <t>2015-1-20 16:52:41.185: DirectionIndicator - notify - price/longMA/ShortMA/prevDirection are 1.51575/1.51582158571864/1.51580071763308/1</t>
  </si>
  <si>
    <t>2015-1-20 16:52:50.35: DirectionIndicator - notify - price/longMA/ShortMA/prevDirection are 1.5158/1.51581766104252/1.51580047842205/-1</t>
  </si>
  <si>
    <t>2015-1-20 16:52:50.103: DirectionIndicator - notify - price/longMA/ShortMA/prevDirection are 1.51585/1.51582354085297/1.5158169856147/-1</t>
  </si>
  <si>
    <t>2015-1-20 16:52:50.859: DirectionIndicator - notify - price/longMA/ShortMA/prevDirection are 1.5159/1.51583744251607/1.51584465707647/-1</t>
  </si>
  <si>
    <t>2015-1-20 16:52:52.162: DirectionIndicator - notify - price/longMA/ShortMA/prevDirection are 1.51585/1.51583972569496/1.51584643805098/-1</t>
  </si>
  <si>
    <t>2015-1-20 16:53:3.314: DirectionIndicator - notify - price/longMA/ShortMA/prevDirection are 1.5159/1.51585068465952/1.51586429203399/-1</t>
  </si>
  <si>
    <t>2015-1-20 16:53:3.392: DirectionIndicator - notify - price/longMA/ShortMA/prevDirection are 1.51595/1.51586874199415/1.51589286135599/-1</t>
  </si>
  <si>
    <t>2015-1-20 16:53:4.452: DirectionIndicator - notify - price/longMA/ShortMA/prevDirection are 1.5159/1.51587442526794/1.51589524090399/1</t>
  </si>
  <si>
    <t>2015-1-20 16:53:4.601: DirectionIndicator - notify - price/longMA/ShortMA/prevDirection are 1.51585/1.51586998431013/1.51588016060266/1</t>
  </si>
  <si>
    <t>2015-1-20 16:53:8.47: TransitionLogger - flushFile - flushing file</t>
  </si>
  <si>
    <t>2015-1-20 16:53:8.47: TransitionLogger - openTransitionFile - opening file C:\temp\transitionlog_2015-01-20_153021</t>
  </si>
  <si>
    <t>2015-1-20 16:53:9.54: DirectionIndicator - notify - price/longMA/ShortMA/prevDirection are 1.5158/1.51585725989011/1.51585344040177/1</t>
  </si>
  <si>
    <t>2015-1-20 16:53:9.309: DirectionIndicator - notify - price/longMA/ShortMA/prevDirection are 1.51575/1.51583775809191/1.51581896026785/1</t>
  </si>
  <si>
    <t>2015-1-20 16:53:12.819: DirectionIndicator - notify - price/longMA/ShortMA/prevDirection are 1.5158/1.51583089298429/1.51581264017857/1</t>
  </si>
  <si>
    <t>2015-1-20 16:53:16.325: DirectionIndicator - notify - price/longMA/ShortMA/prevDirection are 1.51575/1.51581618516896/1.51579176011904/1</t>
  </si>
  <si>
    <t>2015-1-20 16:53:17.327: DirectionIndicator - notify - price/longMA/ShortMA/prevDirection are 1.5158/1.51581324241097/1.51579450674603/-1</t>
  </si>
  <si>
    <t>2015-1-20 16:53:18.13: DirectionIndicator - notify - price/longMA/ShortMA/prevDirection are 1.51575/1.51580174379079/1.51577967116402/-1</t>
  </si>
  <si>
    <t>2015-1-20 16:53:20.892: DirectionIndicator - notify - price/longMA/ShortMA/prevDirection are 1.5157/1.51578324491974/1.51575311410935/-1</t>
  </si>
  <si>
    <t>2015-1-20 16:53:20.947: DirectionIndicator - notify - price/longMA/ShortMA/prevDirection are 1.51565/1.5157590185707/1.51571874273956/-1</t>
  </si>
  <si>
    <t>2015-1-20 16:53:23.488: Algorithm - FindNextStrikes - price is 1.51565 nextStrikeUp/Down 1.52/1.515</t>
  </si>
  <si>
    <t>2015-1-20 16:53:23.489: Algorithm - getPortfolioForwardDelta - required deltas is 100 currentHedgePosition is 100</t>
  </si>
  <si>
    <t>2015-1-20 16:53:23.490: Algorithm - getHedgeShortfall - required deltas is 100 price is 1.51555 currentHedgePositionDeltas is 100</t>
  </si>
  <si>
    <t>2015-1-20 16:53:23.490: Algorithm - processTransitionPoint - nextUpper/LowerStrikes are 1.52/1.515 requiredDeltas/currentPosition/currentHedgeShortfall/direction/transitionPrice are 100/100/0/-1/1.51555</t>
  </si>
  <si>
    <t>2015-1-20 16:53:23.491: TransitionLogger - processTransitionpoint - checking transition - currentHedgeShortfall is 0</t>
  </si>
  <si>
    <t>2015-1-20 16:53:23.492: Algorithm - updatePortfolio - haveAllDetails is True</t>
  </si>
  <si>
    <t>2015-1-20 16:53:23.493: RTWSControl - updatePortfolioEx - An Error Occured Object variable or With block variable not set</t>
  </si>
  <si>
    <t>2015-1-20 16:53:23.534: Algorithm - FindNextStrikes - price is 1.51565 nextStrikeUp/Down 1.52/1.515</t>
  </si>
  <si>
    <t>2015-1-20 16:53:23.535: Algorithm - getPortfolioForwardDelta - required deltas is 100 currentHedgePosition is 100</t>
  </si>
  <si>
    <t>2015-1-20 16:53:23.535: Algorithm - getHedgeShortfall - required deltas is 100 price is 1.51555 currentHedgePositionDeltas is 100</t>
  </si>
  <si>
    <t>2015-1-20 16:53:23.536: Algorithm - processTransitionPoint - nextUpper/LowerStrikes are 1.52/1.515 requiredDeltas/currentPosition/currentHedgeShortfall/direction/transitionPrice are 100/100/0/-1/1.51555</t>
  </si>
  <si>
    <t>2015-1-20 16:53:23.536: TransitionLogger - processTransitionpoint - checking transition - currentHedgeShortfall is 0</t>
  </si>
  <si>
    <t>2015-1-20 16:53:23.537: Algorithm - updatePortfolio - haveAllDetails is True</t>
  </si>
  <si>
    <t>2015-1-20 16:53:23.538: RTWSControl - updatePortfolioEx - An Error Occured Object variable or With block variable not set</t>
  </si>
  <si>
    <t>2015-1-20 16:53:23.605: Algorithm - FindNextStrikes - price is 1.51565 nextStrikeUp/Down 1.52/1.515</t>
  </si>
  <si>
    <t>2015-1-20 16:53:23.605: Algorithm - getPortfolioForwardDelta - required deltas is 100 currentHedgePosition is 100</t>
  </si>
  <si>
    <t>2015-1-20 16:53:23.606: Algorithm - getHedgeShortfall - required deltas is 100 price is 1.51555 currentHedgePositionDeltas is 100</t>
  </si>
  <si>
    <t>2015-1-20 16:53:23.606: Algorithm - processTransitionPoint - nextUpper/LowerStrikes are 1.52/1.515 requiredDeltas/currentPosition/currentHedgeShortfall/direction/transitionPrice are 100/100/0/-1/1.51555</t>
  </si>
  <si>
    <t>2015-1-20 16:53:23.607: TransitionLogger - processTransitionpoint - checking transition - currentHedgeShortfall is 0</t>
  </si>
  <si>
    <t>2015-1-20 16:53:23.608: Algorithm - updatePortfolio - haveAllDetails is True</t>
  </si>
  <si>
    <t>2015-1-20 16:53:23.609: RTWSControl - updatePortfolioEx - An Error Occured Object variable or With block variable not set</t>
  </si>
  <si>
    <t>2015-1-20 16:53:23.664: Algorithm - FindNextStrikes - price is 1.51565 nextStrikeUp/Down 1.52/1.515</t>
  </si>
  <si>
    <t>2015-1-20 16:53:23.665: Algorithm - getPortfolioForwardDelta - required deltas is 100 currentHedgePosition is 100</t>
  </si>
  <si>
    <t>2015-1-20 16:53:23.665: Algorithm - getHedgeShortfall - required deltas is 100 price is 1.51555 currentHedgePositionDeltas is 100</t>
  </si>
  <si>
    <t>2015-1-20 16:53:23.666: Algorithm - processTransitionPoint - nextUpper/LowerStrikes are 1.52/1.515 requiredDeltas/currentPosition/currentHedgeShortfall/direction/transitionPrice are 100/100/0/-1/1.51555</t>
  </si>
  <si>
    <t>2015-1-20 16:53:23.666: TransitionLogger - processTransitionpoint - checking transition - currentHedgeShortfall is 0</t>
  </si>
  <si>
    <t>2015-1-20 16:53:23.667: Algorithm - updatePortfolio - haveAllDetails is True</t>
  </si>
  <si>
    <t>2015-1-20 16:53:23.668: RTWSControl - updatePortfolioEx - An Error Occured Object variable or With block variable not set</t>
  </si>
  <si>
    <t>2015-1-20 16:53:23.713: Algorithm - FindNextStrikes - price is 1.51565 nextStrikeUp/Down 1.52/1.515</t>
  </si>
  <si>
    <t>2015-1-20 16:53:23.713: Algorithm - getPortfolioForwardDelta - required deltas is 100 currentHedgePosition is 100</t>
  </si>
  <si>
    <t>2015-1-20 16:53:23.713: Algorithm - getHedgeShortfall - required deltas is 100 price is 1.51555 currentHedgePositionDeltas is 100</t>
  </si>
  <si>
    <t>2015-1-20 16:53:23.714: Algorithm - processTransitionPoint - nextUpper/LowerStrikes are 1.52/1.515 requiredDeltas/currentPosition/currentHedgeShortfall/direction/transitionPrice are 100/100/0/-1/1.51555</t>
  </si>
  <si>
    <t>2015-1-20 16:53:23.714: TransitionLogger - processTransitionpoint - checking transition - currentHedgeShortfall is 0</t>
  </si>
  <si>
    <t>2015-1-20 16:53:23.715: Algorithm - updatePortfolio - haveAllDetails is True</t>
  </si>
  <si>
    <t>2015-1-20 16:53:23.716: RTWSControl - updatePortfolioEx - An Error Occured Object variable or With block variable not set</t>
  </si>
  <si>
    <t>2015-1-20 16:53:23.776: Algorithm - FindNextStrikes - price is 1.51565 nextStrikeUp/Down 1.52/1.515</t>
  </si>
  <si>
    <t>2015-1-20 16:53:23.777: Algorithm - getPortfolioForwardDelta - required deltas is 100 currentHedgePosition is 100</t>
  </si>
  <si>
    <t>2015-1-20 16:53:23.777: Algorithm - getHedgeShortfall - required deltas is 100 price is 1.51555 currentHedgePositionDeltas is 100</t>
  </si>
  <si>
    <t>2015-1-20 16:53:23.778: Algorithm - processTransitionPoint - nextUpper/LowerStrikes are 1.52/1.515 requiredDeltas/currentPosition/currentHedgeShortfall/direction/transitionPrice are 100/100/0/-1/1.51555</t>
  </si>
  <si>
    <t>2015-1-20 16:53:23.778: TransitionLogger - processTransitionpoint - checking transition - currentHedgeShortfall is 0</t>
  </si>
  <si>
    <t>2015-1-20 16:53:23.779: Algorithm - updatePortfolio - haveAllDetails is True</t>
  </si>
  <si>
    <t>2015-1-20 16:53:23.780: RTWSControl - updatePortfolioEx - An Error Occured Object variable or With block variable not set</t>
  </si>
  <si>
    <t>2015-1-20 16:53:29.7: TransitionLogger - flushFile - flushing file</t>
  </si>
  <si>
    <t>2015-1-20 16:53:29.8: TransitionLogger - openTransitionFile - opening file C:\temp\transitionlog_2015-01-20_153021</t>
  </si>
  <si>
    <t>2015-1-20 16:53:36.473: DirectionIndicator - notify - price/longMA/ShortMA/prevDirection are 1.5157/1.51574828792148/1.51571249515971/-1</t>
  </si>
  <si>
    <t>2015-1-20 16:53:36.560: DirectionIndicator - notify - price/longMA/ShortMA/prevDirection are 1.51575/1.51574859920848/1.51572499677314/-1</t>
  </si>
  <si>
    <t>2015-1-20 16:53:42.190: DirectionIndicator - notify - price/longMA/ShortMA/prevDirection are 1.5158/1.51575794480694/1.51574999784876/-1</t>
  </si>
  <si>
    <t>2015-1-20 16:53:42.448: DirectionIndicator - notify - price/longMA/ShortMA/prevDirection are 1.51575/1.51575650029659/1.51574999856584/-1</t>
  </si>
  <si>
    <t>2015-1-20 16:53:43.385: DirectionIndicator - notify - price/longMA/ShortMA/prevDirection are 1.5157/1.51574622751539/1.51573333237723/-1</t>
  </si>
  <si>
    <t>2015-1-20 16:53:49.60: DirectionIndicator - notify - price/longMA/ShortMA/prevDirection are 1.51565/1.5157287316035/1.51570555491815/-1</t>
  </si>
  <si>
    <t>2015-1-20 16:54:6.61: DirectionIndicator - notify - price/longMA/ShortMA/prevDirection are 1.5156/1.51570532585741/1.51567036994543/-1</t>
  </si>
  <si>
    <t>2015-1-20 16:54:6.818: DirectionIndicator - notify - price/longMA/ShortMA/prevDirection are 1.51555/1.51567708479243/1.51563024663029/-1</t>
  </si>
  <si>
    <t>2015-1-20 16:54:7.392: DirectionIndicator - notify - price/longMA/ShortMA/prevDirection are 1.5155/1.51564488755744/1.51558683108686/-1</t>
  </si>
  <si>
    <t>2015-1-20 16:54:8.30: TransitionLogger - flushFile - flushing file</t>
  </si>
  <si>
    <t>2015-1-20 16:54:8.30: TransitionLogger - openTransitionFile - opening file C:\temp\transitionlog_2015-01-20_153021</t>
  </si>
  <si>
    <t>2015-1-20 16:54:8.360: DirectionIndicator - notify - price/longMA/ShortMA/prevDirection are 1.51555/1.51562763527427/1.51557455405791/-1</t>
  </si>
  <si>
    <t>2015-1-20 16:54:22.969: DirectionIndicator - notify - price/longMA/ShortMA/prevDirection are 1.5156/1.51562261067895/1.5155830360386/-1</t>
  </si>
  <si>
    <t>2015-1-20 16:54:24.513: DirectionIndicator - notify - price/longMA/ShortMA/prevDirection are 1.51555/1.51560940873732/1.51557202402574/-1</t>
  </si>
  <si>
    <t>2015-1-20 16:54:28.618: DirectionIndicator - notify - price/longMA/ShortMA/prevDirection are 1.5156/1.51560769805781/1.51558134935049/-1</t>
  </si>
  <si>
    <t>2015-1-20 16:54:29.226: TransitionLogger - flushFile - flushing file</t>
  </si>
  <si>
    <t>2015-1-20 16:54:29.226: TransitionLogger - openTransitionFile - opening file C:\temp\transitionlog_2015-01-20_153021</t>
  </si>
  <si>
    <t>2015-1-20 16:54:29.748: DirectionIndicator - notify - price/longMA/ShortMA/prevDirection are 1.51555/1.51559720750184/1.51557089956699/-1</t>
  </si>
  <si>
    <t>2015-1-20 16:54:33.240: DirectionIndicator - notify - price/longMA/ShortMA/prevDirection are 1.5156/1.51559771522878/1.51558059971133/-1</t>
  </si>
  <si>
    <t>2015-1-20 16:54:50.499: DirectionIndicator - notify - price/longMA/ShortMA/prevDirection are 1.51565/1.51560722155082/1.51560373314089/-1</t>
  </si>
  <si>
    <t>2015-1-20 16:54:54.359: DirectionIndicator - notify - price/longMA/ShortMA/prevDirection are 1.5157/1.51562409035976/1.51563582209392/-1</t>
  </si>
  <si>
    <t>2015-1-20 16:54:56.782: DirectionIndicator - notify - price/longMA/ShortMA/prevDirection are 1.51565/1.51562880120344/1.51564054806262/-1</t>
  </si>
  <si>
    <t>2015-1-20 16:55:8.513: TransitionLogger - flushFile - flushing file</t>
  </si>
  <si>
    <t>2015-1-20 16:55:8.514: TransitionLogger - openTransitionFile - opening file C:\temp\transitionlog_2015-01-20_153021</t>
  </si>
  <si>
    <t>2015-1-20 16:55:13.905: DirectionIndicator - notify - price/longMA/ShortMA/prevDirection are 1.5156/1.515623564621/1.51562703204174/-1</t>
  </si>
  <si>
    <t>2015-1-20 16:55:14.840: DirectionIndicator - notify - price/longMA/ShortMA/prevDirection are 1.51565/1.51562837105354/1.51563468802783/-1</t>
  </si>
  <si>
    <t>2015-1-20 16:55:16.780: DirectionIndicator - notify - price/longMA/ShortMA/prevDirection are 1.5156/1.51562321268017/1.51562312535189/-1</t>
  </si>
  <si>
    <t>2015-1-20 16:55:19.936: DirectionIndicator - notify - price/longMA/ShortMA/prevDirection are 1.51555/1.51560990128378/1.51559875023459/-1</t>
  </si>
  <si>
    <t>2015-1-20 16:55:21.903: DirectionIndicator - notify - price/longMA/ShortMA/prevDirection are 1.5156/1.51560810105036/1.51559916682306/-1</t>
  </si>
  <si>
    <t>2015-1-20 16:55:22.363: DirectionIndicator - notify - price/longMA/ShortMA/prevDirection are 1.51565/1.51561571904121/1.51561611121537/-1</t>
  </si>
  <si>
    <t>2015-1-20 16:55:22.614: DirectionIndicator - notify - price/longMA/ShortMA/prevDirection are 1.5156/1.51561286103371/1.51561074081025/-1</t>
  </si>
  <si>
    <t>2015-1-20 16:55:22.662: DirectionIndicator - notify - price/longMA/ShortMA/prevDirection are 1.51555/1.51560143175486/1.5155904938735/-1</t>
  </si>
  <si>
    <t>2015-1-20 16:55:22.992: DirectionIndicator - notify - price/longMA/ShortMA/prevDirection are 1.5156/1.51560117143579/1.51559366258233/-1</t>
  </si>
  <si>
    <t>2015-1-20 16:55:24.83: DirectionIndicator - notify - price/longMA/ShortMA/prevDirection are 1.51565/1.51561004935656/1.51561244172156/-1</t>
  </si>
  <si>
    <t>2015-1-20 16:55:25.900: DirectionIndicator - notify - price/longMA/ShortMA/prevDirection are 1.5156/1.51560822220082/1.51560829448104/-1</t>
  </si>
  <si>
    <t>2015-1-20 16:55:25.954: DirectionIndicator - notify - price/longMA/ShortMA/prevDirection are 1.51555/1.51559763634612/1.51558886298736/-1</t>
  </si>
  <si>
    <t>2015-1-20 16:55:29.472: TransitionLogger - flushFile - flushing file</t>
  </si>
  <si>
    <t>2015-1-20 16:55:29.473: TransitionLogger - openTransitionFile - opening file C:\temp\transitionlog_2015-01-20_153021</t>
  </si>
  <si>
    <t>2015-1-20 16:55:46.622: DirectionIndicator - notify - price/longMA/ShortMA/prevDirection are 1.5155/1.51557988428319/1.51555924199157/-1</t>
  </si>
  <si>
    <t>2015-1-20 16:55:47.78: DirectionIndicator - notify - price/longMA/ShortMA/prevDirection are 1.51555/1.51557445077716/1.51555616132771/-1</t>
  </si>
  <si>
    <t>2015-1-20 16:55:52.207: DirectionIndicator - notify - price/longMA/ShortMA/prevDirection are 1.5155/1.51556091427222/1.51553744088514/-1</t>
  </si>
  <si>
    <t>2015-1-20 16:55:52.275: DirectionIndicator - notify - price/longMA/ShortMA/prevDirection are 1.51545/1.51554074804091/1.51550829392343/-1</t>
  </si>
  <si>
    <t>2015-1-20 16:55:52.574: DirectionIndicator - notify - price/longMA/ShortMA/prevDirection are 1.5155/1.5155333393062/1.51550552928229/-1</t>
  </si>
  <si>
    <t>2015-1-20 16:55:52.866: DirectionIndicator - notify - price/longMA/ShortMA/prevDirection are 1.51545/1.51551818670507/1.51548701952152/-1</t>
  </si>
  <si>
    <t>2015-1-20 16:56:7.84: DirectionIndicator - notify - price/longMA/ShortMA/prevDirection are 1.5154/1.51549669821324/1.51545801301435/-1</t>
  </si>
  <si>
    <t>2015-1-20 16:56:7.162: DirectionIndicator - notify - price/longMA/ShortMA/prevDirection are 1.51535/1.51547002581083/1.51542200867623/-1</t>
  </si>
  <si>
    <t>2015-1-20 16:56:8.31: TransitionLogger - flushFile - flushing file</t>
  </si>
  <si>
    <t>2015-1-20 16:56:8.32: TransitionLogger - openTransitionFile - opening file C:\temp\transitionlog_2015-01-20_153021</t>
  </si>
  <si>
    <t>2015-1-20 16:56:22.286: Algorithm - FindNextStrikes - price is 1.51535 nextStrikeUp/Down 1.52/1.515</t>
  </si>
  <si>
    <t>2015-1-20 16:56:22.287: Algorithm - getPortfolioForwardDelta - required deltas is 100 currentHedgePosition is 100</t>
  </si>
  <si>
    <t>2015-1-20 16:56:22.287: Algorithm - getHedgeShortfall - required deltas is 100 price is 1.51525 currentHedgePositionDeltas is 100</t>
  </si>
  <si>
    <t>2015-1-20 16:56:22.288: Algorithm - processTransitionPoint - nextUpper/LowerStrikes are 1.52/1.515 requiredDeltas/currentPosition/currentHedgeShortfall/direction/transitionPrice are 100/100/0/-1/1.51525</t>
  </si>
  <si>
    <t>2015-1-20 16:56:22.289: TransitionLogger - processTransitionpoint - checking transition - currentHedgeShortfall is 0</t>
  </si>
  <si>
    <t>2015-1-20 16:56:22.290: Algorithm - updatePortfolio - haveAllDetails is True</t>
  </si>
  <si>
    <t>2015-1-20 16:56:22.291: RTWSControl - updatePortfolioEx - An Error Occured Object variable or With block variable not set</t>
  </si>
  <si>
    <t>2015-1-20 16:56:22.332: Algorithm - FindNextStrikes - price is 1.51535 nextStrikeUp/Down 1.52/1.515</t>
  </si>
  <si>
    <t>2015-1-20 16:56:22.333: Algorithm - getPortfolioForwardDelta - required deltas is 100 currentHedgePosition is 100</t>
  </si>
  <si>
    <t>2015-1-20 16:56:22.333: Algorithm - getHedgeShortfall - required deltas is 100 price is 1.51525 currentHedgePositionDeltas is 100</t>
  </si>
  <si>
    <t>2015-1-20 16:56:22.334: Algorithm - processTransitionPoint - nextUpper/LowerStrikes are 1.52/1.515 requiredDeltas/currentPosition/currentHedgeShortfall/direction/transitionPrice are 100/100/0/-1/1.51525</t>
  </si>
  <si>
    <t>2015-1-20 16:56:22.334: TransitionLogger - processTransitionpoint - checking transition - currentHedgeShortfall is 0</t>
  </si>
  <si>
    <t>2015-1-20 16:56:22.335: Algorithm - updatePortfolio - haveAllDetails is True</t>
  </si>
  <si>
    <t>2015-1-20 16:56:22.336: RTWSControl - updatePortfolioEx - An Error Occured Object variable or With block variable not set</t>
  </si>
  <si>
    <t>2015-1-20 16:56:22.379: Algorithm - FindNextStrikes - price is 1.51535 nextStrikeUp/Down 1.52/1.515</t>
  </si>
  <si>
    <t>2015-1-20 16:56:22.380: Algorithm - getPortfolioForwardDelta - required deltas is 100 currentHedgePosition is 100</t>
  </si>
  <si>
    <t>2015-1-20 16:56:22.380: Algorithm - getHedgeShortfall - required deltas is 100 price is 1.51525 currentHedgePositionDeltas is 100</t>
  </si>
  <si>
    <t>2015-1-20 16:56:22.381: Algorithm - processTransitionPoint - nextUpper/LowerStrikes are 1.52/1.515 requiredDeltas/currentPosition/currentHedgeShortfall/direction/transitionPrice are 100/100/0/-1/1.51525</t>
  </si>
  <si>
    <t>2015-1-20 16:56:22.381: TransitionLogger - processTransitionpoint - checking transition - currentHedgeShortfall is 0</t>
  </si>
  <si>
    <t>2015-1-20 16:56:22.382: Algorithm - updatePortfolio - haveAllDetails is True</t>
  </si>
  <si>
    <t>2015-1-20 16:56:22.383: RTWSControl - updatePortfolioEx - An Error Occured Object variable or With block variable not set</t>
  </si>
  <si>
    <t>2015-1-20 16:56:22.453: Algorithm - FindNextStrikes - price is 1.51535 nextStrikeUp/Down 1.52/1.515</t>
  </si>
  <si>
    <t>2015-1-20 16:56:22.453: Algorithm - getPortfolioForwardDelta - required deltas is 100 currentHedgePosition is 100</t>
  </si>
  <si>
    <t>2015-1-20 16:56:22.454: Algorithm - getHedgeShortfall - required deltas is 100 price is 1.51525 currentHedgePositionDeltas is 100</t>
  </si>
  <si>
    <t>2015-1-20 16:56:22.454: Algorithm - processTransitionPoint - nextUpper/LowerStrikes are 1.52/1.515 requiredDeltas/currentPosition/currentHedgeShortfall/direction/transitionPrice are 100/100/0/-1/1.51525</t>
  </si>
  <si>
    <t>2015-1-20 16:56:22.455: TransitionLogger - processTransitionpoint - checking transition - currentHedgeShortfall is 0</t>
  </si>
  <si>
    <t>2015-1-20 16:56:22.456: Algorithm - updatePortfolio - haveAllDetails is True</t>
  </si>
  <si>
    <t>2015-1-20 16:56:22.457: RTWSControl - updatePortfolioEx - An Error Occured Object variable or With block variable not set</t>
  </si>
  <si>
    <t>2015-1-20 16:56:22.512: Algorithm - FindNextStrikes - price is 1.51535 nextStrikeUp/Down 1.52/1.515</t>
  </si>
  <si>
    <t>2015-1-20 16:56:22.513: Algorithm - getPortfolioForwardDelta - required deltas is 100 currentHedgePosition is 100</t>
  </si>
  <si>
    <t>2015-1-20 16:56:22.513: Algorithm - getHedgeShortfall - required deltas is 100 price is 1.51525 currentHedgePositionDeltas is 100</t>
  </si>
  <si>
    <t>2015-1-20 16:56:22.514: Algorithm - processTransitionPoint - nextUpper/LowerStrikes are 1.52/1.515 requiredDeltas/currentPosition/currentHedgeShortfall/direction/transitionPrice are 100/100/0/-1/1.51525</t>
  </si>
  <si>
    <t>2015-1-20 16:56:22.514: TransitionLogger - processTransitionpoint - checking transition - currentHedgeShortfall is 0</t>
  </si>
  <si>
    <t>2015-1-20 16:56:22.515: Algorithm - updatePortfolio - haveAllDetails is True</t>
  </si>
  <si>
    <t>2015-1-20 16:56:22.516: RTWSControl - updatePortfolioEx - An Error Occured Object variable or With block variable not set</t>
  </si>
  <si>
    <t>2015-1-20 16:56:22.581: Algorithm - FindNextStrikes - price is 1.51535 nextStrikeUp/Down 1.52/1.515</t>
  </si>
  <si>
    <t>2015-1-20 16:56:22.581: Algorithm - getPortfolioForwardDelta - required deltas is 100 currentHedgePosition is 100</t>
  </si>
  <si>
    <t>2015-1-20 16:56:22.582: Algorithm - getHedgeShortfall - required deltas is 100 price is 1.51525 currentHedgePositionDeltas is 100</t>
  </si>
  <si>
    <t>2015-1-20 16:56:22.582: Algorithm - processTransitionPoint - nextUpper/LowerStrikes are 1.52/1.515 requiredDeltas/currentPosition/currentHedgeShortfall/direction/transitionPrice are 100/100/0/-1/1.51525</t>
  </si>
  <si>
    <t>2015-1-20 16:56:22.583: TransitionLogger - processTransitionpoint - checking transition - currentHedgeShortfall is 0</t>
  </si>
  <si>
    <t>2015-1-20 16:56:22.584: Algorithm - updatePortfolio - haveAllDetails is True</t>
  </si>
  <si>
    <t>2015-1-20 16:56:22.585: RTWSControl - updatePortfolioEx - An Error Occured Object variable or With block variable not set</t>
  </si>
  <si>
    <t>2015-1-20 16:56:29.523: TransitionLogger - flushFile - flushing file</t>
  </si>
  <si>
    <t>2015-1-20 16:56:29.525: TransitionLogger - openTransitionFile - opening file C:\temp\transitionlog_2015-01-20_153021</t>
  </si>
  <si>
    <t>2015-1-20 16:56:35.617: DirectionIndicator - notify - price/longMA/ShortMA/prevDirection are 1.5153/1.51543911202704/1.51538133911749/-1</t>
  </si>
  <si>
    <t>2015-1-20 16:56:35.697: DirectionIndicator - notify - price/longMA/ShortMA/prevDirection are 1.51525/1.51540472802213/1.51533755941166/-1</t>
  </si>
  <si>
    <t>2015-1-20 16:56:42.453: DirectionIndicator - notify - price/longMA/ShortMA/prevDirection are 1.5153/1.51538568656356/1.51532503960777/-1</t>
  </si>
  <si>
    <t>2015-1-20 16:56:47.508: DirectionIndicator - notify - price/longMA/ShortMA/prevDirection are 1.51525/1.51536101627928/1.51530002640518/-1</t>
  </si>
  <si>
    <t>2015-1-20 16:56:59.119: DirectionIndicator - notify - price/longMA/ShortMA/prevDirection are 1.5152/1.51533174059213/1.51526668427012/-1</t>
  </si>
  <si>
    <t>2015-1-20 16:56:59.198: DirectionIndicator - notify - price/longMA/ShortMA/prevDirection are 1.51515/1.51529869684811/1.51522778951341/-1</t>
  </si>
  <si>
    <t>2015-1-20 16:57:2.116: Algorithm - FindNextStrikes - price is 1.51515 nextStrikeUp/Down 1.52/1.515</t>
  </si>
  <si>
    <t>2015-1-20 16:57:2.116: Algorithm - getPortfolioForwardDelta - required deltas is 100 currentHedgePosition is 100</t>
  </si>
  <si>
    <t>2015-1-20 16:57:2.117: Algorithm - getHedgeShortfall - required deltas is 100 price is 1.51505 currentHedgePositionDeltas is 100</t>
  </si>
  <si>
    <t>2015-1-20 16:57:2.117: Algorithm - processTransitionPoint - nextUpper/LowerStrikes are 1.52/1.515 requiredDeltas/currentPosition/currentHedgeShortfall/direction/transitionPrice are 100/100/0/-1/1.51505</t>
  </si>
  <si>
    <t>2015-1-20 16:57:2.118: TransitionLogger - processTransitionpoint - checking transition - currentHedgeShortfall is 0</t>
  </si>
  <si>
    <t>2015-1-20 16:57:2.119: Algorithm - updatePortfolio - haveAllDetails is True</t>
  </si>
  <si>
    <t>2015-1-20 16:57:2.120: RTWSControl - updatePortfolioEx - An Error Occured Object variable or With block variable not set</t>
  </si>
  <si>
    <t>2015-1-20 16:57:2.159: Algorithm - FindNextStrikes - price is 1.51515 nextStrikeUp/Down 1.52/1.515</t>
  </si>
  <si>
    <t>2015-1-20 16:57:2.159: Algorithm - getPortfolioForwardDelta - required deltas is 100 currentHedgePosition is 101</t>
  </si>
  <si>
    <t>2015-1-20 16:57:2.159: Algorithm - getHedgeShortfall - required deltas is 100 price is 1.51505 currentHedgePositionDeltas is 101</t>
  </si>
  <si>
    <t>2015-1-20 16:57:2.160: Algorithm - processTransitionPoint - nextUpper/LowerStrikes are 1.52/1.515 requiredDeltas/currentPosition/currentHedgeShortfall/direction/transitionPrice are 100/101/-1/-1/1.51505</t>
  </si>
  <si>
    <t>2015-1-20 16:57:2.161: TransitionLogger - processTransitionpoint - checking transition - currentHedgeShortfall is -1</t>
  </si>
  <si>
    <t>2015-1-20 16:57:2.161: TransitionLogger - startTransition - begining a new transition</t>
  </si>
  <si>
    <t>2015-1-20 16:57:2.162: Algorithm - handleTransition - currentHedgeShortfall is NOT ZERO and AUTOHEDGE IS NOT ENABLED!</t>
  </si>
  <si>
    <t>2015-1-20 16:57:2.163: Algorithm - updatePortfolio - haveAllDetails is True</t>
  </si>
  <si>
    <t>2015-1-20 16:57:2.164: RTWSControl - updatePortfolioEx - An Error Occured Object variable or With block variable not set</t>
  </si>
  <si>
    <t>2015-1-20 16:57:2.210: Algorithm - FindNextStrikes - price is 1.51515 nextStrikeUp/Down 1.52/1.515</t>
  </si>
  <si>
    <t>2015-1-20 16:57:2.210: Algorithm - getPortfolioForwardDelta - required deltas is 100 currentHedgePosition is 101</t>
  </si>
  <si>
    <t>2015-1-20 16:57:2.211: Algorithm - getHedgeShortfall - required deltas is 100 price is 1.51505 currentHedgePositionDeltas is 101</t>
  </si>
  <si>
    <t>2015-1-20 16:57:2.211: Algorithm - processTransitionPoint - nextUpper/LowerStrikes are 1.52/1.515 requiredDeltas/currentPosition/currentHedgeShortfall/direction/transitionPrice are 100/101/-1/-1/1.51505</t>
  </si>
  <si>
    <t>2015-1-20 16:57:2.212: TransitionLogger - processTransitionpoint - checking transition - currentHedgeShortfall is -1</t>
  </si>
  <si>
    <t>2015-1-20 16:57:2.212: Algorithm - handleTransition - currentHedgeShortfall is NOT ZERO and AUTOHEDGE IS NOT ENABLED!</t>
  </si>
  <si>
    <t>2015-1-20 16:57:2.213: Algorithm - updatePortfolio - haveAllDetails is True</t>
  </si>
  <si>
    <t>2015-1-20 16:57:2.214: RTWSControl - updatePortfolioEx - An Error Occured Object variable or With block variable not set</t>
  </si>
  <si>
    <t>2015-1-20 16:57:2.264: Algorithm - FindNextStrikes - price is 1.51515 nextStrikeUp/Down 1.52/1.515</t>
  </si>
  <si>
    <t>2015-1-20 16:57:2.264: Algorithm - getPortfolioForwardDelta - required deltas is 100 currentHedgePosition is 101</t>
  </si>
  <si>
    <t>2015-1-20 16:57:2.265: Algorithm - getHedgeShortfall - required deltas is 100 price is 1.51505 currentHedgePositionDeltas is 101</t>
  </si>
  <si>
    <t>2015-1-20 16:57:2.265: Algorithm - processTransitionPoint - nextUpper/LowerStrikes are 1.52/1.515 requiredDeltas/currentPosition/currentHedgeShortfall/direction/transitionPrice are 100/101/-1/-1/1.51505</t>
  </si>
  <si>
    <t>2015-1-20 16:57:2.266: TransitionLogger - processTransitionpoint - checking transition - currentHedgeShortfall is -1</t>
  </si>
  <si>
    <t>2015-1-20 16:57:2.266: Algorithm - handleTransition - currentHedgeShortfall is NOT ZERO and AUTOHEDGE IS NOT ENABLED!</t>
  </si>
  <si>
    <t>2015-1-20 16:57:2.267: Algorithm - updatePortfolio - haveAllDetails is True</t>
  </si>
  <si>
    <t>2015-1-20 16:57:2.268: RTWSControl - updatePortfolioEx - An Error Occured Object variable or With block variable not set</t>
  </si>
  <si>
    <t>2015-1-20 16:57:2.332: Algorithm - FindNextStrikes - price is 1.51515 nextStrikeUp/Down 1.52/1.515</t>
  </si>
  <si>
    <t>2015-1-20 16:57:2.332: Algorithm - getPortfolioForwardDelta - required deltas is 100 currentHedgePosition is 101</t>
  </si>
  <si>
    <t>2015-1-20 16:57:2.333: Algorithm - getHedgeShortfall - required deltas is 100 price is 1.51505 currentHedgePositionDeltas is 101</t>
  </si>
  <si>
    <t>2015-1-20 16:57:2.333: Algorithm - processTransitionPoint - nextUpper/LowerStrikes are 1.52/1.515 requiredDeltas/currentPosition/currentHedgeShortfall/direction/transitionPrice are 100/101/-1/-1/1.51505</t>
  </si>
  <si>
    <t>2015-1-20 16:57:2.334: TransitionLogger - processTransitionpoint - checking transition - currentHedgeShortfall is -1</t>
  </si>
  <si>
    <t>2015-1-20 16:57:2.334: Algorithm - handleTransition - currentHedgeShortfall is NOT ZERO and AUTOHEDGE IS NOT ENABLED!</t>
  </si>
  <si>
    <t>2015-1-20 16:57:2.335: Algorithm - updatePortfolio - haveAllDetails is True</t>
  </si>
  <si>
    <t>2015-1-20 16:57:2.336: RTWSControl - updatePortfolioEx - An Error Occured Object variable or With block variable not set</t>
  </si>
  <si>
    <t>2015-1-20 16:57:2.391: Algorithm - FindNextStrikes - price is 1.51515 nextStrikeUp/Down 1.52/1.515</t>
  </si>
  <si>
    <t>2015-1-20 16:57:2.392: Algorithm - getPortfolioForwardDelta - required deltas is 100 currentHedgePosition is 101</t>
  </si>
  <si>
    <t>2015-1-20 16:57:2.392: Algorithm - getHedgeShortfall - required deltas is 100 price is 1.51505 currentHedgePositionDeltas is 101</t>
  </si>
  <si>
    <t>2015-1-20 16:57:2.392: Algorithm - processTransitionPoint - nextUpper/LowerStrikes are 1.52/1.515 requiredDeltas/currentPosition/currentHedgeShortfall/direction/transitionPrice are 100/101/-1/-1/1.51505</t>
  </si>
  <si>
    <t>2015-1-20 16:57:2.393: TransitionLogger - processTransitionpoint - checking transition - currentHedgeShortfall is -1</t>
  </si>
  <si>
    <t>2015-1-20 16:57:2.393: Algorithm - handleTransition - currentHedgeShortfall is NOT ZERO and AUTOHEDGE IS NOT ENABLED!</t>
  </si>
  <si>
    <t>2015-1-20 16:57:2.394: Algorithm - updatePortfolio - haveAllDetails is True</t>
  </si>
  <si>
    <t>2015-1-20 16:57:2.396: RTWSControl - updatePortfolioEx - An Error Occured Object variable or With block variable not set</t>
  </si>
  <si>
    <t>2015-1-20 16:57:7.921: DirectionIndicator - notify - price/longMA/ShortMA/prevDirection are 1.5151/1.51526257014845/1.51518519300894/-1</t>
  </si>
  <si>
    <t>2015-1-20 16:57:7.922: Algorithm - handleTransition - currentHedgeShortfall is NOT ZERO and AUTOHEDGE IS NOT ENABLED!</t>
  </si>
  <si>
    <t>2015-1-20 16:57:8.36: TransitionLogger - flushFile - flushing file</t>
  </si>
  <si>
    <t>2015-1-20 16:57:8.36: TransitionLogger - openTransitionFile - opening file C:\temp\transitionlog_2015-01-20_153021</t>
  </si>
  <si>
    <t>2015-1-20 16:57:11.862: DirectionIndicator - notify - price/longMA/ShortMA/prevDirection are 1.51505/1.51522392103055/1.51514012867263/-1</t>
  </si>
  <si>
    <t>2015-1-20 16:57:11.864: Algorithm - handleTransition - currentHedgeShortfall is NOT ZERO and AUTOHEDGE IS NOT ENABLED!</t>
  </si>
  <si>
    <t>2015-1-20 16:57:13.114: DirectionIndicator - notify - price/longMA/ShortMA/prevDirection are 1.515/1.51518320811591/1.51509341911509/-1</t>
  </si>
  <si>
    <t>2015-1-20 16:57:13.115: Algorithm - FindNextStrikes - price is 1.515 nextStrikeUp/Down 1.52/0</t>
  </si>
  <si>
    <t>2015-1-20 16:57:13.115: Algorithm - getPortfolioForwardDelta - required deltas is -200 currentHedgePosition is 101</t>
  </si>
  <si>
    <t>2015-1-20 16:57:13.115: Algorithm - getHedgeShortfall - required deltas is -200 price is 1.5149 currentHedgePositionDeltas is 101</t>
  </si>
  <si>
    <t>2015-1-20 16:57:13.116: Algorithm - processTransitionPoint - nextUpper/LowerStrikes are 1.52/0 requiredDeltas/currentPosition/currentHedgeShortfall/direction/transitionPrice are -200/101/-301/-1/1.5149</t>
  </si>
  <si>
    <t>2015-1-20 16:57:13.117: TransitionLogger - processTransitionpoint - checking transition - currentHedgeShortfall is -301</t>
  </si>
  <si>
    <t>2015-1-20 16:57:13.117: Algorithm - handleTransition - currentHedgeShortfall is NOT ZERO and AUTOHEDGE IS NOT ENABLED!</t>
  </si>
  <si>
    <t>2015-1-20 16:57:13.169: DirectionIndicator - notify - price/longMA/ShortMA/prevDirection are 1.51495/1.51514080664029/1.51504561274339/-1</t>
  </si>
  <si>
    <t>2015-1-20 16:57:13.170: Algorithm - handleTransition - currentHedgeShortfall is NOT ZERO and AUTOHEDGE IS NOT ENABLED!</t>
  </si>
  <si>
    <t>2015-1-20 16:57:16.580: Algorithm - FindNextStrikes - price is 1.51495 nextStrikeUp/Down 1.515/0</t>
  </si>
  <si>
    <t>2015-1-20 16:57:16.581: Algorithm - getPortfolioForwardDelta - required deltas is -200 currentHedgePosition is 101</t>
  </si>
  <si>
    <t>2015-1-20 16:57:16.582: Algorithm - getHedgeShortfall - required deltas is -200 price is 1.51485 currentHedgePositionDeltas is 101</t>
  </si>
  <si>
    <t>2015-1-20 16:57:16.582: Algorithm - processTransitionPoint - nextUpper/LowerStrikes are 1.515/0 requiredDeltas/currentPosition/currentHedgeShortfall/direction/transitionPrice are -200/101/-301/-1/1.51485</t>
  </si>
  <si>
    <t>2015-1-20 16:57:16.583: TransitionLogger - processTransitionpoint - checking transition - currentHedgeShortfall is -301</t>
  </si>
  <si>
    <t>2015-1-20 16:57:16.583: Algorithm - handleTransition - currentHedgeShortfall is NOT ZERO and AUTOHEDGE IS NOT ENABLED!</t>
  </si>
  <si>
    <t>2015-1-20 16:57:16.584: Algorithm - updatePortfolio - haveAllDetails is True</t>
  </si>
  <si>
    <t>2015-1-20 16:57:16.585: RTWSControl - updatePortfolioEx - An Error Occured Object variable or With block variable not set</t>
  </si>
  <si>
    <t>2015-1-20 16:57:16.626: Algorithm - FindNextStrikes - price is 1.51495 nextStrikeUp/Down 1.515/0</t>
  </si>
  <si>
    <t>2015-1-20 16:57:16.626: Algorithm - getPortfolioForwardDelta - required deltas is -200 currentHedgePosition is 101</t>
  </si>
  <si>
    <t>2015-1-20 16:57:16.627: Algorithm - getHedgeShortfall - required deltas is -200 price is 1.51485 currentHedgePositionDeltas is 101</t>
  </si>
  <si>
    <t>2015-1-20 16:57:16.627: Algorithm - processTransitionPoint - nextUpper/LowerStrikes are 1.515/0 requiredDeltas/currentPosition/currentHedgeShortfall/direction/transitionPrice are -200/101/-301/-1/1.51485</t>
  </si>
  <si>
    <t>2015-1-20 16:57:16.628: TransitionLogger - processTransitionpoint - checking transition - currentHedgeShortfall is -301</t>
  </si>
  <si>
    <t>2015-1-20 16:57:16.628: Algorithm - handleTransition - currentHedgeShortfall is NOT ZERO and AUTOHEDGE IS NOT ENABLED!</t>
  </si>
  <si>
    <t>2015-1-20 16:57:16.629: Algorithm - updatePortfolio - haveAllDetails is True</t>
  </si>
  <si>
    <t>2015-1-20 16:57:16.630: RTWSControl - updatePortfolioEx - An Error Occured Object variable or With block variable not set</t>
  </si>
  <si>
    <t>2015-1-20 16:57:16.674: Algorithm - FindNextStrikes - price is 1.51495 nextStrikeUp/Down 1.515/0</t>
  </si>
  <si>
    <t>2015-1-20 16:57:16.674: Algorithm - getPortfolioForwardDelta - required deltas is -200 currentHedgePosition is 101</t>
  </si>
  <si>
    <t>2015-1-20 16:57:16.674: Algorithm - getHedgeShortfall - required deltas is -200 price is 1.51485 currentHedgePositionDeltas is 101</t>
  </si>
  <si>
    <t>2015-1-20 16:57:16.675: Algorithm - processTransitionPoint - nextUpper/LowerStrikes are 1.515/0 requiredDeltas/currentPosition/currentHedgeShortfall/direction/transitionPrice are -200/101/-301/-1/1.51485</t>
  </si>
  <si>
    <t>2015-1-20 16:57:16.675: TransitionLogger - processTransitionpoint - checking transition - currentHedgeShortfall is -301</t>
  </si>
  <si>
    <t>2015-1-20 16:57:16.676: Algorithm - handleTransition - currentHedgeShortfall is NOT ZERO and AUTOHEDGE IS NOT ENABLED!</t>
  </si>
  <si>
    <t>2015-1-20 16:57:16.677: Algorithm - updatePortfolio - haveAllDetails is True</t>
  </si>
  <si>
    <t>2015-1-20 16:57:16.678: RTWSControl - updatePortfolioEx - An Error Occured Object variable or With block variable not set</t>
  </si>
  <si>
    <t>2015-1-20 16:57:16.749: Algorithm - FindNextStrikes - price is 1.51495 nextStrikeUp/Down 1.515/0</t>
  </si>
  <si>
    <t>2015-1-20 16:57:16.749: Algorithm - getPortfolioForwardDelta - required deltas is -200 currentHedgePosition is 101</t>
  </si>
  <si>
    <t>2015-1-20 16:57:16.750: Algorithm - getHedgeShortfall - required deltas is -200 price is 1.51485 currentHedgePositionDeltas is 101</t>
  </si>
  <si>
    <t>2015-1-20 16:57:16.750: Algorithm - processTransitionPoint - nextUpper/LowerStrikes are 1.515/0 requiredDeltas/currentPosition/currentHedgeShortfall/direction/transitionPrice are -200/101/-301/-1/1.51485</t>
  </si>
  <si>
    <t>2015-1-20 16:57:16.751: TransitionLogger - processTransitionpoint - checking transition - currentHedgeShortfall is -301</t>
  </si>
  <si>
    <t>2015-1-20 16:57:16.751: Algorithm - handleTransition - currentHedgeShortfall is NOT ZERO and AUTOHEDGE IS NOT ENABLED!</t>
  </si>
  <si>
    <t>2015-1-20 16:57:16.752: Algorithm - updatePortfolio - haveAllDetails is True</t>
  </si>
  <si>
    <t>2015-1-20 16:57:16.753: RTWSControl - updatePortfolioEx - An Error Occured Object variable or With block variable not set</t>
  </si>
  <si>
    <t>2015-1-20 16:57:16.808: Algorithm - FindNextStrikes - price is 1.51495 nextStrikeUp/Down 1.515/0</t>
  </si>
  <si>
    <t>2015-1-20 16:57:16.808: Algorithm - getPortfolioForwardDelta - required deltas is -200 currentHedgePosition is 101</t>
  </si>
  <si>
    <t>2015-1-20 16:57:16.809: Algorithm - getHedgeShortfall - required deltas is -200 price is 1.51485 currentHedgePositionDeltas is 101</t>
  </si>
  <si>
    <t>2015-1-20 16:57:16.809: Algorithm - processTransitionPoint - nextUpper/LowerStrikes are 1.515/0 requiredDeltas/currentPosition/currentHedgeShortfall/direction/transitionPrice are -200/101/-301/-1/1.51485</t>
  </si>
  <si>
    <t>2015-1-20 16:57:16.810: TransitionLogger - processTransitionpoint - checking transition - currentHedgeShortfall is -301</t>
  </si>
  <si>
    <t>2015-1-20 16:57:16.810: Algorithm - handleTransition - currentHedgeShortfall is NOT ZERO and AUTOHEDGE IS NOT ENABLED!</t>
  </si>
  <si>
    <t>2015-1-20 16:57:16.811: Algorithm - updatePortfolio - haveAllDetails is True</t>
  </si>
  <si>
    <t>2015-1-20 16:57:16.812: RTWSControl - updatePortfolioEx - An Error Occured Object variable or With block variable not set</t>
  </si>
  <si>
    <t>2015-1-20 16:57:16.875: Algorithm - FindNextStrikes - price is 1.51495 nextStrikeUp/Down 1.515/0</t>
  </si>
  <si>
    <t>2015-1-20 16:57:16.875: Algorithm - getPortfolioForwardDelta - required deltas is -200 currentHedgePosition is 101</t>
  </si>
  <si>
    <t>2015-1-20 16:57:16.876: Algorithm - getHedgeShortfall - required deltas is -200 price is 1.51485 currentHedgePositionDeltas is 101</t>
  </si>
  <si>
    <t>2015-1-20 16:57:16.876: Algorithm - processTransitionPoint - nextUpper/LowerStrikes are 1.515/0 requiredDeltas/currentPosition/currentHedgeShortfall/direction/transitionPrice are -200/101/-301/-1/1.51485</t>
  </si>
  <si>
    <t>2015-1-20 16:57:16.877: TransitionLogger - processTransitionpoint - checking transition - currentHedgeShortfall is -301</t>
  </si>
  <si>
    <t>2015-1-20 16:57:16.877: Algorithm - handleTransition - currentHedgeShortfall is NOT ZERO and AUTOHEDGE IS NOT ENABLED!</t>
  </si>
  <si>
    <t>2015-1-20 16:57:16.878: Algorithm - updatePortfolio - haveAllDetails is True</t>
  </si>
  <si>
    <t>2015-1-20 16:57:16.879: RTWSControl - updatePortfolioEx - An Error Occured Object variable or With block variable not set</t>
  </si>
  <si>
    <t>2015-1-20 16:57:17.953: DirectionIndicator - notify - price/longMA/ShortMA/prevDirection are 1.5149/1.51509702361478/1.51499707516226/-1</t>
  </si>
  <si>
    <t>2015-1-20 16:57:17.954: Algorithm - handleTransition - currentHedgeShortfall is NOT ZERO and AUTOHEDGE IS NOT ENABLED!</t>
  </si>
  <si>
    <t>2015-1-20 16:57:18.32: DirectionIndicator - notify - price/longMA/ShortMA/prevDirection are 1.51485/1.51505211023027/1.51494805010817/-1</t>
  </si>
  <si>
    <t>2015-1-20 16:57:18.32: Algorithm - handleTransition - currentHedgeShortfall is NOT ZERO and AUTOHEDGE IS NOT ENABLED!</t>
  </si>
  <si>
    <t>2015-1-20 16:57:19.120: DirectionIndicator - notify - price/longMA/ShortMA/prevDirection are 1.5148/1.51500627200659/1.51489870007212/-1</t>
  </si>
  <si>
    <t>2015-1-20 16:57:19.121: Algorithm - handleTransition - currentHedgeShortfall is NOT ZERO and AUTOHEDGE IS NOT ENABLED!</t>
  </si>
  <si>
    <t>2015-1-20 16:57:19.335: DirectionIndicator - notify - price/longMA/ShortMA/prevDirection are 1.51475/1.5149596770963/1.51484913338141/-1</t>
  </si>
  <si>
    <t>2015-1-20 16:57:19.336: Algorithm - handleTransition - currentHedgeShortfall is NOT ZERO and AUTOHEDGE IS NOT ENABLED!</t>
  </si>
  <si>
    <t>2015-1-20 16:57:19.582: DirectionIndicator - notify - price/longMA/ShortMA/prevDirection are 1.5148/1.51493064489697/1.51483275558761/-1</t>
  </si>
  <si>
    <t>2015-1-20 16:57:19.582: Algorithm - handleTransition - currentHedgeShortfall is NOT ZERO and AUTOHEDGE IS NOT ENABLED!</t>
  </si>
  <si>
    <t>2015-1-20 16:57:19.917: DirectionIndicator - notify - price/longMA/ShortMA/prevDirection are 1.51475/1.51489780037025/1.51480517039174/-1</t>
  </si>
  <si>
    <t>2015-1-20 16:57:19.918: Algorithm - handleTransition - currentHedgeShortfall is NOT ZERO and AUTOHEDGE IS NOT ENABLED!</t>
  </si>
  <si>
    <t>2015-1-20 16:57:20.493: DirectionIndicator - notify - price/longMA/ShortMA/prevDirection are 1.5148/1.51488001848475/1.51480344692783/-1</t>
  </si>
  <si>
    <t>2015-1-20 16:57:20.494: Algorithm - handleTransition - currentHedgeShortfall is NOT ZERO and AUTOHEDGE IS NOT ENABLED!</t>
  </si>
  <si>
    <t>2015-1-20 16:57:20.573: DirectionIndicator - notify - price/longMA/ShortMA/prevDirection are 1.51485/1.51487456057843/1.51481896461855/-1</t>
  </si>
  <si>
    <t>2015-1-20 16:57:20.573: Algorithm - handleTransition - currentHedgeShortfall is NOT ZERO and AUTOHEDGE IS NOT ENABLED!</t>
  </si>
  <si>
    <t>2015-1-20 16:57:20.788: DirectionIndicator - notify - price/longMA/ShortMA/prevDirection are 1.5148/1.51486100410963/1.51481264307903/-1</t>
  </si>
  <si>
    <t>2015-1-20 16:57:20.789: Algorithm - handleTransition - currentHedgeShortfall is NOT ZERO and AUTOHEDGE IS NOT ENABLED!</t>
  </si>
  <si>
    <t>2015-1-20 16:57:22.208: DirectionIndicator - notify - price/longMA/ShortMA/prevDirection are 1.51475/1.51484082154424/1.51479176205269/-1</t>
  </si>
  <si>
    <t>2015-1-20 16:57:22.210: Algorithm - handleTransition - currentHedgeShortfall is NOT ZERO and AUTOHEDGE IS NOT ENABLED!</t>
  </si>
  <si>
    <t>2015-1-20 16:57:22.577: DirectionIndicator - notify - price/longMA/ShortMA/prevDirection are 1.5148/1.51483339944529/1.51479450803513/-1</t>
  </si>
  <si>
    <t>2015-1-20 16:57:22.578: Algorithm - handleTransition - currentHedgeShortfall is NOT ZERO and AUTOHEDGE IS NOT ENABLED!</t>
  </si>
  <si>
    <t>2015-1-20 16:57:22.657: DirectionIndicator - notify - price/longMA/ShortMA/prevDirection are 1.51485/1.51483641772796/1.51481300535675/-1</t>
  </si>
  <si>
    <t>2015-1-20 16:57:22.658: Algorithm - handleTransition - currentHedgeShortfall is NOT ZERO and AUTOHEDGE IS NOT ENABLED!</t>
  </si>
  <si>
    <t>2015-1-20 16:57:24.383: DirectionIndicator - notify - price/longMA/ShortMA/prevDirection are 1.5149/1.51484797814106/1.51484200357117/-1</t>
  </si>
  <si>
    <t>2015-1-20 16:57:24.383: Algorithm - handleTransition - currentHedgeShortfall is NOT ZERO and AUTOHEDGE IS NOT ENABLED!</t>
  </si>
  <si>
    <t>2015-1-20 16:57:25.240: DirectionIndicator - notify - price/longMA/ShortMA/prevDirection are 1.51485/1.51484834575178/1.51484466904744/-1</t>
  </si>
  <si>
    <t>2015-1-20 16:57:25.241: Algorithm - handleTransition - currentHedgeShortfall is NOT ZERO and AUTOHEDGE IS NOT ENABLED!</t>
  </si>
  <si>
    <t>2015-1-20 16:57:27.324: DirectionIndicator - notify - price/longMA/ShortMA/prevDirection are 1.5149/1.51485773743327/1.5148631126983/-1</t>
  </si>
  <si>
    <t>2015-1-20 16:57:27.325: Algorithm - handleTransition - currentHedgeShortfall is NOT ZERO and AUTOHEDGE IS NOT ENABLED!</t>
  </si>
  <si>
    <t>2015-1-20 16:57:27.663: DirectionIndicator - notify - price/longMA/ShortMA/prevDirection are 1.51495/1.5148745124454/1.5148920751322/-1</t>
  </si>
  <si>
    <t>2015-1-20 16:57:27.664: Algorithm - handleTransition - currentHedgeShortfall is NOT ZERO and AUTOHEDGE IS NOT ENABLED!</t>
  </si>
  <si>
    <t>2015-1-20 16:57:28.283: DirectionIndicator - notify - price/longMA/ShortMA/prevDirection are 1.515/1.51489732836442/1.51492805008813/-1</t>
  </si>
  <si>
    <t>2015-1-20 16:57:28.284: Algorithm - FindNextStrikes - price is 1.515 nextStrikeUp/Down 1.52/0</t>
  </si>
  <si>
    <t>2015-1-20 16:57:28.284: Algorithm - getPortfolioForwardDelta - required deltas is 100 currentHedgePosition is 101</t>
  </si>
  <si>
    <t>2015-1-20 16:57:28.284: Algorithm - getHedgeShortfall - required deltas is 100 price is 1.5151 currentHedgePositionDeltas is 101</t>
  </si>
  <si>
    <t>2015-1-20 16:57:28.285: Algorithm - processTransitionPoint - nextUpper/LowerStrikes are 1.52/0 requiredDeltas/currentPosition/currentHedgeShortfall/direction/transitionPrice are 100/101/-1/1/1.5151</t>
  </si>
  <si>
    <t>2015-1-20 16:57:28.285: TransitionLogger - processTransitionpoint - checking transition - currentHedgeShortfall is -1</t>
  </si>
  <si>
    <t>2015-1-20 16:57:28.286: Algorithm - handleTransition - currentHedgeShortfall is NOT ZERO and AUTOHEDGE IS NOT ENABLED!</t>
  </si>
  <si>
    <t>2015-1-20 16:57:29.74: TransitionLogger - flushFile - flushing file</t>
  </si>
  <si>
    <t>2015-1-20 16:57:29.74: TransitionLogger - openTransitionFile - opening file C:\temp\transitionlog_2015-01-20_153021</t>
  </si>
  <si>
    <t>2015-1-20 16:57:35.434: DirectionIndicator - notify - price/longMA/ShortMA/prevDirection are 1.51505/1.51492508684362/1.51496870005875/1</t>
  </si>
  <si>
    <t>2015-1-20 16:57:35.437: Algorithm - handleTransition - currentHedgeShortfall is NOT ZERO and AUTOHEDGE IS NOT ENABLED!</t>
  </si>
  <si>
    <t>2015-1-20 16:57:38.543: DirectionIndicator - notify - price/longMA/ShortMA/prevDirection are 1.5151/1.51495688923569/1.51501246670584/1</t>
  </si>
  <si>
    <t>2015-1-20 16:57:38.544: Algorithm - handleTransition - currentHedgeShortfall is NOT ZERO and AUTOHEDGE IS NOT ENABLED!</t>
  </si>
  <si>
    <t>2015-1-20 16:57:38.616: DirectionIndicator - notify - price/longMA/ShortMA/prevDirection are 1.51515/1.51499200028374/1.51505831113722/1</t>
  </si>
  <si>
    <t>2015-1-20 16:57:38.617: Algorithm - handleTransition - currentHedgeShortfall is NOT ZERO and AUTOHEDGE IS NOT ENABLED!</t>
  </si>
  <si>
    <t>2015-1-20 16:57:39.244: DirectionIndicator - notify - price/longMA/ShortMA/prevDirection are 1.5152/1.51502981841397/1.51510554075815/1</t>
  </si>
  <si>
    <t>2015-1-20 16:57:39.245: Algorithm - handleTransition - currentHedgeShortfall is NOT ZERO and AUTOHEDGE IS NOT ENABLED!</t>
  </si>
  <si>
    <t>2015-1-20 16:57:39.458: DirectionIndicator - notify - price/longMA/ShortMA/prevDirection are 1.51525/1.51506985142961/1.51515369383877/1</t>
  </si>
  <si>
    <t>2015-1-20 16:57:39.459: Algorithm - handleTransition - currentHedgeShortfall is NOT ZERO and AUTOHEDGE IS NOT ENABLED!</t>
  </si>
  <si>
    <t>2015-1-20 16:57:42.296: DirectionIndicator - notify - price/longMA/ShortMA/prevDirection are 1.5152/1.51509351480605/1.51516912922584/1</t>
  </si>
  <si>
    <t>2015-1-20 16:57:42.297: Algorithm - handleTransition - currentHedgeShortfall is NOT ZERO and AUTOHEDGE IS NOT ENABLED!</t>
  </si>
  <si>
    <t>2015-1-20 16:57:42.365: DirectionIndicator - notify - price/longMA/ShortMA/prevDirection are 1.51515/1.51510378484131/1.51516275281723/1</t>
  </si>
  <si>
    <t>2015-1-20 16:57:42.366: Algorithm - handleTransition - currentHedgeShortfall is NOT ZERO and AUTOHEDGE IS NOT ENABLED!</t>
  </si>
  <si>
    <t>2015-1-20 16:57:44.245: DirectionIndicator - notify - price/longMA/ShortMA/prevDirection are 1.5152/1.51512127850653/1.51517516854482/1</t>
  </si>
  <si>
    <t>2015-1-20 16:57:44.245: Algorithm - handleTransition - currentHedgeShortfall is NOT ZERO and AUTOHEDGE IS NOT ENABLED!</t>
  </si>
  <si>
    <t>2015-1-20 16:57:45.251: DirectionIndicator - notify - price/longMA/ShortMA/prevDirection are 1.51525/1.51514468241443/1.51520011236321/1</t>
  </si>
  <si>
    <t>2015-1-20 16:57:45.251: Algorithm - handleTransition - currentHedgeShortfall is NOT ZERO and AUTOHEDGE IS NOT ENABLED!</t>
  </si>
  <si>
    <t>2015-1-20 16:57:45.483: DirectionIndicator - notify - price/longMA/ShortMA/prevDirection are 1.5152/1.51515474015726/1.51520007490881/1</t>
  </si>
  <si>
    <t>2015-1-20 16:57:45.484: Algorithm - handleTransition - currentHedgeShortfall is NOT ZERO and AUTOHEDGE IS NOT ENABLED!</t>
  </si>
  <si>
    <t>2015-1-20 16:57:46.434: DirectionIndicator - notify - price/longMA/ShortMA/prevDirection are 1.51525/1.51517206012867/1.51521671660587/1</t>
  </si>
  <si>
    <t>2015-1-20 16:57:46.437: Algorithm - handleTransition - currentHedgeShortfall is NOT ZERO and AUTOHEDGE IS NOT ENABLED!</t>
  </si>
  <si>
    <t>2015-1-20 16:57:57.456: DirectionIndicator - notify - price/longMA/ShortMA/prevDirection are 1.5153/1.51519532192346/1.51524447773725/1</t>
  </si>
  <si>
    <t>2015-1-20 16:57:57.456: Algorithm - handleTransition - currentHedgeShortfall is NOT ZERO and AUTOHEDGE IS NOT ENABLED!</t>
  </si>
  <si>
    <t>2015-1-20 16:57:57.830: DirectionIndicator - notify - price/longMA/ShortMA/prevDirection are 1.51525/1.51520526339192/1.5152463184915/1</t>
  </si>
  <si>
    <t>2015-1-20 16:57:57.831: Algorithm - handleTransition - currentHedgeShortfall is NOT ZERO and AUTOHEDGE IS NOT ENABLED!</t>
  </si>
  <si>
    <t>2015-1-20 16:57:58.378: DirectionIndicator - notify - price/longMA/ShortMA/prevDirection are 1.5153/1.51522248822975/1.51526421232767/1</t>
  </si>
  <si>
    <t>2015-1-20 16:57:58.379: Algorithm - handleTransition - currentHedgeShortfall is NOT ZERO and AUTOHEDGE IS NOT ENABLED!</t>
  </si>
  <si>
    <t>2015-1-20 16:57:59.117: DirectionIndicator - notify - price/longMA/ShortMA/prevDirection are 1.51525/1.5152274903698/1.51525947488511/1</t>
  </si>
  <si>
    <t>2015-1-20 16:57:59.118: Algorithm - handleTransition - currentHedgeShortfall is NOT ZERO and AUTOHEDGE IS NOT ENABLED!</t>
  </si>
  <si>
    <t>2015-1-20 16:58:0.296: Algorithm - FindNextStrikes - price is 1.51525 nextStrikeUp/Down 1.52/1.515</t>
  </si>
  <si>
    <t>2015-1-20 16:58:0.296: Algorithm - getPortfolioForwardDelta - required deltas is 100 currentHedgePosition is 101</t>
  </si>
  <si>
    <t>2015-1-20 16:58:0.297: Algorithm - getHedgeShortfall - required deltas is 100 price is 1.51535 currentHedgePositionDeltas is 101</t>
  </si>
  <si>
    <t>2015-1-20 16:58:0.298: Algorithm - processTransitionPoint - nextUpper/LowerStrikes are 1.52/1.515 requiredDeltas/currentPosition/currentHedgeShortfall/direction/transitionPrice are 100/101/-1/1/1.51535</t>
  </si>
  <si>
    <t>2015-1-20 16:58:0.298: TransitionLogger - processTransitionpoint - checking transition - currentHedgeShortfall is -1</t>
  </si>
  <si>
    <t>2015-1-20 16:58:0.299: Algorithm - handleTransition - currentHedgeShortfall is NOT ZERO and AUTOHEDGE IS NOT ENABLED!</t>
  </si>
  <si>
    <t>2015-1-20 16:58:0.299: Algorithm - updatePortfolio - haveAllDetails is True</t>
  </si>
  <si>
    <t>2015-1-20 16:58:0.301: RTWSControl - updatePortfolioEx - An Error Occured Object variable or With block variable not set</t>
  </si>
  <si>
    <t>2015-1-20 16:58:0.340: Algorithm - FindNextStrikes - price is 1.51525 nextStrikeUp/Down 1.52/1.515</t>
  </si>
  <si>
    <t>2015-1-20 16:58:0.340: Algorithm - getPortfolioForwardDelta - required deltas is 100 currentHedgePosition is 101</t>
  </si>
  <si>
    <t>2015-1-20 16:58:0.341: Algorithm - getHedgeShortfall - required deltas is 100 price is 1.51535 currentHedgePositionDeltas is 101</t>
  </si>
  <si>
    <t>2015-1-20 16:58:0.341: Algorithm - processTransitionPoint - nextUpper/LowerStrikes are 1.52/1.515 requiredDeltas/currentPosition/currentHedgeShortfall/direction/transitionPrice are 100/101/-1/1/1.51535</t>
  </si>
  <si>
    <t>2015-1-20 16:58:0.342: TransitionLogger - processTransitionpoint - checking transition - currentHedgeShortfall is -1</t>
  </si>
  <si>
    <t>2015-1-20 16:58:0.342: Algorithm - handleTransition - currentHedgeShortfall is NOT ZERO and AUTOHEDGE IS NOT ENABLED!</t>
  </si>
  <si>
    <t>2015-1-20 16:58:0.343: Algorithm - updatePortfolio - haveAllDetails is True</t>
  </si>
  <si>
    <t>2015-1-20 16:58:0.344: RTWSControl - updatePortfolioEx - An Error Occured Object variable or With block variable not set</t>
  </si>
  <si>
    <t>2015-1-20 16:58:0.412: Algorithm - FindNextStrikes - price is 1.51525 nextStrikeUp/Down 1.52/1.515</t>
  </si>
  <si>
    <t>2015-1-20 16:58:0.413: Algorithm - getPortfolioForwardDelta - required deltas is 100 currentHedgePosition is 101</t>
  </si>
  <si>
    <t>2015-1-20 16:58:0.413: Algorithm - getHedgeShortfall - required deltas is 100 price is 1.51535 currentHedgePositionDeltas is 101</t>
  </si>
  <si>
    <t>2015-1-20 16:58:0.413: Algorithm - processTransitionPoint - nextUpper/LowerStrikes are 1.52/1.515 requiredDeltas/currentPosition/currentHedgeShortfall/direction/transitionPrice are 100/101/-1/1/1.51535</t>
  </si>
  <si>
    <t>2015-1-20 16:58:0.414: TransitionLogger - processTransitionpoint - checking transition - currentHedgeShortfall is -1</t>
  </si>
  <si>
    <t>2015-1-20 16:58:0.414: Algorithm - handleTransition - currentHedgeShortfall is NOT ZERO and AUTOHEDGE IS NOT ENABLED!</t>
  </si>
  <si>
    <t>2015-1-20 16:58:0.415: Algorithm - updatePortfolio - haveAllDetails is True</t>
  </si>
  <si>
    <t>2015-1-20 16:58:0.416: RTWSControl - updatePortfolioEx - An Error Occured Object variable or With block variable not set</t>
  </si>
  <si>
    <t>2015-1-20 16:58:0.473: Algorithm - FindNextStrikes - price is 1.51525 nextStrikeUp/Down 1.52/1.515</t>
  </si>
  <si>
    <t>2015-1-20 16:58:0.473: Algorithm - getPortfolioForwardDelta - required deltas is 100 currentHedgePosition is 101</t>
  </si>
  <si>
    <t>2015-1-20 16:58:0.473: Algorithm - getHedgeShortfall - required deltas is 100 price is 1.51535 currentHedgePositionDeltas is 101</t>
  </si>
  <si>
    <t>2015-1-20 16:58:0.474: Algorithm - processTransitionPoint - nextUpper/LowerStrikes are 1.52/1.515 requiredDeltas/currentPosition/currentHedgeShortfall/direction/transitionPrice are 100/101/-1/1/1.51535</t>
  </si>
  <si>
    <t>2015-1-20 16:58:0.474: TransitionLogger - processTransitionpoint - checking transition - currentHedgeShortfall is -1</t>
  </si>
  <si>
    <t>2015-1-20 16:58:0.475: Algorithm - handleTransition - currentHedgeShortfall is NOT ZERO and AUTOHEDGE IS NOT ENABLED!</t>
  </si>
  <si>
    <t>2015-1-20 16:58:0.476: Algorithm - updatePortfolio - haveAllDetails is True</t>
  </si>
  <si>
    <t>2015-1-20 16:58:0.477: RTWSControl - updatePortfolioEx - An Error Occured Object variable or With block variable not set</t>
  </si>
  <si>
    <t>2015-1-20 16:58:0.518: Algorithm - FindNextStrikes - price is 1.51525 nextStrikeUp/Down 1.52/1.515</t>
  </si>
  <si>
    <t>2015-1-20 16:58:0.519: Algorithm - getPortfolioForwardDelta - required deltas is 100 currentHedgePosition is 101</t>
  </si>
  <si>
    <t>2015-1-20 16:58:0.519: Algorithm - getHedgeShortfall - required deltas is 100 price is 1.51535 currentHedgePositionDeltas is 101</t>
  </si>
  <si>
    <t>2015-1-20 16:58:0.519: Algorithm - processTransitionPoint - nextUpper/LowerStrikes are 1.52/1.515 requiredDeltas/currentPosition/currentHedgeShortfall/direction/transitionPrice are 100/101/-1/1/1.51535</t>
  </si>
  <si>
    <t>2015-1-20 16:58:0.520: TransitionLogger - processTransitionpoint - checking transition - currentHedgeShortfall is -1</t>
  </si>
  <si>
    <t>2015-1-20 16:58:0.520: Algorithm - handleTransition - currentHedgeShortfall is NOT ZERO and AUTOHEDGE IS NOT ENABLED!</t>
  </si>
  <si>
    <t>2015-1-20 16:58:0.521: Algorithm - updatePortfolio - haveAllDetails is True</t>
  </si>
  <si>
    <t>2015-1-20 16:58:0.522: RTWSControl - updatePortfolioEx - An Error Occured Object variable or With block variable not set</t>
  </si>
  <si>
    <t>2015-1-20 16:58:0.586: Algorithm - FindNextStrikes - price is 1.51525 nextStrikeUp/Down 1.52/1.515</t>
  </si>
  <si>
    <t>2015-1-20 16:58:0.586: Algorithm - getPortfolioForwardDelta - required deltas is 100 currentHedgePosition is 101</t>
  </si>
  <si>
    <t>2015-1-20 16:58:0.586: Algorithm - getHedgeShortfall - required deltas is 100 price is 1.51535 currentHedgePositionDeltas is 101</t>
  </si>
  <si>
    <t>2015-1-20 16:58:0.587: Algorithm - processTransitionPoint - nextUpper/LowerStrikes are 1.52/1.515 requiredDeltas/currentPosition/currentHedgeShortfall/direction/transitionPrice are 100/101/-1/1/1.51535</t>
  </si>
  <si>
    <t>2015-1-20 16:58:0.587: TransitionLogger - processTransitionpoint - checking transition - currentHedgeShortfall is -1</t>
  </si>
  <si>
    <t>2015-1-20 16:58:0.588: Algorithm - handleTransition - currentHedgeShortfall is NOT ZERO and AUTOHEDGE IS NOT ENABLED!</t>
  </si>
  <si>
    <t>2015-1-20 16:58:0.589: Algorithm - updatePortfolio - haveAllDetails is True</t>
  </si>
  <si>
    <t>2015-1-20 16:58:0.590: RTWSControl - updatePortfolioEx - An Error Occured Object variable or With block variable not set</t>
  </si>
  <si>
    <t>2015-1-20 16:58:4.922: DirectionIndicator - notify - price/longMA/ShortMA/prevDirection are 1.5153/1.51524067393893/1.51527298325674/1</t>
  </si>
  <si>
    <t>2015-1-20 16:58:4.922: Algorithm - handleTransition - currentHedgeShortfall is NOT ZERO and AUTOHEDGE IS NOT ENABLED!</t>
  </si>
  <si>
    <t>2015-1-20 16:58:6.937: DirectionIndicator - notify - price/longMA/ShortMA/prevDirection are 1.51535/1.51526055140458/1.51529865550449/1</t>
  </si>
  <si>
    <t>2015-1-20 16:58:6.940: Algorithm - handleTransition - currentHedgeShortfall is NOT ZERO and AUTOHEDGE IS NOT ENABLED!</t>
  </si>
  <si>
    <t>2015-1-20 16:58:8.408: TransitionLogger - flushFile - flushing file</t>
  </si>
  <si>
    <t>2015-1-20 16:58:8.410: TransitionLogger - openTransitionFile - opening file C:\temp\transitionlog_2015-01-20_153021</t>
  </si>
  <si>
    <t>2015-1-20 16:58:15.320: DirectionIndicator - notify - price/longMA/ShortMA/prevDirection are 1.5154/1.51528590569465/1.515332437003/1</t>
  </si>
  <si>
    <t>2015-1-20 16:58:15.321: Algorithm - handleTransition - currentHedgeShortfall is NOT ZERO and AUTOHEDGE IS NOT ENABLED!</t>
  </si>
  <si>
    <t>2015-1-20 16:58:15.627: DirectionIndicator - notify - price/longMA/ShortMA/prevDirection are 1.51545/1.5153157410229/1.51537162466866/1</t>
  </si>
  <si>
    <t>2015-1-20 16:58:15.628: Algorithm - handleTransition - currentHedgeShortfall is NOT ZERO and AUTOHEDGE IS NOT ENABLED!</t>
  </si>
  <si>
    <t>2015-1-20 16:58:20.869: DirectionIndicator - notify - price/longMA/ShortMA/prevDirection are 1.5155/1.5153492426551/1.51541441644578/1</t>
  </si>
  <si>
    <t>2015-1-20 16:58:20.870: Algorithm - handleTransition - currentHedgeShortfall is NOT ZERO and AUTOHEDGE IS NOT ENABLED!</t>
  </si>
  <si>
    <t>2015-1-20 16:58:20.923: DirectionIndicator - notify - price/longMA/ShortMA/prevDirection are 1.51555/1.51538574399053/1.51545961096385/1</t>
  </si>
  <si>
    <t>2015-1-20 16:58:20.924: Algorithm - handleTransition - currentHedgeShortfall is NOT ZERO and AUTOHEDGE IS NOT ENABLED!</t>
  </si>
  <si>
    <t>2015-1-20 16:58:21.712: DirectionIndicator - notify - price/longMA/ShortMA/prevDirection are 1.5156/1.51542469962862/1.51550640730923/1</t>
  </si>
  <si>
    <t>2015-1-20 16:58:21.713: Algorithm - handleTransition - currentHedgeShortfall is NOT ZERO and AUTOHEDGE IS NOT ENABLED!</t>
  </si>
  <si>
    <t>2015-1-20 16:58:28.67: DirectionIndicator - notify - price/longMA/ShortMA/prevDirection are 1.51565/1.51546566333251/1.51555427153949/1</t>
  </si>
  <si>
    <t>2015-1-20 16:58:28.69: Algorithm - handleTransition - currentHedgeShortfall is NOT ZERO and AUTOHEDGE IS NOT ENABLED!</t>
  </si>
  <si>
    <t>2015-1-20 16:58:29.66: TransitionLogger - flushFile - flushing file</t>
  </si>
  <si>
    <t>2015-1-20 16:58:29.67: TransitionLogger - openTransitionFile - opening file C:\temp\transitionlog_2015-01-20_153021</t>
  </si>
  <si>
    <t>2015-1-20 16:58:31.174: DirectionIndicator - notify - price/longMA/ShortMA/prevDirection are 1.5156/1.51549008818114/1.51556951435966/1</t>
  </si>
  <si>
    <t>2015-1-20 16:58:31.175: Algorithm - handleTransition - currentHedgeShortfall is NOT ZERO and AUTOHEDGE IS NOT ENABLED!</t>
  </si>
  <si>
    <t>2015-1-20 16:58:31.405: DirectionIndicator - notify - price/longMA/ShortMA/prevDirection are 1.51555/1.51550098123912/1.51556300957311/1</t>
  </si>
  <si>
    <t>2015-1-20 16:58:31.406: Algorithm - handleTransition - currentHedgeShortfall is NOT ZERO and AUTOHEDGE IS NOT ENABLED!</t>
  </si>
  <si>
    <t>2015-1-20 16:58:46.715: DirectionIndicator - notify - price/longMA/ShortMA/prevDirection are 1.5155/1.515500802832/1.51554200638207/1</t>
  </si>
  <si>
    <t>2015-1-20 16:58:46.715: Algorithm - handleTransition - currentHedgeShortfall is NOT ZERO and AUTOHEDGE IS NOT ENABLED!</t>
  </si>
  <si>
    <t>2015-1-20 16:58:46.951: DirectionIndicator - notify - price/longMA/ShortMA/prevDirection are 1.51545/1.51549156595346/1.51551133758805/1</t>
  </si>
  <si>
    <t>2015-1-20 16:58:46.952: Algorithm - handleTransition - currentHedgeShortfall is NOT ZERO and AUTOHEDGE IS NOT ENABLED!</t>
  </si>
  <si>
    <t>2015-1-20 16:58:47.520: DirectionIndicator - notify - price/longMA/ShortMA/prevDirection are 1.5155/1.51549309941647/1.51550755839203/1</t>
  </si>
  <si>
    <t>2015-1-20 16:58:47.520: Algorithm - handleTransition - currentHedgeShortfall is NOT ZERO and AUTOHEDGE IS NOT ENABLED!</t>
  </si>
  <si>
    <t>2015-1-20 16:58:47.578: DirectionIndicator - notify - price/longMA/ShortMA/prevDirection are 1.51555/1.51550344497711/1.51552170559469/1</t>
  </si>
  <si>
    <t>2015-1-20 16:58:47.579: Algorithm - handleTransition - currentHedgeShortfall is NOT ZERO and AUTOHEDGE IS NOT ENABLED!</t>
  </si>
  <si>
    <t>2015-1-20 16:58:48.260: DirectionIndicator - notify - price/longMA/ShortMA/prevDirection are 1.5155/1.51550281861763/1.51551447039646/1</t>
  </si>
  <si>
    <t>2015-1-20 16:58:48.261: Algorithm - handleTransition - currentHedgeShortfall is NOT ZERO and AUTOHEDGE IS NOT ENABLED!</t>
  </si>
  <si>
    <t>2015-1-20 16:58:48.667: DirectionIndicator - notify - price/longMA/ShortMA/prevDirection are 1.51555/1.51551139705079/1.51552631359764/1</t>
  </si>
  <si>
    <t>2015-1-20 16:58:48.668: Algorithm - handleTransition - currentHedgeShortfall is NOT ZERO and AUTOHEDGE IS NOT ENABLED!</t>
  </si>
  <si>
    <t>2015-1-20 16:58:49.537: DirectionIndicator - notify - price/longMA/ShortMA/prevDirection are 1.5156/1.51552750667792/1.51555087573176/1</t>
  </si>
  <si>
    <t>2015-1-20 16:58:49.538: Algorithm - handleTransition - currentHedgeShortfall is NOT ZERO and AUTOHEDGE IS NOT ENABLED!</t>
  </si>
  <si>
    <t>2015-1-20 16:58:50.561: DirectionIndicator - notify - price/longMA/ShortMA/prevDirection are 1.51555/1.51553159637284/1.51555058382117/1</t>
  </si>
  <si>
    <t>2015-1-20 16:58:50.562: Algorithm - handleTransition - currentHedgeShortfall is NOT ZERO and AUTOHEDGE IS NOT ENABLED!</t>
  </si>
  <si>
    <t>2015-1-20 16:58:51.45: DirectionIndicator - notify - price/longMA/ShortMA/prevDirection are 1.5155/1.51552585157778/1.51553372254745/1</t>
  </si>
  <si>
    <t>2015-1-20 16:58:51.46: Algorithm - handleTransition - currentHedgeShortfall is NOT ZERO and AUTOHEDGE IS NOT ENABLED!</t>
  </si>
  <si>
    <t>2015-1-20 16:58:58.162: DirectionIndicator - notify - price/longMA/ShortMA/prevDirection are 1.51545/1.51551206038182/1.51550581503163/1</t>
  </si>
  <si>
    <t>2015-1-20 16:58:58.162: Algorithm - handleTransition - currentHedgeShortfall is NOT ZERO and AUTOHEDGE IS NOT ENABLED!</t>
  </si>
  <si>
    <t>2015-1-20 16:58:58.216: DirectionIndicator - notify - price/longMA/ShortMA/prevDirection are 1.5154/1.51549168576694/1.51547054335442/1</t>
  </si>
  <si>
    <t>2015-1-20 16:58:58.216: Algorithm - handleTransition - currentHedgeShortfall is NOT ZERO and AUTOHEDGE IS NOT ENABLED!</t>
  </si>
  <si>
    <t>2015-1-20 16:59:1.85: DirectionIndicator - notify - price/longMA/ShortMA/prevDirection are 1.51535/1.51546592471841/1.51543036223628/-1</t>
  </si>
  <si>
    <t>2015-1-20 16:59:1.86: Algorithm - handleTransition - currentHedgeShortfall is NOT ZERO and AUTOHEDGE IS NOT ENABLED!</t>
  </si>
  <si>
    <t>2015-1-20 16:59:8.407: TransitionLogger - flushFile - flushing file</t>
  </si>
  <si>
    <t>2015-1-20 16:59:8.409: TransitionLogger - openTransitionFile - opening file C:\temp\transitionlog_2015-01-20_153021</t>
  </si>
  <si>
    <t>2015-1-20 16:59:26.308: DirectionIndicator - notify - price/longMA/ShortMA/prevDirection are 1.5154/1.51545393840597/1.51542024149085/-1</t>
  </si>
  <si>
    <t>2015-1-20 16:59:26.309: Algorithm - handleTransition - currentHedgeShortfall is NOT ZERO and AUTOHEDGE IS NOT ENABLED!</t>
  </si>
  <si>
    <t>2015-1-20 16:59:26.547: DirectionIndicator - notify - price/longMA/ShortMA/prevDirection are 1.51545/1.51545322233216/1.5154301609939/-1</t>
  </si>
  <si>
    <t>2015-1-20 16:59:26.548: Algorithm - handleTransition - currentHedgeShortfall is NOT ZERO and AUTOHEDGE IS NOT ENABLED!</t>
  </si>
  <si>
    <t>2015-1-20 16:59:29.374: TransitionLogger - flushFile - flushing file</t>
  </si>
  <si>
    <t>2015-1-20 16:59:29.375: TransitionLogger - openTransitionFile - opening file C:\temp\transitionlog_2015-01-20_153021</t>
  </si>
  <si>
    <t>2015-1-20 16:59:40.957: DirectionIndicator - notify - price/longMA/ShortMA/prevDirection are 1.5155/1.51546172736268/1.5154534406626/-1</t>
  </si>
  <si>
    <t>2015-1-20 16:59:40.958: Algorithm - handleTransition - currentHedgeShortfall is NOT ZERO and AUTOHEDGE IS NOT ENABLED!</t>
  </si>
  <si>
    <t>2015-1-20 16:59:41.10: DirectionIndicator - notify - price/longMA/ShortMA/prevDirection are 1.51555/1.5154777769331/1.5154856271084/-1</t>
  </si>
  <si>
    <t>2015-1-20 16:59:41.10: Algorithm - handleTransition - currentHedgeShortfall is NOT ZERO and AUTOHEDGE IS NOT ENABLED!</t>
  </si>
  <si>
    <t>2015-1-20 16:59:41.744: DirectionIndicator - notify - price/longMA/ShortMA/prevDirection are 1.5155/1.51548181749072/1.51549041807227/-1</t>
  </si>
  <si>
    <t>2015-1-20 16:59:41.745: Algorithm - handleTransition - currentHedgeShortfall is NOT ZERO and AUTOHEDGE IS NOT ENABLED!</t>
  </si>
  <si>
    <t>2015-1-20 16:59:51.108: DirectionIndicator - notify - price/longMA/ShortMA/prevDirection are 1.51545/1.5154760324924/1.51547694538151/-1</t>
  </si>
  <si>
    <t>2015-1-20 16:59:51.111: Algorithm - handleTransition - currentHedgeShortfall is NOT ZERO and AUTOHEDGE IS NOT ENABLED!</t>
  </si>
  <si>
    <t>2015-1-20 16:59:58.383: DirectionIndicator - notify - price/longMA/ShortMA/prevDirection are 1.5154/1.51546220840288/1.51545129692101/-1</t>
  </si>
  <si>
    <t>2015-1-20 16:59:58.384: Algorithm - handleTransition - currentHedgeShortfall is NOT ZERO and AUTOHEDGE IS NOT ENABLED!</t>
  </si>
  <si>
    <t>2015-1-20 17:0:0.519: DirectionIndicator - notify - price/longMA/ShortMA/prevDirection are 1.51545/1.51545998869326/1.51545086461401/-1</t>
  </si>
  <si>
    <t>2015-1-20 17:0:0.520: Algorithm - handleTransition - currentHedgeShortfall is NOT ZERO and AUTOHEDGE IS NOT ENABLED!</t>
  </si>
  <si>
    <t>2015-1-20 17:0:7.253: DirectionIndicator - notify - price/longMA/ShortMA/prevDirection are 1.5154/1.51544908165812/1.51543390974267/-1</t>
  </si>
  <si>
    <t>2015-1-20 17:0:7.254: Algorithm - handleTransition - currentHedgeShortfall is NOT ZERO and AUTOHEDGE IS NOT ENABLED!</t>
  </si>
  <si>
    <t>2015-1-20 17:0:8.12: TransitionLogger - flushFile - flushing file</t>
  </si>
  <si>
    <t>2015-1-20 17:0:8.12: TransitionLogger - openTransitionFile - opening file C:\temp\transitionlog_2015-01-20_153021</t>
  </si>
  <si>
    <t>2015-1-20 17:0:10.345: DirectionIndicator - notify - price/longMA/ShortMA/prevDirection are 1.51545/1.51544924862937/1.51543927316178/-1</t>
  </si>
  <si>
    <t>2015-1-20 17:0:10.346: Algorithm - handleTransition - currentHedgeShortfall is NOT ZERO and AUTOHEDGE IS NOT ENABLED!</t>
  </si>
  <si>
    <t>2015-1-20 17:0:15.87: DirectionIndicator - notify - price/longMA/ShortMA/prevDirection are 1.5154/1.51544029433312/1.51542618210785/-1</t>
  </si>
  <si>
    <t>2015-1-20 17:0:15.88: Algorithm - handleTransition - currentHedgeShortfall is NOT ZERO and AUTOHEDGE IS NOT ENABLED!</t>
  </si>
  <si>
    <t>2015-1-20 17:0:16.682: Algorithm - FindNextStrikes - price is 1.5154 nextStrikeUp/Down 1.52/1.515</t>
  </si>
  <si>
    <t>2015-1-20 17:0:16.683: Algorithm - getPortfolioForwardDelta - required deltas is 100 currentHedgePosition is 101</t>
  </si>
  <si>
    <t>2015-1-20 17:0:16.683: Algorithm - getHedgeShortfall - required deltas is 100 price is 1.5153 currentHedgePositionDeltas is 101</t>
  </si>
  <si>
    <t>2015-1-20 17:0:16.684: Algorithm - processTransitionPoint - nextUpper/LowerStrikes are 1.52/1.515 requiredDeltas/currentPosition/currentHedgeShortfall/direction/transitionPrice are 100/101/-1/-1/1.5153</t>
  </si>
  <si>
    <t>2015-1-20 17:0:16.684: TransitionLogger - processTransitionpoint - checking transition - currentHedgeShortfall is -1</t>
  </si>
  <si>
    <t>2015-1-20 17:0:16.685: Algorithm - handleTransition - currentHedgeShortfall is NOT ZERO and AUTOHEDGE IS NOT ENABLED!</t>
  </si>
  <si>
    <t>2015-1-20 17:0:16.686: Algorithm - updatePortfolio - haveAllDetails is True</t>
  </si>
  <si>
    <t>2015-1-20 17:0:16.687: RTWSControl - updatePortfolioEx - An Error Occured Object variable or With block variable not set</t>
  </si>
  <si>
    <t>2015-1-20 17:0:16.724: Algorithm - FindNextStrikes - price is 1.5154 nextStrikeUp/Down 1.52/1.515</t>
  </si>
  <si>
    <t>2015-1-20 17:0:16.725: Algorithm - getPortfolioForwardDelta - required deltas is 100 currentHedgePosition is 101</t>
  </si>
  <si>
    <t>2015-1-20 17:0:16.725: Algorithm - getHedgeShortfall - required deltas is 100 price is 1.5153 currentHedgePositionDeltas is 101</t>
  </si>
  <si>
    <t>2015-1-20 17:0:16.726: Algorithm - processTransitionPoint - nextUpper/LowerStrikes are 1.52/1.515 requiredDeltas/currentPosition/currentHedgeShortfall/direction/transitionPrice are 100/101/-1/-1/1.5153</t>
  </si>
  <si>
    <t>2015-1-20 17:0:16.726: TransitionLogger - processTransitionpoint - checking transition - currentHedgeShortfall is -1</t>
  </si>
  <si>
    <t>2015-1-20 17:0:16.727: Algorithm - handleTransition - currentHedgeShortfall is NOT ZERO and AUTOHEDGE IS NOT ENABLED!</t>
  </si>
  <si>
    <t>2015-1-20 17:0:16.728: Algorithm - updatePortfolio - haveAllDetails is True</t>
  </si>
  <si>
    <t>2015-1-20 17:0:16.729: RTWSControl - updatePortfolioEx - An Error Occured Object variable or With block variable not set</t>
  </si>
  <si>
    <t>2015-1-20 17:0:16.796: Algorithm - FindNextStrikes - price is 1.5154 nextStrikeUp/Down 1.52/1.515</t>
  </si>
  <si>
    <t>2015-1-20 17:0:16.796: Algorithm - getPortfolioForwardDelta - required deltas is 100 currentHedgePosition is 101</t>
  </si>
  <si>
    <t>2015-1-20 17:0:16.797: Algorithm - getHedgeShortfall - required deltas is 100 price is 1.5153 currentHedgePositionDeltas is 101</t>
  </si>
  <si>
    <t>2015-1-20 17:0:16.797: Algorithm - processTransitionPoint - nextUpper/LowerStrikes are 1.52/1.515 requiredDeltas/currentPosition/currentHedgeShortfall/direction/transitionPrice are 100/101/-1/-1/1.5153</t>
  </si>
  <si>
    <t>2015-1-20 17:0:16.798: TransitionLogger - processTransitionpoint - checking transition - currentHedgeShortfall is -1</t>
  </si>
  <si>
    <t>2015-1-20 17:0:16.798: Algorithm - handleTransition - currentHedgeShortfall is NOT ZERO and AUTOHEDGE IS NOT ENABLED!</t>
  </si>
  <si>
    <t>2015-1-20 17:0:16.799: Algorithm - updatePortfolio - haveAllDetails is True</t>
  </si>
  <si>
    <t>2015-1-20 17:0:16.800: RTWSControl - updatePortfolioEx - An Error Occured Object variable or With block variable not set</t>
  </si>
  <si>
    <t>2015-1-20 17:0:16.855: Algorithm - FindNextStrikes - price is 1.5154 nextStrikeUp/Down 1.52/1.515</t>
  </si>
  <si>
    <t>2015-1-20 17:0:16.856: Algorithm - getPortfolioForwardDelta - required deltas is 100 currentHedgePosition is 101</t>
  </si>
  <si>
    <t>2015-1-20 17:0:16.856: Algorithm - getHedgeShortfall - required deltas is 100 price is 1.5153 currentHedgePositionDeltas is 101</t>
  </si>
  <si>
    <t>2015-1-20 17:0:16.857: Algorithm - processTransitionPoint - nextUpper/LowerStrikes are 1.52/1.515 requiredDeltas/currentPosition/currentHedgeShortfall/direction/transitionPrice are 100/101/-1/-1/1.5153</t>
  </si>
  <si>
    <t>2015-1-20 17:0:16.857: TransitionLogger - processTransitionpoint - checking transition - currentHedgeShortfall is -1</t>
  </si>
  <si>
    <t>2015-1-20 17:0:16.858: Algorithm - handleTransition - currentHedgeShortfall is NOT ZERO and AUTOHEDGE IS NOT ENABLED!</t>
  </si>
  <si>
    <t>2015-1-20 17:0:16.859: Algorithm - updatePortfolio - haveAllDetails is True</t>
  </si>
  <si>
    <t>2015-1-20 17:0:16.860: RTWSControl - updatePortfolioEx - An Error Occured Object variable or With block variable not set</t>
  </si>
  <si>
    <t>2015-1-20 17:0:16.902: Algorithm - FindNextStrikes - price is 1.5154 nextStrikeUp/Down 1.52/1.515</t>
  </si>
  <si>
    <t>2015-1-20 17:0:16.902: Algorithm - getPortfolioForwardDelta - required deltas is 100 currentHedgePosition is 101</t>
  </si>
  <si>
    <t>2015-1-20 17:0:16.903: Algorithm - getHedgeShortfall - required deltas is 100 price is 1.5153 currentHedgePositionDeltas is 101</t>
  </si>
  <si>
    <t>2015-1-20 17:0:16.903: Algorithm - processTransitionPoint - nextUpper/LowerStrikes are 1.52/1.515 requiredDeltas/currentPosition/currentHedgeShortfall/direction/transitionPrice are 100/101/-1/-1/1.5153</t>
  </si>
  <si>
    <t>2015-1-20 17:0:16.903: TransitionLogger - processTransitionpoint - checking transition - currentHedgeShortfall is -1</t>
  </si>
  <si>
    <t>2015-1-20 17:0:16.904: Algorithm - handleTransition - currentHedgeShortfall is NOT ZERO and AUTOHEDGE IS NOT ENABLED!</t>
  </si>
  <si>
    <t>2015-1-20 17:0:16.905: Algorithm - updatePortfolio - haveAllDetails is True</t>
  </si>
  <si>
    <t>2015-1-20 17:0:16.906: RTWSControl - updatePortfolioEx - An Error Occured Object variable or With block variable not set</t>
  </si>
  <si>
    <t>2015-1-20 17:0:16.967: Algorithm - FindNextStrikes - price is 1.5154 nextStrikeUp/Down 1.52/1.515</t>
  </si>
  <si>
    <t>2015-1-20 17:0:16.968: Algorithm - getPortfolioForwardDelta - required deltas is 100 currentHedgePosition is 101</t>
  </si>
  <si>
    <t>2015-1-20 17:0:16.968: Algorithm - getHedgeShortfall - required deltas is 100 price is 1.5153 currentHedgePositionDeltas is 101</t>
  </si>
  <si>
    <t>2015-1-20 17:0:16.968: Algorithm - processTransitionPoint - nextUpper/LowerStrikes are 1.52/1.515 requiredDeltas/currentPosition/currentHedgeShortfall/direction/transitionPrice are 100/101/-1/-1/1.5153</t>
  </si>
  <si>
    <t>2015-1-20 17:0:16.969: TransitionLogger - processTransitionpoint - checking transition - currentHedgeShortfall is -1</t>
  </si>
  <si>
    <t>2015-1-20 17:0:16.969: Algorithm - handleTransition - currentHedgeShortfall is NOT ZERO and AUTOHEDGE IS NOT ENABLED!</t>
  </si>
  <si>
    <t>2015-1-20 17:0:16.970: Algorithm - updatePortfolio - haveAllDetails is True</t>
  </si>
  <si>
    <t>2015-1-20 17:0:16.971: RTWSControl - updatePortfolioEx - An Error Occured Object variable or With block variable not set</t>
  </si>
  <si>
    <t>2015-1-20 17:0:17.422: DirectionIndicator - notify - price/longMA/ShortMA/prevDirection are 1.51545/1.51544205899983/1.51543412140524/-1</t>
  </si>
  <si>
    <t>2015-1-20 17:0:17.422: Algorithm - handleTransition - currentHedgeShortfall is NOT ZERO and AUTOHEDGE IS NOT ENABLED!</t>
  </si>
  <si>
    <t>2015-1-20 17:0:17.553: DirectionIndicator - notify - price/longMA/ShortMA/prevDirection are 1.5154/1.51543441190895/1.51542274760349/-1</t>
  </si>
  <si>
    <t>2015-1-20 17:0:17.554: Algorithm - handleTransition - currentHedgeShortfall is NOT ZERO and AUTOHEDGE IS NOT ENABLED!</t>
  </si>
  <si>
    <t>2015-1-20 17:0:18.209: DirectionIndicator - notify - price/longMA/ShortMA/prevDirection are 1.51545/1.51543724610732/1.51543183173566/-1</t>
  </si>
  <si>
    <t>2015-1-20 17:0:18.210: Algorithm - handleTransition - currentHedgeShortfall is NOT ZERO and AUTOHEDGE IS NOT ENABLED!</t>
  </si>
  <si>
    <t>2015-1-20 17:0:18.264: DirectionIndicator - notify - price/longMA/ShortMA/prevDirection are 1.5155/1.51544865590599/1.51545455449044/-1</t>
  </si>
  <si>
    <t>2015-1-20 17:0:18.265: Algorithm - handleTransition - currentHedgeShortfall is NOT ZERO and AUTOHEDGE IS NOT ENABLED!</t>
  </si>
  <si>
    <t>2015-1-20 17:0:18.800: DirectionIndicator - notify - price/longMA/ShortMA/prevDirection are 1.51555/1.5154670821049/1.51548636966029/-1</t>
  </si>
  <si>
    <t>2015-1-20 17:0:18.801: Algorithm - handleTransition - currentHedgeShortfall is NOT ZERO and AUTOHEDGE IS NOT ENABLED!</t>
  </si>
  <si>
    <t>2015-1-20 17:0:19.301: DirectionIndicator - notify - price/longMA/ShortMA/prevDirection are 1.5156/1.51549124899492/1.5155242464402/-1</t>
  </si>
  <si>
    <t>2015-1-20 17:0:19.302: Algorithm - handleTransition - currentHedgeShortfall is NOT ZERO and AUTOHEDGE IS NOT ENABLED!</t>
  </si>
  <si>
    <t>2015-1-20 17:0:24.927: DirectionIndicator - notify - price/longMA/ShortMA/prevDirection are 1.51565/1.51552011281403/1.51556616429346/1</t>
  </si>
  <si>
    <t>2015-1-20 17:0:24.928: Algorithm - handleTransition - currentHedgeShortfall is NOT ZERO and AUTOHEDGE IS NOT ENABLED!</t>
  </si>
  <si>
    <t>2015-1-20 17:0:25.179: DirectionIndicator - notify - price/longMA/ShortMA/prevDirection are 1.5156/1.51553463775693/1.51557744286231/1</t>
  </si>
  <si>
    <t>2015-1-20 17:0:25.180: Algorithm - handleTransition - currentHedgeShortfall is NOT ZERO and AUTOHEDGE IS NOT ENABLED!</t>
  </si>
  <si>
    <t>2015-1-20 17:0:26.960: DirectionIndicator - notify - price/longMA/ShortMA/prevDirection are 1.51565/1.51555561271022/1.51560162857487/1</t>
  </si>
  <si>
    <t>2015-1-20 17:0:26.960: Algorithm - handleTransition - currentHedgeShortfall is NOT ZERO and AUTOHEDGE IS NOT ENABLED!</t>
  </si>
  <si>
    <t>2015-1-20 17:0:29.10: TransitionLogger - flushFile - flushing file</t>
  </si>
  <si>
    <t>2015-1-20 17:0:29.10: TransitionLogger - openTransitionFile - opening file C:\temp\transitionlog_2015-01-20_153021</t>
  </si>
  <si>
    <t>2015-1-20 17:0:30.548: DirectionIndicator - notify - price/longMA/ShortMA/prevDirection are 1.5156/1.51556368312654/1.51560108571658/1</t>
  </si>
  <si>
    <t>2015-1-20 17:0:30.548: Algorithm - handleTransition - currentHedgeShortfall is NOT ZERO and AUTOHEDGE IS NOT ENABLED!</t>
  </si>
  <si>
    <t>2015-1-20 17:0:30.977: DirectionIndicator - notify - price/longMA/ShortMA/prevDirection are 1.51565/1.51557937710353/1.51561739047772/1</t>
  </si>
  <si>
    <t>2015-1-20 17:0:30.979: Algorithm - handleTransition - currentHedgeShortfall is NOT ZERO and AUTOHEDGE IS NOT ENABLED!</t>
  </si>
  <si>
    <t>2015-1-20 17:0:45.472: DirectionIndicator - notify - price/longMA/ShortMA/prevDirection are 1.5156/1.51558312672107/1.51561159365181/1</t>
  </si>
  <si>
    <t>2015-1-20 17:0:45.473: Algorithm - handleTransition - currentHedgeShortfall is NOT ZERO and AUTOHEDGE IS NOT ENABLED!</t>
  </si>
  <si>
    <t>2015-1-20 17:0:46.424: DirectionIndicator - notify - price/longMA/ShortMA/prevDirection are 1.51565/1.51559528549906/1.51562439576788/1</t>
  </si>
  <si>
    <t>2015-1-20 17:0:46.424: Algorithm - handleTransition - currentHedgeShortfall is NOT ZERO and AUTOHEDGE IS NOT ENABLED!</t>
  </si>
  <si>
    <t>2015-1-20 17:0:47.126: DirectionIndicator - notify - price/longMA/ShortMA/prevDirection are 1.5157/1.51561432449923/1.51564959717858/1</t>
  </si>
  <si>
    <t>2015-1-20 17:0:47.127: Algorithm - handleTransition - currentHedgeShortfall is NOT ZERO and AUTOHEDGE IS NOT ENABLED!</t>
  </si>
  <si>
    <t>2015-1-20 17:0:47.179: DirectionIndicator - notify - price/longMA/ShortMA/prevDirection are 1.51575/1.5156389927721/1.51568306478572/1</t>
  </si>
  <si>
    <t>2015-1-20 17:0:47.179: Algorithm - handleTransition - currentHedgeShortfall is NOT ZERO and AUTOHEDGE IS NOT ENABLED!</t>
  </si>
  <si>
    <t>2015-1-20 17:0:47.512: DirectionIndicator - notify - price/longMA/ShortMA/prevDirection are 1.5157/1.51565008499535/1.51568870985715/1</t>
  </si>
  <si>
    <t>2015-1-20 17:0:47.513: Algorithm - handleTransition - currentHedgeShortfall is NOT ZERO and AUTOHEDGE IS NOT ENABLED!</t>
  </si>
  <si>
    <t>2015-1-20 17:0:47.588: DirectionIndicator - notify - price/longMA/ShortMA/prevDirection are 1.51565/1.51565006954165/1.51567580657143/1</t>
  </si>
  <si>
    <t>2015-1-20 17:0:47.589: Algorithm - handleTransition - currentHedgeShortfall is NOT ZERO and AUTOHEDGE IS NOT ENABLED!</t>
  </si>
  <si>
    <t>2015-1-20 17:0:49.217: DirectionIndicator - notify - price/longMA/ShortMA/prevDirection are 1.5157/1.51565914780681/1.51568387104762/1</t>
  </si>
  <si>
    <t>2015-1-20 17:0:49.217: Algorithm - handleTransition - currentHedgeShortfall is NOT ZERO and AUTOHEDGE IS NOT ENABLED!</t>
  </si>
  <si>
    <t>2015-1-20 17:0:50.60: DirectionIndicator - notify - price/longMA/ShortMA/prevDirection are 1.51565/1.51565748456921/1.51567258069841/1</t>
  </si>
  <si>
    <t>2015-1-20 17:0:50.61: Algorithm - handleTransition - currentHedgeShortfall is NOT ZERO and AUTOHEDGE IS NOT ENABLED!</t>
  </si>
  <si>
    <t>2015-1-20 17:0:51.897: DirectionIndicator - notify - price/longMA/ShortMA/prevDirection are 1.5157/1.51566521464753/1.51568172046561/1</t>
  </si>
  <si>
    <t>2015-1-20 17:0:51.897: Algorithm - handleTransition - currentHedgeShortfall is NOT ZERO and AUTOHEDGE IS NOT ENABLED!</t>
  </si>
  <si>
    <t>2015-1-20 17:0:51.961: DirectionIndicator - notify - price/longMA/ShortMA/prevDirection are 1.51575/1.51568063016616/1.51570448031041/1</t>
  </si>
  <si>
    <t>2015-1-20 17:0:51.961: Algorithm - handleTransition - currentHedgeShortfall is NOT ZERO and AUTOHEDGE IS NOT ENABLED!</t>
  </si>
  <si>
    <t>2015-1-20 17:0:52.508: DirectionIndicator - notify - price/longMA/ShortMA/prevDirection are 1.5157/1.51568415195413/1.5157029868736/1</t>
  </si>
  <si>
    <t>2015-1-20 17:0:52.509: Algorithm - handleTransition - currentHedgeShortfall is NOT ZERO and AUTOHEDGE IS NOT ENABLED!</t>
  </si>
  <si>
    <t>2015-1-20 17:0:52.556: DirectionIndicator - notify - price/longMA/ShortMA/prevDirection are 1.51565/1.51567794250793/1.5156853245824/1</t>
  </si>
  <si>
    <t>2015-1-20 17:0:52.557: Algorithm - handleTransition - currentHedgeShortfall is NOT ZERO and AUTOHEDGE IS NOT ENABLED!</t>
  </si>
  <si>
    <t>2015-1-20 17:0:53.50: DirectionIndicator - notify - price/longMA/ShortMA/prevDirection are 1.5157/1.51568195296103/1.51569021638827/1</t>
  </si>
  <si>
    <t>2015-1-20 17:0:53.50: Algorithm - handleTransition - currentHedgeShortfall is NOT ZERO and AUTOHEDGE IS NOT ENABLED!</t>
  </si>
  <si>
    <t>2015-1-20 17:0:53.298: DirectionIndicator - notify - price/longMA/ShortMA/prevDirection are 1.51565/1.51567614333175/1.51567681092551/1</t>
  </si>
  <si>
    <t>2015-1-20 17:0:53.299: Algorithm - handleTransition - currentHedgeShortfall is NOT ZERO and AUTOHEDGE IS NOT ENABLED!</t>
  </si>
  <si>
    <t>2015-1-20 17:0:53.854: DirectionIndicator - notify - price/longMA/ShortMA/prevDirection are 1.5156/1.51566229908962/1.51565120728367/1</t>
  </si>
  <si>
    <t>2015-1-20 17:0:53.855: Algorithm - handleTransition - currentHedgeShortfall is NOT ZERO and AUTOHEDGE IS NOT ENABLED!</t>
  </si>
  <si>
    <t>2015-1-20 17:0:58.268: DirectionIndicator - notify - price/longMA/ShortMA/prevDirection are 1.51555/1.51564188107332/1.51561747152245/1</t>
  </si>
  <si>
    <t>2015-1-20 17:0:58.270: Algorithm - handleTransition - currentHedgeShortfall is NOT ZERO and AUTOHEDGE IS NOT ENABLED!</t>
  </si>
  <si>
    <t>2015-1-20 17:1:7.629: DirectionIndicator - notify - price/longMA/ShortMA/prevDirection are 1.5155/1.51561608451454/1.5155783143483/-1</t>
  </si>
  <si>
    <t>2015-1-20 17:1:7.630: Algorithm - handleTransition - currentHedgeShortfall is NOT ZERO and AUTOHEDGE IS NOT ENABLED!</t>
  </si>
  <si>
    <t>2015-1-20 17:1:7.682: DirectionIndicator - notify - price/longMA/ShortMA/prevDirection are 1.51545/1.51558588733008/1.51553554289887/-1</t>
  </si>
  <si>
    <t>2015-1-20 17:1:7.683: Algorithm - handleTransition - currentHedgeShortfall is NOT ZERO and AUTOHEDGE IS NOT ENABLED!</t>
  </si>
  <si>
    <t>2015-1-20 17:1:8.63: TransitionLogger - flushFile - flushing file</t>
  </si>
  <si>
    <t>2015-1-20 17:1:8.64: TransitionLogger - openTransitionFile - opening file C:\temp\transitionlog_2015-01-20_153021</t>
  </si>
  <si>
    <t>2015-1-20 17:1:11.300: DirectionIndicator - notify - price/longMA/ShortMA/prevDirection are 1.5154/1.5155520896337/1.51549036193258/-1</t>
  </si>
  <si>
    <t>2015-1-20 17:1:11.301: Algorithm - handleTransition - currentHedgeShortfall is NOT ZERO and AUTOHEDGE IS NOT ENABLED!</t>
  </si>
  <si>
    <t>2015-1-20 17:1:11.383: DirectionIndicator - notify - price/longMA/ShortMA/prevDirection are 1.51535/1.51551534606393/1.51544357462172/-1</t>
  </si>
  <si>
    <t>2015-1-20 17:1:11.384: Algorithm - handleTransition - currentHedgeShortfall is NOT ZERO and AUTOHEDGE IS NOT ENABLED!</t>
  </si>
  <si>
    <t>2015-1-20 17:1:15.463: DirectionIndicator - notify - price/longMA/ShortMA/prevDirection are 1.5153/1.51547619223413/1.51539571641448/-1</t>
  </si>
  <si>
    <t>2015-1-20 17:1:15.463: Algorithm - handleTransition - currentHedgeShortfall is NOT ZERO and AUTOHEDGE IS NOT ENABLED!</t>
  </si>
  <si>
    <t>2015-1-20 17:1:17.134: DirectionIndicator - notify - price/longMA/ShortMA/prevDirection are 1.51535/1.51545324819156/1.51538047760965/-1</t>
  </si>
  <si>
    <t>2015-1-20 17:1:17.135: Algorithm - handleTransition - currentHedgeShortfall is NOT ZERO and AUTOHEDGE IS NOT ENABLED!</t>
  </si>
  <si>
    <t>2015-1-20 17:1:17.421: DirectionIndicator - notify - price/longMA/ShortMA/prevDirection are 1.5153/1.515425384884/1.51535365173977/-1</t>
  </si>
  <si>
    <t>2015-1-20 17:1:17.422: Algorithm - handleTransition - currentHedgeShortfall is NOT ZERO and AUTOHEDGE IS NOT ENABLED!</t>
  </si>
  <si>
    <t>2015-1-20 17:1:17.838: DirectionIndicator - notify - price/longMA/ShortMA/prevDirection are 1.51525/1.51539349672328/1.51531910115985/-1</t>
  </si>
  <si>
    <t>2015-1-20 17:1:17.839: Algorithm - handleTransition - currentHedgeShortfall is NOT ZERO and AUTOHEDGE IS NOT ENABLED!</t>
  </si>
  <si>
    <t>2015-1-20 17:1:18.336: DirectionIndicator - notify - price/longMA/ShortMA/prevDirection are 1.5153/1.51537649731904/1.51531273410656/-1</t>
  </si>
  <si>
    <t>2015-1-20 17:1:18.337: Algorithm - handleTransition - currentHedgeShortfall is NOT ZERO and AUTOHEDGE IS NOT ENABLED!</t>
  </si>
  <si>
    <t>2015-1-20 17:1:18.560: DirectionIndicator - notify - price/longMA/ShortMA/prevDirection are 1.51525/1.51535349780649/1.51529182273771/-1</t>
  </si>
  <si>
    <t>2015-1-20 17:1:18.563: Algorithm - handleTransition - currentHedgeShortfall is NOT ZERO and AUTOHEDGE IS NOT ENABLED!</t>
  </si>
  <si>
    <t>2015-1-20 17:1:21.630: DirectionIndicator - notify - price/longMA/ShortMA/prevDirection are 1.5153/1.51534377093258/1.51529454849181/-1</t>
  </si>
  <si>
    <t>2015-1-20 17:1:21.630: Algorithm - handleTransition - currentHedgeShortfall is NOT ZERO and AUTOHEDGE IS NOT ENABLED!</t>
  </si>
  <si>
    <t>2015-1-20 17:1:22.312: DirectionIndicator - notify - price/longMA/ShortMA/prevDirection are 1.51525/1.51532672167211/1.51527969899454/-1</t>
  </si>
  <si>
    <t>2015-1-20 17:1:22.313: Algorithm - handleTransition - currentHedgeShortfall is NOT ZERO and AUTOHEDGE IS NOT ENABLED!</t>
  </si>
  <si>
    <t>2015-1-20 17:1:22.838: DirectionIndicator - notify - price/longMA/ShortMA/prevDirection are 1.5152/1.51530368136809/1.51525313266302/-1</t>
  </si>
  <si>
    <t>2015-1-20 17:1:22.838: Algorithm - handleTransition - currentHedgeShortfall is NOT ZERO and AUTOHEDGE IS NOT ENABLED!</t>
  </si>
  <si>
    <t>2015-1-20 17:1:22.892: DirectionIndicator - notify - price/longMA/ShortMA/prevDirection are 1.51515/1.51527573930117/1.51521875510868/-1</t>
  </si>
  <si>
    <t>2015-1-20 17:1:22.893: Algorithm - handleTransition - currentHedgeShortfall is NOT ZERO and AUTOHEDGE IS NOT ENABLED!</t>
  </si>
  <si>
    <t>2015-1-20 17:1:23.596: DirectionIndicator - notify - price/longMA/ShortMA/prevDirection are 1.5152/1.51526196851914/1.51521250340579/-1</t>
  </si>
  <si>
    <t>2015-1-20 17:1:23.597: Algorithm - handleTransition - currentHedgeShortfall is NOT ZERO and AUTOHEDGE IS NOT ENABLED!</t>
  </si>
  <si>
    <t>2015-1-20 17:1:24.342: DirectionIndicator - notify - price/longMA/ShortMA/prevDirection are 1.51515/1.51524161060657/1.51519166893719/-1</t>
  </si>
  <si>
    <t>2015-1-20 17:1:24.343: Algorithm - handleTransition - currentHedgeShortfall is NOT ZERO and AUTOHEDGE IS NOT ENABLED!</t>
  </si>
  <si>
    <t>2015-1-20 17:1:29.247: TransitionLogger - flushFile - flushing file</t>
  </si>
  <si>
    <t>2015-1-20 17:1:29.247: TransitionLogger - openTransitionFile - opening file C:\temp\transitionlog_2015-01-20_153021</t>
  </si>
  <si>
    <t>2015-1-20 17:1:38.339: DirectionIndicator - notify - price/longMA/ShortMA/prevDirection are 1.5151/1.51521586322355/1.5151611126248/-1</t>
  </si>
  <si>
    <t>2015-1-20 17:1:38.339: Algorithm - handleTransition - currentHedgeShortfall is NOT ZERO and AUTOHEDGE IS NOT ENABLED!</t>
  </si>
  <si>
    <t>2015-1-20 17:1:38.392: DirectionIndicator - notify - price/longMA/ShortMA/prevDirection are 1.51505/1.51518570627382/1.5151240750832/-1</t>
  </si>
  <si>
    <t>2015-1-20 17:1:38.393: Algorithm - handleTransition - currentHedgeShortfall is NOT ZERO and AUTOHEDGE IS NOT ENABLED!</t>
  </si>
  <si>
    <t>2015-1-20 17:1:39.875: DirectionIndicator - notify - price/longMA/ShortMA/prevDirection are 1.515/1.51515194149676/1.51508271672213/-1</t>
  </si>
  <si>
    <t>2015-1-20 17:1:39.876: Algorithm - FindNextStrikes - price is 1.515 nextStrikeUp/Down 1.52/0</t>
  </si>
  <si>
    <t>2015-1-20 17:1:39.877: Algorithm - getPortfolioForwardDelta - required deltas is -200 currentHedgePosition is 101</t>
  </si>
  <si>
    <t>2015-1-20 17:1:39.877: Algorithm - getHedgeShortfall - required deltas is -200 price is 1.5149 currentHedgePositionDeltas is 101</t>
  </si>
  <si>
    <t>2015-1-20 17:1:39.878: Algorithm - processTransitionPoint - nextUpper/LowerStrikes are 1.52/0 requiredDeltas/currentPosition/currentHedgeShortfall/direction/transitionPrice are -200/101/-301/-1/1.5149</t>
  </si>
  <si>
    <t>2015-1-20 17:1:39.878: TransitionLogger - processTransitionpoint - checking transition - currentHedgeShortfall is -301</t>
  </si>
  <si>
    <t>2015-1-20 17:1:39.878: Algorithm - handleTransition - currentHedgeShortfall is NOT ZERO and AUTOHEDGE IS NOT ENABLED!</t>
  </si>
  <si>
    <t>2015-1-20 17:1:40.882: DirectionIndicator - notify - price/longMA/ShortMA/prevDirection are 1.51505/1.51513340667917/1.51507181114809/-1</t>
  </si>
  <si>
    <t>2015-1-20 17:1:40.884: Algorithm - handleTransition - currentHedgeShortfall is NOT ZERO and AUTOHEDGE IS NOT ENABLED!</t>
  </si>
  <si>
    <t>2015-1-20 17:1:42.723: DirectionIndicator - notify - price/longMA/ShortMA/prevDirection are 1.515/1.51510915091932/1.51504787409872/-1</t>
  </si>
  <si>
    <t>2015-1-20 17:1:42.724: Algorithm - handleTransition - currentHedgeShortfall is NOT ZERO and AUTOHEDGE IS NOT ENABLED!</t>
  </si>
  <si>
    <t>2015-1-20 17:1:42.843: DirectionIndicator - notify - price/longMA/ShortMA/prevDirection are 1.51505/1.51509839620672/1.51504858273248/-1</t>
  </si>
  <si>
    <t>2015-1-20 17:1:42.844: Algorithm - handleTransition - currentHedgeShortfall is NOT ZERO and AUTOHEDGE IS NOT ENABLED!</t>
  </si>
  <si>
    <t>2015-1-20 17:1:45.4: DirectionIndicator - notify - price/longMA/ShortMA/prevDirection are 1.5151/1.51509868780549/1.51506572182166/-1</t>
  </si>
  <si>
    <t>2015-1-20 17:1:45.5: Algorithm - handleTransition - currentHedgeShortfall is NOT ZERO and AUTOHEDGE IS NOT ENABLED!</t>
  </si>
  <si>
    <t>2015-1-20 17:1:45.149: DirectionIndicator - notify - price/longMA/ShortMA/prevDirection are 1.51515/1.5151080172954/1.51509381454777/-1</t>
  </si>
  <si>
    <t>2015-1-20 17:1:45.150: Algorithm - handleTransition - currentHedgeShortfall is NOT ZERO and AUTOHEDGE IS NOT ENABLED!</t>
  </si>
  <si>
    <t>2015-1-20 17:1:45.766: DirectionIndicator - notify - price/longMA/ShortMA/prevDirection are 1.5152/1.51512474142351/1.51512920969851/-1</t>
  </si>
  <si>
    <t>2015-1-20 17:1:45.767: Algorithm - handleTransition - currentHedgeShortfall is NOT ZERO and AUTOHEDGE IS NOT ENABLED!</t>
  </si>
  <si>
    <t>2015-1-20 17:1:46.765: DirectionIndicator - notify - price/longMA/ShortMA/prevDirection are 1.51525/1.51514751571015/1.51516947313234/-1</t>
  </si>
  <si>
    <t>2015-1-20 17:1:46.766: Algorithm - handleTransition - currentHedgeShortfall is NOT ZERO and AUTOHEDGE IS NOT ENABLED!</t>
  </si>
  <si>
    <t>2015-1-20 17:1:47.214: DirectionIndicator - notify - price/longMA/ShortMA/prevDirection are 1.5152/1.5151570583083/1.51517964875489/1</t>
  </si>
  <si>
    <t>2015-1-20 17:1:47.215: Algorithm - handleTransition - currentHedgeShortfall is NOT ZERO and AUTOHEDGE IS NOT ENABLED!</t>
  </si>
  <si>
    <t>2015-1-20 17:1:53.43: DirectionIndicator - notify - price/longMA/ShortMA/prevDirection are 1.51525/1.5151739567977/1.51520309916993/1</t>
  </si>
  <si>
    <t>2015-1-20 17:1:53.45: Algorithm - handleTransition - currentHedgeShortfall is NOT ZERO and AUTOHEDGE IS NOT ENABLED!</t>
  </si>
  <si>
    <t>2015-1-20 17:1:55.60: DirectionIndicator - notify - price/longMA/ShortMA/prevDirection are 1.5152/1.51517869192539/1.51520206611329/1</t>
  </si>
  <si>
    <t>2015-1-20 17:1:55.61: Algorithm - handleTransition - currentHedgeShortfall is NOT ZERO and AUTOHEDGE IS NOT ENABLED!</t>
  </si>
  <si>
    <t>2015-1-20 17:2:1.840: DirectionIndicator - notify - price/longMA/ShortMA/prevDirection are 1.51525/1.51519165702987/1.51521804407552/1</t>
  </si>
  <si>
    <t>2015-1-20 17:2:1.843: Algorithm - handleTransition - currentHedgeShortfall is NOT ZERO and AUTOHEDGE IS NOT ENABLED!</t>
  </si>
  <si>
    <t>2015-1-20 17:2:2.95: DirectionIndicator - notify - price/longMA/ShortMA/prevDirection are 1.5152/1.51519317393353/1.51521202938368/1</t>
  </si>
  <si>
    <t>2015-1-20 17:2:2.96: Algorithm - handleTransition - currentHedgeShortfall is NOT ZERO and AUTOHEDGE IS NOT ENABLED!</t>
  </si>
  <si>
    <t>2015-1-20 17:2:7.200: DirectionIndicator - notify - price/longMA/ShortMA/prevDirection are 1.51525/1.51520350594561/1.51522468625579/1</t>
  </si>
  <si>
    <t>2015-1-20 17:2:7.201: Algorithm - handleTransition - currentHedgeShortfall is NOT ZERO and AUTOHEDGE IS NOT ENABLED!</t>
  </si>
  <si>
    <t>2015-1-20 17:2:8.0: TransitionLogger - flushFile - flushing file</t>
  </si>
  <si>
    <t>2015-1-20 17:2:8.1: TransitionLogger - openTransitionFile - opening file C:\temp\transitionlog_2015-01-20_153021</t>
  </si>
  <si>
    <t>2015-1-20 17:2:8.176: DirectionIndicator - notify - price/longMA/ShortMA/prevDirection are 1.5153/1.51522105031914/1.51524979083719/1</t>
  </si>
  <si>
    <t>2015-1-20 17:2:8.177: Algorithm - handleTransition - currentHedgeShortfall is NOT ZERO and AUTOHEDGE IS NOT ENABLED!</t>
  </si>
  <si>
    <t>2015-1-20 17:2:8.380: DirectionIndicator - notify - price/longMA/ShortMA/prevDirection are 1.51525/1.51522631389748/1.51524986055813/1</t>
  </si>
  <si>
    <t>2015-1-20 17:2:8.381: Algorithm - handleTransition - currentHedgeShortfall is NOT ZERO and AUTOHEDGE IS NOT ENABLED!</t>
  </si>
  <si>
    <t>2015-1-20 17:2:20.304: DirectionIndicator - notify - price/longMA/ShortMA/prevDirection are 1.5153/1.51523971137066/1.51526657370542/1</t>
  </si>
  <si>
    <t>2015-1-20 17:2:20.305: Algorithm - handleTransition - currentHedgeShortfall is NOT ZERO and AUTOHEDGE IS NOT ENABLED!</t>
  </si>
  <si>
    <t>2015-1-20 17:2:22.274: DirectionIndicator - notify - price/longMA/ShortMA/prevDirection are 1.51535/1.51525976384872/1.51529438247028/1</t>
  </si>
  <si>
    <t>2015-1-20 17:2:22.275: Algorithm - handleTransition - currentHedgeShortfall is NOT ZERO and AUTOHEDGE IS NOT ENABLED!</t>
  </si>
  <si>
    <t>2015-1-20 17:2:22.929: DirectionIndicator - notify - price/longMA/ShortMA/prevDirection are 1.5154/1.51528526133077/1.51532958831352/1</t>
  </si>
  <si>
    <t>2015-1-20 17:2:22.930: Algorithm - handleTransition - currentHedgeShortfall is NOT ZERO and AUTOHEDGE IS NOT ENABLED!</t>
  </si>
  <si>
    <t>2015-1-20 17:2:23.220: DirectionIndicator - notify - price/longMA/ShortMA/prevDirection are 1.51545/1.51531521381609/1.51536972554235/1</t>
  </si>
  <si>
    <t>2015-1-20 17:2:23.221: Algorithm - handleTransition - currentHedgeShortfall is NOT ZERO and AUTOHEDGE IS NOT ENABLED!</t>
  </si>
  <si>
    <t>2015-1-20 17:2:27.217: DirectionIndicator - notify - price/longMA/ShortMA/prevDirection are 1.5154/1.51533062948589/1.51537981702823/1</t>
  </si>
  <si>
    <t>2015-1-20 17:2:27.218: Algorithm - handleTransition - currentHedgeShortfall is NOT ZERO and AUTOHEDGE IS NOT ENABLED!</t>
  </si>
  <si>
    <t>2015-1-20 17:2:27.270: DirectionIndicator - notify - price/longMA/ShortMA/prevDirection are 1.51535/1.51533415139755/1.51536987801882/1</t>
  </si>
  <si>
    <t>2015-1-20 17:2:27.271: Algorithm - handleTransition - currentHedgeShortfall is NOT ZERO and AUTOHEDGE IS NOT ENABLED!</t>
  </si>
  <si>
    <t>2015-1-20 17:2:29.15: TransitionLogger - flushFile - flushing file</t>
  </si>
  <si>
    <t>2015-1-20 17:2:29.16: TransitionLogger - openTransitionFile - opening file C:\temp\transitionlog_2015-01-20_153021</t>
  </si>
  <si>
    <t>2015-1-20 17:2:36.434: DirectionIndicator - notify - price/longMA/ShortMA/prevDirection are 1.5153/1.51532794205254/1.51534658534588/1</t>
  </si>
  <si>
    <t>2015-1-20 17:2:36.435: Algorithm - handleTransition - currentHedgeShortfall is NOT ZERO and AUTOHEDGE IS NOT ENABLED!</t>
  </si>
  <si>
    <t>2015-1-20 17:2:40.822: DirectionIndicator - notify - price/longMA/ShortMA/prevDirection are 1.51535/1.51533195258844/1.51534772356392/1</t>
  </si>
  <si>
    <t>2015-1-20 17:2:40.823: Algorithm - handleTransition - currentHedgeShortfall is NOT ZERO and AUTOHEDGE IS NOT ENABLED!</t>
  </si>
  <si>
    <t>2015-1-20 17:2:50.767: DirectionIndicator - notify - price/longMA/ShortMA/prevDirection are 1.5154/1.51534432484509/1.51536514904261/1</t>
  </si>
  <si>
    <t>2015-1-20 17:2:50.768: Algorithm - handleTransition - currentHedgeShortfall is NOT ZERO and AUTOHEDGE IS NOT ENABLED!</t>
  </si>
  <si>
    <t>2015-1-20 17:2:50.842: DirectionIndicator - notify - price/longMA/ShortMA/prevDirection are 1.51545/1.51536353850962/1.51539343269508/1</t>
  </si>
  <si>
    <t>2015-1-20 17:2:50.843: Algorithm - handleTransition - currentHedgeShortfall is NOT ZERO and AUTOHEDGE IS NOT ENABLED!</t>
  </si>
  <si>
    <t>2015-1-20 17:2:51.598: DirectionIndicator - notify - price/longMA/ShortMA/prevDirection are 1.5155/1.51538834968969/1.51542895513005/1</t>
  </si>
  <si>
    <t>2015-1-20 17:2:51.599: Algorithm - handleTransition - currentHedgeShortfall is NOT ZERO and AUTOHEDGE IS NOT ENABLED!</t>
  </si>
  <si>
    <t>2015-1-20 17:2:55.650: DirectionIndicator - notify - price/longMA/ShortMA/prevDirection are 1.51545/1.51539955883702/1.5154359700867/1</t>
  </si>
  <si>
    <t>2015-1-20 17:2:55.651: Algorithm - handleTransition - currentHedgeShortfall is NOT ZERO and AUTOHEDGE IS NOT ENABLED!</t>
  </si>
  <si>
    <t>2015-1-20 17:2:56.300: DirectionIndicator - notify - price/longMA/ShortMA/prevDirection are 1.5155/1.51541782086665/1.51545731339113/1</t>
  </si>
  <si>
    <t>2015-1-20 17:2:56.304: Algorithm - handleTransition - currentHedgeShortfall is NOT ZERO and AUTOHEDGE IS NOT ENABLED!</t>
  </si>
  <si>
    <t>2015-1-20 17:2:56.502: DirectionIndicator - notify - price/longMA/ShortMA/prevDirection are 1.51545/1.51542367161817/1.51545487559409/1</t>
  </si>
  <si>
    <t>2015-1-20 17:2:56.504: Algorithm - handleTransition - currentHedgeShortfall is NOT ZERO and AUTOHEDGE IS NOT ENABLED!</t>
  </si>
  <si>
    <t>2015-1-20 17:3:7.480: DirectionIndicator - notify - price/longMA/ShortMA/prevDirection are 1.5155/1.51543754950577/1.51546991706273/1</t>
  </si>
  <si>
    <t>2015-1-20 17:3:7.481: Algorithm - handleTransition - currentHedgeShortfall is NOT ZERO and AUTOHEDGE IS NOT ENABLED!</t>
  </si>
  <si>
    <t>2015-1-20 17:3:7.552: DirectionIndicator - notify - price/longMA/ShortMA/prevDirection are 1.51555/1.51545799505018/1.51549661137515/1</t>
  </si>
  <si>
    <t>2015-1-20 17:3:7.553: Algorithm - handleTransition - currentHedgeShortfall is NOT ZERO and AUTOHEDGE IS NOT ENABLED!</t>
  </si>
  <si>
    <t>2015-1-20 17:3:8.57: TransitionLogger - flushFile - flushing file</t>
  </si>
  <si>
    <t>2015-1-20 17:3:8.57: TransitionLogger - openTransitionFile - opening file C:\temp\transitionlog_2015-01-20_153021</t>
  </si>
  <si>
    <t>2015-1-20 17:3:16.66: Algorithm - FindNextStrikes - price is 1.51555 nextStrikeUp/Down 1.52/1.515</t>
  </si>
  <si>
    <t>2015-1-20 17:3:16.67: Algorithm - getPortfolioForwardDelta - required deltas is 100 currentHedgePosition is 101</t>
  </si>
  <si>
    <t>2015-1-20 17:3:16.67: Algorithm - getHedgeShortfall - required deltas is 100 price is 1.51565 currentHedgePositionDeltas is 101</t>
  </si>
  <si>
    <t>2015-1-20 17:3:16.68: Algorithm - processTransitionPoint - nextUpper/LowerStrikes are 1.52/1.515 requiredDeltas/currentPosition/currentHedgeShortfall/direction/transitionPrice are 100/101/-1/1/1.51565</t>
  </si>
  <si>
    <t>2015-1-20 17:3:16.68: TransitionLogger - processTransitionpoint - checking transition - currentHedgeShortfall is -1</t>
  </si>
  <si>
    <t>2015-1-20 17:3:16.69: Algorithm - handleTransition - currentHedgeShortfall is NOT ZERO and AUTOHEDGE IS NOT ENABLED!</t>
  </si>
  <si>
    <t>2015-1-20 17:3:16.70: Algorithm - updatePortfolio - haveAllDetails is True</t>
  </si>
  <si>
    <t>2015-1-20 17:3:16.71: RTWSControl - updatePortfolioEx - An Error Occured Object variable or With block variable not set</t>
  </si>
  <si>
    <t>2015-1-20 17:3:16.109: Algorithm - FindNextStrikes - price is 1.51555 nextStrikeUp/Down 1.52/1.515</t>
  </si>
  <si>
    <t>2015-1-20 17:3:16.110: Algorithm - getPortfolioForwardDelta - required deltas is 100 currentHedgePosition is 101</t>
  </si>
  <si>
    <t>2015-1-20 17:3:16.110: Algorithm - getHedgeShortfall - required deltas is 100 price is 1.51565 currentHedgePositionDeltas is 101</t>
  </si>
  <si>
    <t>2015-1-20 17:3:16.111: Algorithm - processTransitionPoint - nextUpper/LowerStrikes are 1.52/1.515 requiredDeltas/currentPosition/currentHedgeShortfall/direction/transitionPrice are 100/101/-1/1/1.51565</t>
  </si>
  <si>
    <t>2015-1-20 17:3:16.111: TransitionLogger - processTransitionpoint - checking transition - currentHedgeShortfall is -1</t>
  </si>
  <si>
    <t>2015-1-20 17:3:16.112: Algorithm - handleTransition - currentHedgeShortfall is NOT ZERO and AUTOHEDGE IS NOT ENABLED!</t>
  </si>
  <si>
    <t>2015-1-20 17:3:16.113: Algorithm - updatePortfolio - haveAllDetails is True</t>
  </si>
  <si>
    <t>2015-1-20 17:3:16.114: RTWSControl - updatePortfolioEx - An Error Occured Object variable or With block variable not set</t>
  </si>
  <si>
    <t>2015-1-20 17:3:16.183: Algorithm - FindNextStrikes - price is 1.51555 nextStrikeUp/Down 1.52/1.515</t>
  </si>
  <si>
    <t>2015-1-20 17:3:16.184: Algorithm - getPortfolioForwardDelta - required deltas is 100 currentHedgePosition is 101</t>
  </si>
  <si>
    <t>2015-1-20 17:3:16.184: Algorithm - getHedgeShortfall - required deltas is 100 price is 1.51565 currentHedgePositionDeltas is 101</t>
  </si>
  <si>
    <t>2015-1-20 17:3:16.184: Algorithm - processTransitionPoint - nextUpper/LowerStrikes are 1.52/1.515 requiredDeltas/currentPosition/currentHedgeShortfall/direction/transitionPrice are 100/101/-1/1/1.51565</t>
  </si>
  <si>
    <t>2015-1-20 17:3:16.185: TransitionLogger - processTransitionpoint - checking transition - currentHedgeShortfall is -1</t>
  </si>
  <si>
    <t>2015-1-20 17:3:16.185: Algorithm - handleTransition - currentHedgeShortfall is NOT ZERO and AUTOHEDGE IS NOT ENABLED!</t>
  </si>
  <si>
    <t>2015-1-20 17:3:16.186: Algorithm - updatePortfolio - haveAllDetails is True</t>
  </si>
  <si>
    <t>2015-1-20 17:3:16.187: RTWSControl - updatePortfolioEx - An Error Occured Object variable or With block variable not set</t>
  </si>
  <si>
    <t>2015-1-20 17:3:16.241: Algorithm - FindNextStrikes - price is 1.51555 nextStrikeUp/Down 1.52/1.515</t>
  </si>
  <si>
    <t>2015-1-20 17:3:16.242: Algorithm - getPortfolioForwardDelta - required deltas is 100 currentHedgePosition is 101</t>
  </si>
  <si>
    <t>2015-1-20 17:3:16.242: Algorithm - getHedgeShortfall - required deltas is 100 price is 1.51565 currentHedgePositionDeltas is 101</t>
  </si>
  <si>
    <t>2015-1-20 17:3:16.243: Algorithm - processTransitionPoint - nextUpper/LowerStrikes are 1.52/1.515 requiredDeltas/currentPosition/currentHedgeShortfall/direction/transitionPrice are 100/101/-1/1/1.51565</t>
  </si>
  <si>
    <t>2015-1-20 17:3:16.243: TransitionLogger - processTransitionpoint - checking transition - currentHedgeShortfall is -1</t>
  </si>
  <si>
    <t>2015-1-20 17:3:16.244: Algorithm - handleTransition - currentHedgeShortfall is NOT ZERO and AUTOHEDGE IS NOT ENABLED!</t>
  </si>
  <si>
    <t>2015-1-20 17:3:16.244: Algorithm - updatePortfolio - haveAllDetails is True</t>
  </si>
  <si>
    <t>2015-1-20 17:3:16.246: RTWSControl - updatePortfolioEx - An Error Occured Object variable or With block variable not set</t>
  </si>
  <si>
    <t>2015-1-20 17:3:16.289: Algorithm - FindNextStrikes - price is 1.51555 nextStrikeUp/Down 1.52/1.515</t>
  </si>
  <si>
    <t>2015-1-20 17:3:16.289: Algorithm - getPortfolioForwardDelta - required deltas is 100 currentHedgePosition is 101</t>
  </si>
  <si>
    <t>2015-1-20 17:3:16.290: Algorithm - getHedgeShortfall - required deltas is 100 price is 1.51565 currentHedgePositionDeltas is 101</t>
  </si>
  <si>
    <t>2015-1-20 17:3:16.290: Algorithm - processTransitionPoint - nextUpper/LowerStrikes are 1.52/1.515 requiredDeltas/currentPosition/currentHedgeShortfall/direction/transitionPrice are 100/101/-1/1/1.51565</t>
  </si>
  <si>
    <t>2015-1-20 17:3:16.290: TransitionLogger - processTransitionpoint - checking transition - currentHedgeShortfall is -1</t>
  </si>
  <si>
    <t>2015-1-20 17:3:16.291: Algorithm - handleTransition - currentHedgeShortfall is NOT ZERO and AUTOHEDGE IS NOT ENABLED!</t>
  </si>
  <si>
    <t>2015-1-20 17:3:16.292: Algorithm - updatePortfolio - haveAllDetails is True</t>
  </si>
  <si>
    <t>2015-1-20 17:3:16.293: RTWSControl - updatePortfolioEx - An Error Occured Object variable or With block variable not set</t>
  </si>
  <si>
    <t>2015-1-20 17:3:16.353: Algorithm - FindNextStrikes - price is 1.51555 nextStrikeUp/Down 1.52/1.515</t>
  </si>
  <si>
    <t>2015-1-20 17:3:16.353: Algorithm - getPortfolioForwardDelta - required deltas is 100 currentHedgePosition is 101</t>
  </si>
  <si>
    <t>2015-1-20 17:3:16.354: Algorithm - getHedgeShortfall - required deltas is 100 price is 1.51565 currentHedgePositionDeltas is 101</t>
  </si>
  <si>
    <t>2015-1-20 17:3:16.354: Algorithm - processTransitionPoint - nextUpper/LowerStrikes are 1.52/1.515 requiredDeltas/currentPosition/currentHedgeShortfall/direction/transitionPrice are 100/101/-1/1/1.51565</t>
  </si>
  <si>
    <t>2015-1-20 17:3:16.355: TransitionLogger - processTransitionpoint - checking transition - currentHedgeShortfall is -1</t>
  </si>
  <si>
    <t>2015-1-20 17:3:16.355: Algorithm - handleTransition - currentHedgeShortfall is NOT ZERO and AUTOHEDGE IS NOT ENABLED!</t>
  </si>
  <si>
    <t>2015-1-20 17:3:16.356: Algorithm - updatePortfolio - haveAllDetails is True</t>
  </si>
  <si>
    <t>2015-1-20 17:3:16.357: RTWSControl - updatePortfolioEx - An Error Occured Object variable or With block variable not set</t>
  </si>
  <si>
    <t>2015-1-20 17:3:29.45: TransitionLogger - flushFile - flushing file</t>
  </si>
  <si>
    <t>2015-1-20 17:3:29.46: TransitionLogger - openTransitionFile - opening file C:\temp\transitionlog_2015-01-20_153021</t>
  </si>
  <si>
    <t>2015-1-20 17:3:48.261: DirectionIndicator - notify - price/longMA/ShortMA/prevDirection are 1.5156/1.51548381413196/1.5155310742501/1</t>
  </si>
  <si>
    <t>2015-1-20 17:3:48.262: Algorithm - handleTransition - currentHedgeShortfall is NOT ZERO and AUTOHEDGE IS NOT ENABLED!</t>
  </si>
  <si>
    <t>2015-1-20 17:3:49.861: DirectionIndicator - notify - price/longMA/ShortMA/prevDirection are 1.51565/1.51551402974433/1.51557071616673/1</t>
  </si>
  <si>
    <t>2015-1-20 17:3:49.862: Algorithm - handleTransition - currentHedgeShortfall is NOT ZERO and AUTOHEDGE IS NOT ENABLED!</t>
  </si>
  <si>
    <t>2015-1-20 17:3:50.350: DirectionIndicator - notify - price/longMA/ShortMA/prevDirection are 1.5156/1.51552966069991/1.51558047744449/1</t>
  </si>
  <si>
    <t>2015-1-20 17:3:50.351: Algorithm - handleTransition - currentHedgeShortfall is NOT ZERO and AUTOHEDGE IS NOT ENABLED!</t>
  </si>
  <si>
    <t>2015-1-20 17:3:52.853: DirectionIndicator - notify - price/longMA/ShortMA/prevDirection are 1.51555/1.51553335875447/1.51557031829633/1</t>
  </si>
  <si>
    <t>2015-1-20 17:3:52.854: Algorithm - handleTransition - currentHedgeShortfall is NOT ZERO and AUTOHEDGE IS NOT ENABLED!</t>
  </si>
  <si>
    <t>2015-1-20 17:3:53.77: DirectionIndicator - notify - price/longMA/ShortMA/prevDirection are 1.5156/1.51554547534457/1.51558021219755/1</t>
  </si>
  <si>
    <t>2015-1-20 17:3:53.79: Algorithm - handleTransition - currentHedgeShortfall is NOT ZERO and AUTOHEDGE IS NOT ENABLED!</t>
  </si>
  <si>
    <t>2015-1-20 17:3:54.279: DirectionIndicator - notify - price/longMA/ShortMA/prevDirection are 1.51555/1.51554629800919/1.51557014146503/1</t>
  </si>
  <si>
    <t>2015-1-20 17:3:54.282: Algorithm - handleTransition - currentHedgeShortfall is NOT ZERO and AUTOHEDGE IS NOT ENABLED!</t>
  </si>
  <si>
    <t>2015-1-20 17:3:54.940: DirectionIndicator - notify - price/longMA/ShortMA/prevDirection are 1.5156/1.51555606200752/1.51558009431002/1</t>
  </si>
  <si>
    <t>2015-1-20 17:3:54.941: Algorithm - handleTransition - currentHedgeShortfall is NOT ZERO and AUTOHEDGE IS NOT ENABLED!</t>
  </si>
  <si>
    <t>2015-1-20 17:3:59.700: DirectionIndicator - notify - price/longMA/ShortMA/prevDirection are 1.51565/1.51557314164252/1.51560339620668/1</t>
  </si>
  <si>
    <t>2015-1-20 17:3:59.701: Algorithm - handleTransition - currentHedgeShortfall is NOT ZERO and AUTOHEDGE IS NOT ENABLED!</t>
  </si>
  <si>
    <t>2015-1-20 17:4:8.88: TransitionLogger - flushFile - flushing file</t>
  </si>
  <si>
    <t>2015-1-20 17:4:8.89: TransitionLogger - openTransitionFile - opening file C:\temp\transitionlog_2015-01-20_153021</t>
  </si>
  <si>
    <t>2015-1-20 17:4:8.353: DirectionIndicator - notify - price/longMA/ShortMA/prevDirection are 1.5157/1.51559620679842/1.51563559747112/1</t>
  </si>
  <si>
    <t>2015-1-20 17:4:8.354: Algorithm - handleTransition - currentHedgeShortfall is NOT ZERO and AUTOHEDGE IS NOT ENABLED!</t>
  </si>
  <si>
    <t>2015-1-20 17:4:8.430: DirectionIndicator - notify - price/longMA/ShortMA/prevDirection are 1.51575/1.51562416919871/1.51567373164741/1</t>
  </si>
  <si>
    <t>2015-1-20 17:4:8.431: Algorithm - handleTransition - currentHedgeShortfall is NOT ZERO and AUTOHEDGE IS NOT ENABLED!</t>
  </si>
  <si>
    <t>2015-1-20 17:4:9.60: DirectionIndicator - notify - price/longMA/ShortMA/prevDirection are 1.5157/1.51563795661713/1.51568248776494/1</t>
  </si>
  <si>
    <t>2015-1-20 17:4:9.61: Algorithm - handleTransition - currentHedgeShortfall is NOT ZERO and AUTOHEDGE IS NOT ENABLED!</t>
  </si>
  <si>
    <t>2015-1-20 17:4:9.141: DirectionIndicator - notify - price/longMA/ShortMA/prevDirection are 1.51565/1.5156401463231/1.51567165850996/1</t>
  </si>
  <si>
    <t>2015-1-20 17:4:9.141: Algorithm - handleTransition - currentHedgeShortfall is NOT ZERO and AUTOHEDGE IS NOT ENABLED!</t>
  </si>
  <si>
    <t>2015-1-20 17:4:9.978: DirectionIndicator - notify - price/longMA/ShortMA/prevDirection are 1.5156/1.51563284699163/1.51564777233997/1</t>
  </si>
  <si>
    <t>2015-1-20 17:4:9.978: Algorithm - handleTransition - currentHedgeShortfall is NOT ZERO and AUTOHEDGE IS NOT ENABLED!</t>
  </si>
  <si>
    <t>2015-1-20 17:4:10.102: DirectionIndicator - notify - price/longMA/ShortMA/prevDirection are 1.51555/1.51561778390224/1.51561518155998/1</t>
  </si>
  <si>
    <t>2015-1-20 17:4:10.103: Algorithm - handleTransition - currentHedgeShortfall is NOT ZERO and AUTOHEDGE IS NOT ENABLED!</t>
  </si>
  <si>
    <t>2015-1-20 17:4:29.57: TransitionLogger - flushFile - flushing file</t>
  </si>
  <si>
    <t>2015-1-20 17:4:29.59: TransitionLogger - openTransitionFile - opening file C:\temp\transitionlog_2015-01-20_153021</t>
  </si>
  <si>
    <t>2015-1-20 17:4:31.142: DirectionIndicator - notify - price/longMA/ShortMA/prevDirection are 1.5156/1.51561455046547/1.51561012103999/1</t>
  </si>
  <si>
    <t>2015-1-20 17:4:31.143: Algorithm - handleTransition - currentHedgeShortfall is NOT ZERO and AUTOHEDGE IS NOT ENABLED!</t>
  </si>
  <si>
    <t>2015-1-20 17:4:31.196: DirectionIndicator - notify - price/longMA/ShortMA/prevDirection are 1.51565/1.51562099583539/1.51562341402666/1</t>
  </si>
  <si>
    <t>2015-1-20 17:4:31.196: Algorithm - handleTransition - currentHedgeShortfall is NOT ZERO and AUTOHEDGE IS NOT ENABLED!</t>
  </si>
  <si>
    <t>2015-1-20 17:4:33.73: DirectionIndicator - notify - price/longMA/ShortMA/prevDirection are 1.5156/1.51561717841077/1.51561560935111/1</t>
  </si>
  <si>
    <t>2015-1-20 17:4:33.76: Algorithm - handleTransition - currentHedgeShortfall is NOT ZERO and AUTOHEDGE IS NOT ENABLED!</t>
  </si>
  <si>
    <t>2015-1-20 17:4:33.359: DirectionIndicator - notify - price/longMA/ShortMA/prevDirection are 1.51555/1.51560496415427/1.5155937395674/1</t>
  </si>
  <si>
    <t>2015-1-20 17:4:33.360: Algorithm - handleTransition - currentHedgeShortfall is NOT ZERO and AUTOHEDGE IS NOT ENABLED!</t>
  </si>
  <si>
    <t>2015-1-20 17:4:33.600: DirectionIndicator - notify - price/longMA/ShortMA/prevDirection are 1.5155/1.51558587976258/1.51556249304494/1</t>
  </si>
  <si>
    <t>2015-1-20 17:4:33.600: Algorithm - handleTransition - currentHedgeShortfall is NOT ZERO and AUTOHEDGE IS NOT ENABLED!</t>
  </si>
  <si>
    <t>2015-1-20 17:4:34.735: DirectionIndicator - notify - price/longMA/ShortMA/prevDirection are 1.51555/1.51557935616939/1.51555832869662/-1</t>
  </si>
  <si>
    <t>2015-1-20 17:4:34.736: Algorithm - handleTransition - currentHedgeShortfall is NOT ZERO and AUTOHEDGE IS NOT ENABLED!</t>
  </si>
  <si>
    <t>2015-1-20 17:4:40.15: DirectionIndicator - notify - price/longMA/ShortMA/prevDirection are 1.5156/1.51558310959313/1.51557221913108/-1</t>
  </si>
  <si>
    <t>2015-1-20 17:4:40.16: Algorithm - handleTransition - currentHedgeShortfall is NOT ZERO and AUTOHEDGE IS NOT ENABLED!</t>
  </si>
  <si>
    <t>2015-1-20 17:4:40.69: DirectionIndicator - notify - price/longMA/ShortMA/prevDirection are 1.51565/1.51559527148529/1.51559814608739/-1</t>
  </si>
  <si>
    <t>2015-1-20 17:4:40.70: Algorithm - handleTransition - currentHedgeShortfall is NOT ZERO and AUTOHEDGE IS NOT ENABLED!</t>
  </si>
  <si>
    <t>2015-1-20 17:5:2.856: DirectionIndicator - notify - price/longMA/ShortMA/prevDirection are 1.5157/1.51561431303342/1.51563209739159/-1</t>
  </si>
  <si>
    <t>2015-1-20 17:5:2.856: Algorithm - handleTransition - currentHedgeShortfall is NOT ZERO and AUTOHEDGE IS NOT ENABLED!</t>
  </si>
  <si>
    <t>2015-1-20 17:5:2.935: DirectionIndicator - notify - price/longMA/ShortMA/prevDirection are 1.51575/1.51563898339098/1.51567139826106/-1</t>
  </si>
  <si>
    <t>2015-1-20 17:5:2.935: Algorithm - handleTransition - currentHedgeShortfall is NOT ZERO and AUTOHEDGE IS NOT ENABLED!</t>
  </si>
  <si>
    <t>2015-1-20 17:5:3.360: DirectionIndicator - notify - price/longMA/ShortMA/prevDirection are 1.5157/1.51565007731989/1.51568093217404/1</t>
  </si>
  <si>
    <t>2015-1-20 17:5:3.361: Algorithm - handleTransition - currentHedgeShortfall is NOT ZERO and AUTOHEDGE IS NOT ENABLED!</t>
  </si>
  <si>
    <t>2015-1-20 17:5:3.434: DirectionIndicator - notify - price/longMA/ShortMA/prevDirection are 1.51565/1.51565006326173/1.51567062144936/1</t>
  </si>
  <si>
    <t>2015-1-20 17:5:3.435: Algorithm - handleTransition - currentHedgeShortfall is NOT ZERO and AUTOHEDGE IS NOT ENABLED!</t>
  </si>
  <si>
    <t>2015-1-20 17:5:4.654: DirectionIndicator - notify - price/longMA/ShortMA/prevDirection are 1.5156/1.51564096085051/1.51564708096624/1</t>
  </si>
  <si>
    <t>2015-1-20 17:5:4.655: Algorithm - handleTransition - currentHedgeShortfall is NOT ZERO and AUTOHEDGE IS NOT ENABLED!</t>
  </si>
  <si>
    <t>2015-1-20 17:5:5.64: DirectionIndicator - notify - price/longMA/ShortMA/prevDirection are 1.51555/1.51562442251405/1.51561472064416/1</t>
  </si>
  <si>
    <t>2015-1-20 17:5:5.65: Algorithm - handleTransition - currentHedgeShortfall is NOT ZERO and AUTOHEDGE IS NOT ENABLED!</t>
  </si>
  <si>
    <t>2015-1-20 17:5:6.399: DirectionIndicator - notify - price/longMA/ShortMA/prevDirection are 1.5156/1.51561998205695/1.51560981376277/1</t>
  </si>
  <si>
    <t>2015-1-20 17:5:6.399: Algorithm - handleTransition - currentHedgeShortfall is NOT ZERO and AUTOHEDGE IS NOT ENABLED!</t>
  </si>
  <si>
    <t>2015-1-20 17:5:6.889: DirectionIndicator - notify - price/longMA/ShortMA/prevDirection are 1.51555/1.5156072580466/1.51558987584185/1</t>
  </si>
  <si>
    <t>2015-1-20 17:5:6.892: Algorithm - handleTransition - currentHedgeShortfall is NOT ZERO and AUTOHEDGE IS NOT ENABLED!</t>
  </si>
  <si>
    <t>2015-1-20 17:5:8.37: TransitionLogger - flushFile - flushing file</t>
  </si>
  <si>
    <t>2015-1-20 17:5:8.37: TransitionLogger - openTransitionFile - opening file C:\temp\transitionlog_2015-01-20_153021</t>
  </si>
  <si>
    <t>2015-1-20 17:5:17.147: DirectionIndicator - notify - price/longMA/ShortMA/prevDirection are 1.5155/1.51558775658358/1.5155599172279/1</t>
  </si>
  <si>
    <t>2015-1-20 17:5:17.148: Algorithm - handleTransition - currentHedgeShortfall is NOT ZERO and AUTOHEDGE IS NOT ENABLED!</t>
  </si>
  <si>
    <t>2015-1-20 17:5:17.609: DirectionIndicator - notify - price/longMA/ShortMA/prevDirection are 1.51545/1.51556270993202/1.51552327815193/-1</t>
  </si>
  <si>
    <t>2015-1-20 17:5:17.610: Algorithm - handleTransition - currentHedgeShortfall is NOT ZERO and AUTOHEDGE IS NOT ENABLED!</t>
  </si>
  <si>
    <t>2015-1-20 17:5:29.288: TransitionLogger - flushFile - flushing file</t>
  </si>
  <si>
    <t>2015-1-20 17:5:29.289: TransitionLogger - openTransitionFile - opening file C:\temp\transitionlog_2015-01-20_153021</t>
  </si>
  <si>
    <t>2015-1-20 17:6:1.271: DirectionIndicator - notify - price/longMA/ShortMA/prevDirection are 1.5154/1.51553312630802/1.51548218543462/-1</t>
  </si>
  <si>
    <t>2015-1-20 17:6:1.272: Algorithm - handleTransition - currentHedgeShortfall is NOT ZERO and AUTOHEDGE IS NOT ENABLED!</t>
  </si>
  <si>
    <t>2015-1-20 17:6:5.475: DirectionIndicator - notify - price/longMA/ShortMA/prevDirection are 1.51535/1.51549983061565/1.51543812362308/-1</t>
  </si>
  <si>
    <t>2015-1-20 17:6:5.478: Algorithm - handleTransition - currentHedgeShortfall is NOT ZERO and AUTOHEDGE IS NOT ENABLED!</t>
  </si>
  <si>
    <t>2015-1-20 17:6:8.392: TransitionLogger - flushFile - flushing file</t>
  </si>
  <si>
    <t>2015-1-20 17:6:8.393: TransitionLogger - openTransitionFile - opening file C:\temp\transitionlog_2015-01-20_153021</t>
  </si>
  <si>
    <t>2015-1-20 17:6:10.70: DirectionIndicator - notify - price/longMA/ShortMA/prevDirection are 1.5154/1.51548167959462/1.51542541574872/-1</t>
  </si>
  <si>
    <t>2015-1-20 17:6:10.71: Algorithm - handleTransition - currentHedgeShortfall is NOT ZERO and AUTOHEDGE IS NOT ENABLED!</t>
  </si>
  <si>
    <t>2015-1-20 17:6:11.78: DirectionIndicator - notify - price/longMA/ShortMA/prevDirection are 1.51545/1.51547591966833/1.51543361049915/-1</t>
  </si>
  <si>
    <t>2015-1-20 17:6:11.81: Algorithm - handleTransition - currentHedgeShortfall is NOT ZERO and AUTOHEDGE IS NOT ENABLED!</t>
  </si>
  <si>
    <t>2015-1-20 17:6:11.694: DirectionIndicator - notify - price/longMA/ShortMA/prevDirection are 1.5155/1.51548029791045/1.51545574033276/-1</t>
  </si>
  <si>
    <t>2015-1-20 17:6:11.694: Algorithm - handleTransition - currentHedgeShortfall is NOT ZERO and AUTOHEDGE IS NOT ENABLED!</t>
  </si>
  <si>
    <t>2015-1-20 17:6:11.772: DirectionIndicator - notify - price/longMA/ShortMA/prevDirection are 1.51555/1.51549297101764/1.51548716022184/-1</t>
  </si>
  <si>
    <t>2015-1-20 17:6:11.773: Algorithm - handleTransition - currentHedgeShortfall is NOT ZERO and AUTOHEDGE IS NOT ENABLED!</t>
  </si>
  <si>
    <t>2015-1-20 17:6:15.856: Algorithm - FindNextStrikes - price is 1.51555 nextStrikeUp/Down 1.52/1.515</t>
  </si>
  <si>
    <t>2015-1-20 17:6:15.857: Algorithm - getPortfolioForwardDelta - required deltas is 100 currentHedgePosition is 101</t>
  </si>
  <si>
    <t>2015-1-20 17:6:15.857: Algorithm - getHedgeShortfall - required deltas is 100 price is 1.51545 currentHedgePositionDeltas is 101</t>
  </si>
  <si>
    <t>2015-1-20 17:6:15.858: Algorithm - processTransitionPoint - nextUpper/LowerStrikes are 1.52/1.515 requiredDeltas/currentPosition/currentHedgeShortfall/direction/transitionPrice are 100/101/-1/-1/1.51545</t>
  </si>
  <si>
    <t>2015-1-20 17:6:15.858: TransitionLogger - processTransitionpoint - checking transition - currentHedgeShortfall is -1</t>
  </si>
  <si>
    <t>2015-1-20 17:6:15.859: Algorithm - handleTransition - currentHedgeShortfall is NOT ZERO and AUTOHEDGE IS NOT ENABLED!</t>
  </si>
  <si>
    <t>2015-1-20 17:6:15.859: Algorithm - updatePortfolio - haveAllDetails is True</t>
  </si>
  <si>
    <t>2015-1-20 17:6:15.861: RTWSControl - updatePortfolioEx - An Error Occured Object variable or With block variable not set</t>
  </si>
  <si>
    <t>2015-1-20 17:6:15.912: Algorithm - FindNextStrikes - price is 1.51555 nextStrikeUp/Down 1.52/1.515</t>
  </si>
  <si>
    <t>2015-1-20 17:6:15.913: Algorithm - getPortfolioForwardDelta - required deltas is 100 currentHedgePosition is 101</t>
  </si>
  <si>
    <t>2015-1-20 17:6:15.913: Algorithm - getHedgeShortfall - required deltas is 100 price is 1.51545 currentHedgePositionDeltas is 101</t>
  </si>
  <si>
    <t>2015-1-20 17:6:15.914: Algorithm - processTransitionPoint - nextUpper/LowerStrikes are 1.52/1.515 requiredDeltas/currentPosition/currentHedgeShortfall/direction/transitionPrice are 100/101/-1/-1/1.51545</t>
  </si>
  <si>
    <t>2015-1-20 17:6:15.914: TransitionLogger - processTransitionpoint - checking transition - currentHedgeShortfall is -1</t>
  </si>
  <si>
    <t>2015-1-20 17:6:15.915: Algorithm - handleTransition - currentHedgeShortfall is NOT ZERO and AUTOHEDGE IS NOT ENABLED!</t>
  </si>
  <si>
    <t>2015-1-20 17:6:15.915: Algorithm - updatePortfolio - haveAllDetails is True</t>
  </si>
  <si>
    <t>2015-1-20 17:6:15.917: RTWSControl - updatePortfolioEx - An Error Occured Object variable or With block variable not set</t>
  </si>
  <si>
    <t>2015-1-20 17:6:15.965: Algorithm - FindNextStrikes - price is 1.51555 nextStrikeUp/Down 1.52/1.515</t>
  </si>
  <si>
    <t>2015-1-20 17:6:15.965: Algorithm - getPortfolioForwardDelta - required deltas is 100 currentHedgePosition is 101</t>
  </si>
  <si>
    <t>2015-1-20 17:6:15.965: Algorithm - getHedgeShortfall - required deltas is 100 price is 1.51545 currentHedgePositionDeltas is 101</t>
  </si>
  <si>
    <t>2015-1-20 17:6:15.966: Algorithm - processTransitionPoint - nextUpper/LowerStrikes are 1.52/1.515 requiredDeltas/currentPosition/currentHedgeShortfall/direction/transitionPrice are 100/101/-1/-1/1.51545</t>
  </si>
  <si>
    <t>2015-1-20 17:6:15.966: TransitionLogger - processTransitionpoint - checking transition - currentHedgeShortfall is -1</t>
  </si>
  <si>
    <t>2015-1-20 17:6:15.967: Algorithm - handleTransition - currentHedgeShortfall is NOT ZERO and AUTOHEDGE IS NOT ENABLED!</t>
  </si>
  <si>
    <t>2015-1-20 17:6:15.968: Algorithm - updatePortfolio - haveAllDetails is True</t>
  </si>
  <si>
    <t>2015-1-20 17:6:15.969: RTWSControl - updatePortfolioEx - An Error Occured Object variable or With block variable not set</t>
  </si>
  <si>
    <t>2015-1-20 17:6:16.30: Algorithm - FindNextStrikes - price is 1.51555 nextStrikeUp/Down 1.52/1.515</t>
  </si>
  <si>
    <t>2015-1-20 17:6:16.30: Algorithm - getPortfolioForwardDelta - required deltas is 100 currentHedgePosition is 101</t>
  </si>
  <si>
    <t>2015-1-20 17:6:16.31: Algorithm - getHedgeShortfall - required deltas is 100 price is 1.51545 currentHedgePositionDeltas is 101</t>
  </si>
  <si>
    <t>2015-1-20 17:6:16.31: Algorithm - processTransitionPoint - nextUpper/LowerStrikes are 1.52/1.515 requiredDeltas/currentPosition/currentHedgeShortfall/direction/transitionPrice are 100/101/-1/-1/1.51545</t>
  </si>
  <si>
    <t>2015-1-20 17:6:16.32: TransitionLogger - processTransitionpoint - checking transition - currentHedgeShortfall is -1</t>
  </si>
  <si>
    <t>2015-1-20 17:6:16.32: Algorithm - handleTransition - currentHedgeShortfall is NOT ZERO and AUTOHEDGE IS NOT ENABLED!</t>
  </si>
  <si>
    <t>2015-1-20 17:6:16.33: Algorithm - updatePortfolio - haveAllDetails is True</t>
  </si>
  <si>
    <t>2015-1-20 17:6:16.34: RTWSControl - updatePortfolioEx - An Error Occured Object variable or With block variable not set</t>
  </si>
  <si>
    <t>2015-1-20 17:6:16.89: Algorithm - FindNextStrikes - price is 1.51555 nextStrikeUp/Down 1.52/1.515</t>
  </si>
  <si>
    <t>2015-1-20 17:6:16.90: Algorithm - getPortfolioForwardDelta - required deltas is 100 currentHedgePosition is 101</t>
  </si>
  <si>
    <t>2015-1-20 17:6:16.90: Algorithm - getHedgeShortfall - required deltas is 100 price is 1.51545 currentHedgePositionDeltas is 101</t>
  </si>
  <si>
    <t>2015-1-20 17:6:16.91: Algorithm - processTransitionPoint - nextUpper/LowerStrikes are 1.52/1.515 requiredDeltas/currentPosition/currentHedgeShortfall/direction/transitionPrice are 100/101/-1/-1/1.51545</t>
  </si>
  <si>
    <t>2015-1-20 17:6:16.91: TransitionLogger - processTransitionpoint - checking transition - currentHedgeShortfall is -1</t>
  </si>
  <si>
    <t>2015-1-20 17:6:16.92: Algorithm - handleTransition - currentHedgeShortfall is NOT ZERO and AUTOHEDGE IS NOT ENABLED!</t>
  </si>
  <si>
    <t>2015-1-20 17:6:16.93: Algorithm - updatePortfolio - haveAllDetails is True</t>
  </si>
  <si>
    <t>2015-1-20 17:6:16.94: RTWSControl - updatePortfolioEx - An Error Occured Object variable or With block variable not set</t>
  </si>
  <si>
    <t>2015-1-20 17:6:16.322: DirectionIndicator - notify - price/longMA/ShortMA/prevDirection are 1.5156/1.51551243083262/1.51552477348123/-1</t>
  </si>
  <si>
    <t>2015-1-20 17:6:16.323: Algorithm - handleTransition - currentHedgeShortfall is NOT ZERO and AUTOHEDGE IS NOT ENABLED!</t>
  </si>
  <si>
    <t>2015-1-20 17:6:17.73: DirectionIndicator - notify - price/longMA/ShortMA/prevDirection are 1.51565/1.5155374434085/1.51556651565415/-1</t>
  </si>
  <si>
    <t>2015-1-20 17:6:17.74: Algorithm - handleTransition - currentHedgeShortfall is NOT ZERO and AUTOHEDGE IS NOT ENABLED!</t>
  </si>
  <si>
    <t>2015-1-20 17:6:29.24: TransitionLogger - flushFile - flushing file</t>
  </si>
  <si>
    <t>2015-1-20 17:6:29.26: TransitionLogger - openTransitionFile - opening file C:\temp\transitionlog_2015-01-20_153021</t>
  </si>
  <si>
    <t>2015-1-20 17:6:33.799: DirectionIndicator - notify - price/longMA/ShortMA/prevDirection are 1.5157/1.51556699915241/1.5156110104361/1</t>
  </si>
  <si>
    <t>2015-1-20 17:6:33.800: Algorithm - handleTransition - currentHedgeShortfall is NOT ZERO and AUTOHEDGE IS NOT ENABLED!</t>
  </si>
  <si>
    <t>2015-1-20 17:6:33.862: DirectionIndicator - notify - price/longMA/ShortMA/prevDirection are 1.51575/1.51560027203379/1.51565734029073/1</t>
  </si>
  <si>
    <t>2015-1-20 17:6:33.862: Algorithm - handleTransition - currentHedgeShortfall is NOT ZERO and AUTOHEDGE IS NOT ENABLED!</t>
  </si>
  <si>
    <t>2015-1-20 17:6:38.201: DirectionIndicator - notify - price/longMA/ShortMA/prevDirection are 1.5158/1.51563658620947/1.51570489352716/1</t>
  </si>
  <si>
    <t>2015-1-20 17:6:38.202: Algorithm - handleTransition - currentHedgeShortfall is NOT ZERO and AUTOHEDGE IS NOT ENABLED!</t>
  </si>
  <si>
    <t>2015-1-20 17:6:38.366: DirectionIndicator - notify - price/longMA/ShortMA/prevDirection are 1.51585/1.51567538871684/1.51575326235144/1</t>
  </si>
  <si>
    <t>2015-1-20 17:6:38.367: Algorithm - handleTransition - currentHedgeShortfall is NOT ZERO and AUTOHEDGE IS NOT ENABLED!</t>
  </si>
  <si>
    <t>2015-1-20 17:6:42.158: DirectionIndicator - notify - price/longMA/ShortMA/prevDirection are 1.5158/1.51569804531377/1.51576884156763/1</t>
  </si>
  <si>
    <t>2015-1-20 17:6:42.159: Algorithm - handleTransition - currentHedgeShortfall is NOT ZERO and AUTOHEDGE IS NOT ENABLED!</t>
  </si>
  <si>
    <t>2015-1-20 17:6:44.291: DirectionIndicator - notify - price/longMA/ShortMA/prevDirection are 1.51585/1.51572567343854/1.51579589437842/1</t>
  </si>
  <si>
    <t>2015-1-20 17:6:44.294: Algorithm - handleTransition - currentHedgeShortfall is NOT ZERO and AUTOHEDGE IS NOT ENABLED!</t>
  </si>
  <si>
    <t>2015-1-20 17:6:51.241: DirectionIndicator - notify - price/longMA/ShortMA/prevDirection are 1.5158/1.51573918735881/1.51579726291894/1</t>
  </si>
  <si>
    <t>2015-1-20 17:6:51.242: Algorithm - handleTransition - currentHedgeShortfall is NOT ZERO and AUTOHEDGE IS NOT ENABLED!</t>
  </si>
  <si>
    <t>2015-1-20 17:6:51.318: DirectionIndicator - notify - price/longMA/ShortMA/prevDirection are 1.51575/1.51574115329357/1.51578150861263/1</t>
  </si>
  <si>
    <t>2015-1-20 17:6:51.319: Algorithm - handleTransition - currentHedgeShortfall is NOT ZERO and AUTOHEDGE IS NOT ENABLED!</t>
  </si>
  <si>
    <t>2015-1-20 17:7:2.112: DirectionIndicator - notify - price/longMA/ShortMA/prevDirection are 1.5158/1.51575185269474/1.51578767240842/1</t>
  </si>
  <si>
    <t>2015-1-20 17:7:2.113: Algorithm - handleTransition - currentHedgeShortfall is NOT ZERO and AUTOHEDGE IS NOT ENABLED!</t>
  </si>
  <si>
    <t>2015-1-20 17:7:4.614: DirectionIndicator - notify - price/longMA/ShortMA/prevDirection are 1.51585/1.51576969765933/1.51580844827228/1</t>
  </si>
  <si>
    <t>2015-1-20 17:7:4.614: Algorithm - handleTransition - currentHedgeShortfall is NOT ZERO and AUTOHEDGE IS NOT ENABLED!</t>
  </si>
  <si>
    <t>2015-1-20 17:7:8.1: TransitionLogger - flushFile - flushing file</t>
  </si>
  <si>
    <t>2015-1-20 17:7:8.1: TransitionLogger - openTransitionFile - opening file C:\temp\transitionlog_2015-01-20_153021</t>
  </si>
  <si>
    <t>2015-1-20 17:7:29.7: TransitionLogger - flushFile - flushing file</t>
  </si>
  <si>
    <t>2015-1-20 17:7:29.8: TransitionLogger - openTransitionFile - opening file C:\temp\transitionlog_2015-01-20_153021</t>
  </si>
  <si>
    <t>2015-1-20 17:7:41.31: DirectionIndicator - notify - price/longMA/ShortMA/prevDirection are 1.5158/1.51577520717582/1.51580563218152/1</t>
  </si>
  <si>
    <t>2015-1-20 17:7:41.32: Algorithm - handleTransition - currentHedgeShortfall is NOT ZERO and AUTOHEDGE IS NOT ENABLED!</t>
  </si>
  <si>
    <t>2015-1-20 17:7:42.42: DirectionIndicator - notify - price/longMA/ShortMA/prevDirection are 1.51585/1.51578880587112/1.51582042145435/1</t>
  </si>
  <si>
    <t>2015-1-20 17:7:42.43: Algorithm - handleTransition - currentHedgeShortfall is NOT ZERO and AUTOHEDGE IS NOT ENABLED!</t>
  </si>
  <si>
    <t>2015-1-20 17:8:8.128: TransitionLogger - flushFile - flushing file</t>
  </si>
  <si>
    <t>2015-1-20 17:8:8.129: TransitionLogger - openTransitionFile - opening file C:\temp\transitionlog_2015-01-20_153021</t>
  </si>
  <si>
    <t>2015-1-20 17:8:29.323: TransitionLogger - flushFile - flushing file</t>
  </si>
  <si>
    <t>2015-1-20 17:8:29.324: TransitionLogger - openTransitionFile - opening file C:\temp\transitionlog_2015-01-20_153021</t>
  </si>
  <si>
    <t>2015-1-20 17:8:42.365: DirectionIndicator - notify - price/longMA/ShortMA/prevDirection are 1.5158/1.51579084116728/1.5158136143029/1</t>
  </si>
  <si>
    <t>2015-1-20 17:8:42.366: Algorithm - handleTransition - currentHedgeShortfall is NOT ZERO and AUTOHEDGE IS NOT ENABLED!</t>
  </si>
  <si>
    <t>2015-1-20 17:8:44.130: DirectionIndicator - notify - price/longMA/ShortMA/prevDirection are 1.51575/1.5157834155005/1.51579240953527/1</t>
  </si>
  <si>
    <t>2015-1-20 17:8:44.130: Algorithm - handleTransition - currentHedgeShortfall is NOT ZERO and AUTOHEDGE IS NOT ENABLED!</t>
  </si>
  <si>
    <t>2015-1-20 17:9:7.52: DirectionIndicator - notify - price/longMA/ShortMA/prevDirection are 1.5158/1.51578643086405/1.51579493969018/1</t>
  </si>
  <si>
    <t>2015-1-20 17:9:7.53: Algorithm - handleTransition - currentHedgeShortfall is NOT ZERO and AUTOHEDGE IS NOT ENABLED!</t>
  </si>
  <si>
    <t>2015-1-20 17:9:7.666: DirectionIndicator - notify - price/longMA/ShortMA/prevDirection are 1.51575/1.51577980707059/1.51577995979345/1</t>
  </si>
  <si>
    <t>2015-1-20 17:9:7.666: Algorithm - handleTransition - currentHedgeShortfall is NOT ZERO and AUTOHEDGE IS NOT ENABLED!</t>
  </si>
  <si>
    <t>2015-1-20 17:9:7.781: DirectionIndicator - notify - price/longMA/ShortMA/prevDirection are 1.5158/1.5157834785123/1.5157866398623/1</t>
  </si>
  <si>
    <t>2015-1-20 17:9:7.782: Algorithm - handleTransition - currentHedgeShortfall is NOT ZERO and AUTOHEDGE IS NOT ENABLED!</t>
  </si>
  <si>
    <t>2015-1-20 17:9:7.878: DirectionIndicator - notify - price/longMA/ShortMA/prevDirection are 1.51585/1.51579557332824/1.5158077599082/1</t>
  </si>
  <si>
    <t>2015-1-20 17:9:7.879: Algorithm - handleTransition - currentHedgeShortfall is NOT ZERO and AUTOHEDGE IS NOT ENABLED!</t>
  </si>
  <si>
    <t>2015-1-20 17:9:8.37: TransitionLogger - flushFile - flushing file</t>
  </si>
  <si>
    <t>2015-1-20 17:9:8.37: TransitionLogger - openTransitionFile - opening file C:\temp\transitionlog_2015-01-20_153021</t>
  </si>
  <si>
    <t>2015-1-20 17:9:16.615: Algorithm - FindNextStrikes - price is 1.51585 nextStrikeUp/Down 1.52/1.515</t>
  </si>
  <si>
    <t>2015-1-20 17:9:16.616: Algorithm - getPortfolioForwardDelta - required deltas is 100 currentHedgePosition is 101</t>
  </si>
  <si>
    <t>2015-1-20 17:9:16.616: Algorithm - getHedgeShortfall - required deltas is 100 price is 1.51595 currentHedgePositionDeltas is 101</t>
  </si>
  <si>
    <t>2015-1-20 17:9:16.617: Algorithm - processTransitionPoint - nextUpper/LowerStrikes are 1.52/1.515 requiredDeltas/currentPosition/currentHedgeShortfall/direction/transitionPrice are 100/101/-1/1/1.51595</t>
  </si>
  <si>
    <t>2015-1-20 17:9:16.617: TransitionLogger - processTransitionpoint - checking transition - currentHedgeShortfall is -1</t>
  </si>
  <si>
    <t>2015-1-20 17:9:16.618: Algorithm - handleTransition - currentHedgeShortfall is NOT ZERO and AUTOHEDGE IS NOT ENABLED!</t>
  </si>
  <si>
    <t>2015-1-20 17:9:16.619: Algorithm - updatePortfolio - haveAllDetails is True</t>
  </si>
  <si>
    <t>2015-1-20 17:9:16.620: RTWSControl - updatePortfolioEx - An Error Occured Object variable or With block variable not set</t>
  </si>
  <si>
    <t>2015-1-20 17:9:16.659: Algorithm - FindNextStrikes - price is 1.51585 nextStrikeUp/Down 1.52/1.515</t>
  </si>
  <si>
    <t>2015-1-20 17:9:16.660: Algorithm - getPortfolioForwardDelta - required deltas is 100 currentHedgePosition is 101</t>
  </si>
  <si>
    <t>2015-1-20 17:9:16.660: Algorithm - getHedgeShortfall - required deltas is 100 price is 1.51595 currentHedgePositionDeltas is 101</t>
  </si>
  <si>
    <t>2015-1-20 17:9:16.661: Algorithm - processTransitionPoint - nextUpper/LowerStrikes are 1.52/1.515 requiredDeltas/currentPosition/currentHedgeShortfall/direction/transitionPrice are 100/101/-1/1/1.51595</t>
  </si>
  <si>
    <t>2015-1-20 17:9:16.661: TransitionLogger - processTransitionpoint - checking transition - currentHedgeShortfall is -1</t>
  </si>
  <si>
    <t>2015-1-20 17:9:16.661: Algorithm - handleTransition - currentHedgeShortfall is NOT ZERO and AUTOHEDGE IS NOT ENABLED!</t>
  </si>
  <si>
    <t>2015-1-20 17:9:16.662: Algorithm - updatePortfolio - haveAllDetails is True</t>
  </si>
  <si>
    <t>2015-1-20 17:9:16.663: RTWSControl - updatePortfolioEx - An Error Occured Object variable or With block variable not set</t>
  </si>
  <si>
    <t>2015-1-20 17:9:16.712: Algorithm - FindNextStrikes - price is 1.51585 nextStrikeUp/Down 1.52/1.515</t>
  </si>
  <si>
    <t>2015-1-20 17:9:16.712: Algorithm - getPortfolioForwardDelta - required deltas is 100 currentHedgePosition is 101</t>
  </si>
  <si>
    <t>2015-1-20 17:9:16.713: Algorithm - getHedgeShortfall - required deltas is 100 price is 1.51595 currentHedgePositionDeltas is 101</t>
  </si>
  <si>
    <t>2015-1-20 17:9:16.713: Algorithm - processTransitionPoint - nextUpper/LowerStrikes are 1.52/1.515 requiredDeltas/currentPosition/currentHedgeShortfall/direction/transitionPrice are 100/101/-1/1/1.51595</t>
  </si>
  <si>
    <t>2015-1-20 17:9:16.714: TransitionLogger - processTransitionpoint - checking transition - currentHedgeShortfall is -1</t>
  </si>
  <si>
    <t>2015-1-20 17:9:16.714: Algorithm - handleTransition - currentHedgeShortfall is NOT ZERO and AUTOHEDGE IS NOT ENABLED!</t>
  </si>
  <si>
    <t>2015-1-20 17:9:16.715: Algorithm - updatePortfolio - haveAllDetails is True</t>
  </si>
  <si>
    <t>2015-1-20 17:9:16.716: RTWSControl - updatePortfolioEx - An Error Occured Object variable or With block variable not set</t>
  </si>
  <si>
    <t>2015-1-20 17:9:16.766: Algorithm - FindNextStrikes - price is 1.51585 nextStrikeUp/Down 1.52/1.515</t>
  </si>
  <si>
    <t>2015-1-20 17:9:16.766: Algorithm - getPortfolioForwardDelta - required deltas is 100 currentHedgePosition is 101</t>
  </si>
  <si>
    <t>2015-1-20 17:9:16.767: Algorithm - getHedgeShortfall - required deltas is 100 price is 1.51595 currentHedgePositionDeltas is 101</t>
  </si>
  <si>
    <t>2015-1-20 17:9:16.767: Algorithm - processTransitionPoint - nextUpper/LowerStrikes are 1.52/1.515 requiredDeltas/currentPosition/currentHedgeShortfall/direction/transitionPrice are 100/101/-1/1/1.51595</t>
  </si>
  <si>
    <t>2015-1-20 17:9:16.768: TransitionLogger - processTransitionpoint - checking transition - currentHedgeShortfall is -1</t>
  </si>
  <si>
    <t>2015-1-20 17:9:16.768: Algorithm - handleTransition - currentHedgeShortfall is NOT ZERO and AUTOHEDGE IS NOT ENABLED!</t>
  </si>
  <si>
    <t>2015-1-20 17:9:16.769: Algorithm - updatePortfolio - haveAllDetails is True</t>
  </si>
  <si>
    <t>2015-1-20 17:9:16.770: RTWSControl - updatePortfolioEx - An Error Occured Object variable or With block variable not set</t>
  </si>
  <si>
    <t>2015-1-20 17:9:16.830: Algorithm - FindNextStrikes - price is 1.51585 nextStrikeUp/Down 1.52/1.515</t>
  </si>
  <si>
    <t>2015-1-20 17:9:16.831: Algorithm - getPortfolioForwardDelta - required deltas is 100 currentHedgePosition is 101</t>
  </si>
  <si>
    <t>2015-1-20 17:9:16.831: Algorithm - getHedgeShortfall - required deltas is 100 price is 1.51595 currentHedgePositionDeltas is 101</t>
  </si>
  <si>
    <t>2015-1-20 17:9:16.832: Algorithm - processTransitionPoint - nextUpper/LowerStrikes are 1.52/1.515 requiredDeltas/currentPosition/currentHedgeShortfall/direction/transitionPrice are 100/101/-1/1/1.51595</t>
  </si>
  <si>
    <t>2015-1-20 17:9:16.832: TransitionLogger - processTransitionpoint - checking transition - currentHedgeShortfall is -1</t>
  </si>
  <si>
    <t>2015-1-20 17:9:16.833: Algorithm - handleTransition - currentHedgeShortfall is NOT ZERO and AUTOHEDGE IS NOT ENABLED!</t>
  </si>
  <si>
    <t>2015-1-20 17:9:16.834: Algorithm - updatePortfolio - haveAllDetails is True</t>
  </si>
  <si>
    <t>2015-1-20 17:9:16.835: RTWSControl - updatePortfolioEx - An Error Occured Object variable or With block variable not set</t>
  </si>
  <si>
    <t>2015-1-20 17:9:16.889: Algorithm - FindNextStrikes - price is 1.51585 nextStrikeUp/Down 1.52/1.515</t>
  </si>
  <si>
    <t>2015-1-20 17:9:16.890: Algorithm - getPortfolioForwardDelta - required deltas is 100 currentHedgePosition is 101</t>
  </si>
  <si>
    <t>2015-1-20 17:9:16.890: Algorithm - getHedgeShortfall - required deltas is 100 price is 1.51595 currentHedgePositionDeltas is 101</t>
  </si>
  <si>
    <t>2015-1-20 17:9:16.891: Algorithm - processTransitionPoint - nextUpper/LowerStrikes are 1.52/1.515 requiredDeltas/currentPosition/currentHedgeShortfall/direction/transitionPrice are 100/101/-1/1/1.51595</t>
  </si>
  <si>
    <t>2015-1-20 17:9:16.891: TransitionLogger - processTransitionpoint - checking transition - currentHedgeShortfall is -1</t>
  </si>
  <si>
    <t>2015-1-20 17:9:16.892: Algorithm - handleTransition - currentHedgeShortfall is NOT ZERO and AUTOHEDGE IS NOT ENABLED!</t>
  </si>
  <si>
    <t>2015-1-20 17:9:16.893: Algorithm - updatePortfolio - haveAllDetails is True</t>
  </si>
  <si>
    <t>2015-1-20 17:9:16.894: RTWSControl - updatePortfolioEx - An Error Occured Object variable or With block variable not set</t>
  </si>
  <si>
    <t>2015-1-20 17:9:26.498: DirectionIndicator - notify - price/longMA/ShortMA/prevDirection are 1.5159/1.51581455999584/1.51583850660547/1</t>
  </si>
  <si>
    <t>2015-1-20 17:9:26.499: Algorithm - handleTransition - currentHedgeShortfall is NOT ZERO and AUTOHEDGE IS NOT ENABLED!</t>
  </si>
  <si>
    <t>2015-1-20 17:9:26.554: DirectionIndicator - notify - price/longMA/ShortMA/prevDirection are 1.51595/1.51583918545114/1.51587567107031/1</t>
  </si>
  <si>
    <t>2015-1-20 17:9:26.555: Algorithm - handleTransition - currentHedgeShortfall is NOT ZERO and AUTOHEDGE IS NOT ENABLED!</t>
  </si>
  <si>
    <t>2015-1-20 17:9:27.584: DirectionIndicator - notify - price/longMA/ShortMA/prevDirection are 1.516/1.51586842446002/1.51591711404687/1</t>
  </si>
  <si>
    <t>2015-1-20 17:9:27.585: Algorithm - handleTransition - currentHedgeShortfall is NOT ZERO and AUTOHEDGE IS NOT ENABLED!</t>
  </si>
  <si>
    <t>2015-1-20 17:9:28.39: DirectionIndicator - notify - price/longMA/ShortMA/prevDirection are 1.51605/1.51590143819456/1.51596140936458/1</t>
  </si>
  <si>
    <t>2015-1-20 17:9:28.40: Algorithm - handleTransition - currentHedgeShortfall is NOT ZERO and AUTOHEDGE IS NOT ENABLED!</t>
  </si>
  <si>
    <t>2015-1-20 17:9:28.287: DirectionIndicator - notify - price/longMA/ShortMA/prevDirection are 1.516/1.51591935852282/1.51597427290972/1</t>
  </si>
  <si>
    <t>2015-1-20 17:9:28.288: Algorithm - handleTransition - currentHedgeShortfall is NOT ZERO and AUTOHEDGE IS NOT ENABLED!</t>
  </si>
  <si>
    <t>2015-1-20 17:9:29.216: TransitionLogger - flushFile - flushing file</t>
  </si>
  <si>
    <t>2015-1-20 17:9:29.217: TransitionLogger - openTransitionFile - opening file C:\temp\transitionlog_2015-01-20_153021</t>
  </si>
  <si>
    <t>2015-1-20 17:9:33.284: DirectionIndicator - notify - price/longMA/ShortMA/prevDirection are 1.51595/1.51592492970049/1.51596618193981/1</t>
  </si>
  <si>
    <t>2015-1-20 17:9:33.287: Algorithm - handleTransition - currentHedgeShortfall is NOT ZERO and AUTOHEDGE IS NOT ENABLED!</t>
  </si>
  <si>
    <t>2015-1-20 17:9:35.742: DirectionIndicator - notify - price/longMA/ShortMA/prevDirection are 1.5159/1.51592039702768/1.51594412129321/1</t>
  </si>
  <si>
    <t>2015-1-20 17:9:35.743: Algorithm - handleTransition - currentHedgeShortfall is NOT ZERO and AUTOHEDGE IS NOT ENABLED!</t>
  </si>
  <si>
    <t>2015-1-20 17:9:35.797: DirectionIndicator - notify - price/longMA/ShortMA/prevDirection are 1.51585/1.5159075975681/1.51591274752881/1</t>
  </si>
  <si>
    <t>2015-1-20 17:9:35.798: Algorithm - handleTransition - currentHedgeShortfall is NOT ZERO and AUTOHEDGE IS NOT ENABLED!</t>
  </si>
  <si>
    <t>2015-1-20 17:9:36.960: DirectionIndicator - notify - price/longMA/ShortMA/prevDirection are 1.5159/1.51590621619208/1.51590849835254/1</t>
  </si>
  <si>
    <t>2015-1-20 17:9:36.961: Algorithm - handleTransition - currentHedgeShortfall is NOT ZERO and AUTOHEDGE IS NOT ENABLED!</t>
  </si>
  <si>
    <t>2015-1-20 17:9:41.304: DirectionIndicator - notify - price/longMA/ShortMA/prevDirection are 1.51585/1.51589599506625/1.51588899890169/1</t>
  </si>
  <si>
    <t>2015-1-20 17:9:41.306: Algorithm - handleTransition - currentHedgeShortfall is NOT ZERO and AUTOHEDGE IS NOT ENABLED!</t>
  </si>
  <si>
    <t>2015-1-20 17:9:42.84: DirectionIndicator - notify - price/longMA/ShortMA/prevDirection are 1.5158/1.51587854141784/1.51585933260113/1</t>
  </si>
  <si>
    <t>2015-1-20 17:9:42.85: Algorithm - handleTransition - currentHedgeShortfall is NOT ZERO and AUTOHEDGE IS NOT ENABLED!</t>
  </si>
  <si>
    <t>2015-1-20 17:9:45.519: DirectionIndicator - notify - price/longMA/ShortMA/prevDirection are 1.51585/1.51587335206914/1.51585622173409/1</t>
  </si>
  <si>
    <t>2015-1-20 17:9:45.521: Algorithm - handleTransition - currentHedgeShortfall is NOT ZERO and AUTOHEDGE IS NOT ENABLED!</t>
  </si>
  <si>
    <t>2015-1-20 17:10:7.974: DirectionIndicator - notify - price/longMA/ShortMA/prevDirection are 1.5159/1.51587819714748/1.51587081448939/1</t>
  </si>
  <si>
    <t>2015-1-20 17:10:7.975: Algorithm - handleTransition - currentHedgeShortfall is NOT ZERO and AUTOHEDGE IS NOT ENABLED!</t>
  </si>
  <si>
    <t>2015-1-20 17:10:8.40: DirectionIndicator - notify - price/longMA/ShortMA/prevDirection are 1.51595/1.51589125221157/1.51589720965959/1</t>
  </si>
  <si>
    <t>2015-1-20 17:10:8.41: Algorithm - handleTransition - currentHedgeShortfall is NOT ZERO and AUTOHEDGE IS NOT ENABLED!</t>
  </si>
  <si>
    <t>2015-1-20 17:10:8.87: TransitionLogger - flushFile - flushing file</t>
  </si>
  <si>
    <t>2015-1-20 17:10:8.87: TransitionLogger - openTransitionFile - opening file C:\temp\transitionlog_2015-01-20_153021</t>
  </si>
  <si>
    <t>2015-1-20 17:10:29.119: TransitionLogger - flushFile - flushing file</t>
  </si>
  <si>
    <t>2015-1-20 17:10:29.120: TransitionLogger - openTransitionFile - opening file C:\temp\transitionlog_2015-01-20_153021</t>
  </si>
  <si>
    <t>2015-1-20 17:11:7.83: DirectionIndicator - notify - price/longMA/ShortMA/prevDirection are 1.5159/1.51589284271856/1.51589813977306/1</t>
  </si>
  <si>
    <t>2015-1-20 17:11:7.84: Algorithm - handleTransition - currentHedgeShortfall is NOT ZERO and AUTOHEDGE IS NOT ENABLED!</t>
  </si>
  <si>
    <t>2015-1-20 17:11:7.422: DirectionIndicator - notify - price/longMA/ShortMA/prevDirection are 1.51585/1.51588505313337/1.51588209318204/1</t>
  </si>
  <si>
    <t>2015-1-20 17:11:7.423: Algorithm - handleTransition - currentHedgeShortfall is NOT ZERO and AUTOHEDGE IS NOT ENABLED!</t>
  </si>
  <si>
    <t>2015-1-20 17:11:8.16: TransitionLogger - flushFile - flushing file</t>
  </si>
  <si>
    <t>2015-1-20 17:11:8.17: TransitionLogger - openTransitionFile - opening file C:\temp\transitionlog_2015-01-20_153021</t>
  </si>
  <si>
    <t>2015-1-20 17:11:29.294: TransitionLogger - flushFile - flushing file</t>
  </si>
  <si>
    <t>2015-1-20 17:11:29.295: TransitionLogger - openTransitionFile - opening file C:\temp\transitionlog_2015-01-20_153021</t>
  </si>
  <si>
    <t>2015-1-20 17:11:29.824: DirectionIndicator - notify - price/longMA/ShortMA/prevDirection are 1.5159/1.51588777074548/1.51588806212136/1</t>
  </si>
  <si>
    <t>2015-1-20 17:11:29.825: Algorithm - handleTransition - currentHedgeShortfall is NOT ZERO and AUTOHEDGE IS NOT ENABLED!</t>
  </si>
  <si>
    <t>2015-1-20 17:11:29.914: DirectionIndicator - notify - price/longMA/ShortMA/prevDirection are 1.51595/1.51589908515539/1.51590870808091/1</t>
  </si>
  <si>
    <t>2015-1-20 17:11:29.914: Algorithm - handleTransition - currentHedgeShortfall is NOT ZERO and AUTOHEDGE IS NOT ENABLED!</t>
  </si>
  <si>
    <t>2015-1-20 17:11:35.667: DirectionIndicator - notify - price/longMA/ShortMA/prevDirection are 1.5159/1.51589925149078/1.51590580538727/1</t>
  </si>
  <si>
    <t>2015-1-20 17:11:35.668: Algorithm - handleTransition - currentHedgeShortfall is NOT ZERO and AUTOHEDGE IS NOT ENABLED!</t>
  </si>
  <si>
    <t>2015-1-20 17:11:36.472: DirectionIndicator - notify - price/longMA/ShortMA/prevDirection are 1.51585/1.51589029667427/1.51588720359151/1</t>
  </si>
  <si>
    <t>2015-1-20 17:11:36.473: Algorithm - handleTransition - currentHedgeShortfall is NOT ZERO and AUTOHEDGE IS NOT ENABLED!</t>
  </si>
  <si>
    <t>2015-1-20 17:11:36.631: DirectionIndicator - notify - price/longMA/ShortMA/prevDirection are 1.5159/1.51589206091531/1.51589146906101/1</t>
  </si>
  <si>
    <t>2015-1-20 17:11:36.632: Algorithm - handleTransition - currentHedgeShortfall is NOT ZERO and AUTOHEDGE IS NOT ENABLED!</t>
  </si>
  <si>
    <t>2015-1-20 17:11:37.930: DirectionIndicator - notify - price/longMA/ShortMA/prevDirection are 1.51595/1.51590259529435/1.51591097937401/1</t>
  </si>
  <si>
    <t>2015-1-20 17:11:37.931: Algorithm - handleTransition - currentHedgeShortfall is NOT ZERO and AUTOHEDGE IS NOT ENABLED!</t>
  </si>
  <si>
    <t>2015-1-20 17:11:39.92: DirectionIndicator - notify - price/longMA/ShortMA/prevDirection are 1.5159/1.51590212342265/1.51590731958267/1</t>
  </si>
  <si>
    <t>2015-1-20 17:11:39.93: Algorithm - handleTransition - currentHedgeShortfall is NOT ZERO and AUTOHEDGE IS NOT ENABLED!</t>
  </si>
  <si>
    <t>2015-1-20 17:11:40.814: DirectionIndicator - notify - price/longMA/ShortMA/prevDirection are 1.51585/1.51589264643671/1.51588821305511/1</t>
  </si>
  <si>
    <t>2015-1-20 17:11:40.815: Algorithm - handleTransition - currentHedgeShortfall is NOT ZERO and AUTOHEDGE IS NOT ENABLED!</t>
  </si>
  <si>
    <t>2015-1-20 17:11:49.5: DirectionIndicator - notify - price/longMA/ShortMA/prevDirection are 1.5159/1.51589398344822/1.51589214203674/1</t>
  </si>
  <si>
    <t>2015-1-20 17:11:49.7: Algorithm - handleTransition - currentHedgeShortfall is NOT ZERO and AUTOHEDGE IS NOT ENABLED!</t>
  </si>
  <si>
    <t>2015-1-20 17:11:50.307: DirectionIndicator - notify - price/longMA/ShortMA/prevDirection are 1.51585/1.51588598645763/1.51587809469116/1</t>
  </si>
  <si>
    <t>2015-1-20 17:11:50.309: Algorithm - handleTransition - currentHedgeShortfall is NOT ZERO and AUTOHEDGE IS NOT ENABLED!</t>
  </si>
  <si>
    <t>2015-1-20 17:11:51.985: DirectionIndicator - notify - price/longMA/ShortMA/prevDirection are 1.5158/1.51587035255625/1.51585206312744/1</t>
  </si>
  <si>
    <t>2015-1-20 17:11:51.985: Algorithm - handleTransition - currentHedgeShortfall is NOT ZERO and AUTOHEDGE IS NOT ENABLED!</t>
  </si>
  <si>
    <t>2015-1-20 17:11:52.42: DirectionIndicator - notify - price/longMA/ShortMA/prevDirection are 1.51575/1.51584847027329/1.51581804208496/1</t>
  </si>
  <si>
    <t>2015-1-20 17:11:52.43: Algorithm - handleTransition - currentHedgeShortfall is NOT ZERO and AUTOHEDGE IS NOT ENABLED!</t>
  </si>
  <si>
    <t>2015-1-20 17:11:53.0: DirectionIndicator - notify - price/longMA/ShortMA/prevDirection are 1.5157/1.51582147567815/1.51577869472331/-1</t>
  </si>
  <si>
    <t>2015-1-20 17:11:53.1: Algorithm - handleTransition - currentHedgeShortfall is NOT ZERO and AUTOHEDGE IS NOT ENABLED!</t>
  </si>
  <si>
    <t>2015-1-20 17:11:54.11: DirectionIndicator - notify - price/longMA/ShortMA/prevDirection are 1.51565/1.51579029828212/1.5157357964822/-1</t>
  </si>
  <si>
    <t>2015-1-20 17:11:54.12: Algorithm - handleTransition - currentHedgeShortfall is NOT ZERO and AUTOHEDGE IS NOT ENABLED!</t>
  </si>
  <si>
    <t>2015-1-20 17:12:2.971: DirectionIndicator - notify - price/longMA/ShortMA/prevDirection are 1.5156/1.51575569859446/1.51569053098814/-1</t>
  </si>
  <si>
    <t>2015-1-20 17:12:2.972: Algorithm - handleTransition - currentHedgeShortfall is NOT ZERO and AUTOHEDGE IS NOT ENABLED!</t>
  </si>
  <si>
    <t>2015-1-20 17:12:3.44: DirectionIndicator - notify - price/longMA/ShortMA/prevDirection are 1.51555/1.51571829885002/1.51564368732542/-1</t>
  </si>
  <si>
    <t>2015-1-20 17:12:3.45: Algorithm - handleTransition - currentHedgeShortfall is NOT ZERO and AUTOHEDGE IS NOT ENABLED!</t>
  </si>
  <si>
    <t>2015-1-20 17:12:7.292: DirectionIndicator - notify - price/longMA/ShortMA/prevDirection are 1.5156/1.51569678996819/1.51562912488362/-1</t>
  </si>
  <si>
    <t>2015-1-20 17:12:7.292: Algorithm - handleTransition - currentHedgeShortfall is NOT ZERO and AUTOHEDGE IS NOT ENABLED!</t>
  </si>
  <si>
    <t>2015-1-20 17:12:7.378: DirectionIndicator - notify - price/longMA/ShortMA/prevDirection are 1.51565/1.51568828270125/1.51563608325574/-1</t>
  </si>
  <si>
    <t>2015-1-20 17:12:7.378: Algorithm - handleTransition - currentHedgeShortfall is NOT ZERO and AUTOHEDGE IS NOT ENABLED!</t>
  </si>
  <si>
    <t>2015-1-20 17:12:8.15: TransitionLogger - flushFile - flushing file</t>
  </si>
  <si>
    <t>2015-1-20 17:12:8.15: TransitionLogger - openTransitionFile - opening file C:\temp\transitionlog_2015-01-20_153021</t>
  </si>
  <si>
    <t>2015-1-20 17:12:8.923: DirectionIndicator - notify - price/longMA/ShortMA/prevDirection are 1.5156/1.51567223130102/1.51562405550383/-1</t>
  </si>
  <si>
    <t>2015-1-20 17:12:8.923: Algorithm - handleTransition - currentHedgeShortfall is NOT ZERO and AUTOHEDGE IS NOT ENABLED!</t>
  </si>
  <si>
    <t>2015-1-20 17:12:8.972: DirectionIndicator - notify - price/longMA/ShortMA/prevDirection are 1.51555/1.51565000742811/1.51559937033589/-1</t>
  </si>
  <si>
    <t>2015-1-20 17:12:8.973: Algorithm - handleTransition - currentHedgeShortfall is NOT ZERO and AUTOHEDGE IS NOT ENABLED!</t>
  </si>
  <si>
    <t>2015-1-20 17:12:10.247: DirectionIndicator - notify - price/longMA/ShortMA/prevDirection are 1.5156/1.51564091516845/1.51559958022392/-1</t>
  </si>
  <si>
    <t>2015-1-20 17:12:10.248: Algorithm - handleTransition - currentHedgeShortfall is NOT ZERO and AUTOHEDGE IS NOT ENABLED!</t>
  </si>
  <si>
    <t>2015-1-20 17:12:11.259: DirectionIndicator - notify - price/longMA/ShortMA/prevDirection are 1.51565/1.51564256695601/1.51561638681595/-1</t>
  </si>
  <si>
    <t>2015-1-20 17:12:11.261: Algorithm - handleTransition - currentHedgeShortfall is NOT ZERO and AUTOHEDGE IS NOT ENABLED!</t>
  </si>
  <si>
    <t>2015-1-20 17:12:16.85: Algorithm - FindNextStrikes - price is 1.51565 nextStrikeUp/Down 1.52/1.515</t>
  </si>
  <si>
    <t>2015-1-20 17:12:16.85: Algorithm - getPortfolioForwardDelta - required deltas is 100 currentHedgePosition is 101</t>
  </si>
  <si>
    <t>2015-1-20 17:12:16.86: Algorithm - getHedgeShortfall - required deltas is 100 price is 1.51555 currentHedgePositionDeltas is 101</t>
  </si>
  <si>
    <t>2015-1-20 17:12:16.86: Algorithm - processTransitionPoint - nextUpper/LowerStrikes are 1.52/1.515 requiredDeltas/currentPosition/currentHedgeShortfall/direction/transitionPrice are 100/101/-1/-1/1.51555</t>
  </si>
  <si>
    <t>2015-1-20 17:12:16.87: TransitionLogger - processTransitionpoint - checking transition - currentHedgeShortfall is -1</t>
  </si>
  <si>
    <t>2015-1-20 17:12:16.87: Algorithm - handleTransition - currentHedgeShortfall is NOT ZERO and AUTOHEDGE IS NOT ENABLED!</t>
  </si>
  <si>
    <t>2015-1-20 17:12:16.88: Algorithm - updatePortfolio - haveAllDetails is True</t>
  </si>
  <si>
    <t>2015-1-20 17:12:16.89: RTWSControl - updatePortfolioEx - An Error Occured Object variable or With block variable not set</t>
  </si>
  <si>
    <t>2015-1-20 17:12:16.128: Algorithm - FindNextStrikes - price is 1.51565 nextStrikeUp/Down 1.52/1.515</t>
  </si>
  <si>
    <t>2015-1-20 17:12:16.128: Algorithm - getPortfolioForwardDelta - required deltas is 100 currentHedgePosition is 101</t>
  </si>
  <si>
    <t>2015-1-20 17:12:16.129: Algorithm - getHedgeShortfall - required deltas is 100 price is 1.51555 currentHedgePositionDeltas is 101</t>
  </si>
  <si>
    <t>2015-1-20 17:12:16.130: Algorithm - processTransitionPoint - nextUpper/LowerStrikes are 1.52/1.515 requiredDeltas/currentPosition/currentHedgeShortfall/direction/transitionPrice are 100/101/-1/-1/1.51555</t>
  </si>
  <si>
    <t>2015-1-20 17:12:16.130: TransitionLogger - processTransitionpoint - checking transition - currentHedgeShortfall is -1</t>
  </si>
  <si>
    <t>2015-1-20 17:12:16.130: Algorithm - handleTransition - currentHedgeShortfall is NOT ZERO and AUTOHEDGE IS NOT ENABLED!</t>
  </si>
  <si>
    <t>2015-1-20 17:12:16.131: Algorithm - updatePortfolio - haveAllDetails is True</t>
  </si>
  <si>
    <t>2015-1-20 17:12:16.132: RTWSControl - updatePortfolioEx - An Error Occured Object variable or With block variable not set</t>
  </si>
  <si>
    <t>2015-1-20 17:12:16.180: Algorithm - FindNextStrikes - price is 1.51565 nextStrikeUp/Down 1.52/1.515</t>
  </si>
  <si>
    <t>2015-1-20 17:12:16.181: Algorithm - getPortfolioForwardDelta - required deltas is 100 currentHedgePosition is 101</t>
  </si>
  <si>
    <t>2015-1-20 17:12:16.181: Algorithm - getHedgeShortfall - required deltas is 100 price is 1.51555 currentHedgePositionDeltas is 101</t>
  </si>
  <si>
    <t>2015-1-20 17:12:16.182: Algorithm - processTransitionPoint - nextUpper/LowerStrikes are 1.52/1.515 requiredDeltas/currentPosition/currentHedgeShortfall/direction/transitionPrice are 100/101/-1/-1/1.51555</t>
  </si>
  <si>
    <t>2015-1-20 17:12:16.182: TransitionLogger - processTransitionpoint - checking transition - currentHedgeShortfall is -1</t>
  </si>
  <si>
    <t>2015-1-20 17:12:16.182: Algorithm - handleTransition - currentHedgeShortfall is NOT ZERO and AUTOHEDGE IS NOT ENABLED!</t>
  </si>
  <si>
    <t>2015-1-20 17:12:16.183: Algorithm - updatePortfolio - haveAllDetails is True</t>
  </si>
  <si>
    <t>2015-1-20 17:12:16.184: RTWSControl - updatePortfolioEx - An Error Occured Object variable or With block variable not set</t>
  </si>
  <si>
    <t>2015-1-20 17:12:16.235: Algorithm - FindNextStrikes - price is 1.51565 nextStrikeUp/Down 1.52/1.515</t>
  </si>
  <si>
    <t>2015-1-20 17:12:16.235: Algorithm - getPortfolioForwardDelta - required deltas is 100 currentHedgePosition is 101</t>
  </si>
  <si>
    <t>2015-1-20 17:12:16.236: Algorithm - getHedgeShortfall - required deltas is 100 price is 1.51555 currentHedgePositionDeltas is 101</t>
  </si>
  <si>
    <t>2015-1-20 17:12:16.236: Algorithm - processTransitionPoint - nextUpper/LowerStrikes are 1.52/1.515 requiredDeltas/currentPosition/currentHedgeShortfall/direction/transitionPrice are 100/101/-1/-1/1.51555</t>
  </si>
  <si>
    <t>2015-1-20 17:12:16.237: TransitionLogger - processTransitionpoint - checking transition - currentHedgeShortfall is -1</t>
  </si>
  <si>
    <t>2015-1-20 17:12:16.237: Algorithm - handleTransition - currentHedgeShortfall is NOT ZERO and AUTOHEDGE IS NOT ENABLED!</t>
  </si>
  <si>
    <t>2015-1-20 17:12:16.238: Algorithm - updatePortfolio - haveAllDetails is True</t>
  </si>
  <si>
    <t>2015-1-20 17:12:16.239: RTWSControl - updatePortfolioEx - An Error Occured Object variable or With block variable not set</t>
  </si>
  <si>
    <t>2015-1-20 17:12:16.301: Algorithm - FindNextStrikes - price is 1.51565 nextStrikeUp/Down 1.52/1.515</t>
  </si>
  <si>
    <t>2015-1-20 17:12:16.301: Algorithm - getPortfolioForwardDelta - required deltas is 100 currentHedgePosition is 101</t>
  </si>
  <si>
    <t>2015-1-20 17:12:16.302: Algorithm - getHedgeShortfall - required deltas is 100 price is 1.51555 currentHedgePositionDeltas is 101</t>
  </si>
  <si>
    <t>2015-1-20 17:12:16.302: Algorithm - processTransitionPoint - nextUpper/LowerStrikes are 1.52/1.515 requiredDeltas/currentPosition/currentHedgeShortfall/direction/transitionPrice are 100/101/-1/-1/1.51555</t>
  </si>
  <si>
    <t>2015-1-20 17:12:16.303: TransitionLogger - processTransitionpoint - checking transition - currentHedgeShortfall is -1</t>
  </si>
  <si>
    <t>2015-1-20 17:12:16.303: Algorithm - handleTransition - currentHedgeShortfall is NOT ZERO and AUTOHEDGE IS NOT ENABLED!</t>
  </si>
  <si>
    <t>2015-1-20 17:12:16.304: Algorithm - updatePortfolio - haveAllDetails is True</t>
  </si>
  <si>
    <t>2015-1-20 17:12:16.305: RTWSControl - updatePortfolioEx - An Error Occured Object variable or With block variable not set</t>
  </si>
  <si>
    <t>2015-1-20 17:12:16.361: Algorithm - FindNextStrikes - price is 1.51565 nextStrikeUp/Down 1.52/1.515</t>
  </si>
  <si>
    <t>2015-1-20 17:12:16.361: Algorithm - getPortfolioForwardDelta - required deltas is 100 currentHedgePosition is 101</t>
  </si>
  <si>
    <t>2015-1-20 17:12:16.362: Algorithm - getHedgeShortfall - required deltas is 100 price is 1.51555 currentHedgePositionDeltas is 101</t>
  </si>
  <si>
    <t>2015-1-20 17:12:16.362: Algorithm - processTransitionPoint - nextUpper/LowerStrikes are 1.52/1.515 requiredDeltas/currentPosition/currentHedgeShortfall/direction/transitionPrice are 100/101/-1/-1/1.51555</t>
  </si>
  <si>
    <t>2015-1-20 17:12:16.363: TransitionLogger - processTransitionpoint - checking transition - currentHedgeShortfall is -1</t>
  </si>
  <si>
    <t>2015-1-20 17:12:16.363: Algorithm - handleTransition - currentHedgeShortfall is NOT ZERO and AUTOHEDGE IS NOT ENABLED!</t>
  </si>
  <si>
    <t>2015-1-20 17:12:16.364: Algorithm - updatePortfolio - haveAllDetails is True</t>
  </si>
  <si>
    <t>2015-1-20 17:12:16.365: RTWSControl - updatePortfolioEx - An Error Occured Object variable or With block variable not set</t>
  </si>
  <si>
    <t>2015-1-20 17:12:17.883: DirectionIndicator - notify - price/longMA/ShortMA/prevDirection are 1.5156/1.51563482750946/1.51561092454397/-1</t>
  </si>
  <si>
    <t>2015-1-20 17:12:17.885: Algorithm - handleTransition - currentHedgeShortfall is NOT ZERO and AUTOHEDGE IS NOT ENABLED!</t>
  </si>
  <si>
    <t>2015-1-20 17:12:18.124: DirectionIndicator - notify - price/longMA/ShortMA/prevDirection are 1.51555/1.51561940432592/1.51559061636264/-1</t>
  </si>
  <si>
    <t>2015-1-20 17:12:18.125: Algorithm - handleTransition - currentHedgeShortfall is NOT ZERO and AUTOHEDGE IS NOT ENABLED!</t>
  </si>
  <si>
    <t>2015-1-20 17:12:18.332: DirectionIndicator - notify - price/longMA/ShortMA/prevDirection are 1.5156/1.51561587626666/1.51559374424176/-1</t>
  </si>
  <si>
    <t>2015-1-20 17:12:18.333: Algorithm - handleTransition - currentHedgeShortfall is NOT ZERO and AUTOHEDGE IS NOT ENABLED!</t>
  </si>
  <si>
    <t>2015-1-20 17:12:21.649: DirectionIndicator - notify - price/longMA/ShortMA/prevDirection are 1.51555/1.51560389876363/1.51557916282784/-1</t>
  </si>
  <si>
    <t>2015-1-20 17:12:21.652: Algorithm - handleTransition - currentHedgeShortfall is NOT ZERO and AUTOHEDGE IS NOT ENABLED!</t>
  </si>
  <si>
    <t>2015-1-20 17:12:22.648: DirectionIndicator - notify - price/longMA/ShortMA/prevDirection are 1.5156/1.51560318989752/1.51558610855189/-1</t>
  </si>
  <si>
    <t>2015-1-20 17:12:22.651: Algorithm - handleTransition - currentHedgeShortfall is NOT ZERO and AUTOHEDGE IS NOT ENABLED!</t>
  </si>
  <si>
    <t>2015-1-20 17:12:29.165: TransitionLogger - flushFile - flushing file</t>
  </si>
  <si>
    <t>2015-1-20 17:12:29.166: TransitionLogger - openTransitionFile - opening file C:\temp\transitionlog_2015-01-20_153021</t>
  </si>
  <si>
    <t>2015-1-20 17:12:34.421: DirectionIndicator - notify - price/longMA/ShortMA/prevDirection are 1.51555/1.51559351900706/1.51557407236793/-1</t>
  </si>
  <si>
    <t>2015-1-20 17:12:34.424: Algorithm - handleTransition - currentHedgeShortfall is NOT ZERO and AUTOHEDGE IS NOT ENABLED!</t>
  </si>
  <si>
    <t>2015-1-20 17:12:34.637: DirectionIndicator - notify - price/longMA/ShortMA/prevDirection are 1.5156/1.51559469736941/1.51558271491195/-1</t>
  </si>
  <si>
    <t>2015-1-20 17:12:34.638: Algorithm - handleTransition - currentHedgeShortfall is NOT ZERO and AUTOHEDGE IS NOT ENABLED!</t>
  </si>
  <si>
    <t>2015-1-20 17:12:37.322: DirectionIndicator - notify - price/longMA/ShortMA/prevDirection are 1.51555/1.51558657057497/1.5155718099413/-1</t>
  </si>
  <si>
    <t>2015-1-20 17:12:37.323: Algorithm - handleTransition - currentHedgeShortfall is NOT ZERO and AUTOHEDGE IS NOT ENABLED!</t>
  </si>
  <si>
    <t>2015-1-20 17:12:37.666: DirectionIndicator - notify - price/longMA/ShortMA/prevDirection are 1.5156/1.51558901228862/1.51558120662753/-1</t>
  </si>
  <si>
    <t>2015-1-20 17:12:37.668: Algorithm - handleTransition - currentHedgeShortfall is NOT ZERO and AUTOHEDGE IS NOT ENABLED!</t>
  </si>
  <si>
    <t>2015-1-20 17:12:37.881: DirectionIndicator - notify - price/longMA/ShortMA/prevDirection are 1.51555/1.51558191914523/1.51557080441836/-1</t>
  </si>
  <si>
    <t>2015-1-20 17:12:37.884: Algorithm - handleTransition - currentHedgeShortfall is NOT ZERO and AUTOHEDGE IS NOT ENABLED!</t>
  </si>
  <si>
    <t>2015-1-20 17:12:46.44: DirectionIndicator - notify - price/longMA/ShortMA/prevDirection are 1.5156/1.51558520657337/1.5155805362789/-1</t>
  </si>
  <si>
    <t>2015-1-20 17:12:46.45: Algorithm - handleTransition - currentHedgeShortfall is NOT ZERO and AUTOHEDGE IS NOT ENABLED!</t>
  </si>
  <si>
    <t>2015-1-20 17:12:53.61: DirectionIndicator - notify - price/longMA/ShortMA/prevDirection are 1.51555/1.51557880537821/1.51557035751927/-1</t>
  </si>
  <si>
    <t>2015-1-20 17:12:53.64: Algorithm - handleTransition - currentHedgeShortfall is NOT ZERO and AUTOHEDGE IS NOT ENABLED!</t>
  </si>
  <si>
    <t>2015-1-20 17:12:54.976: DirectionIndicator - notify - price/longMA/ShortMA/prevDirection are 1.5156/1.51558265894581/1.51558023834618/-1</t>
  </si>
  <si>
    <t>2015-1-20 17:12:54.977: Algorithm - handleTransition - currentHedgeShortfall is NOT ZERO and AUTOHEDGE IS NOT ENABLED!</t>
  </si>
  <si>
    <t>2015-1-20 17:12:55.880: DirectionIndicator - notify - price/longMA/ShortMA/prevDirection are 1.51555/1.51557672095566/1.51557015889745/-1</t>
  </si>
  <si>
    <t>2015-1-20 17:12:55.882: Algorithm - handleTransition - currentHedgeShortfall is NOT ZERO and AUTOHEDGE IS NOT ENABLED!</t>
  </si>
  <si>
    <t>2015-1-20 17:13:4.229: DirectionIndicator - notify - price/longMA/ShortMA/prevDirection are 1.5155/1.515562771691/1.5155467725983/-1</t>
  </si>
  <si>
    <t>2015-1-20 17:13:4.230: Algorithm - handleTransition - currentHedgeShortfall is NOT ZERO and AUTOHEDGE IS NOT ENABLED!</t>
  </si>
  <si>
    <t>2015-1-20 17:13:5.507: DirectionIndicator - notify - price/longMA/ShortMA/prevDirection are 1.51555/1.51556044956536/1.51554784839887/-1</t>
  </si>
  <si>
    <t>2015-1-20 17:13:5.508: Algorithm - handleTransition - currentHedgeShortfall is NOT ZERO and AUTOHEDGE IS NOT ENABLED!</t>
  </si>
  <si>
    <t>2015-1-20 17:13:6.918: DirectionIndicator - notify - price/longMA/ShortMA/prevDirection are 1.5155/1.5155494587353/1.51553189893258/-1</t>
  </si>
  <si>
    <t>2015-1-20 17:13:6.920: Algorithm - handleTransition - currentHedgeShortfall is NOT ZERO and AUTOHEDGE IS NOT ENABLED!</t>
  </si>
  <si>
    <t>2015-1-20 17:13:8.16: TransitionLogger - flushFile - flushing file</t>
  </si>
  <si>
    <t>2015-1-20 17:13:8.17: TransitionLogger - openTransitionFile - opening file C:\temp\transitionlog_2015-01-20_153021</t>
  </si>
  <si>
    <t>2015-1-20 17:13:10.329: DirectionIndicator - notify - price/longMA/ShortMA/prevDirection are 1.51545/1.51553137532888/1.51550459928839/-1</t>
  </si>
  <si>
    <t>2015-1-20 17:13:10.331: Algorithm - handleTransition - currentHedgeShortfall is NOT ZERO and AUTOHEDGE IS NOT ENABLED!</t>
  </si>
  <si>
    <t>2015-1-20 17:13:10.719: DirectionIndicator - notify - price/longMA/ShortMA/prevDirection are 1.5155/1.51552567072363/1.51550306619226/-1</t>
  </si>
  <si>
    <t>2015-1-20 17:13:10.720: Algorithm - handleTransition - currentHedgeShortfall is NOT ZERO and AUTOHEDGE IS NOT ENABLED!</t>
  </si>
  <si>
    <t>2015-1-20 17:13:13.800: DirectionIndicator - notify - price/longMA/ShortMA/prevDirection are 1.51545/1.51551191241024/1.5154853774615/-1</t>
  </si>
  <si>
    <t>2015-1-20 17:13:13.801: Algorithm - handleTransition - currentHedgeShortfall is NOT ZERO and AUTOHEDGE IS NOT ENABLED!</t>
  </si>
  <si>
    <t>2015-1-20 17:13:18.261: DirectionIndicator - notify - price/longMA/ShortMA/prevDirection are 1.5155/1.51550974651747/1.515490251641/-1</t>
  </si>
  <si>
    <t>2015-1-20 17:13:18.262: Algorithm - handleTransition - currentHedgeShortfall is NOT ZERO and AUTOHEDGE IS NOT ENABLED!</t>
  </si>
  <si>
    <t>2015-1-20 17:13:18.339: DirectionIndicator - notify - price/longMA/ShortMA/prevDirection are 1.51555/1.51551706533248/1.51551016776067/-1</t>
  </si>
  <si>
    <t>2015-1-20 17:13:18.340: Algorithm - handleTransition - currentHedgeShortfall is NOT ZERO and AUTOHEDGE IS NOT ENABLED!</t>
  </si>
  <si>
    <t>2015-1-20 17:13:29.100: TransitionLogger - flushFile - flushing file</t>
  </si>
  <si>
    <t>2015-1-20 17:13:29.100: TransitionLogger - openTransitionFile - opening file C:\temp\transitionlog_2015-01-20_153021</t>
  </si>
  <si>
    <t>2015-1-20 17:14:8.10: TransitionLogger - flushFile - flushing file</t>
  </si>
  <si>
    <t>2015-1-20 17:14:8.11: TransitionLogger - openTransitionFile - opening file C:\temp\transitionlog_2015-01-20_153021</t>
  </si>
  <si>
    <t>2015-1-20 17:14:15.812: DirectionIndicator - notify - price/longMA/ShortMA/prevDirection are 1.5155/1.51551396254475/1.51550677850711/-1</t>
  </si>
  <si>
    <t>2015-1-20 17:14:15.814: Algorithm - handleTransition - currentHedgeShortfall is NOT ZERO and AUTOHEDGE IS NOT ENABLED!</t>
  </si>
  <si>
    <t>2015-1-20 17:14:15.884: DirectionIndicator - notify - price/longMA/ShortMA/prevDirection are 1.51545/1.51550233299116/1.51548785233808/-1</t>
  </si>
  <si>
    <t>2015-1-20 17:14:15.885: Algorithm - handleTransition - currentHedgeShortfall is NOT ZERO and AUTOHEDGE IS NOT ENABLED!</t>
  </si>
  <si>
    <t>2015-1-20 17:14:16.222: DirectionIndicator - notify - price/longMA/ShortMA/prevDirection are 1.5155/1.51550190881095/1.51549190155872/-1</t>
  </si>
  <si>
    <t>2015-1-20 17:14:16.223: Algorithm - handleTransition - currentHedgeShortfall is NOT ZERO and AUTOHEDGE IS NOT ENABLED!</t>
  </si>
  <si>
    <t>2015-1-20 17:14:18.500: DirectionIndicator - notify - price/longMA/ShortMA/prevDirection are 1.51545/1.51549247084532/1.51547793437248/-1</t>
  </si>
  <si>
    <t>2015-1-20 17:14:18.502: Algorithm - handleTransition - currentHedgeShortfall is NOT ZERO and AUTOHEDGE IS NOT ENABLED!</t>
  </si>
  <si>
    <t>2015-1-20 17:14:24.102: DirectionIndicator - notify - price/longMA/ShortMA/prevDirection are 1.5155/1.51549383978254/1.51548528958165/-1</t>
  </si>
  <si>
    <t>2015-1-20 17:14:24.103: Algorithm - handleTransition - currentHedgeShortfall is NOT ZERO and AUTOHEDGE IS NOT ENABLED!</t>
  </si>
  <si>
    <t>2015-1-20 17:14:24.176: DirectionIndicator - notify - price/longMA/ShortMA/prevDirection are 1.51555/1.51550405073117/1.5155068597211/-1</t>
  </si>
  <si>
    <t>2015-1-20 17:14:24.176: Algorithm - handleTransition - currentHedgeShortfall is NOT ZERO and AUTOHEDGE IS NOT ENABLED!</t>
  </si>
  <si>
    <t>2015-1-20 17:14:27.395: DirectionIndicator - notify - price/longMA/ShortMA/prevDirection are 1.5156/1.51552149605277/1.51553790648073/-1</t>
  </si>
  <si>
    <t>2015-1-20 17:14:27.395: Algorithm - handleTransition - currentHedgeShortfall is NOT ZERO and AUTOHEDGE IS NOT ENABLED!</t>
  </si>
  <si>
    <t>2015-1-20 17:14:27.466: DirectionIndicator - notify - price/longMA/ShortMA/prevDirection are 1.51565/1.51554486040681/1.51557527098716/-1</t>
  </si>
  <si>
    <t>2015-1-20 17:14:27.467: Algorithm - handleTransition - currentHedgeShortfall is NOT ZERO and AUTOHEDGE IS NOT ENABLED!</t>
  </si>
  <si>
    <t>2015-1-20 17:14:29.94: TransitionLogger - flushFile - flushing file</t>
  </si>
  <si>
    <t>2015-1-20 17:14:29.94: TransitionLogger - openTransitionFile - opening file C:\temp\transitionlog_2015-01-20_153021</t>
  </si>
  <si>
    <t>2015-1-20 17:14:38.87: DirectionIndicator - notify - price/longMA/ShortMA/prevDirection are 1.5157/1.51557306760557/1.51561684732477/1</t>
  </si>
  <si>
    <t>2015-1-20 17:14:38.90: Algorithm - handleTransition - currentHedgeShortfall is NOT ZERO and AUTOHEDGE IS NOT ENABLED!</t>
  </si>
  <si>
    <t>2015-1-20 17:14:38.357: DirectionIndicator - notify - price/longMA/ShortMA/prevDirection are 1.51565/1.51558705531365/1.51562789821651/1</t>
  </si>
  <si>
    <t>2015-1-20 17:14:38.358: Algorithm - handleTransition - currentHedgeShortfall is NOT ZERO and AUTOHEDGE IS NOT ENABLED!</t>
  </si>
  <si>
    <t>2015-1-20 17:15:7.336: DirectionIndicator - notify - price/longMA/ShortMA/prevDirection are 1.5156/1.51558940889299/1.51561859881101/1</t>
  </si>
  <si>
    <t>2015-1-20 17:15:7.337: Algorithm - handleTransition - currentHedgeShortfall is NOT ZERO and AUTOHEDGE IS NOT ENABLED!</t>
  </si>
  <si>
    <t>2015-1-20 17:15:7.396: DirectionIndicator - notify - price/longMA/ShortMA/prevDirection are 1.51555/1.51558224363972/1.51559573254067/1</t>
  </si>
  <si>
    <t>2015-1-20 17:15:7.397: Algorithm - handleTransition - currentHedgeShortfall is NOT ZERO and AUTOHEDGE IS NOT ENABLED!</t>
  </si>
  <si>
    <t>2015-1-20 17:15:8.93: TransitionLogger - flushFile - flushing file</t>
  </si>
  <si>
    <t>2015-1-20 17:15:8.93: TransitionLogger - openTransitionFile - opening file C:\temp\transitionlog_2015-01-20_153021</t>
  </si>
  <si>
    <t>2015-1-20 17:15:10.386: DirectionIndicator - notify - price/longMA/ShortMA/prevDirection are 1.5155/1.51556729025068/1.51556382169378/1</t>
  </si>
  <si>
    <t>2015-1-20 17:15:10.387: Algorithm - handleTransition - currentHedgeShortfall is NOT ZERO and AUTOHEDGE IS NOT ENABLED!</t>
  </si>
  <si>
    <t>2015-1-20 17:15:10.440: DirectionIndicator - notify - price/longMA/ShortMA/prevDirection are 1.51545/1.51554596475055/1.51552588112919/1</t>
  </si>
  <si>
    <t>2015-1-20 17:15:10.441: Algorithm - handleTransition - currentHedgeShortfall is NOT ZERO and AUTOHEDGE IS NOT ENABLED!</t>
  </si>
  <si>
    <t>2015-1-20 17:15:10.856: DirectionIndicator - notify - price/longMA/ShortMA/prevDirection are 1.5155/1.51553760752318/1.51551725408613/-1</t>
  </si>
  <si>
    <t>2015-1-20 17:15:10.857: Algorithm - handleTransition - currentHedgeShortfall is NOT ZERO and AUTOHEDGE IS NOT ENABLED!</t>
  </si>
  <si>
    <t>2015-1-20 17:15:10.974: DirectionIndicator - notify - price/longMA/ShortMA/prevDirection are 1.51545/1.5155216788826/1.51549483605742/-1</t>
  </si>
  <si>
    <t>2015-1-20 17:15:10.975: Algorithm - handleTransition - currentHedgeShortfall is NOT ZERO and AUTOHEDGE IS NOT ENABLED!</t>
  </si>
  <si>
    <t>2015-1-20 17:15:13.105: DirectionIndicator - notify - price/longMA/ShortMA/prevDirection are 1.5154/1.5154995554494/1.51546322403828/-1</t>
  </si>
  <si>
    <t>2015-1-20 17:15:13.106: Algorithm - handleTransition - currentHedgeShortfall is NOT ZERO and AUTOHEDGE IS NOT ENABLED!</t>
  </si>
  <si>
    <t>2015-1-20 17:15:13.519: DirectionIndicator - notify - price/longMA/ShortMA/prevDirection are 1.51545/1.51549054536769/1.51545881602552/-1</t>
  </si>
  <si>
    <t>2015-1-20 17:15:13.520: Algorithm - handleTransition - currentHedgeShortfall is NOT ZERO and AUTOHEDGE IS NOT ENABLED!</t>
  </si>
  <si>
    <t>2015-1-20 17:15:13.721: DirectionIndicator - notify - price/longMA/ShortMA/prevDirection are 1.5154/1.51547408257357/1.51543921068368/-1</t>
  </si>
  <si>
    <t>2015-1-20 17:15:13.722: Algorithm - handleTransition - currentHedgeShortfall is NOT ZERO and AUTOHEDGE IS NOT ENABLED!</t>
  </si>
  <si>
    <t>2015-1-20 17:15:16.607: Algorithm - FindNextStrikes - price is 1.5154 nextStrikeUp/Down 1.52/1.515</t>
  </si>
  <si>
    <t>2015-1-20 17:15:16.607: Algorithm - getPortfolioForwardDelta - required deltas is 100 currentHedgePosition is 101</t>
  </si>
  <si>
    <t>2015-1-20 17:15:16.608: Algorithm - getHedgeShortfall - required deltas is 100 price is 1.5153 currentHedgePositionDeltas is 101</t>
  </si>
  <si>
    <t>2015-1-20 17:15:16.609: Algorithm - processTransitionPoint - nextUpper/LowerStrikes are 1.52/1.515 requiredDeltas/currentPosition/currentHedgeShortfall/direction/transitionPrice are 100/101/-1/-1/1.5153</t>
  </si>
  <si>
    <t>2015-1-20 17:15:16.609: TransitionLogger - processTransitionpoint - checking transition - currentHedgeShortfall is -1</t>
  </si>
  <si>
    <t>2015-1-20 17:15:16.610: Algorithm - handleTransition - currentHedgeShortfall is NOT ZERO and AUTOHEDGE IS NOT ENABLED!</t>
  </si>
  <si>
    <t>2015-1-20 17:15:16.611: Algorithm - updatePortfolio - haveAllDetails is True</t>
  </si>
  <si>
    <t>2015-1-20 17:15:16.612: RTWSControl - updatePortfolioEx - An Error Occured Object variable or With block variable not set</t>
  </si>
  <si>
    <t>2015-1-20 17:15:16.652: Algorithm - FindNextStrikes - price is 1.5154 nextStrikeUp/Down 1.52/1.515</t>
  </si>
  <si>
    <t>2015-1-20 17:15:16.653: Algorithm - getPortfolioForwardDelta - required deltas is 100 currentHedgePosition is 101</t>
  </si>
  <si>
    <t>2015-1-20 17:15:16.653: Algorithm - getHedgeShortfall - required deltas is 100 price is 1.5153 currentHedgePositionDeltas is 101</t>
  </si>
  <si>
    <t>2015-1-20 17:15:16.654: Algorithm - processTransitionPoint - nextUpper/LowerStrikes are 1.52/1.515 requiredDeltas/currentPosition/currentHedgeShortfall/direction/transitionPrice are 100/101/-1/-1/1.5153</t>
  </si>
  <si>
    <t>2015-1-20 17:15:16.654: TransitionLogger - processTransitionpoint - checking transition - currentHedgeShortfall is -1</t>
  </si>
  <si>
    <t>2015-1-20 17:15:16.654: Algorithm - handleTransition - currentHedgeShortfall is NOT ZERO and AUTOHEDGE IS NOT ENABLED!</t>
  </si>
  <si>
    <t>2015-1-20 17:15:16.655: Algorithm - updatePortfolio - haveAllDetails is True</t>
  </si>
  <si>
    <t>2015-1-20 17:15:16.656: RTWSControl - updatePortfolioEx - An Error Occured Object variable or With block variable not set</t>
  </si>
  <si>
    <t>2015-1-20 17:15:16.725: Algorithm - FindNextStrikes - price is 1.5154 nextStrikeUp/Down 1.52/1.515</t>
  </si>
  <si>
    <t>2015-1-20 17:15:16.725: Algorithm - getPortfolioForwardDelta - required deltas is 100 currentHedgePosition is 101</t>
  </si>
  <si>
    <t>2015-1-20 17:15:16.726: Algorithm - getHedgeShortfall - required deltas is 100 price is 1.5153 currentHedgePositionDeltas is 101</t>
  </si>
  <si>
    <t>2015-1-20 17:15:16.726: Algorithm - processTransitionPoint - nextUpper/LowerStrikes are 1.52/1.515 requiredDeltas/currentPosition/currentHedgeShortfall/direction/transitionPrice are 100/101/-1/-1/1.5153</t>
  </si>
  <si>
    <t>2015-1-20 17:15:16.726: TransitionLogger - processTransitionpoint - checking transition - currentHedgeShortfall is -1</t>
  </si>
  <si>
    <t>2015-1-20 17:15:16.727: Algorithm - handleTransition - currentHedgeShortfall is NOT ZERO and AUTOHEDGE IS NOT ENABLED!</t>
  </si>
  <si>
    <t>2015-1-20 17:15:16.728: Algorithm - updatePortfolio - haveAllDetails is True</t>
  </si>
  <si>
    <t>2015-1-20 17:15:16.729: RTWSControl - updatePortfolioEx - An Error Occured Object variable or With block variable not set</t>
  </si>
  <si>
    <t>2015-1-20 17:15:16.783: Algorithm - FindNextStrikes - price is 1.5154 nextStrikeUp/Down 1.52/1.515</t>
  </si>
  <si>
    <t>2015-1-20 17:15:16.784: Algorithm - getPortfolioForwardDelta - required deltas is 100 currentHedgePosition is 101</t>
  </si>
  <si>
    <t>2015-1-20 17:15:16.784: Algorithm - getHedgeShortfall - required deltas is 100 price is 1.5153 currentHedgePositionDeltas is 101</t>
  </si>
  <si>
    <t>2015-1-20 17:15:16.785: Algorithm - processTransitionPoint - nextUpper/LowerStrikes are 1.52/1.515 requiredDeltas/currentPosition/currentHedgeShortfall/direction/transitionPrice are 100/101/-1/-1/1.5153</t>
  </si>
  <si>
    <t>2015-1-20 17:15:16.785: TransitionLogger - processTransitionpoint - checking transition - currentHedgeShortfall is -1</t>
  </si>
  <si>
    <t>2015-1-20 17:15:16.786: Algorithm - handleTransition - currentHedgeShortfall is NOT ZERO and AUTOHEDGE IS NOT ENABLED!</t>
  </si>
  <si>
    <t>2015-1-20 17:15:16.787: Algorithm - updatePortfolio - haveAllDetails is True</t>
  </si>
  <si>
    <t>2015-1-20 17:15:16.788: RTWSControl - updatePortfolioEx - An Error Occured Object variable or With block variable not set</t>
  </si>
  <si>
    <t>2015-1-20 17:15:16.830: Algorithm - FindNextStrikes - price is 1.5154 nextStrikeUp/Down 1.52/1.515</t>
  </si>
  <si>
    <t>2015-1-20 17:15:16.831: Algorithm - getPortfolioForwardDelta - required deltas is 100 currentHedgePosition is 101</t>
  </si>
  <si>
    <t>2015-1-20 17:15:16.831: Algorithm - getHedgeShortfall - required deltas is 100 price is 1.5153 currentHedgePositionDeltas is 101</t>
  </si>
  <si>
    <t>2015-1-20 17:15:16.832: Algorithm - processTransitionPoint - nextUpper/LowerStrikes are 1.52/1.515 requiredDeltas/currentPosition/currentHedgeShortfall/direction/transitionPrice are 100/101/-1/-1/1.5153</t>
  </si>
  <si>
    <t>2015-1-20 17:15:16.832: TransitionLogger - processTransitionpoint - checking transition - currentHedgeShortfall is -1</t>
  </si>
  <si>
    <t>2015-1-20 17:15:16.833: Algorithm - handleTransition - currentHedgeShortfall is NOT ZERO and AUTOHEDGE IS NOT ENABLED!</t>
  </si>
  <si>
    <t>2015-1-20 17:15:16.834: Algorithm - updatePortfolio - haveAllDetails is True</t>
  </si>
  <si>
    <t>2015-1-20 17:15:16.835: RTWSControl - updatePortfolioEx - An Error Occured Object variable or With block variable not set</t>
  </si>
  <si>
    <t>2015-1-20 17:15:16.897: Algorithm - FindNextStrikes - price is 1.5154 nextStrikeUp/Down 1.52/1.515</t>
  </si>
  <si>
    <t>2015-1-20 17:15:16.898: Algorithm - getPortfolioForwardDelta - required deltas is 100 currentHedgePosition is 101</t>
  </si>
  <si>
    <t>2015-1-20 17:15:16.898: Algorithm - getHedgeShortfall - required deltas is 100 price is 1.5153 currentHedgePositionDeltas is 101</t>
  </si>
  <si>
    <t>2015-1-20 17:15:16.898: Algorithm - processTransitionPoint - nextUpper/LowerStrikes are 1.52/1.515 requiredDeltas/currentPosition/currentHedgeShortfall/direction/transitionPrice are 100/101/-1/-1/1.5153</t>
  </si>
  <si>
    <t>2015-1-20 17:15:16.899: TransitionLogger - processTransitionpoint - checking transition - currentHedgeShortfall is -1</t>
  </si>
  <si>
    <t>2015-1-20 17:15:16.899: Algorithm - handleTransition - currentHedgeShortfall is NOT ZERO and AUTOHEDGE IS NOT ENABLED!</t>
  </si>
  <si>
    <t>2015-1-20 17:15:16.900: Algorithm - updatePortfolio - haveAllDetails is True</t>
  </si>
  <si>
    <t>2015-1-20 17:15:16.901: RTWSControl - updatePortfolioEx - An Error Occured Object variable or With block variable not set</t>
  </si>
  <si>
    <t>2015-1-20 17:15:20.799: DirectionIndicator - notify - price/longMA/ShortMA/prevDirection are 1.51545/1.51546970392383/1.51544280712245/-1</t>
  </si>
  <si>
    <t>2015-1-20 17:15:20.801: Algorithm - handleTransition - currentHedgeShortfall is NOT ZERO and AUTOHEDGE IS NOT ENABLED!</t>
  </si>
  <si>
    <t>2015-1-20 17:15:29.18: TransitionLogger - flushFile - flushing file</t>
  </si>
  <si>
    <t>2015-1-20 17:15:29.19: TransitionLogger - openTransitionFile - opening file C:\temp\transitionlog_2015-01-20_153021</t>
  </si>
  <si>
    <t>2015-1-20 17:15:34.796: DirectionIndicator - notify - price/longMA/ShortMA/prevDirection are 1.5155/1.51547521230131/1.51546187141497/-1</t>
  </si>
  <si>
    <t>2015-1-20 17:15:34.799: Algorithm - handleTransition - currentHedgeShortfall is NOT ZERO and AUTOHEDGE IS NOT ENABLED!</t>
  </si>
  <si>
    <t>2015-1-20 17:15:34.933: DirectionIndicator - notify - price/longMA/ShortMA/prevDirection are 1.51555/1.51548881006471/1.51549124760998/-1</t>
  </si>
  <si>
    <t>2015-1-20 17:15:34.934: Algorithm - handleTransition - currentHedgeShortfall is NOT ZERO and AUTOHEDGE IS NOT ENABLED!</t>
  </si>
  <si>
    <t>2015-1-20 17:15:41.320: DirectionIndicator - notify - price/longMA/ShortMA/prevDirection are 1.5155/1.5154908445984/1.51549416507332/-1</t>
  </si>
  <si>
    <t>2015-1-20 17:15:41.321: Algorithm - handleTransition - currentHedgeShortfall is NOT ZERO and AUTOHEDGE IS NOT ENABLED!</t>
  </si>
  <si>
    <t>2015-1-20 17:15:41.388: DirectionIndicator - notify - price/longMA/ShortMA/prevDirection are 1.51545/1.51548341830778/1.51547944338221/-1</t>
  </si>
  <si>
    <t>2015-1-20 17:15:41.388: Algorithm - handleTransition - currentHedgeShortfall is NOT ZERO and AUTOHEDGE IS NOT ENABLED!</t>
  </si>
  <si>
    <t>2015-1-20 17:15:42.184: DirectionIndicator - notify - price/longMA/ShortMA/prevDirection are 1.5154/1.51546825134273/1.51545296225481/-1</t>
  </si>
  <si>
    <t>2015-1-20 17:15:42.185: Algorithm - handleTransition - currentHedgeShortfall is NOT ZERO and AUTOHEDGE IS NOT ENABLED!</t>
  </si>
  <si>
    <t>2015-1-20 17:15:42.388: DirectionIndicator - notify - price/longMA/ShortMA/prevDirection are 1.51545/1.51546493291678/1.51545197483654/-1</t>
  </si>
  <si>
    <t>2015-1-20 17:15:42.388: Algorithm - handleTransition - currentHedgeShortfall is NOT ZERO and AUTOHEDGE IS NOT ENABLED!</t>
  </si>
  <si>
    <t>2015-1-20 17:15:50.442: DirectionIndicator - notify - price/longMA/ShortMA/prevDirection are 1.5155/1.51547130875009/1.51546798322436/-1</t>
  </si>
  <si>
    <t>2015-1-20 17:15:50.444: Algorithm - handleTransition - currentHedgeShortfall is NOT ZERO and AUTOHEDGE IS NOT ENABLED!</t>
  </si>
  <si>
    <t>2015-1-20 17:15:50.891: DirectionIndicator - notify - price/longMA/ShortMA/prevDirection are 1.51555/1.51548561625008/1.51549532214957/-1</t>
  </si>
  <si>
    <t>2015-1-20 17:15:50.894: Algorithm - handleTransition - currentHedgeShortfall is NOT ZERO and AUTOHEDGE IS NOT ENABLED!</t>
  </si>
  <si>
    <t>2015-1-20 17:15:51.189: DirectionIndicator - notify - price/longMA/ShortMA/prevDirection are 1.5155/1.51548823147733/1.51549688143305/-1</t>
  </si>
  <si>
    <t>2015-1-20 17:15:51.191: Algorithm - handleTransition - currentHedgeShortfall is NOT ZERO and AUTOHEDGE IS NOT ENABLED!</t>
  </si>
  <si>
    <t>2015-1-20 17:15:51.264: DirectionIndicator - notify - price/longMA/ShortMA/prevDirection are 1.51545/1.51548128029964/1.5154812542887/-1</t>
  </si>
  <si>
    <t>2015-1-20 17:15:51.265: Algorithm - handleTransition - currentHedgeShortfall is NOT ZERO and AUTOHEDGE IS NOT ENABLED!</t>
  </si>
  <si>
    <t>2015-1-20 17:15:58.939: DirectionIndicator - notify - price/longMA/ShortMA/prevDirection are 1.5155/1.51548468388152/1.51548750285913/-1</t>
  </si>
  <si>
    <t>2015-1-20 17:15:58.940: Algorithm - handleTransition - currentHedgeShortfall is NOT ZERO and AUTOHEDGE IS NOT ENABLED!</t>
  </si>
  <si>
    <t>2015-1-20 17:15:59.11: DirectionIndicator - notify - price/longMA/ShortMA/prevDirection are 1.51555/1.51549655953943/1.51550833523942/-1</t>
  </si>
  <si>
    <t>2015-1-20 17:15:59.12: Algorithm - handleTransition - currentHedgeShortfall is NOT ZERO and AUTOHEDGE IS NOT ENABLED!</t>
  </si>
  <si>
    <t>2015-1-20 17:15:59.356: DirectionIndicator - notify - price/longMA/ShortMA/prevDirection are 1.5155/1.51549718507771/1.51550555682628/-1</t>
  </si>
  <si>
    <t>2015-1-20 17:15:59.357: Algorithm - handleTransition - currentHedgeShortfall is NOT ZERO and AUTOHEDGE IS NOT ENABLED!</t>
  </si>
  <si>
    <t>2015-1-20 17:15:59.430: DirectionIndicator - notify - price/longMA/ShortMA/prevDirection are 1.51545/1.51548860597267/1.51548703788419/-1</t>
  </si>
  <si>
    <t>2015-1-20 17:15:59.431: Algorithm - handleTransition - currentHedgeShortfall is NOT ZERO and AUTOHEDGE IS NOT ENABLED!</t>
  </si>
  <si>
    <t>2015-1-20 17:15:59.685: DirectionIndicator - notify - price/longMA/ShortMA/prevDirection are 1.5155/1.51549067761401/1.51549135858946/-1</t>
  </si>
  <si>
    <t>2015-1-20 17:15:59.686: Algorithm - handleTransition - currentHedgeShortfall is NOT ZERO and AUTOHEDGE IS NOT ENABLED!</t>
  </si>
  <si>
    <t>2015-1-20 17:15:59.735: DirectionIndicator - notify - price/longMA/ShortMA/prevDirection are 1.51555/1.51550146350237/1.51551090572631/-1</t>
  </si>
  <si>
    <t>2015-1-20 17:15:59.736: Algorithm - handleTransition - currentHedgeShortfall is NOT ZERO and AUTOHEDGE IS NOT ENABLED!</t>
  </si>
  <si>
    <t>2015-1-20 17:15:59.981: DirectionIndicator - notify - price/longMA/ShortMA/prevDirection are 1.5155/1.51550119741103/1.5155072704842/-1</t>
  </si>
  <si>
    <t>2015-1-20 17:15:59.982: Algorithm - handleTransition - currentHedgeShortfall is NOT ZERO and AUTOHEDGE IS NOT ENABLED!</t>
  </si>
  <si>
    <t>2015-1-20 17:16:0.59: DirectionIndicator - notify - price/longMA/ShortMA/prevDirection are 1.51545/1.51549188879084/1.5154881803228/-1</t>
  </si>
  <si>
    <t>2015-1-20 17:16:0.60: Algorithm - handleTransition - currentHedgeShortfall is NOT ZERO and AUTOHEDGE IS NOT ENABLED!</t>
  </si>
  <si>
    <t>2015-1-20 17:16:0.398: DirectionIndicator - notify - price/longMA/ShortMA/prevDirection are 1.5155/1.51549336355614/1.5154921202152/-1</t>
  </si>
  <si>
    <t>2015-1-20 17:16:0.399: Algorithm - handleTransition - currentHedgeShortfall is NOT ZERO and AUTOHEDGE IS NOT ENABLED!</t>
  </si>
  <si>
    <t>2015-1-20 17:16:0.643: DirectionIndicator - notify - price/longMA/ShortMA/prevDirection are 1.51555/1.51550366109139/1.5155114134768/-1</t>
  </si>
  <si>
    <t>2015-1-20 17:16:0.644: Algorithm - handleTransition - currentHedgeShortfall is NOT ZERO and AUTOHEDGE IS NOT ENABLED!</t>
  </si>
  <si>
    <t>2015-1-20 17:16:4.983: DirectionIndicator - notify - price/longMA/ShortMA/prevDirection are 1.5156/1.51552117725659/1.51554094231787/-1</t>
  </si>
  <si>
    <t>2015-1-20 17:16:4.983: Algorithm - handleTransition - currentHedgeShortfall is NOT ZERO and AUTOHEDGE IS NOT ENABLED!</t>
  </si>
  <si>
    <t>2015-1-20 17:16:5.441: DirectionIndicator - notify - price/longMA/ShortMA/prevDirection are 1.51565/1.51554459957358/1.51557729487858/-1</t>
  </si>
  <si>
    <t>2015-1-20 17:16:5.442: Algorithm - handleTransition - currentHedgeShortfall is NOT ZERO and AUTOHEDGE IS NOT ENABLED!</t>
  </si>
  <si>
    <t>2015-1-20 17:16:8.375: TransitionLogger - flushFile - flushing file</t>
  </si>
  <si>
    <t>2015-1-20 17:16:8.376: TransitionLogger - openTransitionFile - opening file C:\temp\transitionlog_2015-01-20_153021</t>
  </si>
  <si>
    <t>2015-1-20 17:16:18.102: DirectionIndicator - notify - price/longMA/ShortMA/prevDirection are 1.5156/1.51555467237838/1.51558486325239/1</t>
  </si>
  <si>
    <t>2015-1-20 17:16:18.103: Algorithm - handleTransition - currentHedgeShortfall is NOT ZERO and AUTOHEDGE IS NOT ENABLED!</t>
  </si>
  <si>
    <t>2015-1-20 17:16:18.581: DirectionIndicator - notify - price/longMA/ShortMA/prevDirection are 1.51565/1.51557200467322/1.51560657550159/1</t>
  </si>
  <si>
    <t>2015-1-20 17:16:18.583: Algorithm - handleTransition - currentHedgeShortfall is NOT ZERO and AUTOHEDGE IS NOT ENABLED!</t>
  </si>
  <si>
    <t>2015-1-20 17:16:22.962: DirectionIndicator - notify - price/longMA/ShortMA/prevDirection are 1.5156/1.51557709473263/1.51560438366773/1</t>
  </si>
  <si>
    <t>2015-1-20 17:16:22.963: Algorithm - handleTransition - currentHedgeShortfall is NOT ZERO and AUTOHEDGE IS NOT ENABLED!</t>
  </si>
  <si>
    <t>2015-1-20 17:16:23.60: DirectionIndicator - notify - price/longMA/ShortMA/prevDirection are 1.51555/1.51557216841761/1.51558625577848/1</t>
  </si>
  <si>
    <t>2015-1-20 17:16:23.61: Algorithm - handleTransition - currentHedgeShortfall is NOT ZERO and AUTOHEDGE IS NOT ENABLED!</t>
  </si>
  <si>
    <t>2015-1-20 17:16:29.1: TransitionLogger - flushFile - flushing file</t>
  </si>
  <si>
    <t>2015-1-20 17:16:29.1: TransitionLogger - openTransitionFile - opening file C:\temp\transitionlog_2015-01-20_153021</t>
  </si>
  <si>
    <t>2015-1-20 17:16:31.574: DirectionIndicator - notify - price/longMA/ShortMA/prevDirection are 1.5156/1.51557722870532/1.51559083718566/1</t>
  </si>
  <si>
    <t>2015-1-20 17:16:31.575: Algorithm - handleTransition - currentHedgeShortfall is NOT ZERO and AUTOHEDGE IS NOT ENABLED!</t>
  </si>
  <si>
    <t>2015-1-20 17:16:31.642: DirectionIndicator - notify - price/longMA/ShortMA/prevDirection are 1.51565/1.5155904598498/1.51561055812377/1</t>
  </si>
  <si>
    <t>2015-1-20 17:16:31.642: Algorithm - handleTransition - currentHedgeShortfall is NOT ZERO and AUTOHEDGE IS NOT ENABLED!</t>
  </si>
  <si>
    <t>2015-1-20 17:16:36.306: DirectionIndicator - notify - price/longMA/ShortMA/prevDirection are 1.5156/1.51559219442257/1.51560703874918/1</t>
  </si>
  <si>
    <t>2015-1-20 17:16:36.307: Algorithm - handleTransition - currentHedgeShortfall is NOT ZERO and AUTOHEDGE IS NOT ENABLED!</t>
  </si>
  <si>
    <t>2015-1-20 17:16:49.874: DirectionIndicator - notify - price/longMA/ShortMA/prevDirection are 1.51555/1.51558452270937/1.51558802583279/1</t>
  </si>
  <si>
    <t>2015-1-20 17:16:49.876: Algorithm - handleTransition - currentHedgeShortfall is NOT ZERO and AUTOHEDGE IS NOT ENABLED!</t>
  </si>
  <si>
    <t>2015-1-20 17:16:54.740: DirectionIndicator - notify - price/longMA/ShortMA/prevDirection are 1.5156/1.51558733676221/1.51559201722186/1</t>
  </si>
  <si>
    <t>2015-1-20 17:16:54.742: Algorithm - handleTransition - currentHedgeShortfall is NOT ZERO and AUTOHEDGE IS NOT ENABLED!</t>
  </si>
  <si>
    <t>2015-1-20 17:17:5.898: DirectionIndicator - notify - price/longMA/ShortMA/prevDirection are 1.51565/1.51559873007818/1.51561134481457/1</t>
  </si>
  <si>
    <t>2015-1-20 17:17:5.899: Algorithm - handleTransition - currentHedgeShortfall is NOT ZERO and AUTOHEDGE IS NOT ENABLED!</t>
  </si>
  <si>
    <t>2015-1-20 17:17:8.11: TransitionLogger - flushFile - flushing file</t>
  </si>
  <si>
    <t>2015-1-20 17:17:8.12: TransitionLogger - openTransitionFile - opening file C:\temp\transitionlog_2015-01-20_153021</t>
  </si>
  <si>
    <t>2015-1-20 17:17:29.122: TransitionLogger - flushFile - flushing file</t>
  </si>
  <si>
    <t>2015-1-20 17:17:29.123: TransitionLogger - openTransitionFile - opening file C:\temp\transitionlog_2015-01-20_153021</t>
  </si>
  <si>
    <t>2015-1-20 17:17:59.744: Algorithm - FindNextStrikes - price is 1.51565 nextStrikeUp/Down 1.52/1.515</t>
  </si>
  <si>
    <t>2015-1-20 17:17:59.744: Algorithm - getPortfolioForwardDelta - required deltas is 100 currentHedgePosition is 101</t>
  </si>
  <si>
    <t>2015-1-20 17:17:59.745: Algorithm - getHedgeShortfall - required deltas is 100 price is 1.51575 currentHedgePositionDeltas is 101</t>
  </si>
  <si>
    <t>2015-1-20 17:17:59.745: Algorithm - processTransitionPoint - nextUpper/LowerStrikes are 1.52/1.515 requiredDeltas/currentPosition/currentHedgeShortfall/direction/transitionPrice are 100/101/-1/1/1.51575</t>
  </si>
  <si>
    <t>2015-1-20 17:17:59.746: TransitionLogger - processTransitionpoint - checking transition - currentHedgeShortfall is -1</t>
  </si>
  <si>
    <t>2015-1-20 17:17:59.746: Algorithm - handleTransition - currentHedgeShortfall is NOT ZERO and AUTOHEDGE IS NOT ENABLED!</t>
  </si>
  <si>
    <t>2015-1-20 17:17:59.747: Algorithm - updatePortfolio - haveAllDetails is True</t>
  </si>
  <si>
    <t>2015-1-20 17:17:59.748: RTWSControl - updatePortfolioEx - An Error Occured Object variable or With block variable not set</t>
  </si>
  <si>
    <t>2015-1-20 17:17:59.786: Algorithm - FindNextStrikes - price is 1.51565 nextStrikeUp/Down 1.52/1.515</t>
  </si>
  <si>
    <t>2015-1-20 17:17:59.787: Algorithm - getPortfolioForwardDelta - required deltas is 100 currentHedgePosition is 101</t>
  </si>
  <si>
    <t>2015-1-20 17:17:59.787: Algorithm - getHedgeShortfall - required deltas is 100 price is 1.51575 currentHedgePositionDeltas is 101</t>
  </si>
  <si>
    <t>2015-1-20 17:17:59.788: Algorithm - processTransitionPoint - nextUpper/LowerStrikes are 1.52/1.515 requiredDeltas/currentPosition/currentHedgeShortfall/direction/transitionPrice are 100/101/-1/1/1.51575</t>
  </si>
  <si>
    <t>2015-1-20 17:17:59.788: TransitionLogger - processTransitionpoint - checking transition - currentHedgeShortfall is -1</t>
  </si>
  <si>
    <t>2015-1-20 17:17:59.789: Algorithm - handleTransition - currentHedgeShortfall is NOT ZERO and AUTOHEDGE IS NOT ENABLED!</t>
  </si>
  <si>
    <t>2015-1-20 17:17:59.790: Algorithm - updatePortfolio - haveAllDetails is True</t>
  </si>
  <si>
    <t>2015-1-20 17:17:59.791: RTWSControl - updatePortfolioEx - An Error Occured Object variable or With block variable not set</t>
  </si>
  <si>
    <t>2015-1-20 17:17:59.858: Algorithm - FindNextStrikes - price is 1.51565 nextStrikeUp/Down 1.52/1.515</t>
  </si>
  <si>
    <t>2015-1-20 17:17:59.858: Algorithm - getPortfolioForwardDelta - required deltas is 100 currentHedgePosition is 101</t>
  </si>
  <si>
    <t>2015-1-20 17:17:59.859: Algorithm - getHedgeShortfall - required deltas is 100 price is 1.51575 currentHedgePositionDeltas is 101</t>
  </si>
  <si>
    <t>2015-1-20 17:17:59.859: Algorithm - processTransitionPoint - nextUpper/LowerStrikes are 1.52/1.515 requiredDeltas/currentPosition/currentHedgeShortfall/direction/transitionPrice are 100/101/-1/1/1.51575</t>
  </si>
  <si>
    <t>2015-1-20 17:17:59.860: TransitionLogger - processTransitionpoint - checking transition - currentHedgeShortfall is -1</t>
  </si>
  <si>
    <t>2015-1-20 17:17:59.860: Algorithm - handleTransition - currentHedgeShortfall is NOT ZERO and AUTOHEDGE IS NOT ENABLED!</t>
  </si>
  <si>
    <t>2015-1-20 17:17:59.861: Algorithm - updatePortfolio - haveAllDetails is True</t>
  </si>
  <si>
    <t>2015-1-20 17:17:59.862: RTWSControl - updatePortfolioEx - An Error Occured Object variable or With block variable not set</t>
  </si>
  <si>
    <t>2015-1-20 17:17:59.917: Algorithm - FindNextStrikes - price is 1.51565 nextStrikeUp/Down 1.52/1.515</t>
  </si>
  <si>
    <t>2015-1-20 17:17:59.917: Algorithm - getPortfolioForwardDelta - required deltas is 100 currentHedgePosition is 101</t>
  </si>
  <si>
    <t>2015-1-20 17:17:59.918: Algorithm - getHedgeShortfall - required deltas is 100 price is 1.51575 currentHedgePositionDeltas is 101</t>
  </si>
  <si>
    <t>2015-1-20 17:17:59.918: Algorithm - processTransitionPoint - nextUpper/LowerStrikes are 1.52/1.515 requiredDeltas/currentPosition/currentHedgeShortfall/direction/transitionPrice are 100/101/-1/1/1.51575</t>
  </si>
  <si>
    <t>2015-1-20 17:17:59.918: TransitionLogger - processTransitionpoint - checking transition - currentHedgeShortfall is -1</t>
  </si>
  <si>
    <t>2015-1-20 17:17:59.919: Algorithm - handleTransition - currentHedgeShortfall is NOT ZERO and AUTOHEDGE IS NOT ENABLED!</t>
  </si>
  <si>
    <t>2015-1-20 17:17:59.920: Algorithm - updatePortfolio - haveAllDetails is True</t>
  </si>
  <si>
    <t>2015-1-20 17:17:59.921: RTWSControl - updatePortfolioEx - An Error Occured Object variable or With block variable not set</t>
  </si>
  <si>
    <t>2015-1-20 17:17:59.965: Algorithm - FindNextStrikes - price is 1.51565 nextStrikeUp/Down 1.52/1.515</t>
  </si>
  <si>
    <t>2015-1-20 17:17:59.965: Algorithm - getPortfolioForwardDelta - required deltas is 100 currentHedgePosition is 101</t>
  </si>
  <si>
    <t>2015-1-20 17:17:59.966: Algorithm - getHedgeShortfall - required deltas is 100 price is 1.51575 currentHedgePositionDeltas is 101</t>
  </si>
  <si>
    <t>2015-1-20 17:17:59.966: Algorithm - processTransitionPoint - nextUpper/LowerStrikes are 1.52/1.515 requiredDeltas/currentPosition/currentHedgeShortfall/direction/transitionPrice are 100/101/-1/1/1.51575</t>
  </si>
  <si>
    <t>2015-1-20 17:17:59.966: TransitionLogger - processTransitionpoint - checking transition - currentHedgeShortfall is -1</t>
  </si>
  <si>
    <t>2015-1-20 17:17:59.967: Algorithm - handleTransition - currentHedgeShortfall is NOT ZERO and AUTOHEDGE IS NOT ENABLED!</t>
  </si>
  <si>
    <t>2015-1-20 17:17:59.968: Algorithm - updatePortfolio - haveAllDetails is True</t>
  </si>
  <si>
    <t>2015-1-20 17:17:59.969: RTWSControl - updatePortfolioEx - An Error Occured Object variable or With block variable not set</t>
  </si>
  <si>
    <t>2015-1-20 17:18:0.31: Algorithm - FindNextStrikes - price is 1.51565 nextStrikeUp/Down 1.52/1.515</t>
  </si>
  <si>
    <t>2015-1-20 17:18:0.31: Algorithm - getPortfolioForwardDelta - required deltas is 100 currentHedgePosition is 101</t>
  </si>
  <si>
    <t>2015-1-20 17:18:0.31: Algorithm - getHedgeShortfall - required deltas is 100 price is 1.51575 currentHedgePositionDeltas is 101</t>
  </si>
  <si>
    <t>2015-1-20 17:18:0.32: Algorithm - processTransitionPoint - nextUpper/LowerStrikes are 1.52/1.515 requiredDeltas/currentPosition/currentHedgeShortfall/direction/transitionPrice are 100/101/-1/1/1.51575</t>
  </si>
  <si>
    <t>2015-1-20 17:18:0.32: TransitionLogger - processTransitionpoint - checking transition - currentHedgeShortfall is -1</t>
  </si>
  <si>
    <t>2015-1-20 17:18:0.33: Algorithm - handleTransition - currentHedgeShortfall is NOT ZERO and AUTOHEDGE IS NOT ENABLED!</t>
  </si>
  <si>
    <t>2015-1-20 17:18:0.34: Algorithm - updatePortfolio - haveAllDetails is True</t>
  </si>
  <si>
    <t>2015-1-20 17:18:0.35: RTWSControl - updatePortfolioEx - An Error Occured Object variable or With block variable not set</t>
  </si>
  <si>
    <t>2015-1-20 17:18:1.608: DirectionIndicator - notify - price/longMA/ShortMA/prevDirection are 1.5157/1.51561714279123/1.51564089654305/1</t>
  </si>
  <si>
    <t>2015-1-20 17:18:1.609: Algorithm - handleTransition - currentHedgeShortfall is NOT ZERO and AUTOHEDGE IS NOT ENABLED!</t>
  </si>
  <si>
    <t>2015-1-20 17:18:1.663: DirectionIndicator - notify - price/longMA/ShortMA/prevDirection are 1.51575/1.51564129864737/1.51567726436203/1</t>
  </si>
  <si>
    <t>2015-1-20 17:18:1.664: Algorithm - handleTransition - currentHedgeShortfall is NOT ZERO and AUTOHEDGE IS NOT ENABLED!</t>
  </si>
  <si>
    <t>2015-1-20 17:18:3.906: DirectionIndicator - notify - price/longMA/ShortMA/prevDirection are 1.5158/1.51567015343876/1.51571817624135/1</t>
  </si>
  <si>
    <t>2015-1-20 17:18:3.907: Algorithm - handleTransition - currentHedgeShortfall is NOT ZERO and AUTOHEDGE IS NOT ENABLED!</t>
  </si>
  <si>
    <t>2015-1-20 17:18:3.979: DirectionIndicator - notify - price/longMA/ShortMA/prevDirection are 1.51585/1.51570285281353/1.51576211749424/1</t>
  </si>
  <si>
    <t>2015-1-20 17:18:3.980: Algorithm - handleTransition - currentHedgeShortfall is NOT ZERO and AUTOHEDGE IS NOT ENABLED!</t>
  </si>
  <si>
    <t>2015-1-20 17:18:8.345: TransitionLogger - flushFile - flushing file</t>
  </si>
  <si>
    <t>2015-1-20 17:18:8.347: TransitionLogger - openTransitionFile - opening file C:\temp\transitionlog_2015-01-20_153021</t>
  </si>
  <si>
    <t>2015-1-20 17:18:16.702: Algorithm - FindNextStrikes - price is 1.51585 nextStrikeUp/Down 1.52/1.515</t>
  </si>
  <si>
    <t>2015-1-20 17:18:16.703: Algorithm - getPortfolioForwardDelta - required deltas is 100 currentHedgePosition is 101</t>
  </si>
  <si>
    <t>2015-1-20 17:18:16.703: Algorithm - getHedgeShortfall - required deltas is 100 price is 1.51595 currentHedgePositionDeltas is 101</t>
  </si>
  <si>
    <t>2015-1-20 17:18:16.704: Algorithm - processTransitionPoint - nextUpper/LowerStrikes are 1.52/1.515 requiredDeltas/currentPosition/currentHedgeShortfall/direction/transitionPrice are 100/101/-1/1/1.51595</t>
  </si>
  <si>
    <t>2015-1-20 17:18:16.704: TransitionLogger - processTransitionpoint - checking transition - currentHedgeShortfall is -1</t>
  </si>
  <si>
    <t>2015-1-20 17:18:16.705: Algorithm - handleTransition - currentHedgeShortfall is NOT ZERO and AUTOHEDGE IS NOT ENABLED!</t>
  </si>
  <si>
    <t>2015-1-20 17:18:16.706: Algorithm - updatePortfolio - haveAllDetails is True</t>
  </si>
  <si>
    <t>2015-1-20 17:18:16.707: RTWSControl - updatePortfolioEx - An Error Occured Object variable or With block variable not set</t>
  </si>
  <si>
    <t>2015-1-20 17:18:16.745: Algorithm - FindNextStrikes - price is 1.51585 nextStrikeUp/Down 1.52/1.515</t>
  </si>
  <si>
    <t>2015-1-20 17:18:16.746: Algorithm - getPortfolioForwardDelta - required deltas is 100 currentHedgePosition is 101</t>
  </si>
  <si>
    <t>2015-1-20 17:18:16.746: Algorithm - getHedgeShortfall - required deltas is 100 price is 1.51595 currentHedgePositionDeltas is 101</t>
  </si>
  <si>
    <t>2015-1-20 17:18:16.747: Algorithm - processTransitionPoint - nextUpper/LowerStrikes are 1.52/1.515 requiredDeltas/currentPosition/currentHedgeShortfall/direction/transitionPrice are 100/101/-1/1/1.51595</t>
  </si>
  <si>
    <t>2015-1-20 17:18:16.747: TransitionLogger - processTransitionpoint - checking transition - currentHedgeShortfall is -1</t>
  </si>
  <si>
    <t>2015-1-20 17:18:16.748: Algorithm - handleTransition - currentHedgeShortfall is NOT ZERO and AUTOHEDGE IS NOT ENABLED!</t>
  </si>
  <si>
    <t>2015-1-20 17:18:16.749: Algorithm - updatePortfolio - haveAllDetails is True</t>
  </si>
  <si>
    <t>2015-1-20 17:18:16.750: RTWSControl - updatePortfolioEx - An Error Occured Object variable or With block variable not set</t>
  </si>
  <si>
    <t>2015-1-20 17:18:16.846: Algorithm - FindNextStrikes - price is 1.51585 nextStrikeUp/Down 1.52/1.515</t>
  </si>
  <si>
    <t>2015-1-20 17:18:16.846: Algorithm - getPortfolioForwardDelta - required deltas is 100 currentHedgePosition is 101</t>
  </si>
  <si>
    <t>2015-1-20 17:18:16.847: Algorithm - getHedgeShortfall - required deltas is 100 price is 1.51595 currentHedgePositionDeltas is 101</t>
  </si>
  <si>
    <t>2015-1-20 17:18:16.847: Algorithm - processTransitionPoint - nextUpper/LowerStrikes are 1.52/1.515 requiredDeltas/currentPosition/currentHedgeShortfall/direction/transitionPrice are 100/101/-1/1/1.51595</t>
  </si>
  <si>
    <t>2015-1-20 17:18:16.848: TransitionLogger - processTransitionpoint - checking transition - currentHedgeShortfall is -1</t>
  </si>
  <si>
    <t>2015-1-20 17:18:16.848: Algorithm - handleTransition - currentHedgeShortfall is NOT ZERO and AUTOHEDGE IS NOT ENABLED!</t>
  </si>
  <si>
    <t>2015-1-20 17:18:16.849: Algorithm - updatePortfolio - haveAllDetails is True</t>
  </si>
  <si>
    <t>2015-1-20 17:18:16.850: RTWSControl - updatePortfolioEx - An Error Occured Object variable or With block variable not set</t>
  </si>
  <si>
    <t>2015-1-20 17:18:16.912: Algorithm - FindNextStrikes - price is 1.51585 nextStrikeUp/Down 1.52/1.515</t>
  </si>
  <si>
    <t>2015-1-20 17:18:16.912: Algorithm - getPortfolioForwardDelta - required deltas is 100 currentHedgePosition is 101</t>
  </si>
  <si>
    <t>2015-1-20 17:18:16.913: Algorithm - getHedgeShortfall - required deltas is 100 price is 1.51595 currentHedgePositionDeltas is 101</t>
  </si>
  <si>
    <t>2015-1-20 17:18:16.913: Algorithm - processTransitionPoint - nextUpper/LowerStrikes are 1.52/1.515 requiredDeltas/currentPosition/currentHedgeShortfall/direction/transitionPrice are 100/101/-1/1/1.51595</t>
  </si>
  <si>
    <t>2015-1-20 17:18:16.914: TransitionLogger - processTransitionpoint - checking transition - currentHedgeShortfall is -1</t>
  </si>
  <si>
    <t>2015-1-20 17:18:16.914: Algorithm - handleTransition - currentHedgeShortfall is NOT ZERO and AUTOHEDGE IS NOT ENABLED!</t>
  </si>
  <si>
    <t>2015-1-20 17:18:16.915: Algorithm - updatePortfolio - haveAllDetails is True</t>
  </si>
  <si>
    <t>2015-1-20 17:18:16.916: RTWSControl - updatePortfolioEx - An Error Occured Object variable or With block variable not set</t>
  </si>
  <si>
    <t>2015-1-20 17:18:16.965: Algorithm - FindNextStrikes - price is 1.51585 nextStrikeUp/Down 1.52/1.515</t>
  </si>
  <si>
    <t>2015-1-20 17:18:16.965: Algorithm - getPortfolioForwardDelta - required deltas is 100 currentHedgePosition is 101</t>
  </si>
  <si>
    <t>2015-1-20 17:18:16.966: Algorithm - getHedgeShortfall - required deltas is 100 price is 1.51595 currentHedgePositionDeltas is 101</t>
  </si>
  <si>
    <t>2015-1-20 17:18:16.966: Algorithm - processTransitionPoint - nextUpper/LowerStrikes are 1.52/1.515 requiredDeltas/currentPosition/currentHedgeShortfall/direction/transitionPrice are 100/101/-1/1/1.51595</t>
  </si>
  <si>
    <t>2015-1-20 17:18:16.966: TransitionLogger - processTransitionpoint - checking transition - currentHedgeShortfall is -1</t>
  </si>
  <si>
    <t>2015-1-20 17:18:16.967: Algorithm - handleTransition - currentHedgeShortfall is NOT ZERO and AUTOHEDGE IS NOT ENABLED!</t>
  </si>
  <si>
    <t>2015-1-20 17:18:16.968: Algorithm - updatePortfolio - haveAllDetails is True</t>
  </si>
  <si>
    <t>2015-1-20 17:18:16.969: RTWSControl - updatePortfolioEx - An Error Occured Object variable or With block variable not set</t>
  </si>
  <si>
    <t>2015-1-20 17:18:17.34: Algorithm - FindNextStrikes - price is 1.51585 nextStrikeUp/Down 1.52/1.515</t>
  </si>
  <si>
    <t>2015-1-20 17:18:17.34: Algorithm - getPortfolioForwardDelta - required deltas is 100 currentHedgePosition is 101</t>
  </si>
  <si>
    <t>2015-1-20 17:18:17.35: Algorithm - getHedgeShortfall - required deltas is 100 price is 1.51595 currentHedgePositionDeltas is 101</t>
  </si>
  <si>
    <t>2015-1-20 17:18:17.35: Algorithm - processTransitionPoint - nextUpper/LowerStrikes are 1.52/1.515 requiredDeltas/currentPosition/currentHedgeShortfall/direction/transitionPrice are 100/101/-1/1/1.51595</t>
  </si>
  <si>
    <t>2015-1-20 17:18:17.36: TransitionLogger - processTransitionpoint - checking transition - currentHedgeShortfall is -1</t>
  </si>
  <si>
    <t>2015-1-20 17:18:17.36: Algorithm - handleTransition - currentHedgeShortfall is NOT ZERO and AUTOHEDGE IS NOT ENABLED!</t>
  </si>
  <si>
    <t>2015-1-20 17:18:17.37: Algorithm - updatePortfolio - haveAllDetails is True</t>
  </si>
  <si>
    <t>2015-1-20 17:18:17.38: RTWSControl - updatePortfolioEx - An Error Occured Object variable or With block variable not set</t>
  </si>
  <si>
    <t>2015-1-20 17:18:26.651: DirectionIndicator - notify - price/longMA/ShortMA/prevDirection are 1.5159/1.51573869775653/1.51580807832949/1</t>
  </si>
  <si>
    <t>2015-1-20 17:18:26.652: Algorithm - handleTransition - currentHedgeShortfall is NOT ZERO and AUTOHEDGE IS NOT ENABLED!</t>
  </si>
  <si>
    <t>2015-1-20 17:18:27.210: DirectionIndicator - notify - price/longMA/ShortMA/prevDirection are 1.51595/1.51577711634625/1.51585538555299/1</t>
  </si>
  <si>
    <t>2015-1-20 17:18:27.213: Algorithm - handleTransition - currentHedgeShortfall is NOT ZERO and AUTOHEDGE IS NOT ENABLED!</t>
  </si>
  <si>
    <t>2015-1-20 17:18:27.826: DirectionIndicator - notify - price/longMA/ShortMA/prevDirection are 1.5159/1.51579945882875/1.51587025703533/1</t>
  </si>
  <si>
    <t>2015-1-20 17:18:27.826: Algorithm - handleTransition - currentHedgeShortfall is NOT ZERO and AUTOHEDGE IS NOT ENABLED!</t>
  </si>
  <si>
    <t>2015-1-20 17:18:29.10: TransitionLogger - flushFile - flushing file</t>
  </si>
  <si>
    <t>2015-1-20 17:18:29.11: TransitionLogger - openTransitionFile - opening file C:\temp\transitionlog_2015-01-20_153021</t>
  </si>
  <si>
    <t>2015-1-20 17:18:29.505: DirectionIndicator - notify - price/longMA/ShortMA/prevDirection are 1.51585/1.51580864813261/1.51586350469022/1</t>
  </si>
  <si>
    <t>2015-1-20 17:18:29.507: Algorithm - handleTransition - currentHedgeShortfall is NOT ZERO and AUTOHEDGE IS NOT ENABLED!</t>
  </si>
  <si>
    <t>2015-1-20 17:18:41.528: DirectionIndicator - notify - price/longMA/ShortMA/prevDirection are 1.5159/1.51582525756305/1.51587566979348/1</t>
  </si>
  <si>
    <t>2015-1-20 17:18:41.529: Algorithm - handleTransition - currentHedgeShortfall is NOT ZERO and AUTOHEDGE IS NOT ENABLED!</t>
  </si>
  <si>
    <t>2015-1-20 17:18:41.583: DirectionIndicator - notify - price/longMA/ShortMA/prevDirection are 1.51595/1.51584793800613/1.51590044652899/1</t>
  </si>
  <si>
    <t>2015-1-20 17:18:41.584: Algorithm - handleTransition - currentHedgeShortfall is NOT ZERO and AUTOHEDGE IS NOT ENABLED!</t>
  </si>
  <si>
    <t>2015-1-20 17:18:52.844: DirectionIndicator - notify - price/longMA/ShortMA/prevDirection are 1.5159/1.5158574038232/1.51590029768599/1</t>
  </si>
  <si>
    <t>2015-1-20 17:18:52.845: Algorithm - handleTransition - currentHedgeShortfall is NOT ZERO and AUTOHEDGE IS NOT ENABLED!</t>
  </si>
  <si>
    <t>2015-1-20 17:18:52.899: DirectionIndicator - notify - price/longMA/ShortMA/prevDirection are 1.51585/1.51585605767352/1.51588353179066/1</t>
  </si>
  <si>
    <t>2015-1-20 17:18:52.900: Algorithm - handleTransition - currentHedgeShortfall is NOT ZERO and AUTOHEDGE IS NOT ENABLED!</t>
  </si>
  <si>
    <t>2015-1-20 17:18:53.996: DirectionIndicator - notify - price/longMA/ShortMA/prevDirection are 1.5158/1.51584586536925/1.51585568786044/1</t>
  </si>
  <si>
    <t>2015-1-20 17:18:53.997: Algorithm - handleTransition - currentHedgeShortfall is NOT ZERO and AUTOHEDGE IS NOT ENABLED!</t>
  </si>
  <si>
    <t>2015-1-20 17:18:54.66: DirectionIndicator - notify - price/longMA/ShortMA/prevDirection are 1.51575/1.51582843530211/1.51582045857363/1</t>
  </si>
  <si>
    <t>2015-1-20 17:18:54.66: Algorithm - handleTransition - currentHedgeShortfall is NOT ZERO and AUTOHEDGE IS NOT ENABLED!</t>
  </si>
  <si>
    <t>2015-1-20 17:18:54.904: DirectionIndicator - notify - price/longMA/ShortMA/prevDirection are 1.5158/1.51582326524718/1.51581363904908/1</t>
  </si>
  <si>
    <t>2015-1-20 17:18:54.905: Algorithm - handleTransition - currentHedgeShortfall is NOT ZERO and AUTOHEDGE IS NOT ENABLED!</t>
  </si>
  <si>
    <t>2015-1-20 17:18:58.571: DirectionIndicator - notify - price/longMA/ShortMA/prevDirection are 1.51585/1.51582812611133/1.51582575936606/1</t>
  </si>
  <si>
    <t>2015-1-20 17:18:58.572: Algorithm - handleTransition - currentHedgeShortfall is NOT ZERO and AUTOHEDGE IS NOT ENABLED!</t>
  </si>
  <si>
    <t>2015-1-20 17:19:8.449: TransitionLogger - flushFile - flushing file</t>
  </si>
  <si>
    <t>2015-1-20 17:19:8.451: TransitionLogger - openTransitionFile - opening file C:\temp\transitionlog_2015-01-20_153021</t>
  </si>
  <si>
    <t>2015-1-20 17:19:29.40: TransitionLogger - flushFile - flushing file</t>
  </si>
  <si>
    <t>2015-1-20 17:19:29.40: TransitionLogger - openTransitionFile - opening file C:\temp\transitionlog_2015-01-20_153021</t>
  </si>
  <si>
    <t>2015-1-20 17:19:40.162: DirectionIndicator - notify - price/longMA/ShortMA/prevDirection are 1.5159/1.51584119409109/1.51585050624404/1</t>
  </si>
  <si>
    <t>2015-1-20 17:19:40.162: Algorithm - handleTransition - currentHedgeShortfall is NOT ZERO and AUTOHEDGE IS NOT ENABLED!</t>
  </si>
  <si>
    <t>2015-1-20 17:19:40.319: DirectionIndicator - notify - price/longMA/ShortMA/prevDirection are 1.51595/1.51586097698362/1.51588367082936/1</t>
  </si>
  <si>
    <t>2015-1-20 17:19:40.320: Algorithm - handleTransition - currentHedgeShortfall is NOT ZERO and AUTOHEDGE IS NOT ENABLED!</t>
  </si>
  <si>
    <t>2015-1-20 17:19:58.749: DirectionIndicator - notify - price/longMA/ShortMA/prevDirection are 1.516/1.51588625389569/1.51592244721957/1</t>
  </si>
  <si>
    <t>2015-1-20 17:19:58.751: Algorithm - handleTransition - currentHedgeShortfall is NOT ZERO and AUTOHEDGE IS NOT ENABLED!</t>
  </si>
  <si>
    <t>2015-1-20 17:20:5.13: DirectionIndicator - notify - price/longMA/ShortMA/prevDirection are 1.51595/1.51589784409647/1.51593163147972/1</t>
  </si>
  <si>
    <t>2015-1-20 17:20:5.14: Algorithm - handleTransition - currentHedgeShortfall is NOT ZERO and AUTOHEDGE IS NOT ENABLED!</t>
  </si>
  <si>
    <t>2015-1-20 17:20:8.135: TransitionLogger - flushFile - flushing file</t>
  </si>
  <si>
    <t>2015-1-20 17:20:8.136: TransitionLogger - openTransitionFile - opening file C:\temp\transitionlog_2015-01-20_153021</t>
  </si>
  <si>
    <t>2015-1-20 17:20:27.574: DirectionIndicator - notify - price/longMA/ShortMA/prevDirection are 1.516/1.51591641789711/1.51595442098648/1</t>
  </si>
  <si>
    <t>2015-1-20 17:20:27.575: Algorithm - handleTransition - currentHedgeShortfall is NOT ZERO and AUTOHEDGE IS NOT ENABLED!</t>
  </si>
  <si>
    <t>2015-1-20 17:20:28.338: DirectionIndicator - notify - price/longMA/ShortMA/prevDirection are 1.51605/1.51594070555218/1.51598628065765/1</t>
  </si>
  <si>
    <t>2015-1-20 17:20:28.339: Algorithm - handleTransition - currentHedgeShortfall is NOT ZERO and AUTOHEDGE IS NOT ENABLED!</t>
  </si>
  <si>
    <t>2015-1-20 17:20:29.193: TransitionLogger - flushFile - flushing file</t>
  </si>
  <si>
    <t>2015-1-20 17:20:29.194: TransitionLogger - openTransitionFile - opening file C:\temp\transitionlog_2015-01-20_153021</t>
  </si>
  <si>
    <t>2015-1-20 17:20:56.387: DirectionIndicator - notify - price/longMA/ShortMA/prevDirection are 1.5161/1.51596966817906/1.5160241871051/1</t>
  </si>
  <si>
    <t>2015-1-20 17:20:56.389: Algorithm - handleTransition - currentHedgeShortfall is NOT ZERO and AUTOHEDGE IS NOT ENABLED!</t>
  </si>
  <si>
    <t>2015-1-20 17:21:4.830: DirectionIndicator - notify - price/longMA/ShortMA/prevDirection are 1.51615/1.51600245578287/1.51606612473673/1</t>
  </si>
  <si>
    <t>2015-1-20 17:21:4.832: Algorithm - handleTransition - currentHedgeShortfall is NOT ZERO and AUTOHEDGE IS NOT ENABLED!</t>
  </si>
  <si>
    <t>2015-1-20 17:21:8.92: TransitionLogger - flushFile - flushing file</t>
  </si>
  <si>
    <t>2015-1-20 17:21:8.93: TransitionLogger - openTransitionFile - opening file C:\temp\transitionlog_2015-01-20_153021</t>
  </si>
  <si>
    <t>2015-1-20 17:21:16.242: Algorithm - FindNextStrikes - price is 1.51615 nextStrikeUp/Down 1.52/1.515</t>
  </si>
  <si>
    <t>2015-1-20 17:21:16.242: Algorithm - getPortfolioForwardDelta - required deltas is 100 currentHedgePosition is 101</t>
  </si>
  <si>
    <t>2015-1-20 17:21:16.243: Algorithm - getHedgeShortfall - required deltas is 100 price is 1.51625 currentHedgePositionDeltas is 101</t>
  </si>
  <si>
    <t>2015-1-20 17:21:16.243: Algorithm - processTransitionPoint - nextUpper/LowerStrikes are 1.52/1.515 requiredDeltas/currentPosition/currentHedgeShortfall/direction/transitionPrice are 100/101/-1/1/1.51625</t>
  </si>
  <si>
    <t>2015-1-20 17:21:16.244: TransitionLogger - processTransitionpoint - checking transition - currentHedgeShortfall is -1</t>
  </si>
  <si>
    <t>2015-1-20 17:21:16.244: Algorithm - handleTransition - currentHedgeShortfall is NOT ZERO and AUTOHEDGE IS NOT ENABLED!</t>
  </si>
  <si>
    <t>2015-1-20 17:21:16.245: Algorithm - updatePortfolio - haveAllDetails is True</t>
  </si>
  <si>
    <t>2015-1-20 17:21:16.246: RTWSControl - updatePortfolioEx - An Error Occured Object variable or With block variable not set</t>
  </si>
  <si>
    <t>2015-1-20 17:21:16.286: Algorithm - FindNextStrikes - price is 1.51615 nextStrikeUp/Down 1.52/1.515</t>
  </si>
  <si>
    <t>2015-1-20 17:21:16.286: Algorithm - getPortfolioForwardDelta - required deltas is 100 currentHedgePosition is 101</t>
  </si>
  <si>
    <t>2015-1-20 17:21:16.287: Algorithm - getHedgeShortfall - required deltas is 100 price is 1.51625 currentHedgePositionDeltas is 101</t>
  </si>
  <si>
    <t>2015-1-20 17:21:16.287: Algorithm - processTransitionPoint - nextUpper/LowerStrikes are 1.52/1.515 requiredDeltas/currentPosition/currentHedgeShortfall/direction/transitionPrice are 100/101/-1/1/1.51625</t>
  </si>
  <si>
    <t>2015-1-20 17:21:16.288: TransitionLogger - processTransitionpoint - checking transition - currentHedgeShortfall is -1</t>
  </si>
  <si>
    <t>2015-1-20 17:21:16.288: Algorithm - handleTransition - currentHedgeShortfall is NOT ZERO and AUTOHEDGE IS NOT ENABLED!</t>
  </si>
  <si>
    <t>2015-1-20 17:21:16.289: Algorithm - updatePortfolio - haveAllDetails is True</t>
  </si>
  <si>
    <t>2015-1-20 17:21:16.290: RTWSControl - updatePortfolioEx - An Error Occured Object variable or With block variable not set</t>
  </si>
  <si>
    <t>2015-1-20 17:21:16.337: Algorithm - FindNextStrikes - price is 1.51615 nextStrikeUp/Down 1.52/1.515</t>
  </si>
  <si>
    <t>2015-1-20 17:21:16.338: Algorithm - getPortfolioForwardDelta - required deltas is 100 currentHedgePosition is 101</t>
  </si>
  <si>
    <t>2015-1-20 17:21:16.338: Algorithm - getHedgeShortfall - required deltas is 100 price is 1.51625 currentHedgePositionDeltas is 101</t>
  </si>
  <si>
    <t>2015-1-20 17:21:16.339: Algorithm - processTransitionPoint - nextUpper/LowerStrikes are 1.52/1.515 requiredDeltas/currentPosition/currentHedgeShortfall/direction/transitionPrice are 100/101/-1/1/1.51625</t>
  </si>
  <si>
    <t>2015-1-20 17:21:16.339: TransitionLogger - processTransitionpoint - checking transition - currentHedgeShortfall is -1</t>
  </si>
  <si>
    <t>2015-1-20 17:21:16.340: Algorithm - handleTransition - currentHedgeShortfall is NOT ZERO and AUTOHEDGE IS NOT ENABLED!</t>
  </si>
  <si>
    <t>2015-1-20 17:21:16.341: Algorithm - updatePortfolio - haveAllDetails is True</t>
  </si>
  <si>
    <t>2015-1-20 17:21:16.342: RTWSControl - updatePortfolioEx - An Error Occured Object variable or With block variable not set</t>
  </si>
  <si>
    <t>2015-1-20 17:21:16.391: Algorithm - FindNextStrikes - price is 1.51615 nextStrikeUp/Down 1.52/1.515</t>
  </si>
  <si>
    <t>2015-1-20 17:21:16.391: Algorithm - getPortfolioForwardDelta - required deltas is 100 currentHedgePosition is 101</t>
  </si>
  <si>
    <t>2015-1-20 17:21:16.392: Algorithm - getHedgeShortfall - required deltas is 100 price is 1.51625 currentHedgePositionDeltas is 101</t>
  </si>
  <si>
    <t>2015-1-20 17:21:16.392: Algorithm - processTransitionPoint - nextUpper/LowerStrikes are 1.52/1.515 requiredDeltas/currentPosition/currentHedgeShortfall/direction/transitionPrice are 100/101/-1/1/1.51625</t>
  </si>
  <si>
    <t>2015-1-20 17:21:16.393: TransitionLogger - processTransitionpoint - checking transition - currentHedgeShortfall is -1</t>
  </si>
  <si>
    <t>2015-1-20 17:21:16.394: Algorithm - handleTransition - currentHedgeShortfall is NOT ZERO and AUTOHEDGE IS NOT ENABLED!</t>
  </si>
  <si>
    <t>2015-1-20 17:21:16.395: Algorithm - updatePortfolio - haveAllDetails is True</t>
  </si>
  <si>
    <t>2015-1-20 17:21:16.396: RTWSControl - updatePortfolioEx - An Error Occured Object variable or With block variable not set</t>
  </si>
  <si>
    <t>2015-1-20 17:21:16.463: Algorithm - FindNextStrikes - price is 1.51615 nextStrikeUp/Down 1.52/1.515</t>
  </si>
  <si>
    <t>2015-1-20 17:21:16.464: Algorithm - getPortfolioForwardDelta - required deltas is 100 currentHedgePosition is 101</t>
  </si>
  <si>
    <t>2015-1-20 17:21:16.464: Algorithm - getHedgeShortfall - required deltas is 100 price is 1.51625 currentHedgePositionDeltas is 101</t>
  </si>
  <si>
    <t>2015-1-20 17:21:16.465: Algorithm - processTransitionPoint - nextUpper/LowerStrikes are 1.52/1.515 requiredDeltas/currentPosition/currentHedgeShortfall/direction/transitionPrice are 100/101/-1/1/1.51625</t>
  </si>
  <si>
    <t>2015-1-20 17:21:16.465: TransitionLogger - processTransitionpoint - checking transition - currentHedgeShortfall is -1</t>
  </si>
  <si>
    <t>2015-1-20 17:21:16.466: Algorithm - handleTransition - currentHedgeShortfall is NOT ZERO and AUTOHEDGE IS NOT ENABLED!</t>
  </si>
  <si>
    <t>2015-1-20 17:21:16.467: Algorithm - updatePortfolio - haveAllDetails is True</t>
  </si>
  <si>
    <t>2015-1-20 17:21:16.468: RTWSControl - updatePortfolioEx - An Error Occured Object variable or With block variable not set</t>
  </si>
  <si>
    <t>2015-1-20 17:21:16.525: Algorithm - FindNextStrikes - price is 1.51615 nextStrikeUp/Down 1.52/1.515</t>
  </si>
  <si>
    <t>2015-1-20 17:21:16.526: Algorithm - getPortfolioForwardDelta - required deltas is 100 currentHedgePosition is 101</t>
  </si>
  <si>
    <t>2015-1-20 17:21:16.526: Algorithm - getHedgeShortfall - required deltas is 100 price is 1.51625 currentHedgePositionDeltas is 101</t>
  </si>
  <si>
    <t>2015-1-20 17:21:16.527: Algorithm - processTransitionPoint - nextUpper/LowerStrikes are 1.52/1.515 requiredDeltas/currentPosition/currentHedgeShortfall/direction/transitionPrice are 100/101/-1/1/1.51625</t>
  </si>
  <si>
    <t>2015-1-20 17:21:16.527: TransitionLogger - processTransitionpoint - checking transition - currentHedgeShortfall is -1</t>
  </si>
  <si>
    <t>2015-1-20 17:21:16.528: Algorithm - handleTransition - currentHedgeShortfall is NOT ZERO and AUTOHEDGE IS NOT ENABLED!</t>
  </si>
  <si>
    <t>2015-1-20 17:21:16.529: Algorithm - updatePortfolio - haveAllDetails is True</t>
  </si>
  <si>
    <t>2015-1-20 17:21:16.530: RTWSControl - updatePortfolioEx - An Error Occured Object variable or With block variable not set</t>
  </si>
  <si>
    <t>2015-1-20 17:21:28.36: DirectionIndicator - notify - price/longMA/ShortMA/prevDirection are 1.5162/1.51603837291325/1.51611074982449/1</t>
  </si>
  <si>
    <t>2015-1-20 17:21:28.37: Algorithm - handleTransition - currentHedgeShortfall is NOT ZERO and AUTOHEDGE IS NOT ENABLED!</t>
  </si>
  <si>
    <t>2015-1-20 17:21:28.162: DirectionIndicator - notify - price/longMA/ShortMA/prevDirection are 1.51625/1.51607685056539/1.51615716654966/1</t>
  </si>
  <si>
    <t>2015-1-20 17:21:28.163: Algorithm - handleTransition - currentHedgeShortfall is NOT ZERO and AUTOHEDGE IS NOT ENABLED!</t>
  </si>
  <si>
    <t>2015-1-20 17:21:29.11: TransitionLogger - flushFile - flushing file</t>
  </si>
  <si>
    <t>2015-1-20 17:21:29.12: TransitionLogger - openTransitionFile - opening file C:\temp\transitionlog_2015-01-20_153021</t>
  </si>
  <si>
    <t>2015-1-20 17:21:34.622: DirectionIndicator - notify - price/longMA/ShortMA/prevDirection are 1.5162/1.51609924137168/1.51617144436644/1</t>
  </si>
  <si>
    <t>2015-1-20 17:21:34.622: Algorithm - handleTransition - currentHedgeShortfall is NOT ZERO and AUTOHEDGE IS NOT ENABLED!</t>
  </si>
  <si>
    <t>2015-1-20 17:21:39.941: DirectionIndicator - notify - price/longMA/ShortMA/prevDirection are 1.51625/1.51612665203138/1.51619762957763/1</t>
  </si>
  <si>
    <t>2015-1-20 17:21:39.944: Algorithm - handleTransition - currentHedgeShortfall is NOT ZERO and AUTOHEDGE IS NOT ENABLED!</t>
  </si>
  <si>
    <t>2015-1-20 17:21:50.377: DirectionIndicator - notify - price/longMA/ShortMA/prevDirection are 1.5162/1.51613998802567/1.51619841971842/1</t>
  </si>
  <si>
    <t>2015-1-20 17:21:50.378: Algorithm - handleTransition - currentHedgeShortfall is NOT ZERO and AUTOHEDGE IS NOT ENABLED!</t>
  </si>
  <si>
    <t>2015-1-20 17:21:50.452: DirectionIndicator - notify - price/longMA/ShortMA/prevDirection are 1.51615/1.51614180838464/1.51618227981228/1</t>
  </si>
  <si>
    <t>2015-1-20 17:21:50.453: Algorithm - handleTransition - currentHedgeShortfall is NOT ZERO and AUTOHEDGE IS NOT ENABLED!</t>
  </si>
  <si>
    <t>2015-1-20 17:22:1.4: DirectionIndicator - notify - price/longMA/ShortMA/prevDirection are 1.5161/1.51613420686016/1.51615485320819/1</t>
  </si>
  <si>
    <t>2015-1-20 17:22:1.5: Algorithm - handleTransition - currentHedgeShortfall is NOT ZERO and AUTOHEDGE IS NOT ENABLED!</t>
  </si>
  <si>
    <t>2015-1-20 17:22:1.76: DirectionIndicator - notify - price/longMA/ShortMA/prevDirection are 1.51605/1.51611889652195/1.51611990213879/1</t>
  </si>
  <si>
    <t>2015-1-20 17:22:1.77: Algorithm - handleTransition - currentHedgeShortfall is NOT ZERO and AUTOHEDGE IS NOT ENABLED!</t>
  </si>
  <si>
    <t>2015-1-20 17:22:8.18: TransitionLogger - flushFile - flushing file</t>
  </si>
  <si>
    <t>2015-1-20 17:22:8.19: TransitionLogger - openTransitionFile - opening file C:\temp\transitionlog_2015-01-20_153021</t>
  </si>
  <si>
    <t>2015-1-20 17:22:29.190: TransitionLogger - flushFile - flushing file</t>
  </si>
  <si>
    <t>2015-1-20 17:22:29.190: TransitionLogger - openTransitionFile - opening file C:\temp\transitionlog_2015-01-20_153021</t>
  </si>
  <si>
    <t>2015-1-20 17:22:52.6: DirectionIndicator - notify - price/longMA/ShortMA/prevDirection are 1.516/1.5160972789725/1.51607993475919/1</t>
  </si>
  <si>
    <t>2015-1-20 17:22:52.7: Algorithm - handleTransition - currentHedgeShortfall is NOT ZERO and AUTOHEDGE IS NOT ENABLED!</t>
  </si>
  <si>
    <t>2015-1-20 17:22:52.86: DirectionIndicator - notify - price/longMA/ShortMA/prevDirection are 1.51595/1.5160705009775/1.5160366231728/1</t>
  </si>
  <si>
    <t>2015-1-20 17:22:52.87: Algorithm - handleTransition - currentHedgeShortfall is NOT ZERO and AUTOHEDGE IS NOT ENABLED!</t>
  </si>
  <si>
    <t>2015-1-20 17:22:55.340: DirectionIndicator - notify - price/longMA/ShortMA/prevDirection are 1.516/1.51605768261796/1.51602441544853/-1</t>
  </si>
  <si>
    <t>2015-1-20 17:22:55.341: Algorithm - handleTransition - currentHedgeShortfall is NOT ZERO and AUTOHEDGE IS NOT ENABLED!</t>
  </si>
  <si>
    <t>2015-1-20 17:22:55.414: DirectionIndicator - notify - price/longMA/ShortMA/prevDirection are 1.51605/1.51605628577833/1.51603294363235/-1</t>
  </si>
  <si>
    <t>2015-1-20 17:22:55.415: Algorithm - handleTransition - currentHedgeShortfall is NOT ZERO and AUTOHEDGE IS NOT ENABLED!</t>
  </si>
  <si>
    <t>2015-1-20 17:22:58.967: DirectionIndicator - notify - price/longMA/ShortMA/prevDirection are 1.5161/1.51606423381863/1.5160552957549/-1</t>
  </si>
  <si>
    <t>2015-1-20 17:22:58.968: Algorithm - handleTransition - currentHedgeShortfall is NOT ZERO and AUTOHEDGE IS NOT ENABLED!</t>
  </si>
  <si>
    <t>2015-1-20 17:22:59.963: DirectionIndicator - notify - price/longMA/ShortMA/prevDirection are 1.51605/1.51606164585161/1.51605353050327/-1</t>
  </si>
  <si>
    <t>2015-1-20 17:22:59.964: Algorithm - handleTransition - currentHedgeShortfall is NOT ZERO and AUTOHEDGE IS NOT ENABLED!</t>
  </si>
  <si>
    <t>2015-1-20 17:23:8.173: TransitionLogger - flushFile - flushing file</t>
  </si>
  <si>
    <t>2015-1-20 17:23:8.174: TransitionLogger - openTransitionFile - opening file C:\temp\transitionlog_2015-01-20_153021</t>
  </si>
  <si>
    <t>2015-1-20 17:23:29.90: TransitionLogger - flushFile - flushing file</t>
  </si>
  <si>
    <t>2015-1-20 17:23:29.91: TransitionLogger - openTransitionFile - opening file C:\temp\transitionlog_2015-01-20_153021</t>
  </si>
  <si>
    <t>2015-1-20 17:23:55.804: DirectionIndicator - notify - price/longMA/ShortMA/prevDirection are 1.516/1.51605043751495/1.51603568700218/-1</t>
  </si>
  <si>
    <t>2015-1-20 17:23:55.805: Algorithm - handleTransition - currentHedgeShortfall is NOT ZERO and AUTOHEDGE IS NOT ENABLED!</t>
  </si>
  <si>
    <t>2015-1-20 17:23:55.883: DirectionIndicator - notify - price/longMA/ShortMA/prevDirection are 1.51595/1.5160321761486/1.51600712466812/-1</t>
  </si>
  <si>
    <t>2015-1-20 17:23:55.884: Algorithm - handleTransition - currentHedgeShortfall is NOT ZERO and AUTOHEDGE IS NOT ENABLED!</t>
  </si>
  <si>
    <t>2015-1-20 17:24:8.82: TransitionLogger - flushFile - flushing file</t>
  </si>
  <si>
    <t>2015-1-20 17:24:8.84: TransitionLogger - openTransitionFile - opening file C:\temp\transitionlog_2015-01-20_153021</t>
  </si>
  <si>
    <t>2015-1-20 17:24:16.675: Algorithm - FindNextStrikes - price is 1.51595 nextStrikeUp/Down 1.52/1.515</t>
  </si>
  <si>
    <t>2015-1-20 17:24:16.676: Algorithm - getPortfolioForwardDelta - required deltas is 100 currentHedgePosition is 101</t>
  </si>
  <si>
    <t>2015-1-20 17:24:16.676: Algorithm - getHedgeShortfall - required deltas is 100 price is 1.51585 currentHedgePositionDeltas is 101</t>
  </si>
  <si>
    <t>2015-1-20 17:24:16.677: Algorithm - processTransitionPoint - nextUpper/LowerStrikes are 1.52/1.515 requiredDeltas/currentPosition/currentHedgeShortfall/direction/transitionPrice are 100/101/-1/-1/1.51585</t>
  </si>
  <si>
    <t>2015-1-20 17:24:16.677: TransitionLogger - processTransitionpoint - checking transition - currentHedgeShortfall is -1</t>
  </si>
  <si>
    <t>2015-1-20 17:24:16.678: Algorithm - handleTransition - currentHedgeShortfall is NOT ZERO and AUTOHEDGE IS NOT ENABLED!</t>
  </si>
  <si>
    <t>2015-1-20 17:24:16.679: Algorithm - updatePortfolio - haveAllDetails is True</t>
  </si>
  <si>
    <t>2015-1-20 17:24:16.680: RTWSControl - updatePortfolioEx - An Error Occured Object variable or With block variable not set</t>
  </si>
  <si>
    <t>2015-1-20 17:24:16.720: Algorithm - FindNextStrikes - price is 1.51595 nextStrikeUp/Down 1.52/1.515</t>
  </si>
  <si>
    <t>2015-1-20 17:24:16.720: Algorithm - getPortfolioForwardDelta - required deltas is 100 currentHedgePosition is 101</t>
  </si>
  <si>
    <t>2015-1-20 17:24:16.721: Algorithm - getHedgeShortfall - required deltas is 100 price is 1.51585 currentHedgePositionDeltas is 101</t>
  </si>
  <si>
    <t>2015-1-20 17:24:16.721: Algorithm - processTransitionPoint - nextUpper/LowerStrikes are 1.52/1.515 requiredDeltas/currentPosition/currentHedgeShortfall/direction/transitionPrice are 100/101/-1/-1/1.51585</t>
  </si>
  <si>
    <t>2015-1-20 17:24:16.722: TransitionLogger - processTransitionpoint - checking transition - currentHedgeShortfall is -1</t>
  </si>
  <si>
    <t>2015-1-20 17:24:16.722: Algorithm - handleTransition - currentHedgeShortfall is NOT ZERO and AUTOHEDGE IS NOT ENABLED!</t>
  </si>
  <si>
    <t>2015-1-20 17:24:16.723: Algorithm - updatePortfolio - haveAllDetails is True</t>
  </si>
  <si>
    <t>2015-1-20 17:24:16.724: RTWSControl - updatePortfolioEx - An Error Occured Object variable or With block variable not set</t>
  </si>
  <si>
    <t>2015-1-20 17:24:16.768: Algorithm - FindNextStrikes - price is 1.51595 nextStrikeUp/Down 1.52/1.515</t>
  </si>
  <si>
    <t>2015-1-20 17:24:16.768: Algorithm - getPortfolioForwardDelta - required deltas is 100 currentHedgePosition is 101</t>
  </si>
  <si>
    <t>2015-1-20 17:24:16.769: Algorithm - getHedgeShortfall - required deltas is 100 price is 1.51585 currentHedgePositionDeltas is 101</t>
  </si>
  <si>
    <t>2015-1-20 17:24:16.769: Algorithm - processTransitionPoint - nextUpper/LowerStrikes are 1.52/1.515 requiredDeltas/currentPosition/currentHedgeShortfall/direction/transitionPrice are 100/101/-1/-1/1.51585</t>
  </si>
  <si>
    <t>2015-1-20 17:24:16.770: TransitionLogger - processTransitionpoint - checking transition - currentHedgeShortfall is -1</t>
  </si>
  <si>
    <t>2015-1-20 17:24:16.770: Algorithm - handleTransition - currentHedgeShortfall is NOT ZERO and AUTOHEDGE IS NOT ENABLED!</t>
  </si>
  <si>
    <t>2015-1-20 17:24:16.771: Algorithm - updatePortfolio - haveAllDetails is True</t>
  </si>
  <si>
    <t>2015-1-20 17:24:16.772: RTWSControl - updatePortfolioEx - An Error Occured Object variable or With block variable not set</t>
  </si>
  <si>
    <t>2015-1-20 17:24:16.844: Algorithm - FindNextStrikes - price is 1.51595 nextStrikeUp/Down 1.52/1.515</t>
  </si>
  <si>
    <t>2015-1-20 17:24:16.845: Algorithm - getPortfolioForwardDelta - required deltas is 100 currentHedgePosition is 101</t>
  </si>
  <si>
    <t>2015-1-20 17:24:16.845: Algorithm - getHedgeShortfall - required deltas is 100 price is 1.51585 currentHedgePositionDeltas is 101</t>
  </si>
  <si>
    <t>2015-1-20 17:24:16.845: Algorithm - processTransitionPoint - nextUpper/LowerStrikes are 1.52/1.515 requiredDeltas/currentPosition/currentHedgeShortfall/direction/transitionPrice are 100/101/-1/-1/1.51585</t>
  </si>
  <si>
    <t>2015-1-20 17:24:16.846: TransitionLogger - processTransitionpoint - checking transition - currentHedgeShortfall is -1</t>
  </si>
  <si>
    <t>2015-1-20 17:24:16.846: Algorithm - handleTransition - currentHedgeShortfall is NOT ZERO and AUTOHEDGE IS NOT ENABLED!</t>
  </si>
  <si>
    <t>2015-1-20 17:24:16.847: Algorithm - updatePortfolio - haveAllDetails is True</t>
  </si>
  <si>
    <t>2015-1-20 17:24:16.848: RTWSControl - updatePortfolioEx - An Error Occured Object variable or With block variable not set</t>
  </si>
  <si>
    <t>2015-1-20 17:24:16.902: Algorithm - FindNextStrikes - price is 1.51595 nextStrikeUp/Down 1.52/1.515</t>
  </si>
  <si>
    <t>2015-1-20 17:24:16.903: Algorithm - getPortfolioForwardDelta - required deltas is 100 currentHedgePosition is 101</t>
  </si>
  <si>
    <t>2015-1-20 17:24:16.903: Algorithm - getHedgeShortfall - required deltas is 100 price is 1.51585 currentHedgePositionDeltas is 101</t>
  </si>
  <si>
    <t>2015-1-20 17:24:16.904: Algorithm - processTransitionPoint - nextUpper/LowerStrikes are 1.52/1.515 requiredDeltas/currentPosition/currentHedgeShortfall/direction/transitionPrice are 100/101/-1/-1/1.51585</t>
  </si>
  <si>
    <t>2015-1-20 17:24:16.904: TransitionLogger - processTransitionpoint - checking transition - currentHedgeShortfall is -1</t>
  </si>
  <si>
    <t>2015-1-20 17:24:16.905: Algorithm - handleTransition - currentHedgeShortfall is NOT ZERO and AUTOHEDGE IS NOT ENABLED!</t>
  </si>
  <si>
    <t>2015-1-20 17:24:16.906: Algorithm - updatePortfolio - haveAllDetails is True</t>
  </si>
  <si>
    <t>2015-1-20 17:24:16.907: RTWSControl - updatePortfolioEx - An Error Occured Object variable or With block variable not set</t>
  </si>
  <si>
    <t>2015-1-20 17:24:16.969: Algorithm - FindNextStrikes - price is 1.51595 nextStrikeUp/Down 1.52/1.515</t>
  </si>
  <si>
    <t>2015-1-20 17:24:16.969: Algorithm - getPortfolioForwardDelta - required deltas is 100 currentHedgePosition is 101</t>
  </si>
  <si>
    <t>2015-1-20 17:24:16.970: Algorithm - getHedgeShortfall - required deltas is 100 price is 1.51585 currentHedgePositionDeltas is 101</t>
  </si>
  <si>
    <t>2015-1-20 17:24:16.970: Algorithm - processTransitionPoint - nextUpper/LowerStrikes are 1.52/1.515 requiredDeltas/currentPosition/currentHedgeShortfall/direction/transitionPrice are 100/101/-1/-1/1.51585</t>
  </si>
  <si>
    <t>2015-1-20 17:24:16.971: TransitionLogger - processTransitionpoint - checking transition - currentHedgeShortfall is -1</t>
  </si>
  <si>
    <t>2015-1-20 17:24:16.971: Algorithm - handleTransition - currentHedgeShortfall is NOT ZERO and AUTOHEDGE IS NOT ENABLED!</t>
  </si>
  <si>
    <t>2015-1-20 17:24:16.972: Algorithm - updatePortfolio - haveAllDetails is True</t>
  </si>
  <si>
    <t>2015-1-20 17:24:16.973: RTWSControl - updatePortfolioEx - An Error Occured Object variable or With block variable not set</t>
  </si>
  <si>
    <t>2015-1-20 17:24:29.40: TransitionLogger - flushFile - flushing file</t>
  </si>
  <si>
    <t>2015-1-20 17:24:29.41: TransitionLogger - openTransitionFile - opening file C:\temp\transitionlog_2015-01-20_153021</t>
  </si>
  <si>
    <t>2015-1-20 17:24:33.351: DirectionIndicator - notify - price/longMA/ShortMA/prevDirection are 1.516/1.51602632593976/1.51600474977875/-1</t>
  </si>
  <si>
    <t>2015-1-20 17:24:33.352: Algorithm - handleTransition - currentHedgeShortfall is NOT ZERO and AUTOHEDGE IS NOT ENABLED!</t>
  </si>
  <si>
    <t>2015-1-20 17:24:33.419: DirectionIndicator - notify - price/longMA/ShortMA/prevDirection are 1.51605/1.51603063031435/1.51601983318583/-1</t>
  </si>
  <si>
    <t>2015-1-20 17:24:33.420: Algorithm - handleTransition - currentHedgeShortfall is NOT ZERO and AUTOHEDGE IS NOT ENABLED!</t>
  </si>
  <si>
    <t>2015-1-20 17:24:34.805: DirectionIndicator - notify - price/longMA/ShortMA/prevDirection are 1.5161/1.51604324298447/1.51604655545722/-1</t>
  </si>
  <si>
    <t>2015-1-20 17:24:34.806: Algorithm - handleTransition - currentHedgeShortfall is NOT ZERO and AUTOHEDGE IS NOT ENABLED!</t>
  </si>
  <si>
    <t>2015-1-20 17:24:34.877: DirectionIndicator - notify - price/longMA/ShortMA/prevDirection are 1.51615/1.51606265335093/1.51608103697148/-1</t>
  </si>
  <si>
    <t>2015-1-20 17:24:34.879: Algorithm - handleTransition - currentHedgeShortfall is NOT ZERO and AUTOHEDGE IS NOT ENABLED!</t>
  </si>
  <si>
    <t>2015-1-20 17:24:35.309: DirectionIndicator - notify - price/longMA/ShortMA/prevDirection are 1.5161/1.51606944365076/1.51608735798099/-1</t>
  </si>
  <si>
    <t>2015-1-20 17:24:35.310: Algorithm - handleTransition - currentHedgeShortfall is NOT ZERO and AUTOHEDGE IS NOT ENABLED!</t>
  </si>
  <si>
    <t>2015-1-20 17:24:35.378: DirectionIndicator - notify - price/longMA/ShortMA/prevDirection are 1.51605/1.51606590844153/1.51607490532066/-1</t>
  </si>
  <si>
    <t>2015-1-20 17:24:35.379: Algorithm - handleTransition - currentHedgeShortfall is NOT ZERO and AUTOHEDGE IS NOT ENABLED!</t>
  </si>
  <si>
    <t>2015-1-20 17:25:8.278: TransitionLogger - flushFile - flushing file</t>
  </si>
  <si>
    <t>2015-1-20 17:25:8.279: TransitionLogger - openTransitionFile - opening file C:\temp\transitionlog_2015-01-20_153021</t>
  </si>
  <si>
    <t>2015-1-20 17:25:12.177: DirectionIndicator - notify - price/longMA/ShortMA/prevDirection are 1.516/1.51605392508853/1.51604993688044/-1</t>
  </si>
  <si>
    <t>2015-1-20 17:25:12.178: Algorithm - handleTransition - currentHedgeShortfall is NOT ZERO and AUTOHEDGE IS NOT ENABLED!</t>
  </si>
  <si>
    <t>2015-1-20 17:25:12.256: DirectionIndicator - notify - price/longMA/ShortMA/prevDirection are 1.51595/1.51603502961788/1.51601662458696/-1</t>
  </si>
  <si>
    <t>2015-1-20 17:25:12.257: Algorithm - handleTransition - currentHedgeShortfall is NOT ZERO and AUTOHEDGE IS NOT ENABLED!</t>
  </si>
  <si>
    <t>2015-1-20 17:25:29.325: TransitionLogger - flushFile - flushing file</t>
  </si>
  <si>
    <t>2015-1-20 17:25:29.327: TransitionLogger - openTransitionFile - opening file C:\temp\transitionlog_2015-01-20_153021</t>
  </si>
  <si>
    <t>2015-1-20 17:25:34.5: DirectionIndicator - notify - price/longMA/ShortMA/prevDirection are 1.5159/1.51601047877827/1.51597774972464/-1</t>
  </si>
  <si>
    <t>2015-1-20 17:25:34.8: Algorithm - handleTransition - currentHedgeShortfall is NOT ZERO and AUTOHEDGE IS NOT ENABLED!</t>
  </si>
  <si>
    <t>2015-1-20 17:25:34.142: DirectionIndicator - notify - price/longMA/ShortMA/prevDirection are 1.51585/1.51598130081858/1.51593516648309/-1</t>
  </si>
  <si>
    <t>2015-1-20 17:25:34.143: Algorithm - handleTransition - currentHedgeShortfall is NOT ZERO and AUTOHEDGE IS NOT ENABLED!</t>
  </si>
  <si>
    <t>2015-1-20 17:26:8.384: TransitionLogger - flushFile - flushing file</t>
  </si>
  <si>
    <t>2015-1-20 17:26:8.385: TransitionLogger - openTransitionFile - opening file C:\temp\transitionlog_2015-01-20_153021</t>
  </si>
  <si>
    <t>2015-1-20 17:26:29.256: TransitionLogger - flushFile - flushing file</t>
  </si>
  <si>
    <t>2015-1-20 17:26:29.258: TransitionLogger - openTransitionFile - opening file C:\temp\transitionlog_2015-01-20_153021</t>
  </si>
  <si>
    <t>2015-1-20 17:26:58.995: DirectionIndicator - notify - price/longMA/ShortMA/prevDirection are 1.5158/1.51594833703339/1.51589011098873/-1</t>
  </si>
  <si>
    <t>2015-1-20 17:26:58.997: Algorithm - handleTransition - currentHedgeShortfall is NOT ZERO and AUTOHEDGE IS NOT ENABLED!</t>
  </si>
  <si>
    <t>2015-1-20 17:26:59.95: DirectionIndicator - notify - price/longMA/ShortMA/prevDirection are 1.51575/1.51591227575459/1.51584340732582/-1</t>
  </si>
  <si>
    <t>2015-1-20 17:26:59.96: Algorithm - handleTransition - currentHedgeShortfall is NOT ZERO and AUTOHEDGE IS NOT ENABLED!</t>
  </si>
  <si>
    <t>2015-1-20 17:27:8.10: TransitionLogger - flushFile - flushing file</t>
  </si>
  <si>
    <t>2015-1-20 17:27:8.11: TransitionLogger - openTransitionFile - opening file C:\temp\transitionlog_2015-01-20_153021</t>
  </si>
  <si>
    <t>2015-1-20 17:27:9.312: DirectionIndicator - notify - price/longMA/ShortMA/prevDirection are 1.5157/1.51587368016285/1.51579560488388/-1</t>
  </si>
  <si>
    <t>2015-1-20 17:27:9.313: Algorithm - handleTransition - currentHedgeShortfall is NOT ZERO and AUTOHEDGE IS NOT ENABLED!</t>
  </si>
  <si>
    <t>2015-1-20 17:27:9.386: DirectionIndicator - notify - price/longMA/ShortMA/prevDirection are 1.51565/1.51583301104233/1.51574706992259/-1</t>
  </si>
  <si>
    <t>2015-1-20 17:27:9.387: Algorithm - handleTransition - currentHedgeShortfall is NOT ZERO and AUTOHEDGE IS NOT ENABLED!</t>
  </si>
  <si>
    <t>2015-1-20 17:27:16.610: Algorithm - FindNextStrikes - price is 1.51565 nextStrikeUp/Down 1.52/1.515</t>
  </si>
  <si>
    <t>2015-1-20 17:27:16.610: Algorithm - getPortfolioForwardDelta - required deltas is 100 currentHedgePosition is 101</t>
  </si>
  <si>
    <t>2015-1-20 17:27:16.611: Algorithm - getHedgeShortfall - required deltas is 100 price is 1.51555 currentHedgePositionDeltas is 101</t>
  </si>
  <si>
    <t>2015-1-20 17:27:16.612: Algorithm - processTransitionPoint - nextUpper/LowerStrikes are 1.52/1.515 requiredDeltas/currentPosition/currentHedgeShortfall/direction/transitionPrice are 100/101/-1/-1/1.51555</t>
  </si>
  <si>
    <t>2015-1-20 17:27:16.612: TransitionLogger - processTransitionpoint - checking transition - currentHedgeShortfall is -1</t>
  </si>
  <si>
    <t>2015-1-20 17:27:16.613: Algorithm - handleTransition - currentHedgeShortfall is NOT ZERO and AUTOHEDGE IS NOT ENABLED!</t>
  </si>
  <si>
    <t>2015-1-20 17:27:16.614: Algorithm - updatePortfolio - haveAllDetails is True</t>
  </si>
  <si>
    <t>2015-1-20 17:27:16.615: RTWSControl - updatePortfolioEx - An Error Occured Object variable or With block variable not set</t>
  </si>
  <si>
    <t>2015-1-20 17:27:16.653: Algorithm - FindNextStrikes - price is 1.51565 nextStrikeUp/Down 1.52/1.515</t>
  </si>
  <si>
    <t>2015-1-20 17:27:16.653: Algorithm - getPortfolioForwardDelta - required deltas is 100 currentHedgePosition is 101</t>
  </si>
  <si>
    <t>2015-1-20 17:27:16.654: Algorithm - getHedgeShortfall - required deltas is 100 price is 1.51555 currentHedgePositionDeltas is 101</t>
  </si>
  <si>
    <t>2015-1-20 17:27:16.654: Algorithm - processTransitionPoint - nextUpper/LowerStrikes are 1.52/1.515 requiredDeltas/currentPosition/currentHedgeShortfall/direction/transitionPrice are 100/101/-1/-1/1.51555</t>
  </si>
  <si>
    <t>2015-1-20 17:27:16.655: TransitionLogger - processTransitionpoint - checking transition - currentHedgeShortfall is -1</t>
  </si>
  <si>
    <t>2015-1-20 17:27:16.655: Algorithm - handleTransition - currentHedgeShortfall is NOT ZERO and AUTOHEDGE IS NOT ENABLED!</t>
  </si>
  <si>
    <t>2015-1-20 17:27:16.656: Algorithm - updatePortfolio - haveAllDetails is True</t>
  </si>
  <si>
    <t>2015-1-20 17:27:16.657: RTWSControl - updatePortfolioEx - An Error Occured Object variable or With block variable not set</t>
  </si>
  <si>
    <t>2015-1-20 17:27:16.724: Algorithm - FindNextStrikes - price is 1.51565 nextStrikeUp/Down 1.52/1.515</t>
  </si>
  <si>
    <t>2015-1-20 17:27:16.724: Algorithm - getPortfolioForwardDelta - required deltas is 100 currentHedgePosition is 101</t>
  </si>
  <si>
    <t>2015-1-20 17:27:16.724: Algorithm - getHedgeShortfall - required deltas is 100 price is 1.51555 currentHedgePositionDeltas is 101</t>
  </si>
  <si>
    <t>2015-1-20 17:27:16.725: Algorithm - processTransitionPoint - nextUpper/LowerStrikes are 1.52/1.515 requiredDeltas/currentPosition/currentHedgeShortfall/direction/transitionPrice are 100/101/-1/-1/1.51555</t>
  </si>
  <si>
    <t>2015-1-20 17:27:16.725: TransitionLogger - processTransitionpoint - checking transition - currentHedgeShortfall is -1</t>
  </si>
  <si>
    <t>2015-1-20 17:27:16.726: Algorithm - handleTransition - currentHedgeShortfall is NOT ZERO and AUTOHEDGE IS NOT ENABLED!</t>
  </si>
  <si>
    <t>2015-1-20 17:27:16.727: Algorithm - updatePortfolio - haveAllDetails is True</t>
  </si>
  <si>
    <t>2015-1-20 17:27:16.728: RTWSControl - updatePortfolioEx - An Error Occured Object variable or With block variable not set</t>
  </si>
  <si>
    <t>2015-1-20 17:27:16.784: Algorithm - FindNextStrikes - price is 1.51565 nextStrikeUp/Down 1.52/1.515</t>
  </si>
  <si>
    <t>2015-1-20 17:27:16.784: Algorithm - getPortfolioForwardDelta - required deltas is 100 currentHedgePosition is 101</t>
  </si>
  <si>
    <t>2015-1-20 17:27:16.784: Algorithm - getHedgeShortfall - required deltas is 100 price is 1.51555 currentHedgePositionDeltas is 101</t>
  </si>
  <si>
    <t>2015-1-20 17:27:16.785: Algorithm - processTransitionPoint - nextUpper/LowerStrikes are 1.52/1.515 requiredDeltas/currentPosition/currentHedgeShortfall/direction/transitionPrice are 100/101/-1/-1/1.51555</t>
  </si>
  <si>
    <t>2015-1-20 17:27:16.785: TransitionLogger - processTransitionpoint - checking transition - currentHedgeShortfall is -1</t>
  </si>
  <si>
    <t>2015-1-20 17:27:16.786: Algorithm - handleTransition - currentHedgeShortfall is NOT ZERO and AUTOHEDGE IS NOT ENABLED!</t>
  </si>
  <si>
    <t>2015-1-20 17:27:16.787: Algorithm - updatePortfolio - haveAllDetails is True</t>
  </si>
  <si>
    <t>2015-1-20 17:27:16.788: RTWSControl - updatePortfolioEx - An Error Occured Object variable or With block variable not set</t>
  </si>
  <si>
    <t>2015-1-20 17:27:16.831: Algorithm - FindNextStrikes - price is 1.51565 nextStrikeUp/Down 1.52/1.515</t>
  </si>
  <si>
    <t>2015-1-20 17:27:16.832: Algorithm - getPortfolioForwardDelta - required deltas is 100 currentHedgePosition is 101</t>
  </si>
  <si>
    <t>2015-1-20 17:27:16.832: Algorithm - getHedgeShortfall - required deltas is 100 price is 1.51555 currentHedgePositionDeltas is 101</t>
  </si>
  <si>
    <t>2015-1-20 17:27:16.833: Algorithm - processTransitionPoint - nextUpper/LowerStrikes are 1.52/1.515 requiredDeltas/currentPosition/currentHedgeShortfall/direction/transitionPrice are 100/101/-1/-1/1.51555</t>
  </si>
  <si>
    <t>2015-1-20 17:27:16.833: TransitionLogger - processTransitionpoint - checking transition - currentHedgeShortfall is -1</t>
  </si>
  <si>
    <t>2015-1-20 17:27:16.834: Algorithm - handleTransition - currentHedgeShortfall is NOT ZERO and AUTOHEDGE IS NOT ENABLED!</t>
  </si>
  <si>
    <t>2015-1-20 17:27:16.835: Algorithm - updatePortfolio - haveAllDetails is True</t>
  </si>
  <si>
    <t>2015-1-20 17:27:16.836: RTWSControl - updatePortfolioEx - An Error Occured Object variable or With block variable not set</t>
  </si>
  <si>
    <t>2015-1-20 17:27:16.896: Algorithm - FindNextStrikes - price is 1.51565 nextStrikeUp/Down 1.52/1.515</t>
  </si>
  <si>
    <t>2015-1-20 17:27:16.896: Algorithm - getPortfolioForwardDelta - required deltas is 100 currentHedgePosition is 101</t>
  </si>
  <si>
    <t>2015-1-20 17:27:16.897: Algorithm - getHedgeShortfall - required deltas is 100 price is 1.51555 currentHedgePositionDeltas is 101</t>
  </si>
  <si>
    <t>2015-1-20 17:27:16.897: Algorithm - processTransitionPoint - nextUpper/LowerStrikes are 1.52/1.515 requiredDeltas/currentPosition/currentHedgeShortfall/direction/transitionPrice are 100/101/-1/-1/1.51555</t>
  </si>
  <si>
    <t>2015-1-20 17:27:16.898: TransitionLogger - processTransitionpoint - checking transition - currentHedgeShortfall is -1</t>
  </si>
  <si>
    <t>2015-1-20 17:27:16.898: Algorithm - handleTransition - currentHedgeShortfall is NOT ZERO and AUTOHEDGE IS NOT ENABLED!</t>
  </si>
  <si>
    <t>2015-1-20 17:27:16.899: Algorithm - updatePortfolio - haveAllDetails is True</t>
  </si>
  <si>
    <t>2015-1-20 17:27:16.900: RTWSControl - updatePortfolioEx - An Error Occured Object variable or With block variable not set</t>
  </si>
  <si>
    <t>2015-1-20 17:27:29.68: TransitionLogger - flushFile - flushing file</t>
  </si>
  <si>
    <t>2015-1-20 17:27:29.68: TransitionLogger - openTransitionFile - opening file C:\temp\transitionlog_2015-01-20_153021</t>
  </si>
  <si>
    <t>2015-1-20 17:28:6.701: DirectionIndicator - notify - price/longMA/ShortMA/prevDirection are 1.5157/1.51580882721645/1.51573137994839/-1</t>
  </si>
  <si>
    <t>2015-1-20 17:28:6.704: Algorithm - handleTransition - currentHedgeShortfall is NOT ZERO and AUTOHEDGE IS NOT ENABLED!</t>
  </si>
  <si>
    <t>2015-1-20 17:28:6.742: DirectionIndicator - notify - price/longMA/ShortMA/prevDirection are 1.51575/1.51579813135891/1.51573758663226/-1</t>
  </si>
  <si>
    <t>2015-1-20 17:28:6.744: Algorithm - handleTransition - currentHedgeShortfall is NOT ZERO and AUTOHEDGE IS NOT ENABLED!</t>
  </si>
  <si>
    <t>2015-1-20 17:28:8.132: TransitionLogger - flushFile - flushing file</t>
  </si>
  <si>
    <t>2015-1-20 17:28:8.134: TransitionLogger - openTransitionFile - opening file C:\temp\transitionlog_2015-01-20_153021</t>
  </si>
  <si>
    <t>2015-1-20 17:28:28.965: DirectionIndicator - notify - price/longMA/ShortMA/prevDirection are 1.5157/1.51578028929366/1.51572505775484/-1</t>
  </si>
  <si>
    <t>2015-1-20 17:28:28.967: Algorithm - handleTransition - currentHedgeShortfall is NOT ZERO and AUTOHEDGE IS NOT ENABLED!</t>
  </si>
  <si>
    <t>2015-1-20 17:28:29.17: TransitionLogger - flushFile - flushing file</t>
  </si>
  <si>
    <t>2015-1-20 17:28:29.18: TransitionLogger - openTransitionFile - opening file C:\temp\transitionlog_2015-01-20_153021</t>
  </si>
  <si>
    <t>2015-1-20 17:28:32.500: DirectionIndicator - notify - price/longMA/ShortMA/prevDirection are 1.51565/1.51575660033117/1.51570003850323/-1</t>
  </si>
  <si>
    <t>2015-1-20 17:28:32.504: Algorithm - handleTransition - currentHedgeShortfall is NOT ZERO and AUTOHEDGE IS NOT ENABLED!</t>
  </si>
  <si>
    <t>2015-1-20 17:28:36.941: DirectionIndicator - notify - price/longMA/ShortMA/prevDirection are 1.5156/1.51572812754369/1.51566669233548/-1</t>
  </si>
  <si>
    <t>2015-1-20 17:28:36.942: Algorithm - handleTransition - currentHedgeShortfall is NOT ZERO and AUTOHEDGE IS NOT ENABLED!</t>
  </si>
  <si>
    <t>2015-1-20 17:28:36.982: DirectionIndicator - notify - price/longMA/ShortMA/prevDirection are 1.51555/1.51569574071756/1.51562779489032/-1</t>
  </si>
  <si>
    <t>2015-1-20 17:28:36.983: Algorithm - handleTransition - currentHedgeShortfall is NOT ZERO and AUTOHEDGE IS NOT ENABLED!</t>
  </si>
  <si>
    <t>2015-1-20 17:29:5.62: DirectionIndicator - notify - price/longMA/ShortMA/prevDirection are 1.5155/1.51566015149619/1.51558519659355/-1</t>
  </si>
  <si>
    <t>2015-1-20 17:29:5.64: Algorithm - handleTransition - currentHedgeShortfall is NOT ZERO and AUTOHEDGE IS NOT ENABLED!</t>
  </si>
  <si>
    <t>2015-1-20 17:29:5.120: DirectionIndicator - notify - price/longMA/ShortMA/prevDirection are 1.51545/1.51562194213324/1.51554013106237/-1</t>
  </si>
  <si>
    <t>2015-1-20 17:29:5.122: Algorithm - handleTransition - currentHedgeShortfall is NOT ZERO and AUTOHEDGE IS NOT ENABLED!</t>
  </si>
  <si>
    <t>2015-1-20 17:29:8.31: TransitionLogger - flushFile - flushing file</t>
  </si>
  <si>
    <t>2015-1-20 17:29:8.35: TransitionLogger - openTransitionFile - opening file C:\temp\transitionlog_2015-01-20_153021</t>
  </si>
  <si>
    <t>2015-1-20 17:29:29.22: TransitionLogger - flushFile - flushing file</t>
  </si>
  <si>
    <t>2015-1-20 17:29:29.25: TransitionLogger - openTransitionFile - opening file C:\temp\transitionlog_2015-01-20_153021</t>
  </si>
  <si>
    <t>2015-1-20 17:30:8.194: TransitionLogger - flushFile - flushing file</t>
  </si>
  <si>
    <t>2015-1-20 17:30:8.194: TransitionLogger - openTransitionFile - opening file C:\temp\transitionlog_2015-01-20_153021</t>
  </si>
  <si>
    <t>2015-1-20 17:30:16.979: Algorithm - FindNextStrikes - price is 1.51545 nextStrikeUp/Down 1.52/1.515</t>
  </si>
  <si>
    <t>2015-1-20 17:30:16.980: Algorithm - getPortfolioForwardDelta - required deltas is 100 currentHedgePosition is 101</t>
  </si>
  <si>
    <t>2015-1-20 17:30:16.980: Algorithm - getHedgeShortfall - required deltas is 100 price is 1.51535 currentHedgePositionDeltas is 101</t>
  </si>
  <si>
    <t>2015-1-20 17:30:16.981: Algorithm - processTransitionPoint - nextUpper/LowerStrikes are 1.52/1.515 requiredDeltas/currentPosition/currentHedgeShortfall/direction/transitionPrice are 100/101/-1/-1/1.51535</t>
  </si>
  <si>
    <t>2015-1-20 17:30:16.981: TransitionLogger - processTransitionpoint - checking transition - currentHedgeShortfall is -1</t>
  </si>
  <si>
    <t>2015-1-20 17:30:16.982: Algorithm - handleTransition - currentHedgeShortfall is NOT ZERO and AUTOHEDGE IS NOT ENABLED!</t>
  </si>
  <si>
    <t>2015-1-20 17:30:16.982: Algorithm - updatePortfolio - haveAllDetails is True</t>
  </si>
  <si>
    <t>2015-1-20 17:30:16.983: RTWSControl - updatePortfolioEx - An Error Occured Object variable or With block variable not set</t>
  </si>
  <si>
    <t>2015-1-20 17:30:17.23: Algorithm - FindNextStrikes - price is 1.51545 nextStrikeUp/Down 1.52/1.515</t>
  </si>
  <si>
    <t>2015-1-20 17:30:17.23: Algorithm - getPortfolioForwardDelta - required deltas is 100 currentHedgePosition is 101</t>
  </si>
  <si>
    <t>2015-1-20 17:30:17.23: Algorithm - getHedgeShortfall - required deltas is 100 price is 1.51535 currentHedgePositionDeltas is 101</t>
  </si>
  <si>
    <t>2015-1-20 17:30:17.24: Algorithm - processTransitionPoint - nextUpper/LowerStrikes are 1.52/1.515 requiredDeltas/currentPosition/currentHedgeShortfall/direction/transitionPrice are 100/101/-1/-1/1.51535</t>
  </si>
  <si>
    <t>2015-1-20 17:30:17.24: TransitionLogger - processTransitionpoint - checking transition - currentHedgeShortfall is -1</t>
  </si>
  <si>
    <t>2015-1-20 17:30:17.25: Algorithm - handleTransition - currentHedgeShortfall is NOT ZERO and AUTOHEDGE IS NOT ENABLED!</t>
  </si>
  <si>
    <t>2015-1-20 17:30:17.26: Algorithm - updatePortfolio - haveAllDetails is True</t>
  </si>
  <si>
    <t>2015-1-20 17:30:17.27: RTWSControl - updatePortfolioEx - An Error Occured Object variable or With block variable not set</t>
  </si>
  <si>
    <t>2015-1-20 17:30:17.74: Algorithm - FindNextStrikes - price is 1.51545 nextStrikeUp/Down 1.52/1.515</t>
  </si>
  <si>
    <t>2015-1-20 17:30:17.75: Algorithm - getPortfolioForwardDelta - required deltas is 100 currentHedgePosition is 101</t>
  </si>
  <si>
    <t>2015-1-20 17:30:17.75: Algorithm - getHedgeShortfall - required deltas is 100 price is 1.51535 currentHedgePositionDeltas is 101</t>
  </si>
  <si>
    <t>2015-1-20 17:30:17.76: Algorithm - processTransitionPoint - nextUpper/LowerStrikes are 1.52/1.515 requiredDeltas/currentPosition/currentHedgeShortfall/direction/transitionPrice are 100/101/-1/-1/1.51535</t>
  </si>
  <si>
    <t>2015-1-20 17:30:17.76: TransitionLogger - processTransitionpoint - checking transition - currentHedgeShortfall is -1</t>
  </si>
  <si>
    <t>2015-1-20 17:30:17.77: Algorithm - handleTransition - currentHedgeShortfall is NOT ZERO and AUTOHEDGE IS NOT ENABLED!</t>
  </si>
  <si>
    <t>2015-1-20 17:30:17.77: Algorithm - updatePortfolio - haveAllDetails is True</t>
  </si>
  <si>
    <t>2015-1-20 17:30:17.78: RTWSControl - updatePortfolioEx - An Error Occured Object variable or With block variable not set</t>
  </si>
  <si>
    <t>2015-1-20 17:30:17.130: Algorithm - FindNextStrikes - price is 1.51545 nextStrikeUp/Down 1.52/1.515</t>
  </si>
  <si>
    <t>2015-1-20 17:30:17.130: Algorithm - getPortfolioForwardDelta - required deltas is 100 currentHedgePosition is 101</t>
  </si>
  <si>
    <t>2015-1-20 17:30:17.130: Algorithm - getHedgeShortfall - required deltas is 100 price is 1.51535 currentHedgePositionDeltas is 101</t>
  </si>
  <si>
    <t>2015-1-20 17:30:17.131: Algorithm - processTransitionPoint - nextUpper/LowerStrikes are 1.52/1.515 requiredDeltas/currentPosition/currentHedgeShortfall/direction/transitionPrice are 100/101/-1/-1/1.51535</t>
  </si>
  <si>
    <t>2015-1-20 17:30:17.131: TransitionLogger - processTransitionpoint - checking transition - currentHedgeShortfall is -1</t>
  </si>
  <si>
    <t>2015-1-20 17:30:17.131: Algorithm - handleTransition - currentHedgeShortfall is NOT ZERO and AUTOHEDGE IS NOT ENABLED!</t>
  </si>
  <si>
    <t>2015-1-20 17:30:17.132: Algorithm - updatePortfolio - haveAllDetails is True</t>
  </si>
  <si>
    <t>2015-1-20 17:30:17.133: RTWSControl - updatePortfolioEx - An Error Occured Object variable or With block variable not set</t>
  </si>
  <si>
    <t>2015-1-20 17:30:17.195: Algorithm - FindNextStrikes - price is 1.51545 nextStrikeUp/Down 1.52/1.515</t>
  </si>
  <si>
    <t>2015-1-20 17:30:17.196: Algorithm - getPortfolioForwardDelta - required deltas is 100 currentHedgePosition is 101</t>
  </si>
  <si>
    <t>2015-1-20 17:30:17.196: Algorithm - getHedgeShortfall - required deltas is 100 price is 1.51535 currentHedgePositionDeltas is 101</t>
  </si>
  <si>
    <t>2015-1-20 17:30:17.197: Algorithm - processTransitionPoint - nextUpper/LowerStrikes are 1.52/1.515 requiredDeltas/currentPosition/currentHedgeShortfall/direction/transitionPrice are 100/101/-1/-1/1.51535</t>
  </si>
  <si>
    <t>2015-1-20 17:30:17.197: TransitionLogger - processTransitionpoint - checking transition - currentHedgeShortfall is -1</t>
  </si>
  <si>
    <t>2015-1-20 17:30:17.197: Algorithm - handleTransition - currentHedgeShortfall is NOT ZERO and AUTOHEDGE IS NOT ENABLED!</t>
  </si>
  <si>
    <t>2015-1-20 17:30:17.198: Algorithm - updatePortfolio - haveAllDetails is True</t>
  </si>
  <si>
    <t>2015-1-20 17:30:17.199: RTWSControl - updatePortfolioEx - An Error Occured Object variable or With block variable not set</t>
  </si>
  <si>
    <t>2015-1-20 17:30:17.257: Algorithm - FindNextStrikes - price is 1.51545 nextStrikeUp/Down 1.52/1.515</t>
  </si>
  <si>
    <t>2015-1-20 17:30:17.258: Algorithm - getPortfolioForwardDelta - required deltas is 100 currentHedgePosition is 101</t>
  </si>
  <si>
    <t>2015-1-20 17:30:17.258: Algorithm - getHedgeShortfall - required deltas is 100 price is 1.51535 currentHedgePositionDeltas is 101</t>
  </si>
  <si>
    <t>2015-1-20 17:30:17.258: Algorithm - processTransitionPoint - nextUpper/LowerStrikes are 1.52/1.515 requiredDeltas/currentPosition/currentHedgeShortfall/direction/transitionPrice are 100/101/-1/-1/1.51535</t>
  </si>
  <si>
    <t>2015-1-20 17:30:17.259: TransitionLogger - processTransitionpoint - checking transition - currentHedgeShortfall is -1</t>
  </si>
  <si>
    <t>2015-1-20 17:30:17.259: Algorithm - handleTransition - currentHedgeShortfall is NOT ZERO and AUTOHEDGE IS NOT ENABLED!</t>
  </si>
  <si>
    <t>2015-1-20 17:30:17.260: Algorithm - updatePortfolio - haveAllDetails is True</t>
  </si>
  <si>
    <t>2015-1-20 17:30:17.261: RTWSControl - updatePortfolioEx - An Error Occured Object variable or With block variable not set</t>
  </si>
  <si>
    <t>2015-1-20 17:30:23.45: DirectionIndicator - notify - price/longMA/ShortMA/prevDirection are 1.5154/1.51558158901811/1.51549342070824/-1</t>
  </si>
  <si>
    <t>2015-1-20 17:30:23.45: Algorithm - handleTransition - currentHedgeShortfall is NOT ZERO and AUTOHEDGE IS NOT ENABLED!</t>
  </si>
  <si>
    <t>2015-1-20 17:30:23.105: DirectionIndicator - notify - price/longMA/ShortMA/prevDirection are 1.51535/1.51553948192391/1.5154456138055/-1</t>
  </si>
  <si>
    <t>2015-1-20 17:30:23.106: Algorithm - handleTransition - currentHedgeShortfall is NOT ZERO and AUTOHEDGE IS NOT ENABLED!</t>
  </si>
  <si>
    <t>2015-1-20 17:30:23.664: DirectionIndicator - notify - price/longMA/ShortMA/prevDirection are 1.5154/1.51551412157411/1.51543040920366/-1</t>
  </si>
  <si>
    <t>2015-1-20 17:30:23.664: Algorithm - handleTransition - currentHedgeShortfall is NOT ZERO and AUTOHEDGE IS NOT ENABLED!</t>
  </si>
  <si>
    <t>2015-1-20 17:30:23.814: DirectionIndicator - notify - price/longMA/ShortMA/prevDirection are 1.51535/1.51548428128791/1.51540360613578/-1</t>
  </si>
  <si>
    <t>2015-1-20 17:30:23.814: Algorithm - handleTransition - currentHedgeShortfall is NOT ZERO and AUTOHEDGE IS NOT ENABLED!</t>
  </si>
  <si>
    <t>2015-1-20 17:30:29.4: TransitionLogger - flushFile - flushing file</t>
  </si>
  <si>
    <t>2015-1-20 17:30:29.5: TransitionLogger - openTransitionFile - opening file C:\temp\transitionlog_2015-01-20_153021</t>
  </si>
  <si>
    <t>2015-1-20 17:30:41.329: DirectionIndicator - notify - price/longMA/ShortMA/prevDirection are 1.5153/1.5154507755992/1.51536907075718/-1</t>
  </si>
  <si>
    <t>2015-1-20 17:30:41.330: Algorithm - handleTransition - currentHedgeShortfall is NOT ZERO and AUTOHEDGE IS NOT ENABLED!</t>
  </si>
  <si>
    <t>2015-1-20 17:30:41.400: DirectionIndicator - notify - price/longMA/ShortMA/prevDirection are 1.51525/1.5154142709448/1.51532938050479/-1</t>
  </si>
  <si>
    <t>2015-1-20 17:30:41.401: Algorithm - handleTransition - currentHedgeShortfall is NOT ZERO and AUTOHEDGE IS NOT ENABLED!</t>
  </si>
  <si>
    <t>2015-1-20 17:30:42.819: DirectionIndicator - notify - price/longMA/ShortMA/prevDirection are 1.5152/1.5153753125912/1.51528625366986/-1</t>
  </si>
  <si>
    <t>2015-1-20 17:30:42.820: Algorithm - handleTransition - currentHedgeShortfall is NOT ZERO and AUTOHEDGE IS NOT ENABLED!</t>
  </si>
  <si>
    <t>2015-1-20 17:30:42.898: DirectionIndicator - notify - price/longMA/ShortMA/prevDirection are 1.51515/1.51533434666552/1.51524083577991/-1</t>
  </si>
  <si>
    <t>2015-1-20 17:30:42.899: Algorithm - handleTransition - currentHedgeShortfall is NOT ZERO and AUTOHEDGE IS NOT ENABLED!</t>
  </si>
  <si>
    <t>2015-1-20 17:30:43.697: DirectionIndicator - notify - price/longMA/ShortMA/prevDirection are 1.5152/1.51530991999907/1.51522722385327/-1</t>
  </si>
  <si>
    <t>2015-1-20 17:30:43.698: Algorithm - handleTransition - currentHedgeShortfall is NOT ZERO and AUTOHEDGE IS NOT ENABLED!</t>
  </si>
  <si>
    <t>2015-1-20 17:30:43.746: DirectionIndicator - notify - price/longMA/ShortMA/prevDirection are 1.51525/1.51529902545378/1.51523481590218/-1</t>
  </si>
  <si>
    <t>2015-1-20 17:30:43.746: Algorithm - handleTransition - currentHedgeShortfall is NOT ZERO and AUTOHEDGE IS NOT ENABLED!</t>
  </si>
  <si>
    <t>2015-1-20 17:30:48.820: DirectionIndicator - notify - price/longMA/ShortMA/prevDirection are 1.5153/1.515299202644/1.51525654393479/-1</t>
  </si>
  <si>
    <t>2015-1-20 17:30:48.821: Algorithm - handleTransition - currentHedgeShortfall is NOT ZERO and AUTOHEDGE IS NOT ENABLED!</t>
  </si>
  <si>
    <t>2015-1-20 17:30:48.868: DirectionIndicator - notify - price/longMA/ShortMA/prevDirection are 1.51535/1.51530843852691/1.51528769595652/-1</t>
  </si>
  <si>
    <t>2015-1-20 17:30:48.869: Algorithm - handleTransition - currentHedgeShortfall is NOT ZERO and AUTOHEDGE IS NOT ENABLED!</t>
  </si>
  <si>
    <t>2015-1-20 17:30:49.273: DirectionIndicator - notify - price/longMA/ShortMA/prevDirection are 1.5153/1.51530690424929/1.51529179730435/-1</t>
  </si>
  <si>
    <t>2015-1-20 17:30:49.274: Algorithm - handleTransition - currentHedgeShortfall is NOT ZERO and AUTOHEDGE IS NOT ENABLED!</t>
  </si>
  <si>
    <t>2015-1-20 17:30:49.399: DirectionIndicator - notify - price/longMA/ShortMA/prevDirection are 1.51525/1.51529655802215/1.51527786486957/-1</t>
  </si>
  <si>
    <t>2015-1-20 17:30:49.399: Algorithm - handleTransition - currentHedgeShortfall is NOT ZERO and AUTOHEDGE IS NOT ENABLED!</t>
  </si>
  <si>
    <t>2015-1-20 17:30:53.985: DirectionIndicator - notify - price/longMA/ShortMA/prevDirection are 1.5153/1.5152971838363/1.51528524324638/-1</t>
  </si>
  <si>
    <t>2015-1-20 17:30:53.986: Algorithm - handleTransition - currentHedgeShortfall is NOT ZERO and AUTOHEDGE IS NOT ENABLED!</t>
  </si>
  <si>
    <t>2015-1-20 17:30:55.329: DirectionIndicator - notify - price/longMA/ShortMA/prevDirection are 1.51525/1.51528860495697/1.51527349549759/-1</t>
  </si>
  <si>
    <t>2015-1-20 17:30:55.331: Algorithm - handleTransition - currentHedgeShortfall is NOT ZERO and AUTOHEDGE IS NOT ENABLED!</t>
  </si>
  <si>
    <t>2015-1-20 17:30:57.666: DirectionIndicator - notify - price/longMA/ShortMA/prevDirection are 1.5153/1.51529067678298/1.51528233033172/-1</t>
  </si>
  <si>
    <t>2015-1-20 17:30:57.668: Algorithm - handleTransition - currentHedgeShortfall is NOT ZERO and AUTOHEDGE IS NOT ENABLED!</t>
  </si>
  <si>
    <t>2015-1-20 17:30:57.785: DirectionIndicator - notify - price/longMA/ShortMA/prevDirection are 1.51535/1.51530146282244/1.51530488688782/-1</t>
  </si>
  <si>
    <t>2015-1-20 17:30:57.785: Algorithm - handleTransition - currentHedgeShortfall is NOT ZERO and AUTOHEDGE IS NOT ENABLED!</t>
  </si>
  <si>
    <t>2015-1-20 17:31:3.5: DirectionIndicator - notify - price/longMA/ShortMA/prevDirection are 1.5153/1.51530119685472/1.51530325792521/-1</t>
  </si>
  <si>
    <t>2015-1-20 17:31:3.6: Algorithm - handleTransition - currentHedgeShortfall is NOT ZERO and AUTOHEDGE IS NOT ENABLED!</t>
  </si>
  <si>
    <t>2015-1-20 17:31:3.67: DirectionIndicator - notify - price/longMA/ShortMA/prevDirection are 1.51525/1.51529188833568/1.51528550528347/-1</t>
  </si>
  <si>
    <t>2015-1-20 17:31:3.68: Algorithm - handleTransition - currentHedgeShortfall is NOT ZERO and AUTOHEDGE IS NOT ENABLED!</t>
  </si>
  <si>
    <t>2015-1-20 17:31:3.406: DirectionIndicator - notify - price/longMA/ShortMA/prevDirection are 1.5153/1.51529336318374/1.51529033685565/-1</t>
  </si>
  <si>
    <t>2015-1-20 17:31:3.407: Algorithm - handleTransition - currentHedgeShortfall is NOT ZERO and AUTOHEDGE IS NOT ENABLED!</t>
  </si>
  <si>
    <t>2015-1-20 17:31:3.482: DirectionIndicator - notify - price/longMA/ShortMA/prevDirection are 1.51535/1.5153036607867/1.51531022457043/-1</t>
  </si>
  <si>
    <t>2015-1-20 17:31:3.483: Algorithm - handleTransition - currentHedgeShortfall is NOT ZERO and AUTOHEDGE IS NOT ENABLED!</t>
  </si>
  <si>
    <t>2015-1-20 17:31:5.110: DirectionIndicator - notify - price/longMA/ShortMA/prevDirection are 1.5153/1.51530299518911/1.51530681638029/-1</t>
  </si>
  <si>
    <t>2015-1-20 17:31:5.111: Algorithm - handleTransition - currentHedgeShortfall is NOT ZERO and AUTOHEDGE IS NOT ENABLED!</t>
  </si>
  <si>
    <t>2015-1-20 17:31:5.194: DirectionIndicator - notify - price/longMA/ShortMA/prevDirection are 1.51525/1.51529335970018/1.51528787758686/-1</t>
  </si>
  <si>
    <t>2015-1-20 17:31:5.195: Algorithm - handleTransition - currentHedgeShortfall is NOT ZERO and AUTOHEDGE IS NOT ENABLED!</t>
  </si>
  <si>
    <t>2015-1-20 17:31:8.410: TransitionLogger - flushFile - flushing file</t>
  </si>
  <si>
    <t>2015-1-20 17:31:8.411: TransitionLogger - openTransitionFile - opening file C:\temp\transitionlog_2015-01-20_153021</t>
  </si>
  <si>
    <t>2015-1-20 17:31:25.984: DirectionIndicator - notify - price/longMA/ShortMA/prevDirection are 1.5152/1.51527638520924/1.51525858505791/-1</t>
  </si>
  <si>
    <t>2015-1-20 17:31:25.985: Algorithm - handleTransition - currentHedgeShortfall is NOT ZERO and AUTOHEDGE IS NOT ENABLED!</t>
  </si>
  <si>
    <t>2015-1-20 17:31:26.405: DirectionIndicator - notify - price/longMA/ShortMA/prevDirection are 1.51515/1.51525340608029/1.5152223900386/-1</t>
  </si>
  <si>
    <t>2015-1-20 17:31:26.406: Algorithm - handleTransition - currentHedgeShortfall is NOT ZERO and AUTOHEDGE IS NOT ENABLED!</t>
  </si>
  <si>
    <t>2015-1-20 17:31:26.656: DirectionIndicator - notify - price/longMA/ShortMA/prevDirection are 1.5152/1.51524369588387/1.5152149266924/-1</t>
  </si>
  <si>
    <t>2015-1-20 17:31:26.656: Algorithm - handleTransition - currentHedgeShortfall is NOT ZERO and AUTOHEDGE IS NOT ENABLED!</t>
  </si>
  <si>
    <t>2015-1-20 17:31:26.949: DirectionIndicator - notify - price/longMA/ShortMA/prevDirection are 1.51515/1.51522666026862/1.5151932844616/-1</t>
  </si>
  <si>
    <t>2015-1-20 17:31:26.950: Algorithm - handleTransition - currentHedgeShortfall is NOT ZERO and AUTOHEDGE IS NOT ENABLED!</t>
  </si>
  <si>
    <t>2015-1-20 17:31:29.370: TransitionLogger - flushFile - flushing file</t>
  </si>
  <si>
    <t>2015-1-20 17:31:29.371: TransitionLogger - openTransitionFile - opening file C:\temp\transitionlog_2015-01-20_153021</t>
  </si>
  <si>
    <t>2015-1-20 17:31:33.878: DirectionIndicator - notify - price/longMA/ShortMA/prevDirection are 1.5152/1.51522181294706/1.5151955229744/-1</t>
  </si>
  <si>
    <t>2015-1-20 17:31:33.879: Algorithm - handleTransition - currentHedgeShortfall is NOT ZERO and AUTOHEDGE IS NOT ENABLED!</t>
  </si>
  <si>
    <t>2015-1-20 17:31:34.157: DirectionIndicator - notify - price/longMA/ShortMA/prevDirection are 1.51525/1.51522693786577/1.51521368198293/-1</t>
  </si>
  <si>
    <t>2015-1-20 17:31:34.158: Algorithm - handleTransition - currentHedgeShortfall is NOT ZERO and AUTOHEDGE IS NOT ENABLED!</t>
  </si>
  <si>
    <t>2015-1-20 17:31:46.359: DirectionIndicator - notify - price/longMA/ShortMA/prevDirection are 1.5152/1.515222040072/1.51520912132196/-1</t>
  </si>
  <si>
    <t>2015-1-20 17:31:46.360: Algorithm - handleTransition - currentHedgeShortfall is NOT ZERO and AUTOHEDGE IS NOT ENABLED!</t>
  </si>
  <si>
    <t>2015-1-20 17:31:46.699: DirectionIndicator - notify - price/longMA/ShortMA/prevDirection are 1.51515/1.51520894187709/1.51518941421464/-1</t>
  </si>
  <si>
    <t>2015-1-20 17:31:46.700: Algorithm - handleTransition - currentHedgeShortfall is NOT ZERO and AUTOHEDGE IS NOT ENABLED!</t>
  </si>
  <si>
    <t>2015-1-20 17:32:2.15: DirectionIndicator - notify - price/longMA/ShortMA/prevDirection are 1.5152/1.51520731608125/1.51519294280976/-1</t>
  </si>
  <si>
    <t>2015-1-20 17:32:2.16: Algorithm - handleTransition - currentHedgeShortfall is NOT ZERO and AUTOHEDGE IS NOT ENABLED!</t>
  </si>
  <si>
    <t>2015-1-20 17:32:2.376: DirectionIndicator - notify - price/longMA/ShortMA/prevDirection are 1.51525/1.51521507679375/1.51521196187317/-1</t>
  </si>
  <si>
    <t>2015-1-20 17:32:2.376: Algorithm - handleTransition - currentHedgeShortfall is NOT ZERO and AUTOHEDGE IS NOT ENABLED!</t>
  </si>
  <si>
    <t>2015-1-20 17:32:6.981: DirectionIndicator - notify - price/longMA/ShortMA/prevDirection are 1.5152/1.51521233555852/1.51520797458211/-1</t>
  </si>
  <si>
    <t>2015-1-20 17:32:6.982: Algorithm - handleTransition - currentHedgeShortfall is NOT ZERO and AUTOHEDGE IS NOT ENABLED!</t>
  </si>
  <si>
    <t>2015-1-20 17:32:7.69: DirectionIndicator - notify - price/longMA/ShortMA/prevDirection are 1.51515/1.51520100182061/1.51518864972141/-1</t>
  </si>
  <si>
    <t>2015-1-20 17:32:7.70: Algorithm - handleTransition - currentHedgeShortfall is NOT ZERO and AUTOHEDGE IS NOT ENABLED!</t>
  </si>
  <si>
    <t>2015-1-20 17:32:8.36: TransitionLogger - flushFile - flushing file</t>
  </si>
  <si>
    <t>2015-1-20 17:32:8.36: TransitionLogger - openTransitionFile - opening file C:\temp\transitionlog_2015-01-20_153021</t>
  </si>
  <si>
    <t>2015-1-20 17:32:29.280: TransitionLogger - flushFile - flushing file</t>
  </si>
  <si>
    <t>2015-1-20 17:32:29.281: TransitionLogger - openTransitionFile - opening file C:\temp\transitionlog_2015-01-20_153021</t>
  </si>
  <si>
    <t>2015-1-20 17:32:38.909: DirectionIndicator - notify - price/longMA/ShortMA/prevDirection are 1.5151/1.51518263785323/1.51515909981427/-1</t>
  </si>
  <si>
    <t>2015-1-20 17:32:38.910: Algorithm - handleTransition - currentHedgeShortfall is NOT ZERO and AUTOHEDGE IS NOT ENABLED!</t>
  </si>
  <si>
    <t>2015-1-20 17:32:38.959: DirectionIndicator - notify - price/longMA/ShortMA/prevDirection are 1.51505/1.51515852187991/1.51512273320952/-1</t>
  </si>
  <si>
    <t>2015-1-20 17:32:38.960: Algorithm - handleTransition - currentHedgeShortfall is NOT ZERO and AUTOHEDGE IS NOT ENABLED!</t>
  </si>
  <si>
    <t>2015-1-20 17:32:47.449: DirectionIndicator - notify - price/longMA/ShortMA/prevDirection are 1.515/1.51512969971993/1.51508182213968/-1</t>
  </si>
  <si>
    <t>2015-1-20 17:32:47.450: Algorithm - FindNextStrikes - price is 1.515 nextStrikeUp/Down 1.52/0</t>
  </si>
  <si>
    <t>2015-1-20 17:32:47.450: Algorithm - getPortfolioForwardDelta - required deltas is -200 currentHedgePosition is 101</t>
  </si>
  <si>
    <t>2015-1-20 17:32:47.450: Algorithm - getHedgeShortfall - required deltas is -200 price is 1.5149 currentHedgePositionDeltas is 101</t>
  </si>
  <si>
    <t>2015-1-20 17:32:47.451: Algorithm - processTransitionPoint - nextUpper/LowerStrikes are 1.52/0 requiredDeltas/currentPosition/currentHedgeShortfall/direction/transitionPrice are -200/101/-301/-1/1.5149</t>
  </si>
  <si>
    <t>2015-1-20 17:32:47.451: TransitionLogger - processTransitionpoint - checking transition - currentHedgeShortfall is -301</t>
  </si>
  <si>
    <t>2015-1-20 17:32:47.452: Algorithm - handleTransition - currentHedgeShortfall is NOT ZERO and AUTOHEDGE IS NOT ENABLED!</t>
  </si>
  <si>
    <t>2015-1-20 17:32:48.494: DirectionIndicator - notify - price/longMA/ShortMA/prevDirection are 1.51505/1.51511520886176/1.51507121475978/-1</t>
  </si>
  <si>
    <t>2015-1-20 17:32:48.494: Algorithm - handleTransition - currentHedgeShortfall is NOT ZERO and AUTOHEDGE IS NOT ENABLED!</t>
  </si>
  <si>
    <t>2015-1-20 17:32:48.870: DirectionIndicator - notify - price/longMA/ShortMA/prevDirection are 1.515/1.51509426179599/1.51504747650652/-1</t>
  </si>
  <si>
    <t>2015-1-20 17:32:48.871: Algorithm - handleTransition - currentHedgeShortfall is NOT ZERO and AUTOHEDGE IS NOT ENABLED!</t>
  </si>
  <si>
    <t>2015-1-20 17:32:58.312: DirectionIndicator - notify - price/longMA/ShortMA/prevDirection are 1.51505/1.51508621419672/1.51504831767102/-1</t>
  </si>
  <si>
    <t>2015-1-20 17:32:58.313: Algorithm - handleTransition - currentHedgeShortfall is NOT ZERO and AUTOHEDGE IS NOT ENABLED!</t>
  </si>
  <si>
    <t>2015-1-20 17:33:2.975: DirectionIndicator - notify - price/longMA/ShortMA/prevDirection are 1.5151/1.5150887207064/1.51506554511401/-1</t>
  </si>
  <si>
    <t>2015-1-20 17:33:2.975: Algorithm - handleTransition - currentHedgeShortfall is NOT ZERO and AUTOHEDGE IS NOT ENABLED!</t>
  </si>
  <si>
    <t>2015-1-20 17:33:3.948: DirectionIndicator - notify - price/longMA/ShortMA/prevDirection are 1.51515/1.51509986239615/1.51509369674267/-1</t>
  </si>
  <si>
    <t>2015-1-20 17:33:3.948: Algorithm - handleTransition - currentHedgeShortfall is NOT ZERO and AUTOHEDGE IS NOT ENABLED!</t>
  </si>
  <si>
    <t>2015-1-20 17:33:4.758: DirectionIndicator - notify - price/longMA/ShortMA/prevDirection are 1.5152/1.51511806923321/1.51512913116178/-1</t>
  </si>
  <si>
    <t>2015-1-20 17:33:4.759: Algorithm - handleTransition - currentHedgeShortfall is NOT ZERO and AUTOHEDGE IS NOT ENABLED!</t>
  </si>
  <si>
    <t>2015-1-20 17:33:4.865: DirectionIndicator - notify - price/longMA/ShortMA/prevDirection are 1.51525/1.51514205664536/1.51516942077452/-1</t>
  </si>
  <si>
    <t>2015-1-20 17:33:4.866: Algorithm - handleTransition - currentHedgeShortfall is NOT ZERO and AUTOHEDGE IS NOT ENABLED!</t>
  </si>
  <si>
    <t>2015-1-20 17:33:6.118: DirectionIndicator - notify - price/longMA/ShortMA/prevDirection are 1.5152/1.51515259180075/1.51517961384968/1</t>
  </si>
  <si>
    <t>2015-1-20 17:33:6.118: Algorithm - handleTransition - currentHedgeShortfall is NOT ZERO and AUTOHEDGE IS NOT ENABLED!</t>
  </si>
  <si>
    <t>2015-1-20 17:33:8.219: TransitionLogger - flushFile - flushing file</t>
  </si>
  <si>
    <t>2015-1-20 17:33:8.220: TransitionLogger - openTransitionFile - opening file C:\temp\transitionlog_2015-01-20_153021</t>
  </si>
  <si>
    <t>2015-1-20 17:33:17.0: Algorithm - FindNextStrikes - price is 1.5152 nextStrikeUp/Down 1.52/1.515</t>
  </si>
  <si>
    <t>2015-1-20 17:33:17.0: Algorithm - getPortfolioForwardDelta - required deltas is 100 currentHedgePosition is 101</t>
  </si>
  <si>
    <t>2015-1-20 17:33:17.1: Algorithm - getHedgeShortfall - required deltas is 100 price is 1.5153 currentHedgePositionDeltas is 101</t>
  </si>
  <si>
    <t>2015-1-20 17:33:17.2: Algorithm - processTransitionPoint - nextUpper/LowerStrikes are 1.52/1.515 requiredDeltas/currentPosition/currentHedgeShortfall/direction/transitionPrice are 100/101/-1/1/1.5153</t>
  </si>
  <si>
    <t>2015-1-20 17:33:17.2: TransitionLogger - processTransitionpoint - checking transition - currentHedgeShortfall is -1</t>
  </si>
  <si>
    <t>2015-1-20 17:33:17.2: Algorithm - handleTransition - currentHedgeShortfall is NOT ZERO and AUTOHEDGE IS NOT ENABLED!</t>
  </si>
  <si>
    <t>2015-1-20 17:33:17.3: Algorithm - updatePortfolio - haveAllDetails is True</t>
  </si>
  <si>
    <t>2015-1-20 17:33:17.4: RTWSControl - updatePortfolioEx - An Error Occured Object variable or With block variable not set</t>
  </si>
  <si>
    <t>2015-1-20 17:33:17.48: Algorithm - FindNextStrikes - price is 1.5152 nextStrikeUp/Down 1.52/1.515</t>
  </si>
  <si>
    <t>2015-1-20 17:33:17.49: Algorithm - getPortfolioForwardDelta - required deltas is 100 currentHedgePosition is 101</t>
  </si>
  <si>
    <t>2015-1-20 17:33:17.49: Algorithm - getHedgeShortfall - required deltas is 100 price is 1.5153 currentHedgePositionDeltas is 101</t>
  </si>
  <si>
    <t>2015-1-20 17:33:17.49: Algorithm - processTransitionPoint - nextUpper/LowerStrikes are 1.52/1.515 requiredDeltas/currentPosition/currentHedgeShortfall/direction/transitionPrice are 100/101/-1/1/1.5153</t>
  </si>
  <si>
    <t>2015-1-20 17:33:17.50: TransitionLogger - processTransitionpoint - checking transition - currentHedgeShortfall is -1</t>
  </si>
  <si>
    <t>2015-1-20 17:33:17.50: Algorithm - handleTransition - currentHedgeShortfall is NOT ZERO and AUTOHEDGE IS NOT ENABLED!</t>
  </si>
  <si>
    <t>2015-1-20 17:33:17.51: Algorithm - updatePortfolio - haveAllDetails is True</t>
  </si>
  <si>
    <t>2015-1-20 17:33:17.52: RTWSControl - updatePortfolioEx - An Error Occured Object variable or With block variable not set</t>
  </si>
  <si>
    <t>2015-1-20 17:33:17.118: Algorithm - FindNextStrikes - price is 1.5152 nextStrikeUp/Down 1.52/1.515</t>
  </si>
  <si>
    <t>2015-1-20 17:33:17.118: Algorithm - getPortfolioForwardDelta - required deltas is 100 currentHedgePosition is 101</t>
  </si>
  <si>
    <t>2015-1-20 17:33:17.119: Algorithm - getHedgeShortfall - required deltas is 100 price is 1.5153 currentHedgePositionDeltas is 101</t>
  </si>
  <si>
    <t>2015-1-20 17:33:17.119: Algorithm - processTransitionPoint - nextUpper/LowerStrikes are 1.52/1.515 requiredDeltas/currentPosition/currentHedgeShortfall/direction/transitionPrice are 100/101/-1/1/1.5153</t>
  </si>
  <si>
    <t>2015-1-20 17:33:17.119: TransitionLogger - processTransitionpoint - checking transition - currentHedgeShortfall is -1</t>
  </si>
  <si>
    <t>2015-1-20 17:33:17.120: Algorithm - handleTransition - currentHedgeShortfall is NOT ZERO and AUTOHEDGE IS NOT ENABLED!</t>
  </si>
  <si>
    <t>2015-1-20 17:33:17.120: Algorithm - updatePortfolio - haveAllDetails is True</t>
  </si>
  <si>
    <t>2015-1-20 17:33:17.121: RTWSControl - updatePortfolioEx - An Error Occured Object variable or With block variable not set</t>
  </si>
  <si>
    <t>2015-1-20 17:33:17.178: Algorithm - FindNextStrikes - price is 1.5152 nextStrikeUp/Down 1.52/1.515</t>
  </si>
  <si>
    <t>2015-1-20 17:33:17.178: Algorithm - getPortfolioForwardDelta - required deltas is 100 currentHedgePosition is 101</t>
  </si>
  <si>
    <t>2015-1-20 17:33:17.179: Algorithm - getHedgeShortfall - required deltas is 100 price is 1.5153 currentHedgePositionDeltas is 101</t>
  </si>
  <si>
    <t>2015-1-20 17:33:17.179: Algorithm - processTransitionPoint - nextUpper/LowerStrikes are 1.52/1.515 requiredDeltas/currentPosition/currentHedgeShortfall/direction/transitionPrice are 100/101/-1/1/1.5153</t>
  </si>
  <si>
    <t>2015-1-20 17:33:17.179: TransitionLogger - processTransitionpoint - checking transition - currentHedgeShortfall is -1</t>
  </si>
  <si>
    <t>2015-1-20 17:33:17.180: Algorithm - handleTransition - currentHedgeShortfall is NOT ZERO and AUTOHEDGE IS NOT ENABLED!</t>
  </si>
  <si>
    <t>2015-1-20 17:33:17.180: Algorithm - updatePortfolio - haveAllDetails is True</t>
  </si>
  <si>
    <t>2015-1-20 17:33:17.182: RTWSControl - updatePortfolioEx - An Error Occured Object variable or With block variable not set</t>
  </si>
  <si>
    <t>2015-1-20 17:33:17.226: Algorithm - FindNextStrikes - price is 1.5152 nextStrikeUp/Down 1.52/1.515</t>
  </si>
  <si>
    <t>2015-1-20 17:33:17.226: Algorithm - getPortfolioForwardDelta - required deltas is 100 currentHedgePosition is 101</t>
  </si>
  <si>
    <t>2015-1-20 17:33:17.226: Algorithm - getHedgeShortfall - required deltas is 100 price is 1.5153 currentHedgePositionDeltas is 101</t>
  </si>
  <si>
    <t>2015-1-20 17:33:17.227: Algorithm - processTransitionPoint - nextUpper/LowerStrikes are 1.52/1.515 requiredDeltas/currentPosition/currentHedgeShortfall/direction/transitionPrice are 100/101/-1/1/1.5153</t>
  </si>
  <si>
    <t>2015-1-20 17:33:17.227: TransitionLogger - processTransitionpoint - checking transition - currentHedgeShortfall is -1</t>
  </si>
  <si>
    <t>2015-1-20 17:33:17.228: Algorithm - handleTransition - currentHedgeShortfall is NOT ZERO and AUTOHEDGE IS NOT ENABLED!</t>
  </si>
  <si>
    <t>2015-1-20 17:33:17.228: Algorithm - updatePortfolio - haveAllDetails is True</t>
  </si>
  <si>
    <t>2015-1-20 17:33:17.230: RTWSControl - updatePortfolioEx - An Error Occured Object variable or With block variable not set</t>
  </si>
  <si>
    <t>2015-1-20 17:33:17.293: Algorithm - FindNextStrikes - price is 1.5152 nextStrikeUp/Down 1.52/1.515</t>
  </si>
  <si>
    <t>2015-1-20 17:33:17.293: Algorithm - getPortfolioForwardDelta - required deltas is 100 currentHedgePosition is 101</t>
  </si>
  <si>
    <t>2015-1-20 17:33:17.293: Algorithm - getHedgeShortfall - required deltas is 100 price is 1.5153 currentHedgePositionDeltas is 101</t>
  </si>
  <si>
    <t>2015-1-20 17:33:17.294: Algorithm - processTransitionPoint - nextUpper/LowerStrikes are 1.52/1.515 requiredDeltas/currentPosition/currentHedgeShortfall/direction/transitionPrice are 100/101/-1/1/1.5153</t>
  </si>
  <si>
    <t>2015-1-20 17:33:17.294: TransitionLogger - processTransitionpoint - checking transition - currentHedgeShortfall is -1</t>
  </si>
  <si>
    <t>2015-1-20 17:33:17.294: Algorithm - handleTransition - currentHedgeShortfall is NOT ZERO and AUTOHEDGE IS NOT ENABLED!</t>
  </si>
  <si>
    <t>2015-1-20 17:33:17.295: Algorithm - updatePortfolio - haveAllDetails is True</t>
  </si>
  <si>
    <t>2015-1-20 17:33:17.296: RTWSControl - updatePortfolioEx - An Error Occured Object variable or With block variable not set</t>
  </si>
  <si>
    <t>2015-1-20 17:33:17.371: DirectionIndicator - notify - price/longMA/ShortMA/prevDirection are 1.51515/1.51515212056425/1.51516974256645/1</t>
  </si>
  <si>
    <t>2015-1-20 17:33:17.371: Algorithm - handleTransition - currentHedgeShortfall is NOT ZERO and AUTOHEDGE IS NOT ENABLED!</t>
  </si>
  <si>
    <t>2015-1-20 17:33:20.865: DirectionIndicator - notify - price/longMA/ShortMA/prevDirection are 1.5151/1.51514264409802/1.5151464950443/1</t>
  </si>
  <si>
    <t>2015-1-20 17:33:20.866: Algorithm - handleTransition - currentHedgeShortfall is NOT ZERO and AUTOHEDGE IS NOT ENABLED!</t>
  </si>
  <si>
    <t>2015-1-20 17:33:24.878: DirectionIndicator - notify - price/longMA/ShortMA/prevDirection are 1.51505/1.51512579971656/1.51511433002954/1</t>
  </si>
  <si>
    <t>2015-1-20 17:33:24.880: Algorithm - handleTransition - currentHedgeShortfall is NOT ZERO and AUTOHEDGE IS NOT ENABLED!</t>
  </si>
  <si>
    <t>2015-1-20 17:33:29.145: TransitionLogger - flushFile - flushing file</t>
  </si>
  <si>
    <t>2015-1-20 17:33:29.146: TransitionLogger - openTransitionFile - opening file C:\temp\transitionlog_2015-01-20_153021</t>
  </si>
  <si>
    <t>2015-1-20 17:33:30.166: DirectionIndicator - notify - price/longMA/ShortMA/prevDirection are 1.5151/1.515121108859/1.51510955335302/1</t>
  </si>
  <si>
    <t>2015-1-20 17:33:30.167: Algorithm - handleTransition - currentHedgeShortfall is NOT ZERO and AUTOHEDGE IS NOT ENABLED!</t>
  </si>
  <si>
    <t>2015-1-20 17:33:45.929: DirectionIndicator - notify - price/longMA/ShortMA/prevDirection are 1.51505/1.51510817997555/1.51508970223535/1</t>
  </si>
  <si>
    <t>2015-1-20 17:33:45.932: Algorithm - handleTransition - currentHedgeShortfall is NOT ZERO and AUTOHEDGE IS NOT ENABLED!</t>
  </si>
  <si>
    <t>2015-1-20 17:33:53.254: DirectionIndicator - notify - price/longMA/ShortMA/prevDirection are 1.5151/1.51510669270727/1.51509313482357/1</t>
  </si>
  <si>
    <t>2015-1-20 17:33:53.255: Algorithm - handleTransition - currentHedgeShortfall is NOT ZERO and AUTOHEDGE IS NOT ENABLED!</t>
  </si>
  <si>
    <t>2015-1-20 17:33:55.255: DirectionIndicator - notify - price/longMA/ShortMA/prevDirection are 1.51515/1.51511456676049/1.51511208988238/1</t>
  </si>
  <si>
    <t>2015-1-20 17:33:55.257: Algorithm - handleTransition - currentHedgeShortfall is NOT ZERO and AUTOHEDGE IS NOT ENABLED!</t>
  </si>
  <si>
    <t>2015-1-20 17:33:56.122: DirectionIndicator - notify - price/longMA/ShortMA/prevDirection are 1.5152/1.51513010007677/1.51514139325492/1</t>
  </si>
  <si>
    <t>2015-1-20 17:33:56.123: Algorithm - handleTransition - currentHedgeShortfall is NOT ZERO and AUTOHEDGE IS NOT ENABLED!</t>
  </si>
  <si>
    <t>2015-1-20 17:33:58.587: DirectionIndicator - notify - price/longMA/ShortMA/prevDirection are 1.51515/1.51513371824463/1.51514426216995/1</t>
  </si>
  <si>
    <t>2015-1-20 17:33:58.589: Algorithm - handleTransition - currentHedgeShortfall is NOT ZERO and AUTOHEDGE IS NOT ENABLED!</t>
  </si>
  <si>
    <t>2015-1-20 17:33:59.98: DirectionIndicator - notify - price/longMA/ShortMA/prevDirection are 1.5152/1.51514576947288/1.51516284144663/1</t>
  </si>
  <si>
    <t>2015-1-20 17:33:59.100: Algorithm - handleTransition - currentHedgeShortfall is NOT ZERO and AUTOHEDGE IS NOT ENABLED!</t>
  </si>
  <si>
    <t>2015-1-20 17:34:0.883: DirectionIndicator - notify - price/longMA/ShortMA/prevDirection are 1.51515/1.51514653865963/1.51515856096442/1</t>
  </si>
  <si>
    <t>2015-1-20 17:34:0.884: Algorithm - handleTransition - currentHedgeShortfall is NOT ZERO and AUTOHEDGE IS NOT ENABLED!</t>
  </si>
  <si>
    <t>2015-1-20 17:34:4.159: DirectionIndicator - notify - price/longMA/ShortMA/prevDirection are 1.5151/1.51513807708515/1.51513904064295/1</t>
  </si>
  <si>
    <t>2015-1-20 17:34:4.159: Algorithm - handleTransition - currentHedgeShortfall is NOT ZERO and AUTOHEDGE IS NOT ENABLED!</t>
  </si>
  <si>
    <t>2015-1-20 17:34:4.212: DirectionIndicator - notify - price/longMA/ShortMA/prevDirection are 1.51505/1.51512206306967/1.51510936042863/1</t>
  </si>
  <si>
    <t>2015-1-20 17:34:4.212: Algorithm - handleTransition - currentHedgeShortfall is NOT ZERO and AUTOHEDGE IS NOT ENABLED!</t>
  </si>
  <si>
    <t>2015-1-20 17:34:8.14: TransitionLogger - flushFile - flushing file</t>
  </si>
  <si>
    <t>2015-1-20 17:34:8.14: TransitionLogger - openTransitionFile - opening file C:\temp\transitionlog_2015-01-20_153021</t>
  </si>
  <si>
    <t>2015-1-20 17:34:14.170: DirectionIndicator - notify - price/longMA/ShortMA/prevDirection are 1.5151/1.51511805160245/1.51510624028575/1</t>
  </si>
  <si>
    <t>2015-1-20 17:34:14.171: Algorithm - handleTransition - currentHedgeShortfall is NOT ZERO and AUTOHEDGE IS NOT ENABLED!</t>
  </si>
  <si>
    <t>2015-1-20 17:34:14.244: DirectionIndicator - notify - price/longMA/ShortMA/prevDirection are 1.51515/1.51512386040201/1.51512082685717/1</t>
  </si>
  <si>
    <t>2015-1-20 17:34:14.245: Algorithm - handleTransition - currentHedgeShortfall is NOT ZERO and AUTOHEDGE IS NOT ENABLED!</t>
  </si>
  <si>
    <t>2015-1-20 17:34:19.356: DirectionIndicator - notify - price/longMA/ShortMA/prevDirection are 1.5151/1.5151195221471/1.51511388457145/1</t>
  </si>
  <si>
    <t>2015-1-20 17:34:19.357: Algorithm - handleTransition - currentHedgeShortfall is NOT ZERO and AUTOHEDGE IS NOT ENABLED!</t>
  </si>
  <si>
    <t>2015-1-20 17:34:25.84: DirectionIndicator - notify - price/longMA/ShortMA/prevDirection are 1.51515/1.5151250635749/1.51512592304763/1</t>
  </si>
  <si>
    <t>2015-1-20 17:34:25.86: Algorithm - handleTransition - currentHedgeShortfall is NOT ZERO and AUTOHEDGE IS NOT ENABLED!</t>
  </si>
  <si>
    <t>2015-1-20 17:34:26.27: DirectionIndicator - notify - price/longMA/ShortMA/prevDirection are 1.5152/1.51513868837946/1.51515061536509/1</t>
  </si>
  <si>
    <t>2015-1-20 17:34:26.29: Algorithm - handleTransition - currentHedgeShortfall is NOT ZERO and AUTOHEDGE IS NOT ENABLED!</t>
  </si>
  <si>
    <t>2015-1-20 17:34:26.832: DirectionIndicator - notify - price/longMA/ShortMA/prevDirection are 1.51525/1.51515892685592/1.51518374357672/1</t>
  </si>
  <si>
    <t>2015-1-20 17:34:26.833: Algorithm - handleTransition - currentHedgeShortfall is NOT ZERO and AUTOHEDGE IS NOT ENABLED!</t>
  </si>
  <si>
    <t>2015-1-20 17:34:29.40: TransitionLogger - flushFile - flushing file</t>
  </si>
  <si>
    <t>2015-1-20 17:34:29.40: TransitionLogger - openTransitionFile - opening file C:\temp\transitionlog_2015-01-20_153021</t>
  </si>
  <si>
    <t>2015-1-20 17:34:29.123: DirectionIndicator - notify - price/longMA/ShortMA/prevDirection are 1.5153/1.51518457651848/1.51522249571782/1</t>
  </si>
  <si>
    <t>2015-1-20 17:34:29.123: Algorithm - handleTransition - currentHedgeShortfall is NOT ZERO and AUTOHEDGE IS NOT ENABLED!</t>
  </si>
  <si>
    <t>2015-1-20 17:34:29.204: DirectionIndicator - notify - price/longMA/ShortMA/prevDirection are 1.51535/1.51521465351512/1.51526499714521/1</t>
  </si>
  <si>
    <t>2015-1-20 17:34:29.204: Algorithm - handleTransition - currentHedgeShortfall is NOT ZERO and AUTOHEDGE IS NOT ENABLED!</t>
  </si>
  <si>
    <t>2015-1-20 17:34:29.510: DirectionIndicator - notify - price/longMA/ShortMA/prevDirection are 1.5153/1.51523017105783/1.51527666476347/1</t>
  </si>
  <si>
    <t>2015-1-20 17:34:29.511: Algorithm - handleTransition - currentHedgeShortfall is NOT ZERO and AUTOHEDGE IS NOT ENABLED!</t>
  </si>
  <si>
    <t>2015-1-20 17:34:29.630: DirectionIndicator - notify - price/longMA/ShortMA/prevDirection are 1.51535/1.51525195813822/1.51530110984232/1</t>
  </si>
  <si>
    <t>2015-1-20 17:34:29.631: Algorithm - handleTransition - currentHedgeShortfall is NOT ZERO and AUTOHEDGE IS NOT ENABLED!</t>
  </si>
  <si>
    <t>2015-1-20 17:34:29.792: DirectionIndicator - notify - price/longMA/ShortMA/prevDirection are 1.5153/1.51526069302218/1.51530073989488/1</t>
  </si>
  <si>
    <t>2015-1-20 17:34:29.793: Algorithm - handleTransition - currentHedgeShortfall is NOT ZERO and AUTOHEDGE IS NOT ENABLED!</t>
  </si>
  <si>
    <t>2015-1-20 17:34:31.558: DirectionIndicator - notify - price/longMA/ShortMA/prevDirection are 1.51535/1.51527693065451/1.51531715992992/1</t>
  </si>
  <si>
    <t>2015-1-20 17:34:31.560: Algorithm - handleTransition - currentHedgeShortfall is NOT ZERO and AUTOHEDGE IS NOT ENABLED!</t>
  </si>
  <si>
    <t>2015-1-20 17:34:31.788: DirectionIndicator - notify - price/longMA/ShortMA/prevDirection are 1.5153/1.51528112508096/1.51531143995328/1</t>
  </si>
  <si>
    <t>2015-1-20 17:34:31.788: Algorithm - handleTransition - currentHedgeShortfall is NOT ZERO and AUTOHEDGE IS NOT ENABLED!</t>
  </si>
  <si>
    <t>2015-1-20 17:34:36.951: DirectionIndicator - notify - price/longMA/ShortMA/prevDirection are 1.51535/1.51529364779352/1.51532429330219/1</t>
  </si>
  <si>
    <t>2015-1-20 17:34:36.953: Algorithm - handleTransition - currentHedgeShortfall is NOT ZERO and AUTOHEDGE IS NOT ENABLED!</t>
  </si>
  <si>
    <t>2015-1-20 17:34:39.583: DirectionIndicator - notify - price/longMA/ShortMA/prevDirection are 1.5153/1.51529480274015/1.51531619553479/1</t>
  </si>
  <si>
    <t>2015-1-20 17:34:39.584: Algorithm - handleTransition - currentHedgeShortfall is NOT ZERO and AUTOHEDGE IS NOT ENABLED!</t>
  </si>
  <si>
    <t>2015-1-20 17:34:39.661: DirectionIndicator - notify - price/longMA/ShortMA/prevDirection are 1.51525/1.5152866567874/1.51529413035653/1</t>
  </si>
  <si>
    <t>2015-1-20 17:34:39.662: Algorithm - handleTransition - currentHedgeShortfall is NOT ZERO and AUTOHEDGE IS NOT ENABLED!</t>
  </si>
  <si>
    <t>2015-1-20 17:34:42.169: DirectionIndicator - notify - price/longMA/ShortMA/prevDirection are 1.5152/1.51527090100787/1.51526275357102/1</t>
  </si>
  <si>
    <t>2015-1-20 17:34:42.170: Algorithm - handleTransition - currentHedgeShortfall is NOT ZERO and AUTOHEDGE IS NOT ENABLED!</t>
  </si>
  <si>
    <t>2015-1-20 17:34:42.245: DirectionIndicator - notify - price/longMA/ShortMA/prevDirection are 1.51515/1.51524891900644/1.51522516904735/1</t>
  </si>
  <si>
    <t>2015-1-20 17:34:42.245: Algorithm - handleTransition - currentHedgeShortfall is NOT ZERO and AUTOHEDGE IS NOT ENABLED!</t>
  </si>
  <si>
    <t>2015-1-20 17:34:45.925: DirectionIndicator - notify - price/longMA/ShortMA/prevDirection are 1.5152/1.51524002464163/1.5152167793649/-1</t>
  </si>
  <si>
    <t>2015-1-20 17:34:45.926: Algorithm - handleTransition - currentHedgeShortfall is NOT ZERO and AUTOHEDGE IS NOT ENABLED!</t>
  </si>
  <si>
    <t>2015-1-20 17:34:46.584: DirectionIndicator - notify - price/longMA/ShortMA/prevDirection are 1.51515/1.51522365652497/1.5151945195766/-1</t>
  </si>
  <si>
    <t>2015-1-20 17:34:46.585: Algorithm - handleTransition - currentHedgeShortfall is NOT ZERO and AUTOHEDGE IS NOT ENABLED!</t>
  </si>
  <si>
    <t>2015-1-20 17:34:51.417: DirectionIndicator - notify - price/longMA/ShortMA/prevDirection are 1.5152/1.51521935533861/1.5151963463844/-1</t>
  </si>
  <si>
    <t>2015-1-20 17:34:51.418: Algorithm - handleTransition - currentHedgeShortfall is NOT ZERO and AUTOHEDGE IS NOT ENABLED!</t>
  </si>
  <si>
    <t>2015-1-20 17:34:51.792: DirectionIndicator - notify - price/longMA/ShortMA/prevDirection are 1.51525/1.51522492709523/1.51521423092293/-1</t>
  </si>
  <si>
    <t>2015-1-20 17:34:51.792: Algorithm - handleTransition - currentHedgeShortfall is NOT ZERO and AUTOHEDGE IS NOT ENABLED!</t>
  </si>
  <si>
    <t>2015-1-20 17:34:55.539: DirectionIndicator - notify - price/longMA/ShortMA/prevDirection are 1.5152/1.5152203948961/1.51520948728196/-1</t>
  </si>
  <si>
    <t>2015-1-20 17:34:55.540: Algorithm - handleTransition - currentHedgeShortfall is NOT ZERO and AUTOHEDGE IS NOT ENABLED!</t>
  </si>
  <si>
    <t>2015-1-20 17:34:55.620: DirectionIndicator - notify - price/longMA/ShortMA/prevDirection are 1.51515/1.51520759582408/1.51518965818797/-1</t>
  </si>
  <si>
    <t>2015-1-20 17:34:55.621: Algorithm - handleTransition - currentHedgeShortfall is NOT ZERO and AUTOHEDGE IS NOT ENABLED!</t>
  </si>
  <si>
    <t>2015-1-20 17:35:8.22: TransitionLogger - flushFile - flushing file</t>
  </si>
  <si>
    <t>2015-1-20 17:35:8.24: TransitionLogger - openTransitionFile - opening file C:\temp\transitionlog_2015-01-20_153021</t>
  </si>
  <si>
    <t>2015-1-20 17:35:11.166: DirectionIndicator - notify - price/longMA/ShortMA/prevDirection are 1.5151/1.51518803294697/1.51515977212531/-1</t>
  </si>
  <si>
    <t>2015-1-20 17:35:11.167: Algorithm - handleTransition - currentHedgeShortfall is NOT ZERO and AUTOHEDGE IS NOT ENABLED!</t>
  </si>
  <si>
    <t>2015-1-20 17:35:13.978: DirectionIndicator - notify - price/longMA/ShortMA/prevDirection are 1.51505/1.51516293604752/1.51512318141688/-1</t>
  </si>
  <si>
    <t>2015-1-20 17:35:13.978: Algorithm - handleTransition - currentHedgeShortfall is NOT ZERO and AUTOHEDGE IS NOT ENABLED!</t>
  </si>
  <si>
    <t>2015-1-20 17:35:25.546: DirectionIndicator - notify - price/longMA/ShortMA/prevDirection are 1.5151/1.51515149312979/1.51511545427792/-1</t>
  </si>
  <si>
    <t>2015-1-20 17:35:25.547: Algorithm - handleTransition - currentHedgeShortfall is NOT ZERO and AUTOHEDGE IS NOT ENABLED!</t>
  </si>
  <si>
    <t>2015-1-20 17:35:25.594: DirectionIndicator - notify - price/longMA/ShortMA/prevDirection are 1.51515/1.51515122165165/1.51512696951861/-1</t>
  </si>
  <si>
    <t>2015-1-20 17:35:25.595: Algorithm - handleTransition - currentHedgeShortfall is NOT ZERO and AUTOHEDGE IS NOT ENABLED!</t>
  </si>
  <si>
    <t>2015-1-20 17:35:29.571: TransitionLogger - flushFile - flushing file</t>
  </si>
  <si>
    <t>2015-1-20 17:35:29.572: TransitionLogger - openTransitionFile - opening file C:\temp\transitionlog_2015-01-20_153021</t>
  </si>
  <si>
    <t>2015-1-20 17:35:34.485: DirectionIndicator - notify - price/longMA/ShortMA/prevDirection are 1.5152/1.51516009044226/1.51515131301241/-1</t>
  </si>
  <si>
    <t>2015-1-20 17:35:34.486: Algorithm - handleTransition - currentHedgeShortfall is NOT ZERO and AUTOHEDGE IS NOT ENABLED!</t>
  </si>
  <si>
    <t>2015-1-20 17:35:43.714: DirectionIndicator - notify - price/longMA/ShortMA/prevDirection are 1.51525/1.51517643763457/1.51518420867494/-1</t>
  </si>
  <si>
    <t>2015-1-20 17:35:43.716: Algorithm - handleTransition - currentHedgeShortfall is NOT ZERO and AUTOHEDGE IS NOT ENABLED!</t>
  </si>
  <si>
    <t>2015-1-20 17:36:8.331: TransitionLogger - flushFile - flushing file</t>
  </si>
  <si>
    <t>2015-1-20 17:36:8.332: TransitionLogger - openTransitionFile - opening file C:\temp\transitionlog_2015-01-20_153021</t>
  </si>
  <si>
    <t>2015-1-20 17:36:16.883: Algorithm - FindNextStrikes - price is 1.51525 nextStrikeUp/Down 1.52/1.515</t>
  </si>
  <si>
    <t>2015-1-20 17:36:16.883: Algorithm - getPortfolioForwardDelta - required deltas is 100 currentHedgePosition is 101</t>
  </si>
  <si>
    <t>2015-1-20 17:36:16.884: Algorithm - getHedgeShortfall - required deltas is 100 price is 1.51515 currentHedgePositionDeltas is 101</t>
  </si>
  <si>
    <t>2015-1-20 17:36:16.884: Algorithm - processTransitionPoint - nextUpper/LowerStrikes are 1.52/1.515 requiredDeltas/currentPosition/currentHedgeShortfall/direction/transitionPrice are 100/101/-1/-1/1.51515</t>
  </si>
  <si>
    <t>2015-1-20 17:36:16.885: TransitionLogger - processTransitionpoint - checking transition - currentHedgeShortfall is -1</t>
  </si>
  <si>
    <t>2015-1-20 17:36:16.885: Algorithm - handleTransition - currentHedgeShortfall is NOT ZERO and AUTOHEDGE IS NOT ENABLED!</t>
  </si>
  <si>
    <t>2015-1-20 17:36:16.886: Algorithm - updatePortfolio - haveAllDetails is True</t>
  </si>
  <si>
    <t>2015-1-20 17:36:16.887: RTWSControl - updatePortfolioEx - An Error Occured Object variable or With block variable not set</t>
  </si>
  <si>
    <t>2015-1-20 17:36:16.934: Algorithm - FindNextStrikes - price is 1.51525 nextStrikeUp/Down 1.52/1.515</t>
  </si>
  <si>
    <t>2015-1-20 17:36:16.935: Algorithm - getPortfolioForwardDelta - required deltas is 100 currentHedgePosition is 101</t>
  </si>
  <si>
    <t>2015-1-20 17:36:16.935: Algorithm - getHedgeShortfall - required deltas is 100 price is 1.51515 currentHedgePositionDeltas is 101</t>
  </si>
  <si>
    <t>2015-1-20 17:36:16.936: Algorithm - processTransitionPoint - nextUpper/LowerStrikes are 1.52/1.515 requiredDeltas/currentPosition/currentHedgeShortfall/direction/transitionPrice are 100/101/-1/-1/1.51515</t>
  </si>
  <si>
    <t>2015-1-20 17:36:16.936: TransitionLogger - processTransitionpoint - checking transition - currentHedgeShortfall is -1</t>
  </si>
  <si>
    <t>2015-1-20 17:36:16.936: Algorithm - handleTransition - currentHedgeShortfall is NOT ZERO and AUTOHEDGE IS NOT ENABLED!</t>
  </si>
  <si>
    <t>2015-1-20 17:36:16.937: Algorithm - updatePortfolio - haveAllDetails is True</t>
  </si>
  <si>
    <t>2015-1-20 17:36:16.938: RTWSControl - updatePortfolioEx - An Error Occured Object variable or With block variable not set</t>
  </si>
  <si>
    <t>2015-1-20 17:36:16.984: Algorithm - FindNextStrikes - price is 1.51525 nextStrikeUp/Down 1.52/1.515</t>
  </si>
  <si>
    <t>2015-1-20 17:36:16.984: Algorithm - getPortfolioForwardDelta - required deltas is 100 currentHedgePosition is 101</t>
  </si>
  <si>
    <t>2015-1-20 17:36:16.985: Algorithm - getHedgeShortfall - required deltas is 100 price is 1.51515 currentHedgePositionDeltas is 101</t>
  </si>
  <si>
    <t>2015-1-20 17:36:16.985: Algorithm - processTransitionPoint - nextUpper/LowerStrikes are 1.52/1.515 requiredDeltas/currentPosition/currentHedgeShortfall/direction/transitionPrice are 100/101/-1/-1/1.51515</t>
  </si>
  <si>
    <t>2015-1-20 17:36:16.986: TransitionLogger - processTransitionpoint - checking transition - currentHedgeShortfall is -1</t>
  </si>
  <si>
    <t>2015-1-20 17:36:16.986: Algorithm - handleTransition - currentHedgeShortfall is NOT ZERO and AUTOHEDGE IS NOT ENABLED!</t>
  </si>
  <si>
    <t>2015-1-20 17:36:16.987: Algorithm - updatePortfolio - haveAllDetails is True</t>
  </si>
  <si>
    <t>2015-1-20 17:36:16.988: RTWSControl - updatePortfolioEx - An Error Occured Object variable or With block variable not set</t>
  </si>
  <si>
    <t>2015-1-20 17:36:17.53: Algorithm - FindNextStrikes - price is 1.51525 nextStrikeUp/Down 1.52/1.515</t>
  </si>
  <si>
    <t>2015-1-20 17:36:17.54: Algorithm - getPortfolioForwardDelta - required deltas is 100 currentHedgePosition is 101</t>
  </si>
  <si>
    <t>2015-1-20 17:36:17.54: Algorithm - getHedgeShortfall - required deltas is 100 price is 1.51515 currentHedgePositionDeltas is 101</t>
  </si>
  <si>
    <t>2015-1-20 17:36:17.54: Algorithm - processTransitionPoint - nextUpper/LowerStrikes are 1.52/1.515 requiredDeltas/currentPosition/currentHedgeShortfall/direction/transitionPrice are 100/101/-1/-1/1.51515</t>
  </si>
  <si>
    <t>2015-1-20 17:36:17.55: TransitionLogger - processTransitionpoint - checking transition - currentHedgeShortfall is -1</t>
  </si>
  <si>
    <t>2015-1-20 17:36:17.55: Algorithm - handleTransition - currentHedgeShortfall is NOT ZERO and AUTOHEDGE IS NOT ENABLED!</t>
  </si>
  <si>
    <t>2015-1-20 17:36:17.56: Algorithm - updatePortfolio - haveAllDetails is True</t>
  </si>
  <si>
    <t>2015-1-20 17:36:17.57: RTWSControl - updatePortfolioEx - An Error Occured Object variable or With block variable not set</t>
  </si>
  <si>
    <t>2015-1-20 17:36:29.87: TransitionLogger - flushFile - flushing file</t>
  </si>
  <si>
    <t>2015-1-20 17:36:29.88: TransitionLogger - openTransitionFile - opening file C:\temp\transitionlog_2015-01-20_153021</t>
  </si>
  <si>
    <t>2015-1-20 17:37:8.599: TransitionLogger - flushFile - flushing file</t>
  </si>
  <si>
    <t>2015-1-20 17:37:8.601: TransitionLogger - openTransitionFile - opening file C:\temp\transitionlog_2015-01-20_153021</t>
  </si>
  <si>
    <t>2015-1-20 17:37:11.959: DirectionIndicator - notify - price/longMA/ShortMA/prevDirection are 1.5153/1.5151989035192/1.51522280578329/-1</t>
  </si>
  <si>
    <t>2015-1-20 17:37:11.960: Algorithm - handleTransition - currentHedgeShortfall is NOT ZERO and AUTOHEDGE IS NOT ENABLED!</t>
  </si>
  <si>
    <t>2015-1-20 17:37:12.760: DirectionIndicator - notify - price/longMA/ShortMA/prevDirection are 1.51535/1.51522637560662/1.51526520385553/1</t>
  </si>
  <si>
    <t>2015-1-20 17:37:12.761: Algorithm - handleTransition - currentHedgeShortfall is NOT ZERO and AUTOHEDGE IS NOT ENABLED!</t>
  </si>
  <si>
    <t>2015-1-20 17:37:19.671: DirectionIndicator - notify - price/longMA/ShortMA/prevDirection are 1.5153/1.51523976185996/1.51527680257035/1</t>
  </si>
  <si>
    <t>2015-1-20 17:37:19.672: Algorithm - handleTransition - currentHedgeShortfall is NOT ZERO and AUTOHEDGE IS NOT ENABLED!</t>
  </si>
  <si>
    <t>2015-1-20 17:37:19.723: DirectionIndicator - notify - price/longMA/ShortMA/prevDirection are 1.51525/1.51524162333997/1.51526786838023/1</t>
  </si>
  <si>
    <t>2015-1-20 17:37:19.724: Algorithm - handleTransition - currentHedgeShortfall is NOT ZERO and AUTOHEDGE IS NOT ENABLED!</t>
  </si>
  <si>
    <t>2015-1-20 17:37:29.372: TransitionLogger - flushFile - flushing file</t>
  </si>
  <si>
    <t>2015-1-20 17:37:29.373: TransitionLogger - openTransitionFile - opening file C:\temp\transitionlog_2015-01-20_153021</t>
  </si>
  <si>
    <t>2015-1-20 17:37:37.362: DirectionIndicator - notify - price/longMA/ShortMA/prevDirection are 1.5153/1.51525223727815/1.51527857892016/1</t>
  </si>
  <si>
    <t>2015-1-20 17:37:37.363: Algorithm - handleTransition - currentHedgeShortfall is NOT ZERO and AUTOHEDGE IS NOT ENABLED!</t>
  </si>
  <si>
    <t>2015-1-20 17:37:37.423: DirectionIndicator - notify - price/longMA/ShortMA/prevDirection are 1.51535/1.51527001231849/1.51530238594677/1</t>
  </si>
  <si>
    <t>2015-1-20 17:37:37.424: Algorithm - handleTransition - currentHedgeShortfall is NOT ZERO and AUTOHEDGE IS NOT ENABLED!</t>
  </si>
  <si>
    <t>2015-1-20 17:38:8.179: TransitionLogger - flushFile - flushing file</t>
  </si>
  <si>
    <t>2015-1-20 17:38:8.180: TransitionLogger - openTransitionFile - opening file C:\temp\transitionlog_2015-01-20_153021</t>
  </si>
  <si>
    <t>2015-1-20 17:38:11.440: DirectionIndicator - notify - price/longMA/ShortMA/prevDirection are 1.5154/1.5152936464424/1.51533492396451/1</t>
  </si>
  <si>
    <t>2015-1-20 17:38:11.441: Algorithm - handleTransition - currentHedgeShortfall is NOT ZERO and AUTOHEDGE IS NOT ENABLED!</t>
  </si>
  <si>
    <t>2015-1-20 17:38:11.511: DirectionIndicator - notify - price/longMA/ShortMA/prevDirection are 1.51545/1.51532207436196/1.51537328264301/1</t>
  </si>
  <si>
    <t>2015-1-20 17:38:11.512: Algorithm - handleTransition - currentHedgeShortfall is NOT ZERO and AUTOHEDGE IS NOT ENABLED!</t>
  </si>
  <si>
    <t>2015-1-20 17:38:29.457: TransitionLogger - flushFile - flushing file</t>
  </si>
  <si>
    <t>2015-1-20 17:38:29.458: TransitionLogger - openTransitionFile - opening file C:\temp\transitionlog_2015-01-20_153021</t>
  </si>
  <si>
    <t>2015-1-20 17:39:8.330: TransitionLogger - flushFile - flushing file</t>
  </si>
  <si>
    <t>2015-1-20 17:39:8.331: TransitionLogger - openTransitionFile - opening file C:\temp\transitionlog_2015-01-20_153021</t>
  </si>
  <si>
    <t>2015-1-20 17:39:9.689: DirectionIndicator - notify - price/longMA/ShortMA/prevDirection are 1.5155/1.51535442447797/1.51541552176201/1</t>
  </si>
  <si>
    <t>2015-1-20 17:39:9.690: Algorithm - handleTransition - currentHedgeShortfall is NOT ZERO and AUTOHEDGE IS NOT ENABLED!</t>
  </si>
  <si>
    <t>2015-1-20 17:39:9.761: DirectionIndicator - notify - price/longMA/ShortMA/prevDirection are 1.51555/1.51538998366379/1.51546034784134/1</t>
  </si>
  <si>
    <t>2015-1-20 17:39:9.761: Algorithm - handleTransition - currentHedgeShortfall is NOT ZERO and AUTOHEDGE IS NOT ENABLED!</t>
  </si>
  <si>
    <t>2015-1-20 17:39:10.99: DirectionIndicator - notify - price/longMA/ShortMA/prevDirection are 1.5155/1.51540998663401/1.51547356522756/1</t>
  </si>
  <si>
    <t>2015-1-20 17:39:10.99: Algorithm - handleTransition - currentHedgeShortfall is NOT ZERO and AUTOHEDGE IS NOT ENABLED!</t>
  </si>
  <si>
    <t>2015-1-20 17:39:14.888: DirectionIndicator - notify - price/longMA/ShortMA/prevDirection are 1.51555/1.51543544360965/1.51549904348504/1</t>
  </si>
  <si>
    <t>2015-1-20 17:39:14.890: Algorithm - handleTransition - currentHedgeShortfall is NOT ZERO and AUTOHEDGE IS NOT ENABLED!</t>
  </si>
  <si>
    <t>2015-1-20 17:39:16.970: Algorithm - FindNextStrikes - price is 1.51555 nextStrikeUp/Down 1.52/1.515</t>
  </si>
  <si>
    <t>2015-1-20 17:39:16.971: Algorithm - getPortfolioForwardDelta - required deltas is 100 currentHedgePosition is 101</t>
  </si>
  <si>
    <t>2015-1-20 17:39:16.971: Algorithm - getHedgeShortfall - required deltas is 100 price is 1.51565 currentHedgePositionDeltas is 101</t>
  </si>
  <si>
    <t>2015-1-20 17:39:16.971: Algorithm - processTransitionPoint - nextUpper/LowerStrikes are 1.52/1.515 requiredDeltas/currentPosition/currentHedgeShortfall/direction/transitionPrice are 100/101/-1/1/1.51565</t>
  </si>
  <si>
    <t>2015-1-20 17:39:16.972: TransitionLogger - processTransitionpoint - checking transition - currentHedgeShortfall is -1</t>
  </si>
  <si>
    <t>2015-1-20 17:39:16.972: Algorithm - handleTransition - currentHedgeShortfall is NOT ZERO and AUTOHEDGE IS NOT ENABLED!</t>
  </si>
  <si>
    <t>2015-1-20 17:39:16.973: Algorithm - updatePortfolio - haveAllDetails is True</t>
  </si>
  <si>
    <t>2015-1-20 17:39:16.974: RTWSControl - updatePortfolioEx - An Error Occured Object variable or With block variable not set</t>
  </si>
  <si>
    <t>2015-1-20 17:39:17.14: Algorithm - FindNextStrikes - price is 1.51555 nextStrikeUp/Down 1.52/1.515</t>
  </si>
  <si>
    <t>2015-1-20 17:39:17.14: Algorithm - getPortfolioForwardDelta - required deltas is 100 currentHedgePosition is 101</t>
  </si>
  <si>
    <t>2015-1-20 17:39:17.15: Algorithm - getHedgeShortfall - required deltas is 100 price is 1.51565 currentHedgePositionDeltas is 101</t>
  </si>
  <si>
    <t>2015-1-20 17:39:17.15: Algorithm - processTransitionPoint - nextUpper/LowerStrikes are 1.52/1.515 requiredDeltas/currentPosition/currentHedgeShortfall/direction/transitionPrice are 100/101/-1/1/1.51565</t>
  </si>
  <si>
    <t>2015-1-20 17:39:17.16: TransitionLogger - processTransitionpoint - checking transition - currentHedgeShortfall is -1</t>
  </si>
  <si>
    <t>2015-1-20 17:39:17.16: Algorithm - handleTransition - currentHedgeShortfall is NOT ZERO and AUTOHEDGE IS NOT ENABLED!</t>
  </si>
  <si>
    <t>2015-1-20 17:39:17.17: Algorithm - updatePortfolio - haveAllDetails is True</t>
  </si>
  <si>
    <t>2015-1-20 17:39:17.18: RTWSControl - updatePortfolioEx - An Error Occured Object variable or With block variable not set</t>
  </si>
  <si>
    <t>2015-1-20 17:39:17.65: Algorithm - FindNextStrikes - price is 1.51555 nextStrikeUp/Down 1.52/1.515</t>
  </si>
  <si>
    <t>2015-1-20 17:39:17.65: Algorithm - getPortfolioForwardDelta - required deltas is 100 currentHedgePosition is 101</t>
  </si>
  <si>
    <t>2015-1-20 17:39:17.65: Algorithm - getHedgeShortfall - required deltas is 100 price is 1.51565 currentHedgePositionDeltas is 101</t>
  </si>
  <si>
    <t>2015-1-20 17:39:17.66: Algorithm - processTransitionPoint - nextUpper/LowerStrikes are 1.52/1.515 requiredDeltas/currentPosition/currentHedgeShortfall/direction/transitionPrice are 100/101/-1/1/1.51565</t>
  </si>
  <si>
    <t>2015-1-20 17:39:17.66: TransitionLogger - processTransitionpoint - checking transition - currentHedgeShortfall is -1</t>
  </si>
  <si>
    <t>2015-1-20 17:39:17.66: Algorithm - handleTransition - currentHedgeShortfall is NOT ZERO and AUTOHEDGE IS NOT ENABLED!</t>
  </si>
  <si>
    <t>2015-1-20 17:39:17.67: Algorithm - updatePortfolio - haveAllDetails is True</t>
  </si>
  <si>
    <t>2015-1-20 17:39:17.68: RTWSControl - updatePortfolioEx - An Error Occured Object variable or With block variable not set</t>
  </si>
  <si>
    <t>2015-1-20 17:39:17.119: Algorithm - FindNextStrikes - price is 1.51555 nextStrikeUp/Down 1.52/1.515</t>
  </si>
  <si>
    <t>2015-1-20 17:39:17.120: Algorithm - getPortfolioForwardDelta - required deltas is 100 currentHedgePosition is 101</t>
  </si>
  <si>
    <t>2015-1-20 17:39:17.120: Algorithm - getHedgeShortfall - required deltas is 100 price is 1.51565 currentHedgePositionDeltas is 101</t>
  </si>
  <si>
    <t>2015-1-20 17:39:17.121: Algorithm - processTransitionPoint - nextUpper/LowerStrikes are 1.52/1.515 requiredDeltas/currentPosition/currentHedgeShortfall/direction/transitionPrice are 100/101/-1/1/1.51565</t>
  </si>
  <si>
    <t>2015-1-20 17:39:17.121: TransitionLogger - processTransitionpoint - checking transition - currentHedgeShortfall is -1</t>
  </si>
  <si>
    <t>2015-1-20 17:39:17.121: Algorithm - handleTransition - currentHedgeShortfall is NOT ZERO and AUTOHEDGE IS NOT ENABLED!</t>
  </si>
  <si>
    <t>2015-1-20 17:39:17.122: Algorithm - updatePortfolio - haveAllDetails is True</t>
  </si>
  <si>
    <t>2015-1-20 17:39:17.123: RTWSControl - updatePortfolioEx - An Error Occured Object variable or With block variable not set</t>
  </si>
  <si>
    <t>2015-1-20 17:39:17.186: Algorithm - FindNextStrikes - price is 1.51555 nextStrikeUp/Down 1.52/1.515</t>
  </si>
  <si>
    <t>2015-1-20 17:39:17.187: Algorithm - getPortfolioForwardDelta - required deltas is 100 currentHedgePosition is 101</t>
  </si>
  <si>
    <t>2015-1-20 17:39:17.187: Algorithm - getHedgeShortfall - required deltas is 100 price is 1.51565 currentHedgePositionDeltas is 101</t>
  </si>
  <si>
    <t>2015-1-20 17:39:17.188: Algorithm - processTransitionPoint - nextUpper/LowerStrikes are 1.52/1.515 requiredDeltas/currentPosition/currentHedgeShortfall/direction/transitionPrice are 100/101/-1/1/1.51565</t>
  </si>
  <si>
    <t>2015-1-20 17:39:17.188: TransitionLogger - processTransitionpoint - checking transition - currentHedgeShortfall is -1</t>
  </si>
  <si>
    <t>2015-1-20 17:39:17.188: Algorithm - handleTransition - currentHedgeShortfall is NOT ZERO and AUTOHEDGE IS NOT ENABLED!</t>
  </si>
  <si>
    <t>2015-1-20 17:39:17.189: Algorithm - updatePortfolio - haveAllDetails is True</t>
  </si>
  <si>
    <t>2015-1-20 17:39:17.190: RTWSControl - updatePortfolioEx - An Error Occured Object variable or With block variable not set</t>
  </si>
  <si>
    <t>2015-1-20 17:39:17.247: Algorithm - FindNextStrikes - price is 1.51555 nextStrikeUp/Down 1.52/1.515</t>
  </si>
  <si>
    <t>2015-1-20 17:39:17.247: Algorithm - getPortfolioForwardDelta - required deltas is 100 currentHedgePosition is 101</t>
  </si>
  <si>
    <t>2015-1-20 17:39:17.247: Algorithm - getHedgeShortfall - required deltas is 100 price is 1.51565 currentHedgePositionDeltas is 101</t>
  </si>
  <si>
    <t>2015-1-20 17:39:17.248: Algorithm - processTransitionPoint - nextUpper/LowerStrikes are 1.52/1.515 requiredDeltas/currentPosition/currentHedgeShortfall/direction/transitionPrice are 100/101/-1/1/1.51565</t>
  </si>
  <si>
    <t>2015-1-20 17:39:17.248: TransitionLogger - processTransitionpoint - checking transition - currentHedgeShortfall is -1</t>
  </si>
  <si>
    <t>2015-1-20 17:39:17.248: Algorithm - handleTransition - currentHedgeShortfall is NOT ZERO and AUTOHEDGE IS NOT ENABLED!</t>
  </si>
  <si>
    <t>2015-1-20 17:39:17.249: Algorithm - updatePortfolio - haveAllDetails is True</t>
  </si>
  <si>
    <t>2015-1-20 17:39:17.250: RTWSControl - updatePortfolioEx - An Error Occured Object variable or With block variable not set</t>
  </si>
  <si>
    <t>2015-1-20 17:39:29.520: TransitionLogger - flushFile - flushing file</t>
  </si>
  <si>
    <t>2015-1-20 17:39:29.522: TransitionLogger - openTransitionFile - opening file C:\temp\transitionlog_2015-01-20_153021</t>
  </si>
  <si>
    <t>2015-1-20 17:39:30.138: DirectionIndicator - notify - price/longMA/ShortMA/prevDirection are 1.5156/1.51546536295335/1.51553269565669/1</t>
  </si>
  <si>
    <t>2015-1-20 17:39:30.139: Algorithm - handleTransition - currentHedgeShortfall is NOT ZERO and AUTOHEDGE IS NOT ENABLED!</t>
  </si>
  <si>
    <t>2015-1-20 17:39:30.642: DirectionIndicator - notify - price/longMA/ShortMA/prevDirection are 1.51555/1.51548075150728/1.51553846377113/1</t>
  </si>
  <si>
    <t>2015-1-20 17:39:30.642: Algorithm - handleTransition - currentHedgeShortfall is NOT ZERO and AUTOHEDGE IS NOT ENABLED!</t>
  </si>
  <si>
    <t>2015-1-20 17:39:31.735: DirectionIndicator - notify - price/longMA/ShortMA/prevDirection are 1.5156/1.51550243305141/1.51555897584742/1</t>
  </si>
  <si>
    <t>2015-1-20 17:39:31.735: Algorithm - handleTransition - currentHedgeShortfall is NOT ZERO and AUTOHEDGE IS NOT ENABLED!</t>
  </si>
  <si>
    <t>2015-1-20 17:39:33.882: DirectionIndicator - notify - price/longMA/ShortMA/prevDirection are 1.51565/1.5155292634057/1.51558931723161/1</t>
  </si>
  <si>
    <t>2015-1-20 17:39:33.883: Algorithm - handleTransition - currentHedgeShortfall is NOT ZERO and AUTOHEDGE IS NOT ENABLED!</t>
  </si>
  <si>
    <t>2015-1-20 17:39:34.887: DirectionIndicator - notify - price/longMA/ShortMA/prevDirection are 1.5156/1.51554212460467/1.51559287815441/1</t>
  </si>
  <si>
    <t>2015-1-20 17:39:34.887: Algorithm - handleTransition - currentHedgeShortfall is NOT ZERO and AUTOHEDGE IS NOT ENABLED!</t>
  </si>
  <si>
    <t>2015-1-20 17:39:35.143: DirectionIndicator - notify - price/longMA/ShortMA/prevDirection are 1.51555/1.51554355649473/1.51557858543627/1</t>
  </si>
  <si>
    <t>2015-1-20 17:39:35.144: Algorithm - handleTransition - currentHedgeShortfall is NOT ZERO and AUTOHEDGE IS NOT ENABLED!</t>
  </si>
  <si>
    <t>2015-1-20 17:39:45.440: DirectionIndicator - notify - price/longMA/ShortMA/prevDirection are 1.5155/1.51553563713205/1.51555239029085/1</t>
  </si>
  <si>
    <t>2015-1-20 17:39:45.440: Algorithm - handleTransition - currentHedgeShortfall is NOT ZERO and AUTOHEDGE IS NOT ENABLED!</t>
  </si>
  <si>
    <t>2015-1-20 17:39:45.965: DirectionIndicator - notify - price/longMA/ShortMA/prevDirection are 1.51555/1.51553824856259/1.51555159352723/1</t>
  </si>
  <si>
    <t>2015-1-20 17:39:45.967: Algorithm - handleTransition - currentHedgeShortfall is NOT ZERO and AUTOHEDGE IS NOT ENABLED!</t>
  </si>
  <si>
    <t>2015-1-20 17:40:8.546: TransitionLogger - flushFile - flushing file</t>
  </si>
  <si>
    <t>2015-1-20 17:40:8.547: TransitionLogger - openTransitionFile - opening file C:\temp\transitionlog_2015-01-20_153021</t>
  </si>
  <si>
    <t>2015-1-20 17:40:20.444: DirectionIndicator - notify - price/longMA/ShortMA/prevDirection are 1.5155/1.51553129427848/1.51553439568482/1</t>
  </si>
  <si>
    <t>2015-1-20 17:40:20.445: Algorithm - handleTransition - currentHedgeShortfall is NOT ZERO and AUTOHEDGE IS NOT ENABLED!</t>
  </si>
  <si>
    <t>2015-1-20 17:40:20.516: DirectionIndicator - notify - price/longMA/ShortMA/prevDirection are 1.51545/1.51551651350057/1.51550626378988/1</t>
  </si>
  <si>
    <t>2015-1-20 17:40:20.517: Algorithm - handleTransition - currentHedgeShortfall is NOT ZERO and AUTOHEDGE IS NOT ENABLED!</t>
  </si>
  <si>
    <t>2015-1-20 17:40:20.782: DirectionIndicator - notify - price/longMA/ShortMA/prevDirection are 1.5154/1.51549532922774/1.51547084252659/1</t>
  </si>
  <si>
    <t>2015-1-20 17:40:20.782: Algorithm - handleTransition - currentHedgeShortfall is NOT ZERO and AUTOHEDGE IS NOT ENABLED!</t>
  </si>
  <si>
    <t>2015-1-20 17:40:20.853: DirectionIndicator - notify - price/longMA/ShortMA/prevDirection are 1.51535/1.51546890573179/1.51543056168439/-1</t>
  </si>
  <si>
    <t>2015-1-20 17:40:20.854: Algorithm - handleTransition - currentHedgeShortfall is NOT ZERO and AUTOHEDGE IS NOT ENABLED!</t>
  </si>
  <si>
    <t>2015-1-20 17:40:21.766: DirectionIndicator - notify - price/longMA/ShortMA/prevDirection are 1.5154/1.51545637741692/1.51542037445626/-1</t>
  </si>
  <si>
    <t>2015-1-20 17:40:21.766: Algorithm - handleTransition - currentHedgeShortfall is NOT ZERO and AUTOHEDGE IS NOT ENABLED!</t>
  </si>
  <si>
    <t>2015-1-20 17:40:25.851: DirectionIndicator - notify - price/longMA/ShortMA/prevDirection are 1.51535/1.51543703606839/1.51539691630417/-1</t>
  </si>
  <si>
    <t>2015-1-20 17:40:25.852: Algorithm - handleTransition - currentHedgeShortfall is NOT ZERO and AUTOHEDGE IS NOT ENABLED!</t>
  </si>
  <si>
    <t>2015-1-20 17:40:26.197: DirectionIndicator - notify - price/longMA/ShortMA/prevDirection are 1.5154/1.51543030223777/1.51539794420278/-1</t>
  </si>
  <si>
    <t>2015-1-20 17:40:26.198: Algorithm - handleTransition - currentHedgeShortfall is NOT ZERO and AUTOHEDGE IS NOT ENABLED!</t>
  </si>
  <si>
    <t>2015-1-20 17:40:29.226: TransitionLogger - flushFile - flushing file</t>
  </si>
  <si>
    <t>2015-1-20 17:40:29.227: TransitionLogger - openTransitionFile - opening file C:\temp\transitionlog_2015-01-20_153021</t>
  </si>
  <si>
    <t>2015-1-20 17:40:31.41: DirectionIndicator - notify - price/longMA/ShortMA/prevDirection are 1.51545/1.51543388364909/1.51541529613519/-1</t>
  </si>
  <si>
    <t>2015-1-20 17:40:31.43: Algorithm - handleTransition - currentHedgeShortfall is NOT ZERO and AUTOHEDGE IS NOT ENABLED!</t>
  </si>
  <si>
    <t>2015-1-20 17:40:34.522: DirectionIndicator - notify - price/longMA/ShortMA/prevDirection are 1.5154/1.51542772298562/1.51541019742346/-1</t>
  </si>
  <si>
    <t>2015-1-20 17:40:34.523: Algorithm - handleTransition - currentHedgeShortfall is NOT ZERO and AUTOHEDGE IS NOT ENABLED!</t>
  </si>
  <si>
    <t>2015-1-20 17:40:34.573: DirectionIndicator - notify - price/longMA/ShortMA/prevDirection are 1.51535/1.51541359153369/1.51539013161564/-1</t>
  </si>
  <si>
    <t>2015-1-20 17:40:34.574: Algorithm - handleTransition - currentHedgeShortfall is NOT ZERO and AUTOHEDGE IS NOT ENABLED!</t>
  </si>
  <si>
    <t>2015-1-20 17:40:42.898: DirectionIndicator - notify - price/longMA/ShortMA/prevDirection are 1.5153/1.51539293852756/1.51536008774376/-1</t>
  </si>
  <si>
    <t>2015-1-20 17:40:42.898: Algorithm - handleTransition - currentHedgeShortfall is NOT ZERO and AUTOHEDGE IS NOT ENABLED!</t>
  </si>
  <si>
    <t>2015-1-20 17:40:42.945: DirectionIndicator - notify - price/longMA/ShortMA/prevDirection are 1.51525/1.51536694970437/1.51532339182917/-1</t>
  </si>
  <si>
    <t>2015-1-20 17:40:42.946: Algorithm - handleTransition - currentHedgeShortfall is NOT ZERO and AUTOHEDGE IS NOT ENABLED!</t>
  </si>
  <si>
    <t>2015-1-20 17:40:44.105: DirectionIndicator - notify - price/longMA/ShortMA/prevDirection are 1.5153/1.51535477703085/1.51531559455278/-1</t>
  </si>
  <si>
    <t>2015-1-20 17:40:44.106: Algorithm - handleTransition - currentHedgeShortfall is NOT ZERO and AUTOHEDGE IS NOT ENABLED!</t>
  </si>
  <si>
    <t>2015-1-20 17:40:44.183: DirectionIndicator - notify - price/longMA/ShortMA/prevDirection are 1.51535/1.51535390847978/1.51532706303519/-1</t>
  </si>
  <si>
    <t>2015-1-20 17:40:44.183: Algorithm - handleTransition - currentHedgeShortfall is NOT ZERO and AUTOHEDGE IS NOT ENABLED!</t>
  </si>
  <si>
    <t>2015-1-20 17:40:45.115: DirectionIndicator - notify - price/longMA/ShortMA/prevDirection are 1.5153/1.515344106938/1.51531804202346/-1</t>
  </si>
  <si>
    <t>2015-1-20 17:40:45.116: Algorithm - handleTransition - currentHedgeShortfall is NOT ZERO and AUTOHEDGE IS NOT ENABLED!</t>
  </si>
  <si>
    <t>2015-1-20 17:40:45.284: DirectionIndicator - notify - price/longMA/ShortMA/prevDirection are 1.51535/1.51534517840382/1.51532869468231/-1</t>
  </si>
  <si>
    <t>2015-1-20 17:40:45.285: Algorithm - handleTransition - currentHedgeShortfall is NOT ZERO and AUTOHEDGE IS NOT ENABLED!</t>
  </si>
  <si>
    <t>2015-1-20 17:40:45.856: DirectionIndicator - notify - price/longMA/ShortMA/prevDirection are 1.5154/1.51535514596676/1.51535246312154/-1</t>
  </si>
  <si>
    <t>2015-1-20 17:40:45.856: Algorithm - handleTransition - currentHedgeShortfall is NOT ZERO and AUTOHEDGE IS NOT ENABLED!</t>
  </si>
  <si>
    <t>2015-1-20 17:40:45.933: DirectionIndicator - notify - price/longMA/ShortMA/prevDirection are 1.51545/1.51537239215462/1.51538497541436/-1</t>
  </si>
  <si>
    <t>2015-1-20 17:40:45.934: Algorithm - handleTransition - currentHedgeShortfall is NOT ZERO and AUTOHEDGE IS NOT ENABLED!</t>
  </si>
  <si>
    <t>2015-1-20 17:40:54.781: DirectionIndicator - notify - price/longMA/ShortMA/prevDirection are 1.5154/1.51537741176287/1.51538998360957/-1</t>
  </si>
  <si>
    <t>2015-1-20 17:40:54.783: Algorithm - handleTransition - currentHedgeShortfall is NOT ZERO and AUTOHEDGE IS NOT ENABLED!</t>
  </si>
  <si>
    <t>2015-1-20 17:40:59.269: DirectionIndicator - notify - price/longMA/ShortMA/prevDirection are 1.51535/1.51537242780599/1.51537665573971/-1</t>
  </si>
  <si>
    <t>2015-1-20 17:40:59.270: Algorithm - handleTransition - currentHedgeShortfall is NOT ZERO and AUTOHEDGE IS NOT ENABLED!</t>
  </si>
  <si>
    <t>2015-1-20 17:41:8.327: TransitionLogger - flushFile - flushing file</t>
  </si>
  <si>
    <t>2015-1-20 17:41:8.329: TransitionLogger - openTransitionFile - opening file C:\temp\transitionlog_2015-01-20_153021</t>
  </si>
  <si>
    <t>2015-1-20 17:41:19.675: DirectionIndicator - notify - price/longMA/ShortMA/prevDirection are 1.5154/1.51537744093217/1.51538443715981/-1</t>
  </si>
  <si>
    <t>2015-1-20 17:41:19.676: Algorithm - handleTransition - currentHedgeShortfall is NOT ZERO and AUTOHEDGE IS NOT ENABLED!</t>
  </si>
  <si>
    <t>2015-1-20 17:41:20.110: DirectionIndicator - notify - price/longMA/ShortMA/prevDirection are 1.51545/1.51539063348996/1.51540629143987/-1</t>
  </si>
  <si>
    <t>2015-1-20 17:41:20.111: Algorithm - handleTransition - currentHedgeShortfall is NOT ZERO and AUTOHEDGE IS NOT ENABLED!</t>
  </si>
  <si>
    <t>2015-1-20 17:41:27.935: DirectionIndicator - notify - price/longMA/ShortMA/prevDirection are 1.5154/1.51539233649178/1.51540419429325/-1</t>
  </si>
  <si>
    <t>2015-1-20 17:41:27.935: Algorithm - handleTransition - currentHedgeShortfall is NOT ZERO and AUTOHEDGE IS NOT ENABLED!</t>
  </si>
  <si>
    <t>2015-1-20 17:41:28.23: DirectionIndicator - notify - price/longMA/ShortMA/prevDirection are 1.51535/1.51538463894782/1.51538612952883/-1</t>
  </si>
  <si>
    <t>2015-1-20 17:41:28.23: Algorithm - handleTransition - currentHedgeShortfall is NOT ZERO and AUTOHEDGE IS NOT ENABLED!</t>
  </si>
  <si>
    <t>2015-1-20 17:41:28.690: DirectionIndicator - notify - price/longMA/ShortMA/prevDirection are 1.5154/1.5153874318664/1.51539075301922/-1</t>
  </si>
  <si>
    <t>2015-1-20 17:41:28.691: Algorithm - handleTransition - currentHedgeShortfall is NOT ZERO and AUTOHEDGE IS NOT ENABLED!</t>
  </si>
  <si>
    <t>2015-1-20 17:41:29.24: TransitionLogger - flushFile - flushing file</t>
  </si>
  <si>
    <t>2015-1-20 17:41:29.25: TransitionLogger - openTransitionFile - opening file C:\temp\transitionlog_2015-01-20_153021</t>
  </si>
  <si>
    <t>2015-1-20 17:41:29.95: DirectionIndicator - notify - price/longMA/ShortMA/prevDirection are 1.51535/1.51538062607251/1.51537716867948/-1</t>
  </si>
  <si>
    <t>2015-1-20 17:41:29.96: Algorithm - handleTransition - currentHedgeShortfall is NOT ZERO and AUTOHEDGE IS NOT ENABLED!</t>
  </si>
  <si>
    <t>2015-1-20 17:41:30.111: DirectionIndicator - notify - price/longMA/ShortMA/prevDirection are 1.5154/1.51538414860478/1.51538477911965/-1</t>
  </si>
  <si>
    <t>2015-1-20 17:41:30.112: Algorithm - handleTransition - currentHedgeShortfall is NOT ZERO and AUTOHEDGE IS NOT ENABLED!</t>
  </si>
  <si>
    <t>2015-1-20 17:41:30.573: DirectionIndicator - notify - price/longMA/ShortMA/prevDirection are 1.51545/1.51539612158573/1.5154065194131/-1</t>
  </si>
  <si>
    <t>2015-1-20 17:41:30.573: Algorithm - handleTransition - currentHedgeShortfall is NOT ZERO and AUTOHEDGE IS NOT ENABLED!</t>
  </si>
  <si>
    <t>2015-1-20 17:41:46.234: DirectionIndicator - notify - price/longMA/ShortMA/prevDirection are 1.5155/1.51541500857014/1.51543767960874/-1</t>
  </si>
  <si>
    <t>2015-1-20 17:41:46.235: Algorithm - handleTransition - currentHedgeShortfall is NOT ZERO and AUTOHEDGE IS NOT ENABLED!</t>
  </si>
  <si>
    <t>2015-1-20 17:41:46.980: DirectionIndicator - notify - price/longMA/ShortMA/prevDirection are 1.51555/1.51543955246648/1.51547511973916/1</t>
  </si>
  <si>
    <t>2015-1-20 17:41:46.982: Algorithm - handleTransition - currentHedgeShortfall is NOT ZERO and AUTOHEDGE IS NOT ENABLED!</t>
  </si>
  <si>
    <t>2015-1-20 17:42:2.926: DirectionIndicator - notify - price/longMA/ShortMA/prevDirection are 1.5155/1.51545054292712/1.51548341315944/1</t>
  </si>
  <si>
    <t>2015-1-20 17:42:2.927: Algorithm - handleTransition - currentHedgeShortfall is NOT ZERO and AUTOHEDGE IS NOT ENABLED!</t>
  </si>
  <si>
    <t>2015-1-20 17:42:8.189: TransitionLogger - flushFile - flushing file</t>
  </si>
  <si>
    <t>2015-1-20 17:42:8.190: TransitionLogger - openTransitionFile - opening file C:\temp\transitionlog_2015-01-20_153021</t>
  </si>
  <si>
    <t>2015-1-20 17:42:8.234: DirectionIndicator - notify - price/longMA/ShortMA/prevDirection are 1.51555/1.51546862603128/1.51550560877296/1</t>
  </si>
  <si>
    <t>2015-1-20 17:42:8.237: Algorithm - handleTransition - currentHedgeShortfall is NOT ZERO and AUTOHEDGE IS NOT ENABLED!</t>
  </si>
  <si>
    <t>2015-1-20 17:42:11.115: DirectionIndicator - notify - price/longMA/ShortMA/prevDirection are 1.5155/1.51547433038923/1.51550373918197/1</t>
  </si>
  <si>
    <t>2015-1-20 17:42:11.116: Algorithm - handleTransition - currentHedgeShortfall is NOT ZERO and AUTOHEDGE IS NOT ENABLED!</t>
  </si>
  <si>
    <t>2015-1-20 17:42:12.525: DirectionIndicator - notify - price/longMA/ShortMA/prevDirection are 1.51555/1.51548808850028/1.51551915945465/1</t>
  </si>
  <si>
    <t>2015-1-20 17:42:12.527: Algorithm - handleTransition - currentHedgeShortfall is NOT ZERO and AUTOHEDGE IS NOT ENABLED!</t>
  </si>
  <si>
    <t>2015-1-20 17:42:12.990: DirectionIndicator - notify - price/longMA/ShortMA/prevDirection are 1.5155/1.5154902542275/1.51551277296977/1</t>
  </si>
  <si>
    <t>2015-1-20 17:42:12.991: Algorithm - handleTransition - currentHedgeShortfall is NOT ZERO and AUTOHEDGE IS NOT ENABLED!</t>
  </si>
  <si>
    <t>2015-1-20 17:42:17.71: Algorithm - FindNextStrikes - price is 1.5155 nextStrikeUp/Down 1.52/1.515</t>
  </si>
  <si>
    <t>2015-1-20 17:42:17.71: Algorithm - getPortfolioForwardDelta - required deltas is 100 currentHedgePosition is 101</t>
  </si>
  <si>
    <t>2015-1-20 17:42:17.71: Algorithm - getHedgeShortfall - required deltas is 100 price is 1.5156 currentHedgePositionDeltas is 101</t>
  </si>
  <si>
    <t>2015-1-20 17:42:17.72: Algorithm - processTransitionPoint - nextUpper/LowerStrikes are 1.52/1.515 requiredDeltas/currentPosition/currentHedgeShortfall/direction/transitionPrice are 100/101/-1/1/1.5156</t>
  </si>
  <si>
    <t>2015-1-20 17:42:17.72: TransitionLogger - processTransitionpoint - checking transition - currentHedgeShortfall is -1</t>
  </si>
  <si>
    <t>2015-1-20 17:42:17.72: Algorithm - handleTransition - currentHedgeShortfall is NOT ZERO and AUTOHEDGE IS NOT ENABLED!</t>
  </si>
  <si>
    <t>2015-1-20 17:42:17.73: Algorithm - updatePortfolio - haveAllDetails is True</t>
  </si>
  <si>
    <t>2015-1-20 17:42:17.74: RTWSControl - updatePortfolioEx - An Error Occured Object variable or With block variable not set</t>
  </si>
  <si>
    <t>2015-1-20 17:42:17.114: Algorithm - FindNextStrikes - price is 1.5155 nextStrikeUp/Down 1.52/1.515</t>
  </si>
  <si>
    <t>2015-1-20 17:42:17.114: Algorithm - getPortfolioForwardDelta - required deltas is 100 currentHedgePosition is 101</t>
  </si>
  <si>
    <t>2015-1-20 17:42:17.115: Algorithm - getHedgeShortfall - required deltas is 100 price is 1.5156 currentHedgePositionDeltas is 101</t>
  </si>
  <si>
    <t>2015-1-20 17:42:17.115: Algorithm - processTransitionPoint - nextUpper/LowerStrikes are 1.52/1.515 requiredDeltas/currentPosition/currentHedgeShortfall/direction/transitionPrice are 100/101/-1/1/1.5156</t>
  </si>
  <si>
    <t>2015-1-20 17:42:17.115: TransitionLogger - processTransitionpoint - checking transition - currentHedgeShortfall is -1</t>
  </si>
  <si>
    <t>2015-1-20 17:42:17.116: Algorithm - handleTransition - currentHedgeShortfall is NOT ZERO and AUTOHEDGE IS NOT ENABLED!</t>
  </si>
  <si>
    <t>2015-1-20 17:42:17.116: Algorithm - updatePortfolio - haveAllDetails is True</t>
  </si>
  <si>
    <t>2015-1-20 17:42:17.117: RTWSControl - updatePortfolioEx - An Error Occured Object variable or With block variable not set</t>
  </si>
  <si>
    <t>2015-1-20 17:42:17.162: Algorithm - FindNextStrikes - price is 1.5155 nextStrikeUp/Down 1.52/1.515</t>
  </si>
  <si>
    <t>2015-1-20 17:42:17.162: Algorithm - getPortfolioForwardDelta - required deltas is 100 currentHedgePosition is 101</t>
  </si>
  <si>
    <t>2015-1-20 17:42:17.163: Algorithm - getHedgeShortfall - required deltas is 100 price is 1.5156 currentHedgePositionDeltas is 101</t>
  </si>
  <si>
    <t>2015-1-20 17:42:17.163: Algorithm - processTransitionPoint - nextUpper/LowerStrikes are 1.52/1.515 requiredDeltas/currentPosition/currentHedgeShortfall/direction/transitionPrice are 100/101/-1/1/1.5156</t>
  </si>
  <si>
    <t>2015-1-20 17:42:17.163: TransitionLogger - processTransitionpoint - checking transition - currentHedgeShortfall is -1</t>
  </si>
  <si>
    <t>2015-1-20 17:42:17.164: Algorithm - handleTransition - currentHedgeShortfall is NOT ZERO and AUTOHEDGE IS NOT ENABLED!</t>
  </si>
  <si>
    <t>2015-1-20 17:42:17.165: Algorithm - updatePortfolio - haveAllDetails is True</t>
  </si>
  <si>
    <t>2015-1-20 17:42:17.166: RTWSControl - updatePortfolioEx - An Error Occured Object variable or With block variable not set</t>
  </si>
  <si>
    <t>2015-1-20 17:42:17.240: Algorithm - FindNextStrikes - price is 1.5155 nextStrikeUp/Down 1.52/1.515</t>
  </si>
  <si>
    <t>2015-1-20 17:42:17.241: Algorithm - getPortfolioForwardDelta - required deltas is 100 currentHedgePosition is 101</t>
  </si>
  <si>
    <t>2015-1-20 17:42:17.241: Algorithm - getHedgeShortfall - required deltas is 100 price is 1.5156 currentHedgePositionDeltas is 101</t>
  </si>
  <si>
    <t>2015-1-20 17:42:17.241: Algorithm - processTransitionPoint - nextUpper/LowerStrikes are 1.52/1.515 requiredDeltas/currentPosition/currentHedgeShortfall/direction/transitionPrice are 100/101/-1/1/1.5156</t>
  </si>
  <si>
    <t>2015-1-20 17:42:17.242: TransitionLogger - processTransitionpoint - checking transition - currentHedgeShortfall is -1</t>
  </si>
  <si>
    <t>2015-1-20 17:42:17.242: Algorithm - handleTransition - currentHedgeShortfall is NOT ZERO and AUTOHEDGE IS NOT ENABLED!</t>
  </si>
  <si>
    <t>2015-1-20 17:42:17.243: Algorithm - updatePortfolio - haveAllDetails is True</t>
  </si>
  <si>
    <t>2015-1-20 17:42:17.244: RTWSControl - updatePortfolioEx - An Error Occured Object variable or With block variable not set</t>
  </si>
  <si>
    <t>2015-1-20 17:42:17.298: Algorithm - FindNextStrikes - price is 1.5155 nextStrikeUp/Down 1.52/1.515</t>
  </si>
  <si>
    <t>2015-1-20 17:42:17.299: Algorithm - getPortfolioForwardDelta - required deltas is 100 currentHedgePosition is 101</t>
  </si>
  <si>
    <t>2015-1-20 17:42:17.299: Algorithm - getHedgeShortfall - required deltas is 100 price is 1.5156 currentHedgePositionDeltas is 101</t>
  </si>
  <si>
    <t>2015-1-20 17:42:17.300: Algorithm - processTransitionPoint - nextUpper/LowerStrikes are 1.52/1.515 requiredDeltas/currentPosition/currentHedgeShortfall/direction/transitionPrice are 100/101/-1/1/1.5156</t>
  </si>
  <si>
    <t>2015-1-20 17:42:17.300: TransitionLogger - processTransitionpoint - checking transition - currentHedgeShortfall is -1</t>
  </si>
  <si>
    <t>2015-1-20 17:42:17.300: Algorithm - handleTransition - currentHedgeShortfall is NOT ZERO and AUTOHEDGE IS NOT ENABLED!</t>
  </si>
  <si>
    <t>2015-1-20 17:42:17.301: Algorithm - updatePortfolio - haveAllDetails is True</t>
  </si>
  <si>
    <t>2015-1-20 17:42:17.302: RTWSControl - updatePortfolioEx - An Error Occured Object variable or With block variable not set</t>
  </si>
  <si>
    <t>2015-1-20 17:42:17.365: Algorithm - FindNextStrikes - price is 1.5155 nextStrikeUp/Down 1.52/1.515</t>
  </si>
  <si>
    <t>2015-1-20 17:42:17.365: Algorithm - getPortfolioForwardDelta - required deltas is 100 currentHedgePosition is 101</t>
  </si>
  <si>
    <t>2015-1-20 17:42:17.365: Algorithm - getHedgeShortfall - required deltas is 100 price is 1.5156 currentHedgePositionDeltas is 101</t>
  </si>
  <si>
    <t>2015-1-20 17:42:17.366: Algorithm - processTransitionPoint - nextUpper/LowerStrikes are 1.52/1.515 requiredDeltas/currentPosition/currentHedgeShortfall/direction/transitionPrice are 100/101/-1/1/1.5156</t>
  </si>
  <si>
    <t>2015-1-20 17:42:17.366: TransitionLogger - processTransitionpoint - checking transition - currentHedgeShortfall is -1</t>
  </si>
  <si>
    <t>2015-1-20 17:42:17.367: Algorithm - handleTransition - currentHedgeShortfall is NOT ZERO and AUTOHEDGE IS NOT ENABLED!</t>
  </si>
  <si>
    <t>2015-1-20 17:42:17.367: Algorithm - updatePortfolio - haveAllDetails is True</t>
  </si>
  <si>
    <t>2015-1-20 17:42:17.368: RTWSControl - updatePortfolioEx - An Error Occured Object variable or With block variable not set</t>
  </si>
  <si>
    <t>2015-1-20 17:42:22.15: DirectionIndicator - notify - price/longMA/ShortMA/prevDirection are 1.51545/1.51548293527705/1.51549184864651/1</t>
  </si>
  <si>
    <t>2015-1-20 17:42:22.16: Algorithm - handleTransition - currentHedgeShortfall is NOT ZERO and AUTOHEDGE IS NOT ENABLED!</t>
  </si>
  <si>
    <t>2015-1-20 17:42:29.321: TransitionLogger - flushFile - flushing file</t>
  </si>
  <si>
    <t>2015-1-20 17:42:29.322: TransitionLogger - openTransitionFile - opening file C:\temp\transitionlog_2015-01-20_153021</t>
  </si>
  <si>
    <t>2015-1-20 17:42:45.106: DirectionIndicator - notify - price/longMA/ShortMA/prevDirection are 1.5155/1.51548603795395/1.51549456576434/1</t>
  </si>
  <si>
    <t>2015-1-20 17:42:45.107: Algorithm - handleTransition - currentHedgeShortfall is NOT ZERO and AUTOHEDGE IS NOT ENABLED!</t>
  </si>
  <si>
    <t>2015-1-20 17:42:46.434: DirectionIndicator - notify - price/longMA/ShortMA/prevDirection are 1.51555/1.51549766741687/1.51551304384289/1</t>
  </si>
  <si>
    <t>2015-1-20 17:42:46.436: Algorithm - handleTransition - currentHedgeShortfall is NOT ZERO and AUTOHEDGE IS NOT ENABLED!</t>
  </si>
  <si>
    <t>2015-1-20 17:43:8.258: TransitionLogger - flushFile - flushing file</t>
  </si>
  <si>
    <t>2015-1-20 17:43:8.259: TransitionLogger - openTransitionFile - opening file C:\temp\transitionlog_2015-01-20_153021</t>
  </si>
  <si>
    <t>2015-1-20 17:43:13.50: DirectionIndicator - notify - price/longMA/ShortMA/prevDirection are 1.5155/1.51549809152289/1.51550869589526/1</t>
  </si>
  <si>
    <t>2015-1-20 17:43:13.52: Algorithm - handleTransition - currentHedgeShortfall is NOT ZERO and AUTOHEDGE IS NOT ENABLED!</t>
  </si>
  <si>
    <t>2015-1-20 17:43:13.154: DirectionIndicator - notify - price/longMA/ShortMA/prevDirection are 1.51545/1.51548934760964/1.51548913059684/1</t>
  </si>
  <si>
    <t>2015-1-20 17:43:13.155: Algorithm - handleTransition - currentHedgeShortfall is NOT ZERO and AUTOHEDGE IS NOT ENABLED!</t>
  </si>
  <si>
    <t>2015-1-20 17:43:15.529: DirectionIndicator - notify - price/longMA/ShortMA/prevDirection are 1.5154/1.5154731025897/1.51545942039789/1</t>
  </si>
  <si>
    <t>2015-1-20 17:43:15.530: Algorithm - handleTransition - currentHedgeShortfall is NOT ZERO and AUTOHEDGE IS NOT ENABLED!</t>
  </si>
  <si>
    <t>2015-1-20 17:43:15.986: DirectionIndicator - notify - price/longMA/ShortMA/prevDirection are 1.51535/1.51545072030067/1.51542294693193/1</t>
  </si>
  <si>
    <t>2015-1-20 17:43:15.987: Algorithm - handleTransition - currentHedgeShortfall is NOT ZERO and AUTOHEDGE IS NOT ENABLED!</t>
  </si>
  <si>
    <t>2015-1-20 17:43:19.405: DirectionIndicator - notify - price/longMA/ShortMA/prevDirection are 1.5153/1.51542331660964/1.51538196462129/-1</t>
  </si>
  <si>
    <t>2015-1-20 17:43:19.406: Algorithm - handleTransition - currentHedgeShortfall is NOT ZERO and AUTOHEDGE IS NOT ENABLED!</t>
  </si>
  <si>
    <t>2015-1-20 17:43:19.489: DirectionIndicator - notify - price/longMA/ShortMA/prevDirection are 1.51525/1.51539180449879/1.51533797641419/-1</t>
  </si>
  <si>
    <t>2015-1-20 17:43:19.490: Algorithm - handleTransition - currentHedgeShortfall is NOT ZERO and AUTOHEDGE IS NOT ENABLED!</t>
  </si>
  <si>
    <t>2015-1-20 17:43:22.746: DirectionIndicator - notify - price/longMA/ShortMA/prevDirection are 1.5152/1.51535693095356/1.51529198427613/-1</t>
  </si>
  <si>
    <t>2015-1-20 17:43:22.747: Algorithm - handleTransition - currentHedgeShortfall is NOT ZERO and AUTOHEDGE IS NOT ENABLED!</t>
  </si>
  <si>
    <t>2015-1-20 17:43:22.822: DirectionIndicator - notify - price/longMA/ShortMA/prevDirection are 1.51515/1.51531930714382/1.51524465618408/-1</t>
  </si>
  <si>
    <t>2015-1-20 17:43:22.823: Algorithm - handleTransition - currentHedgeShortfall is NOT ZERO and AUTOHEDGE IS NOT ENABLED!</t>
  </si>
  <si>
    <t>2015-1-20 17:43:23.614: DirectionIndicator - notify - price/longMA/ShortMA/prevDirection are 1.5152/1.51529761493585/1.51522977078939/-1</t>
  </si>
  <si>
    <t>2015-1-20 17:43:23.615: Algorithm - handleTransition - currentHedgeShortfall is NOT ZERO and AUTOHEDGE IS NOT ENABLED!</t>
  </si>
  <si>
    <t>2015-1-20 17:43:23.663: DirectionIndicator - notify - price/longMA/ShortMA/prevDirection are 1.51525/1.51528895767479/1.51523651385959/-1</t>
  </si>
  <si>
    <t>2015-1-20 17:43:23.664: Algorithm - handleTransition - currentHedgeShortfall is NOT ZERO and AUTOHEDGE IS NOT ENABLED!</t>
  </si>
  <si>
    <t>2015-1-20 17:43:24.238: DirectionIndicator - notify - price/longMA/ShortMA/prevDirection are 1.5152/1.5152727835521/1.51522434257306/-1</t>
  </si>
  <si>
    <t>2015-1-20 17:43:24.239: Algorithm - handleTransition - currentHedgeShortfall is NOT ZERO and AUTOHEDGE IS NOT ENABLED!</t>
  </si>
  <si>
    <t>2015-1-20 17:43:24.534: DirectionIndicator - notify - price/longMA/ShortMA/prevDirection are 1.51515/1.5152504592699/1.51519956171537/-1</t>
  </si>
  <si>
    <t>2015-1-20 17:43:24.535: Algorithm - handleTransition - currentHedgeShortfall is NOT ZERO and AUTOHEDGE IS NOT ENABLED!</t>
  </si>
  <si>
    <t>2015-1-20 17:43:29.166: TransitionLogger - flushFile - flushing file</t>
  </si>
  <si>
    <t>2015-1-20 17:43:29.167: TransitionLogger - openTransitionFile - opening file C:\temp\transitionlog_2015-01-20_153021</t>
  </si>
  <si>
    <t>2015-1-20 17:43:36.526: DirectionIndicator - notify - price/longMA/ShortMA/prevDirection are 1.5151/1.51522310303901/1.51516637447692/-1</t>
  </si>
  <si>
    <t>2015-1-20 17:43:36.527: Algorithm - handleTransition - currentHedgeShortfall is NOT ZERO and AUTOHEDGE IS NOT ENABLED!</t>
  </si>
  <si>
    <t>2015-1-20 17:43:36.579: DirectionIndicator - notify - price/longMA/ShortMA/prevDirection are 1.51505/1.51519162975919/1.51512758298461/-1</t>
  </si>
  <si>
    <t>2015-1-20 17:43:36.580: Algorithm - handleTransition - currentHedgeShortfall is NOT ZERO and AUTOHEDGE IS NOT ENABLED!</t>
  </si>
  <si>
    <t>2015-1-20 17:43:51.574: DirectionIndicator - notify - price/longMA/ShortMA/prevDirection are 1.515/1.51515678798479/1.51508505532307/-1</t>
  </si>
  <si>
    <t>2015-1-20 17:43:51.575: Algorithm - FindNextStrikes - price is 1.515 nextStrikeUp/Down 1.52/0</t>
  </si>
  <si>
    <t>2015-1-20 17:43:51.575: Algorithm - getPortfolioForwardDelta - required deltas is -200 currentHedgePosition is 101</t>
  </si>
  <si>
    <t>2015-1-20 17:43:51.576: Algorithm - getHedgeShortfall - required deltas is -200 price is 1.5149 currentHedgePositionDeltas is 101</t>
  </si>
  <si>
    <t>2015-1-20 17:43:51.576: Algorithm - processTransitionPoint - nextUpper/LowerStrikes are 1.52/0 requiredDeltas/currentPosition/currentHedgeShortfall/direction/transitionPrice are -200/101/-301/-1/1.5149</t>
  </si>
  <si>
    <t>2015-1-20 17:43:51.577: TransitionLogger - processTransitionpoint - checking transition - currentHedgeShortfall is -301</t>
  </si>
  <si>
    <t>2015-1-20 17:43:51.577: Algorithm - handleTransition - currentHedgeShortfall is NOT ZERO and AUTOHEDGE IS NOT ENABLED!</t>
  </si>
  <si>
    <t>2015-1-20 17:43:51.627: DirectionIndicator - notify - price/longMA/ShortMA/prevDirection are 1.51495/1.51511919016937/1.51504003688205/-1</t>
  </si>
  <si>
    <t>2015-1-20 17:43:51.628: Algorithm - handleTransition - currentHedgeShortfall is NOT ZERO and AUTOHEDGE IS NOT ENABLED!</t>
  </si>
  <si>
    <t>2015-1-20 17:43:52.78: DirectionIndicator - notify - price/longMA/ShortMA/prevDirection are 1.5149/1.51507933741131/1.51499335792137/-1</t>
  </si>
  <si>
    <t>2015-1-20 17:43:52.79: Algorithm - handleTransition - currentHedgeShortfall is NOT ZERO and AUTOHEDGE IS NOT ENABLED!</t>
  </si>
  <si>
    <t>2015-1-20 17:43:52.795: DirectionIndicator - notify - price/longMA/ShortMA/prevDirection are 1.51495/1.51505582151834/1.51497890528091/-1</t>
  </si>
  <si>
    <t>2015-1-20 17:43:52.796: Algorithm - handleTransition - currentHedgeShortfall is NOT ZERO and AUTOHEDGE IS NOT ENABLED!</t>
  </si>
  <si>
    <t>2015-1-20 17:43:53.31: DirectionIndicator - notify - price/longMA/ShortMA/prevDirection are 1.5149/1.51502749033319/1.51495260352061/-1</t>
  </si>
  <si>
    <t>2015-1-20 17:43:53.32: Algorithm - handleTransition - currentHedgeShortfall is NOT ZERO and AUTOHEDGE IS NOT ENABLED!</t>
  </si>
  <si>
    <t>2015-1-20 17:43:53.707: DirectionIndicator - notify - price/longMA/ShortMA/prevDirection are 1.51495/1.5150134011817/1.5149517356804/-1</t>
  </si>
  <si>
    <t>2015-1-20 17:43:53.708: Algorithm - handleTransition - currentHedgeShortfall is NOT ZERO and AUTOHEDGE IS NOT ENABLED!</t>
  </si>
  <si>
    <t>2015-1-20 17:44:0.95: DirectionIndicator - notify - price/longMA/ShortMA/prevDirection are 1.515/1.51501096460321/1.51496782378694/-1</t>
  </si>
  <si>
    <t>2015-1-20 17:44:0.96: Algorithm - handleTransition - currentHedgeShortfall is NOT ZERO and AUTOHEDGE IS NOT ENABLED!</t>
  </si>
  <si>
    <t>2015-1-20 17:44:1.42: DirectionIndicator - notify - price/longMA/ShortMA/prevDirection are 1.51505/1.51501806194808/1.51499521585796/-1</t>
  </si>
  <si>
    <t>2015-1-20 17:44:1.43: Algorithm - handleTransition - currentHedgeShortfall is NOT ZERO and AUTOHEDGE IS NOT ENABLED!</t>
  </si>
  <si>
    <t>2015-1-20 17:44:2.601: DirectionIndicator - notify - price/longMA/ShortMA/prevDirection are 1.515/1.51501477795752/1.51499681057197/-1</t>
  </si>
  <si>
    <t>2015-1-20 17:44:2.602: Algorithm - handleTransition - currentHedgeShortfall is NOT ZERO and AUTOHEDGE IS NOT ENABLED!</t>
  </si>
  <si>
    <t>2015-1-20 17:44:2.693: DirectionIndicator - notify - price/longMA/ShortMA/prevDirection are 1.51495/1.51500300014706/1.51498120704798/-1</t>
  </si>
  <si>
    <t>2015-1-20 17:44:2.694: Algorithm - handleTransition - currentHedgeShortfall is NOT ZERO and AUTOHEDGE IS NOT ENABLED!</t>
  </si>
  <si>
    <t>2015-1-20 17:44:5.866: DirectionIndicator - notify - price/longMA/ShortMA/prevDirection are 1.5149/1.5149842728476/1.51495413803199/-1</t>
  </si>
  <si>
    <t>2015-1-20 17:44:5.867: Algorithm - handleTransition - currentHedgeShortfall is NOT ZERO and AUTOHEDGE IS NOT ENABLED!</t>
  </si>
  <si>
    <t>2015-1-20 17:44:6.205: DirectionIndicator - notify - price/longMA/ShortMA/prevDirection are 1.51485/1.51495985960258/1.51491942535466/-1</t>
  </si>
  <si>
    <t>2015-1-20 17:44:6.206: Algorithm - handleTransition - currentHedgeShortfall is NOT ZERO and AUTOHEDGE IS NOT ENABLED!</t>
  </si>
  <si>
    <t>2015-1-20 17:44:8.20: TransitionLogger - flushFile - flushing file</t>
  </si>
  <si>
    <t>2015-1-20 17:44:8.20: TransitionLogger - openTransitionFile - opening file C:\temp\transitionlog_2015-01-20_153021</t>
  </si>
  <si>
    <t>2015-1-20 17:44:18.493: DirectionIndicator - notify - price/longMA/ShortMA/prevDirection are 1.5149/1.51494897603847/1.51491295023644/-1</t>
  </si>
  <si>
    <t>2015-1-20 17:44:18.494: Algorithm - handleTransition - currentHedgeShortfall is NOT ZERO and AUTOHEDGE IS NOT ENABLED!</t>
  </si>
  <si>
    <t>2015-1-20 17:44:18.544: DirectionIndicator - notify - price/longMA/ShortMA/prevDirection are 1.51495/1.5149491622133/1.51492530015763/-1</t>
  </si>
  <si>
    <t>2015-1-20 17:44:18.545: Algorithm - handleTransition - currentHedgeShortfall is NOT ZERO and AUTOHEDGE IS NOT ENABLED!</t>
  </si>
  <si>
    <t>2015-1-20 17:44:22.723: DirectionIndicator - notify - price/longMA/ShortMA/prevDirection are 1.515/1.51495840544724/1.51495020010508/-1</t>
  </si>
  <si>
    <t>2015-1-20 17:44:22.723: Algorithm - handleTransition - currentHedgeShortfall is NOT ZERO and AUTOHEDGE IS NOT ENABLED!</t>
  </si>
  <si>
    <t>2015-1-20 17:44:22.784: DirectionIndicator - notify - price/longMA/ShortMA/prevDirection are 1.51505/1.51497505900229/1.51498346673672/-1</t>
  </si>
  <si>
    <t>2015-1-20 17:44:22.785: Algorithm - handleTransition - currentHedgeShortfall is NOT ZERO and AUTOHEDGE IS NOT ENABLED!</t>
  </si>
  <si>
    <t>2015-1-20 17:44:23.330: DirectionIndicator - notify - price/longMA/ShortMA/prevDirection are 1.515/1.51497959372915/1.51498897782448/-1</t>
  </si>
  <si>
    <t>2015-1-20 17:44:23.331: Algorithm - handleTransition - currentHedgeShortfall is NOT ZERO and AUTOHEDGE IS NOT ENABLED!</t>
  </si>
  <si>
    <t>2015-1-20 17:44:24.363: DirectionIndicator - notify - price/longMA/ShortMA/prevDirection are 1.51505/1.5149923948693/1.51500931854965/-1</t>
  </si>
  <si>
    <t>2015-1-20 17:44:24.363: Algorithm - handleTransition - currentHedgeShortfall is NOT ZERO and AUTOHEDGE IS NOT ENABLED!</t>
  </si>
  <si>
    <t>2015-1-20 17:44:25.871: DirectionIndicator - notify - price/longMA/ShortMA/prevDirection are 1.5151/1.51501195943852/1.51503954569977/-1</t>
  </si>
  <si>
    <t>2015-1-20 17:44:25.872: Algorithm - handleTransition - currentHedgeShortfall is NOT ZERO and AUTOHEDGE IS NOT ENABLED!</t>
  </si>
  <si>
    <t>2015-1-20 17:44:25.945: DirectionIndicator - notify - price/longMA/ShortMA/prevDirection are 1.51515/1.51503705772242/1.51507636379985/1</t>
  </si>
  <si>
    <t>2015-1-20 17:44:25.946: Algorithm - handleTransition - currentHedgeShortfall is NOT ZERO and AUTOHEDGE IS NOT ENABLED!</t>
  </si>
  <si>
    <t>2015-1-20 17:44:26.243: DirectionIndicator - notify - price/longMA/ShortMA/prevDirection are 1.5151/1.51504850177289/1.51508424253323/1</t>
  </si>
  <si>
    <t>2015-1-20 17:44:26.244: Algorithm - handleTransition - currentHedgeShortfall is NOT ZERO and AUTOHEDGE IS NOT ENABLED!</t>
  </si>
  <si>
    <t>2015-1-20 17:44:26.291: DirectionIndicator - notify - price/longMA/ShortMA/prevDirection are 1.51505/1.51504877417782/1.51507282835549/1</t>
  </si>
  <si>
    <t>2015-1-20 17:44:26.291: Algorithm - handleTransition - currentHedgeShortfall is NOT ZERO and AUTOHEDGE IS NOT ENABLED!</t>
  </si>
  <si>
    <t>2015-1-20 17:44:29.128: TransitionLogger - flushFile - flushing file</t>
  </si>
  <si>
    <t>2015-1-20 17:44:29.128: TransitionLogger - openTransitionFile - opening file C:\temp\transitionlog_2015-01-20_153021</t>
  </si>
  <si>
    <t>2015-1-20 17:44:40.134: DirectionIndicator - notify - price/longMA/ShortMA/prevDirection are 1.5151/1.51505808796367/1.51508188557032/1</t>
  </si>
  <si>
    <t>2015-1-20 17:44:40.137: Algorithm - handleTransition - currentHedgeShortfall is NOT ZERO and AUTOHEDGE IS NOT ENABLED!</t>
  </si>
  <si>
    <t>2015-1-20 17:44:44.845: DirectionIndicator - notify - price/longMA/ShortMA/prevDirection are 1.51505/1.51505661742482/1.51507125704688/1</t>
  </si>
  <si>
    <t>2015-1-20 17:44:44.847: Algorithm - handleTransition - currentHedgeShortfall is NOT ZERO and AUTOHEDGE IS NOT ENABLED!</t>
  </si>
  <si>
    <t>2015-1-20 17:44:47.335: DirectionIndicator - notify - price/longMA/ShortMA/prevDirection are 1.5151/1.51506450516576/1.51508083803126/1</t>
  </si>
  <si>
    <t>2015-1-20 17:44:47.336: Algorithm - handleTransition - currentHedgeShortfall is NOT ZERO and AUTOHEDGE IS NOT ENABLED!</t>
  </si>
  <si>
    <t>2015-1-20 17:44:47.413: DirectionIndicator - notify - price/longMA/ShortMA/prevDirection are 1.51515/1.51508004968108/1.51510389202084/1</t>
  </si>
  <si>
    <t>2015-1-20 17:44:47.413: Algorithm - handleTransition - currentHedgeShortfall is NOT ZERO and AUTOHEDGE IS NOT ENABLED!</t>
  </si>
  <si>
    <t>2015-1-20 17:44:47.749: DirectionIndicator - notify - price/longMA/ShortMA/prevDirection are 1.5151/1.51508367701179/1.51510259468056/1</t>
  </si>
  <si>
    <t>2015-1-20 17:44:47.750: Algorithm - handleTransition - currentHedgeShortfall is NOT ZERO and AUTOHEDGE IS NOT ENABLED!</t>
  </si>
  <si>
    <t>2015-1-20 17:44:48.827: DirectionIndicator - notify - price/longMA/ShortMA/prevDirection are 1.51515/1.51509573573692/1.51511839645371/1</t>
  </si>
  <si>
    <t>2015-1-20 17:44:48.828: Algorithm - handleTransition - currentHedgeShortfall is NOT ZERO and AUTOHEDGE IS NOT ENABLED!</t>
  </si>
  <si>
    <t>2015-1-20 17:44:49.79: DirectionIndicator - notify - price/longMA/ShortMA/prevDirection are 1.5151/1.51509651105748/1.51511226430247/1</t>
  </si>
  <si>
    <t>2015-1-20 17:44:49.79: Algorithm - handleTransition - currentHedgeShortfall is NOT ZERO and AUTOHEDGE IS NOT ENABLED!</t>
  </si>
  <si>
    <t>2015-1-20 17:45:1.99: DirectionIndicator - notify - price/longMA/ShortMA/prevDirection are 1.51515/1.51510623631976/1.51512484286831/1</t>
  </si>
  <si>
    <t>2015-1-20 17:45:1.99: Algorithm - handleTransition - currentHedgeShortfall is NOT ZERO and AUTOHEDGE IS NOT ENABLED!</t>
  </si>
  <si>
    <t>2015-1-20 17:45:8.64: TransitionLogger - flushFile - flushing file</t>
  </si>
  <si>
    <t>2015-1-20 17:45:8.65: TransitionLogger - openTransitionFile - opening file C:\temp\transitionlog_2015-01-20_153021</t>
  </si>
  <si>
    <t>2015-1-20 17:45:17.40: Algorithm - FindNextStrikes - price is 1.51515 nextStrikeUp/Down 1.52/1.515</t>
  </si>
  <si>
    <t>2015-1-20 17:45:17.41: Algorithm - getPortfolioForwardDelta - required deltas is 100 currentHedgePosition is 101</t>
  </si>
  <si>
    <t>2015-1-20 17:45:17.41: Algorithm - getHedgeShortfall - required deltas is 100 price is 1.51525 currentHedgePositionDeltas is 101</t>
  </si>
  <si>
    <t>2015-1-20 17:45:17.42: Algorithm - processTransitionPoint - nextUpper/LowerStrikes are 1.52/1.515 requiredDeltas/currentPosition/currentHedgeShortfall/direction/transitionPrice are 100/101/-1/1/1.51525</t>
  </si>
  <si>
    <t>2015-1-20 17:45:17.42: TransitionLogger - processTransitionpoint - checking transition - currentHedgeShortfall is -1</t>
  </si>
  <si>
    <t>2015-1-20 17:45:17.42: Algorithm - handleTransition - currentHedgeShortfall is NOT ZERO and AUTOHEDGE IS NOT ENABLED!</t>
  </si>
  <si>
    <t>2015-1-20 17:45:17.43: Algorithm - updatePortfolio - haveAllDetails is True</t>
  </si>
  <si>
    <t>2015-1-20 17:45:17.44: RTWSControl - updatePortfolioEx - An Error Occured Object variable or With block variable not set</t>
  </si>
  <si>
    <t>2015-1-20 17:45:17.85: Algorithm - FindNextStrikes - price is 1.51515 nextStrikeUp/Down 1.52/1.515</t>
  </si>
  <si>
    <t>2015-1-20 17:45:17.85: Algorithm - getPortfolioForwardDelta - required deltas is 100 currentHedgePosition is 101</t>
  </si>
  <si>
    <t>2015-1-20 17:45:17.86: Algorithm - getHedgeShortfall - required deltas is 100 price is 1.51525 currentHedgePositionDeltas is 101</t>
  </si>
  <si>
    <t>2015-1-20 17:45:17.86: Algorithm - processTransitionPoint - nextUpper/LowerStrikes are 1.52/1.515 requiredDeltas/currentPosition/currentHedgeShortfall/direction/transitionPrice are 100/101/-1/1/1.51525</t>
  </si>
  <si>
    <t>2015-1-20 17:45:17.87: TransitionLogger - processTransitionpoint - checking transition - currentHedgeShortfall is -1</t>
  </si>
  <si>
    <t>2015-1-20 17:45:17.87: Algorithm - handleTransition - currentHedgeShortfall is NOT ZERO and AUTOHEDGE IS NOT ENABLED!</t>
  </si>
  <si>
    <t>2015-1-20 17:45:17.88: Algorithm - updatePortfolio - haveAllDetails is True</t>
  </si>
  <si>
    <t>2015-1-20 17:45:17.89: RTWSControl - updatePortfolioEx - An Error Occured Object variable or With block variable not set</t>
  </si>
  <si>
    <t>2015-1-20 17:45:17.132: Algorithm - FindNextStrikes - price is 1.51515 nextStrikeUp/Down 1.52/1.515</t>
  </si>
  <si>
    <t>2015-1-20 17:45:17.132: Algorithm - getPortfolioForwardDelta - required deltas is 100 currentHedgePosition is 101</t>
  </si>
  <si>
    <t>2015-1-20 17:45:17.133: Algorithm - getHedgeShortfall - required deltas is 100 price is 1.51525 currentHedgePositionDeltas is 101</t>
  </si>
  <si>
    <t>2015-1-20 17:45:17.133: Algorithm - processTransitionPoint - nextUpper/LowerStrikes are 1.52/1.515 requiredDeltas/currentPosition/currentHedgeShortfall/direction/transitionPrice are 100/101/-1/1/1.51525</t>
  </si>
  <si>
    <t>2015-1-20 17:45:17.133: TransitionLogger - processTransitionpoint - checking transition - currentHedgeShortfall is -1</t>
  </si>
  <si>
    <t>2015-1-20 17:45:17.134: Algorithm - handleTransition - currentHedgeShortfall is NOT ZERO and AUTOHEDGE IS NOT ENABLED!</t>
  </si>
  <si>
    <t>2015-1-20 17:45:17.134: Algorithm - updatePortfolio - haveAllDetails is True</t>
  </si>
  <si>
    <t>2015-1-20 17:45:17.136: RTWSControl - updatePortfolioEx - An Error Occured Object variable or With block variable not set</t>
  </si>
  <si>
    <t>2015-1-20 17:45:17.210: Algorithm - FindNextStrikes - price is 1.51515 nextStrikeUp/Down 1.52/1.515</t>
  </si>
  <si>
    <t>2015-1-20 17:45:17.210: Algorithm - getPortfolioForwardDelta - required deltas is 100 currentHedgePosition is 101</t>
  </si>
  <si>
    <t>2015-1-20 17:45:17.211: Algorithm - getHedgeShortfall - required deltas is 100 price is 1.51525 currentHedgePositionDeltas is 101</t>
  </si>
  <si>
    <t>2015-1-20 17:45:17.211: Algorithm - processTransitionPoint - nextUpper/LowerStrikes are 1.52/1.515 requiredDeltas/currentPosition/currentHedgeShortfall/direction/transitionPrice are 100/101/-1/1/1.51525</t>
  </si>
  <si>
    <t>2015-1-20 17:45:17.211: TransitionLogger - processTransitionpoint - checking transition - currentHedgeShortfall is -1</t>
  </si>
  <si>
    <t>2015-1-20 17:45:17.212: Algorithm - handleTransition - currentHedgeShortfall is NOT ZERO and AUTOHEDGE IS NOT ENABLED!</t>
  </si>
  <si>
    <t>2015-1-20 17:45:17.212: Algorithm - updatePortfolio - haveAllDetails is True</t>
  </si>
  <si>
    <t>2015-1-20 17:45:17.214: RTWSControl - updatePortfolioEx - An Error Occured Object variable or With block variable not set</t>
  </si>
  <si>
    <t>2015-1-20 17:45:17.267: Algorithm - FindNextStrikes - price is 1.51515 nextStrikeUp/Down 1.52/1.515</t>
  </si>
  <si>
    <t>2015-1-20 17:45:17.267: Algorithm - getPortfolioForwardDelta - required deltas is 100 currentHedgePosition is 101</t>
  </si>
  <si>
    <t>2015-1-20 17:45:17.268: Algorithm - getHedgeShortfall - required deltas is 100 price is 1.51525 currentHedgePositionDeltas is 101</t>
  </si>
  <si>
    <t>2015-1-20 17:45:17.268: Algorithm - processTransitionPoint - nextUpper/LowerStrikes are 1.52/1.515 requiredDeltas/currentPosition/currentHedgeShortfall/direction/transitionPrice are 100/101/-1/1/1.51525</t>
  </si>
  <si>
    <t>2015-1-20 17:45:17.268: TransitionLogger - processTransitionpoint - checking transition - currentHedgeShortfall is -1</t>
  </si>
  <si>
    <t>2015-1-20 17:45:17.269: Algorithm - handleTransition - currentHedgeShortfall is NOT ZERO and AUTOHEDGE IS NOT ENABLED!</t>
  </si>
  <si>
    <t>2015-1-20 17:45:17.270: Algorithm - updatePortfolio - haveAllDetails is True</t>
  </si>
  <si>
    <t>2015-1-20 17:45:17.271: RTWSControl - updatePortfolioEx - An Error Occured Object variable or With block variable not set</t>
  </si>
  <si>
    <t>2015-1-20 17:45:17.337: Algorithm - FindNextStrikes - price is 1.51515 nextStrikeUp/Down 1.52/1.515</t>
  </si>
  <si>
    <t>2015-1-20 17:45:17.337: Algorithm - getPortfolioForwardDelta - required deltas is 100 currentHedgePosition is 101</t>
  </si>
  <si>
    <t>2015-1-20 17:45:17.338: Algorithm - getHedgeShortfall - required deltas is 100 price is 1.51525 currentHedgePositionDeltas is 101</t>
  </si>
  <si>
    <t>2015-1-20 17:45:17.338: Algorithm - processTransitionPoint - nextUpper/LowerStrikes are 1.52/1.515 requiredDeltas/currentPosition/currentHedgeShortfall/direction/transitionPrice are 100/101/-1/1/1.51525</t>
  </si>
  <si>
    <t>2015-1-20 17:45:17.339: TransitionLogger - processTransitionpoint - checking transition - currentHedgeShortfall is -1</t>
  </si>
  <si>
    <t>2015-1-20 17:45:17.339: Algorithm - handleTransition - currentHedgeShortfall is NOT ZERO and AUTOHEDGE IS NOT ENABLED!</t>
  </si>
  <si>
    <t>2015-1-20 17:45:17.340: Algorithm - updatePortfolio - haveAllDetails is True</t>
  </si>
  <si>
    <t>2015-1-20 17:45:17.341: RTWSControl - updatePortfolioEx - An Error Occured Object variable or With block variable not set</t>
  </si>
  <si>
    <t>2015-1-20 17:45:19.713: DirectionIndicator - notify - price/longMA/ShortMA/prevDirection are 1.5152/1.51512328426162/1.51514989524554/1</t>
  </si>
  <si>
    <t>2015-1-20 17:45:19.714: Algorithm - handleTransition - currentHedgeShortfall is NOT ZERO and AUTOHEDGE IS NOT ENABLED!</t>
  </si>
  <si>
    <t>2015-1-20 17:45:22.496: DirectionIndicator - notify - price/longMA/ShortMA/prevDirection are 1.51515/1.5151281416686/1.5151499301637/1</t>
  </si>
  <si>
    <t>2015-1-20 17:45:22.497: Algorithm - handleTransition - currentHedgeShortfall is NOT ZERO and AUTOHEDGE IS NOT ENABLED!</t>
  </si>
  <si>
    <t>2015-1-20 17:45:24.208: DirectionIndicator - notify - price/longMA/ShortMA/prevDirection are 1.5151/1.51512302500158/1.5151332867758/1</t>
  </si>
  <si>
    <t>2015-1-20 17:45:24.208: Algorithm - handleTransition - currentHedgeShortfall is NOT ZERO and AUTOHEDGE IS NOT ENABLED!</t>
  </si>
  <si>
    <t>2015-1-20 17:45:24.384: DirectionIndicator - notify - price/longMA/ShortMA/prevDirection are 1.51505/1.51510974772857/1.5151055245172/1</t>
  </si>
  <si>
    <t>2015-1-20 17:45:24.384: Algorithm - handleTransition - currentHedgeShortfall is NOT ZERO and AUTOHEDGE IS NOT ENABLED!</t>
  </si>
  <si>
    <t>2015-1-20 17:45:26.502: DirectionIndicator - notify - price/longMA/ShortMA/prevDirection are 1.515/1.5150897935961/1.51507034967813/1</t>
  </si>
  <si>
    <t>2015-1-20 17:45:26.504: Algorithm - FindNextStrikes - price is 1.515 nextStrikeUp/Down 1.52/0</t>
  </si>
  <si>
    <t>2015-1-20 17:45:26.505: Algorithm - getPortfolioForwardDelta - required deltas is 100 currentHedgePosition is 101</t>
  </si>
  <si>
    <t>2015-1-20 17:45:26.507: Algorithm - getHedgeShortfall - required deltas is 100 price is 1.5151 currentHedgePositionDeltas is 101</t>
  </si>
  <si>
    <t>2015-1-20 17:45:26.508: Algorithm - processTransitionPoint - nextUpper/LowerStrikes are 1.52/0 requiredDeltas/currentPosition/currentHedgeShortfall/direction/transitionPrice are 100/101/-1/1/1.5151</t>
  </si>
  <si>
    <t>2015-1-20 17:45:26.509: TransitionLogger - processTransitionpoint - checking transition - currentHedgeShortfall is -1</t>
  </si>
  <si>
    <t>2015-1-20 17:45:26.510: Algorithm - handleTransition - currentHedgeShortfall is NOT ZERO and AUTOHEDGE IS NOT ENABLED!</t>
  </si>
  <si>
    <t>2015-1-20 17:45:26.623: DirectionIndicator - notify - price/longMA/ShortMA/prevDirection are 1.51495/1.51506437657863/1.51503023311875/1</t>
  </si>
  <si>
    <t>2015-1-20 17:45:26.624: Algorithm - handleTransition - currentHedgeShortfall is NOT ZERO and AUTOHEDGE IS NOT ENABLED!</t>
  </si>
  <si>
    <t>2015-1-20 17:45:29.2: TransitionLogger - flushFile - flushing file</t>
  </si>
  <si>
    <t>2015-1-20 17:45:29.3: TransitionLogger - openTransitionFile - opening file C:\temp\transitionlog_2015-01-20_153021</t>
  </si>
  <si>
    <t>2015-1-20 17:46:2.158: DirectionIndicator - notify - price/longMA/ShortMA/prevDirection are 1.515/1.51505267174615/1.5150201554125/-1</t>
  </si>
  <si>
    <t>2015-1-20 17:46:2.158: Algorithm - handleTransition - currentHedgeShortfall is NOT ZERO and AUTOHEDGE IS NOT ENABLED!</t>
  </si>
  <si>
    <t>2015-1-20 17:46:2.244: DirectionIndicator - notify - price/longMA/ShortMA/prevDirection are 1.51505/1.51505218597412/1.51503010360834/-1</t>
  </si>
  <si>
    <t>2015-1-20 17:46:2.245: Algorithm - handleTransition - currentHedgeShortfall is NOT ZERO and AUTOHEDGE IS NOT ENABLED!</t>
  </si>
  <si>
    <t>2015-1-20 17:46:8.313: TransitionLogger - flushFile - flushing file</t>
  </si>
  <si>
    <t>2015-1-20 17:46:8.314: TransitionLogger - openTransitionFile - opening file C:\temp\transitionlog_2015-01-20_153021</t>
  </si>
  <si>
    <t>2015-1-20 17:46:29.840: TransitionLogger - flushFile - flushing file</t>
  </si>
  <si>
    <t>2015-1-20 17:46:29.841: TransitionLogger - openTransitionFile - opening file C:\temp\transitionlog_2015-01-20_153021</t>
  </si>
  <si>
    <t>2015-1-20 17:46:32.636: DirectionIndicator - notify - price/longMA/ShortMA/prevDirection are 1.5151/1.51506087943337/1.51505340240556/-1</t>
  </si>
  <si>
    <t>2015-1-20 17:46:32.637: Algorithm - handleTransition - currentHedgeShortfall is NOT ZERO and AUTOHEDGE IS NOT ENABLED!</t>
  </si>
  <si>
    <t>2015-1-20 17:46:32.703: DirectionIndicator - notify - price/longMA/ShortMA/prevDirection are 1.51515/1.51507708317276/1.5150856016037/-1</t>
  </si>
  <si>
    <t>2015-1-20 17:46:32.704: Algorithm - handleTransition - currentHedgeShortfall is NOT ZERO and AUTOHEDGE IS NOT ENABLED!</t>
  </si>
  <si>
    <t>2015-1-20 17:46:47.967: DirectionIndicator - notify - price/longMA/ShortMA/prevDirection are 1.5151/1.51508124986862/1.51509040106914/-1</t>
  </si>
  <si>
    <t>2015-1-20 17:46:47.967: Algorithm - handleTransition - currentHedgeShortfall is NOT ZERO and AUTOHEDGE IS NOT ENABLED!</t>
  </si>
  <si>
    <t>2015-1-20 17:46:54.387: DirectionIndicator - notify - price/longMA/ShortMA/prevDirection are 1.51515/1.51509374989251/1.51511026737942/-1</t>
  </si>
  <si>
    <t>2015-1-20 17:46:54.390: Algorithm - handleTransition - currentHedgeShortfall is NOT ZERO and AUTOHEDGE IS NOT ENABLED!</t>
  </si>
  <si>
    <t>2015-1-20 17:46:55.880: DirectionIndicator - notify - price/longMA/ShortMA/prevDirection are 1.5152/1.51511306809387/1.51514017825295/-1</t>
  </si>
  <si>
    <t>2015-1-20 17:46:55.880: Algorithm - handleTransition - currentHedgeShortfall is NOT ZERO and AUTOHEDGE IS NOT ENABLED!</t>
  </si>
  <si>
    <t>2015-1-20 17:46:56.547: DirectionIndicator - notify - price/longMA/ShortMA/prevDirection are 1.51525/1.51513796480408/1.51517678550197/1</t>
  </si>
  <si>
    <t>2015-1-20 17:46:56.548: Algorithm - handleTransition - currentHedgeShortfall is NOT ZERO and AUTOHEDGE IS NOT ENABLED!</t>
  </si>
  <si>
    <t>2015-1-20 17:46:57.46: DirectionIndicator - notify - price/longMA/ShortMA/prevDirection are 1.5152/1.51514924393061/1.51518452366798/1</t>
  </si>
  <si>
    <t>2015-1-20 17:46:57.47: Algorithm - handleTransition - currentHedgeShortfall is NOT ZERO and AUTOHEDGE IS NOT ENABLED!</t>
  </si>
  <si>
    <t>2015-1-20 17:47:2.8: DirectionIndicator - notify - price/longMA/ShortMA/prevDirection are 1.51525/1.51516756321595/1.51520634911199/1</t>
  </si>
  <si>
    <t>2015-1-20 17:47:2.10: Algorithm - handleTransition - currentHedgeShortfall is NOT ZERO and AUTOHEDGE IS NOT ENABLED!</t>
  </si>
  <si>
    <t>2015-1-20 17:47:8.17: TransitionLogger - flushFile - flushing file</t>
  </si>
  <si>
    <t>2015-1-20 17:47:8.19: TransitionLogger - openTransitionFile - opening file C:\temp\transitionlog_2015-01-20_153021</t>
  </si>
  <si>
    <t>2015-1-20 17:47:29.144: TransitionLogger - flushFile - flushing file</t>
  </si>
  <si>
    <t>2015-1-20 17:47:29.145: TransitionLogger - openTransitionFile - opening file C:\temp\transitionlog_2015-01-20_153021</t>
  </si>
  <si>
    <t>2015-1-20 17:47:34.331: DirectionIndicator - notify - price/longMA/ShortMA/prevDirection are 1.5153/1.51519164263123/1.51523756607466/1</t>
  </si>
  <si>
    <t>2015-1-20 17:47:34.332: Algorithm - handleTransition - currentHedgeShortfall is NOT ZERO and AUTOHEDGE IS NOT ENABLED!</t>
  </si>
  <si>
    <t>2015-1-20 17:47:34.387: DirectionIndicator - notify - price/longMA/ShortMA/prevDirection are 1.51535/1.5152204348801/1.51527504404977/1</t>
  </si>
  <si>
    <t>2015-1-20 17:47:34.388: Algorithm - handleTransition - currentHedgeShortfall is NOT ZERO and AUTOHEDGE IS NOT ENABLED!</t>
  </si>
  <si>
    <t>2015-1-20 17:47:35.973: DirectionIndicator - notify - price/longMA/ShortMA/prevDirection are 1.5154/1.51525308308372/1.51531669603318/1</t>
  </si>
  <si>
    <t>2015-1-20 17:47:35.974: Algorithm - handleTransition - currentHedgeShortfall is NOT ZERO and AUTOHEDGE IS NOT ENABLED!</t>
  </si>
  <si>
    <t>2015-1-20 17:47:37.7: DirectionIndicator - notify - price/longMA/ShortMA/prevDirection are 1.51535/1.51527070434122/1.51532779735545/1</t>
  </si>
  <si>
    <t>2015-1-20 17:47:37.8: Algorithm - handleTransition - currentHedgeShortfall is NOT ZERO and AUTOHEDGE IS NOT ENABLED!</t>
  </si>
  <si>
    <t>2015-1-20 17:47:38.62: DirectionIndicator - notify - price/longMA/ShortMA/prevDirection are 1.5154/1.51529421264282/1.51535186490364/1</t>
  </si>
  <si>
    <t>2015-1-20 17:47:38.64: Algorithm - handleTransition - currentHedgeShortfall is NOT ZERO and AUTOHEDGE IS NOT ENABLED!</t>
  </si>
  <si>
    <t>2015-1-20 17:47:39.60: DirectionIndicator - notify - price/longMA/ShortMA/prevDirection are 1.51535/1.51530435579867/1.51535124326909/1</t>
  </si>
  <si>
    <t>2015-1-20 17:47:39.62: Algorithm - handleTransition - currentHedgeShortfall is NOT ZERO and AUTOHEDGE IS NOT ENABLED!</t>
  </si>
  <si>
    <t>2015-1-20 17:47:51.886: DirectionIndicator - notify - price/longMA/ShortMA/prevDirection are 1.5153/1.51530356383528/1.51533416217939/1</t>
  </si>
  <si>
    <t>2015-1-20 17:47:51.887: Algorithm - handleTransition - currentHedgeShortfall is NOT ZERO and AUTOHEDGE IS NOT ENABLED!</t>
  </si>
  <si>
    <t>2015-1-20 17:47:51.960: DirectionIndicator - notify - price/longMA/ShortMA/prevDirection are 1.51525/1.51529382495613/1.5153061081196/1</t>
  </si>
  <si>
    <t>2015-1-20 17:47:51.960: Algorithm - handleTransition - currentHedgeShortfall is NOT ZERO and AUTOHEDGE IS NOT ENABLED!</t>
  </si>
  <si>
    <t>2015-1-20 17:47:53.538: DirectionIndicator - notify - price/longMA/ShortMA/prevDirection are 1.5153/1.51529494769138/1.51530407207973/1</t>
  </si>
  <si>
    <t>2015-1-20 17:47:53.538: Algorithm - handleTransition - currentHedgeShortfall is NOT ZERO and AUTOHEDGE IS NOT ENABLED!</t>
  </si>
  <si>
    <t>2015-1-20 17:47:54.847: DirectionIndicator - notify - price/longMA/ShortMA/prevDirection are 1.51525/1.51528677538386/1.51528604805315/1</t>
  </si>
  <si>
    <t>2015-1-20 17:47:54.847: Algorithm - handleTransition - currentHedgeShortfall is NOT ZERO and AUTOHEDGE IS NOT ENABLED!</t>
  </si>
  <si>
    <t>2015-1-20 17:47:56.48: DirectionIndicator - notify - price/longMA/ShortMA/prevDirection are 1.5153/1.51528917985952/1.5152906987021/1</t>
  </si>
  <si>
    <t>2015-1-20 17:47:56.49: Algorithm - handleTransition - currentHedgeShortfall is NOT ZERO and AUTOHEDGE IS NOT ENABLED!</t>
  </si>
  <si>
    <t>2015-1-20 17:47:57.889: DirectionIndicator - notify - price/longMA/ShortMA/prevDirection are 1.51525/1.5152820562487/1.51527713246807/1</t>
  </si>
  <si>
    <t>2015-1-20 17:47:57.891: Algorithm - handleTransition - currentHedgeShortfall is NOT ZERO and AUTOHEDGE IS NOT ENABLED!</t>
  </si>
  <si>
    <t>2015-1-20 17:48:7.47: DirectionIndicator - notify - price/longMA/ShortMA/prevDirection are 1.5153/1.51528531874894/1.51528475497871/1</t>
  </si>
  <si>
    <t>2015-1-20 17:48:7.48: Algorithm - handleTransition - currentHedgeShortfall is NOT ZERO and AUTOHEDGE IS NOT ENABLED!</t>
  </si>
  <si>
    <t>2015-1-20 17:48:7.96: DirectionIndicator - notify - price/longMA/ShortMA/prevDirection are 1.51535/1.5152970789764/1.51530650331914/1</t>
  </si>
  <si>
    <t>2015-1-20 17:48:7.96: Algorithm - handleTransition - currentHedgeShortfall is NOT ZERO and AUTOHEDGE IS NOT ENABLED!</t>
  </si>
  <si>
    <t>2015-1-20 17:48:8.308: TransitionLogger - flushFile - flushing file</t>
  </si>
  <si>
    <t>2015-1-20 17:48:8.309: TransitionLogger - openTransitionFile - opening file C:\temp\transitionlog_2015-01-20_153021</t>
  </si>
  <si>
    <t>2015-1-20 17:48:16.710: Algorithm - FindNextStrikes - price is 1.51535 nextStrikeUp/Down 1.52/1.515</t>
  </si>
  <si>
    <t>2015-1-20 17:48:16.710: Algorithm - getPortfolioForwardDelta - required deltas is 100 currentHedgePosition is 101</t>
  </si>
  <si>
    <t>2015-1-20 17:48:16.711: Algorithm - getHedgeShortfall - required deltas is 100 price is 1.51545 currentHedgePositionDeltas is 101</t>
  </si>
  <si>
    <t>2015-1-20 17:48:16.711: Algorithm - processTransitionPoint - nextUpper/LowerStrikes are 1.52/1.515 requiredDeltas/currentPosition/currentHedgeShortfall/direction/transitionPrice are 100/101/-1/1/1.51545</t>
  </si>
  <si>
    <t>2015-1-20 17:48:16.712: TransitionLogger - processTransitionpoint - checking transition - currentHedgeShortfall is -1</t>
  </si>
  <si>
    <t>2015-1-20 17:48:16.712: Algorithm - handleTransition - currentHedgeShortfall is NOT ZERO and AUTOHEDGE IS NOT ENABLED!</t>
  </si>
  <si>
    <t>2015-1-20 17:48:16.713: Algorithm - updatePortfolio - haveAllDetails is True</t>
  </si>
  <si>
    <t>2015-1-20 17:48:16.714: RTWSControl - updatePortfolioEx - An Error Occured Object variable or With block variable not set</t>
  </si>
  <si>
    <t>2015-1-20 17:48:16.753: Algorithm - FindNextStrikes - price is 1.51535 nextStrikeUp/Down 1.52/1.515</t>
  </si>
  <si>
    <t>2015-1-20 17:48:16.754: Algorithm - getPortfolioForwardDelta - required deltas is 100 currentHedgePosition is 101</t>
  </si>
  <si>
    <t>2015-1-20 17:48:16.754: Algorithm - getHedgeShortfall - required deltas is 100 price is 1.51545 currentHedgePositionDeltas is 101</t>
  </si>
  <si>
    <t>2015-1-20 17:48:16.755: Algorithm - processTransitionPoint - nextUpper/LowerStrikes are 1.52/1.515 requiredDeltas/currentPosition/currentHedgeShortfall/direction/transitionPrice are 100/101/-1/1/1.51545</t>
  </si>
  <si>
    <t>2015-1-20 17:48:16.755: TransitionLogger - processTransitionpoint - checking transition - currentHedgeShortfall is -1</t>
  </si>
  <si>
    <t>2015-1-20 17:48:16.755: Algorithm - handleTransition - currentHedgeShortfall is NOT ZERO and AUTOHEDGE IS NOT ENABLED!</t>
  </si>
  <si>
    <t>2015-1-20 17:48:16.756: Algorithm - updatePortfolio - haveAllDetails is True</t>
  </si>
  <si>
    <t>2015-1-20 17:48:16.757: RTWSControl - updatePortfolioEx - An Error Occured Object variable or With block variable not set</t>
  </si>
  <si>
    <t>2015-1-20 17:48:16.807: Algorithm - FindNextStrikes - price is 1.51535 nextStrikeUp/Down 1.52/1.515</t>
  </si>
  <si>
    <t>2015-1-20 17:48:16.808: Algorithm - getPortfolioForwardDelta - required deltas is 100 currentHedgePosition is 101</t>
  </si>
  <si>
    <t>2015-1-20 17:48:16.808: Algorithm - getHedgeShortfall - required deltas is 100 price is 1.51545 currentHedgePositionDeltas is 101</t>
  </si>
  <si>
    <t>2015-1-20 17:48:16.808: Algorithm - processTransitionPoint - nextUpper/LowerStrikes are 1.52/1.515 requiredDeltas/currentPosition/currentHedgeShortfall/direction/transitionPrice are 100/101/-1/1/1.51545</t>
  </si>
  <si>
    <t>2015-1-20 17:48:16.809: TransitionLogger - processTransitionpoint - checking transition - currentHedgeShortfall is -1</t>
  </si>
  <si>
    <t>2015-1-20 17:48:16.809: Algorithm - handleTransition - currentHedgeShortfall is NOT ZERO and AUTOHEDGE IS NOT ENABLED!</t>
  </si>
  <si>
    <t>2015-1-20 17:48:16.810: Algorithm - updatePortfolio - haveAllDetails is True</t>
  </si>
  <si>
    <t>2015-1-20 17:48:16.811: RTWSControl - updatePortfolioEx - An Error Occured Object variable or With block variable not set</t>
  </si>
  <si>
    <t>2015-1-20 17:48:16.861: Algorithm - FindNextStrikes - price is 1.51535 nextStrikeUp/Down 1.52/1.515</t>
  </si>
  <si>
    <t>2015-1-20 17:48:16.861: Algorithm - getPortfolioForwardDelta - required deltas is 100 currentHedgePosition is 101</t>
  </si>
  <si>
    <t>2015-1-20 17:48:16.862: Algorithm - getHedgeShortfall - required deltas is 100 price is 1.51545 currentHedgePositionDeltas is 101</t>
  </si>
  <si>
    <t>2015-1-20 17:48:16.862: Algorithm - processTransitionPoint - nextUpper/LowerStrikes are 1.52/1.515 requiredDeltas/currentPosition/currentHedgeShortfall/direction/transitionPrice are 100/101/-1/1/1.51545</t>
  </si>
  <si>
    <t>2015-1-20 17:48:16.863: TransitionLogger - processTransitionpoint - checking transition - currentHedgeShortfall is -1</t>
  </si>
  <si>
    <t>2015-1-20 17:48:16.863: Algorithm - handleTransition - currentHedgeShortfall is NOT ZERO and AUTOHEDGE IS NOT ENABLED!</t>
  </si>
  <si>
    <t>2015-1-20 17:48:16.864: Algorithm - updatePortfolio - haveAllDetails is True</t>
  </si>
  <si>
    <t>2015-1-20 17:48:16.865: RTWSControl - updatePortfolioEx - An Error Occured Object variable or With block variable not set</t>
  </si>
  <si>
    <t>2015-1-20 17:48:16.926: Algorithm - FindNextStrikes - price is 1.51535 nextStrikeUp/Down 1.52/1.515</t>
  </si>
  <si>
    <t>2015-1-20 17:48:16.927: Algorithm - getPortfolioForwardDelta - required deltas is 100 currentHedgePosition is 101</t>
  </si>
  <si>
    <t>2015-1-20 17:48:16.927: Algorithm - getHedgeShortfall - required deltas is 100 price is 1.51545 currentHedgePositionDeltas is 101</t>
  </si>
  <si>
    <t>2015-1-20 17:48:16.927: Algorithm - processTransitionPoint - nextUpper/LowerStrikes are 1.52/1.515 requiredDeltas/currentPosition/currentHedgeShortfall/direction/transitionPrice are 100/101/-1/1/1.51545</t>
  </si>
  <si>
    <t>2015-1-20 17:48:16.928: TransitionLogger - processTransitionpoint - checking transition - currentHedgeShortfall is -1</t>
  </si>
  <si>
    <t>2015-1-20 17:48:16.928: Algorithm - handleTransition - currentHedgeShortfall is NOT ZERO and AUTOHEDGE IS NOT ENABLED!</t>
  </si>
  <si>
    <t>2015-1-20 17:48:16.929: Algorithm - updatePortfolio - haveAllDetails is True</t>
  </si>
  <si>
    <t>2015-1-20 17:48:16.930: RTWSControl - updatePortfolioEx - An Error Occured Object variable or With block variable not set</t>
  </si>
  <si>
    <t>2015-1-20 17:48:16.987: Algorithm - FindNextStrikes - price is 1.51535 nextStrikeUp/Down 1.52/1.515</t>
  </si>
  <si>
    <t>2015-1-20 17:48:16.987: Algorithm - getPortfolioForwardDelta - required deltas is 100 currentHedgePosition is 101</t>
  </si>
  <si>
    <t>2015-1-20 17:48:16.987: Algorithm - getHedgeShortfall - required deltas is 100 price is 1.51545 currentHedgePositionDeltas is 101</t>
  </si>
  <si>
    <t>2015-1-20 17:48:16.988: Algorithm - processTransitionPoint - nextUpper/LowerStrikes are 1.52/1.515 requiredDeltas/currentPosition/currentHedgeShortfall/direction/transitionPrice are 100/101/-1/1/1.51545</t>
  </si>
  <si>
    <t>2015-1-20 17:48:16.988: TransitionLogger - processTransitionpoint - checking transition - currentHedgeShortfall is -1</t>
  </si>
  <si>
    <t>2015-1-20 17:48:16.988: Algorithm - handleTransition - currentHedgeShortfall is NOT ZERO and AUTOHEDGE IS NOT ENABLED!</t>
  </si>
  <si>
    <t>2015-1-20 17:48:16.989: Algorithm - updatePortfolio - haveAllDetails is True</t>
  </si>
  <si>
    <t>2015-1-20 17:48:16.990: RTWSControl - updatePortfolioEx - An Error Occured Object variable or With block variable not set</t>
  </si>
  <si>
    <t>2015-1-20 17:48:24.103: DirectionIndicator - notify - price/longMA/ShortMA/prevDirection are 1.5153/1.5152976100716/1.51530433554609/1</t>
  </si>
  <si>
    <t>2015-1-20 17:48:24.104: Algorithm - handleTransition - currentHedgeShortfall is NOT ZERO and AUTOHEDGE IS NOT ENABLED!</t>
  </si>
  <si>
    <t>2015-1-20 17:48:29.743: TransitionLogger - flushFile - flushing file</t>
  </si>
  <si>
    <t>2015-1-20 17:48:29.744: TransitionLogger - openTransitionFile - opening file C:\temp\transitionlog_2015-01-20_153021</t>
  </si>
  <si>
    <t>2015-1-20 17:48:34.263: DirectionIndicator - notify - price/longMA/ShortMA/prevDirection are 1.51535/1.51530713551313/1.51531955703073/1</t>
  </si>
  <si>
    <t>2015-1-20 17:48:34.266: Algorithm - handleTransition - currentHedgeShortfall is NOT ZERO and AUTOHEDGE IS NOT ENABLED!</t>
  </si>
  <si>
    <t>2015-1-20 17:49:0.966: DirectionIndicator - notify - price/longMA/ShortMA/prevDirection are 1.5154/1.51532401996529/1.51534637135382/1</t>
  </si>
  <si>
    <t>2015-1-20 17:49:0.967: Algorithm - handleTransition - currentHedgeShortfall is NOT ZERO and AUTOHEDGE IS NOT ENABLED!</t>
  </si>
  <si>
    <t>2015-1-20 17:49:2.787: DirectionIndicator - notify - price/longMA/ShortMA/prevDirection are 1.51535/1.51532874360796/1.51534758090255/1</t>
  </si>
  <si>
    <t>2015-1-20 17:49:2.789: Algorithm - handleTransition - currentHedgeShortfall is NOT ZERO and AUTOHEDGE IS NOT ENABLED!</t>
  </si>
  <si>
    <t>2015-1-20 17:49:5.845: DirectionIndicator - notify - price/longMA/ShortMA/prevDirection are 1.5154/1.51534169931561/1.51536505393503/1</t>
  </si>
  <si>
    <t>2015-1-20 17:49:5.847: Algorithm - handleTransition - currentHedgeShortfall is NOT ZERO and AUTOHEDGE IS NOT ENABLED!</t>
  </si>
  <si>
    <t>2015-1-20 17:49:6.418: DirectionIndicator - notify - price/longMA/ShortMA/prevDirection are 1.51535/1.51534320853095/1.51536003595669/1</t>
  </si>
  <si>
    <t>2015-1-20 17:49:6.419: Algorithm - handleTransition - currentHedgeShortfall is NOT ZERO and AUTOHEDGE IS NOT ENABLED!</t>
  </si>
  <si>
    <t>2015-1-20 17:49:8.623: TransitionLogger - flushFile - flushing file</t>
  </si>
  <si>
    <t>2015-1-20 17:49:8.625: TransitionLogger - openTransitionFile - opening file C:\temp\transitionlog_2015-01-20_153021</t>
  </si>
  <si>
    <t>2015-1-20 17:49:29.170: TransitionLogger - flushFile - flushing file</t>
  </si>
  <si>
    <t>2015-1-20 17:49:29.171: TransitionLogger - openTransitionFile - opening file C:\temp\transitionlog_2015-01-20_153021</t>
  </si>
  <si>
    <t>2015-1-20 17:49:49.848: DirectionIndicator - notify - price/longMA/ShortMA/prevDirection are 1.5153/1.51533535243441/1.51534002397112/1</t>
  </si>
  <si>
    <t>2015-1-20 17:49:49.849: Algorithm - handleTransition - currentHedgeShortfall is NOT ZERO and AUTOHEDGE IS NOT ENABLED!</t>
  </si>
  <si>
    <t>2015-1-20 17:49:49.924: DirectionIndicator - notify - price/longMA/ShortMA/prevDirection are 1.51525/1.51531983380997/1.51531001598075/1</t>
  </si>
  <si>
    <t>2015-1-20 17:49:49.925: Algorithm - handleTransition - currentHedgeShortfall is NOT ZERO and AUTOHEDGE IS NOT ENABLED!</t>
  </si>
  <si>
    <t>2015-1-20 17:50:3.307: DirectionIndicator - notify - price/longMA/ShortMA/prevDirection are 1.5152/1.51529804584452/1.51527334398717/1</t>
  </si>
  <si>
    <t>2015-1-20 17:50:3.308: Algorithm - handleTransition - currentHedgeShortfall is NOT ZERO and AUTOHEDGE IS NOT ENABLED!</t>
  </si>
  <si>
    <t>2015-1-20 17:50:5.13: DirectionIndicator - notify - price/longMA/ShortMA/prevDirection are 1.51515/1.51527112841825/1.51523222932478/-1</t>
  </si>
  <si>
    <t>2015-1-20 17:50:5.14: Algorithm - handleTransition - currentHedgeShortfall is NOT ZERO and AUTOHEDGE IS NOT ENABLED!</t>
  </si>
  <si>
    <t>2015-1-20 17:50:5.674: DirectionIndicator - notify - price/longMA/ShortMA/prevDirection are 1.5151/1.51524001416038/1.51518815288319/-1</t>
  </si>
  <si>
    <t>2015-1-20 17:50:5.675: Algorithm - handleTransition - currentHedgeShortfall is NOT ZERO and AUTOHEDGE IS NOT ENABLED!</t>
  </si>
  <si>
    <t>2015-1-20 17:50:8.304: TransitionLogger - flushFile - flushing file</t>
  </si>
  <si>
    <t>2015-1-20 17:50:8.305: TransitionLogger - openTransitionFile - opening file C:\temp\transitionlog_2015-01-20_153021</t>
  </si>
  <si>
    <t>2015-1-20 17:50:15.604: DirectionIndicator - notify - price/longMA/ShortMA/prevDirection are 1.51505/1.51520546613122/1.51514210192212/-1</t>
  </si>
  <si>
    <t>2015-1-20 17:50:15.606: Algorithm - handleTransition - currentHedgeShortfall is NOT ZERO and AUTOHEDGE IS NOT ENABLED!</t>
  </si>
  <si>
    <t>2015-1-20 17:50:16.272: DirectionIndicator - notify - price/longMA/ShortMA/prevDirection are 1.5151/1.515186290471/1.51512806794808/-1</t>
  </si>
  <si>
    <t>2015-1-20 17:50:16.272: Algorithm - handleTransition - currentHedgeShortfall is NOT ZERO and AUTOHEDGE IS NOT ENABLED!</t>
  </si>
  <si>
    <t>2015-1-20 17:50:22.701: DirectionIndicator - notify - price/longMA/ShortMA/prevDirection are 1.51505/1.51516151038536/1.51510204529872/-1</t>
  </si>
  <si>
    <t>2015-1-20 17:50:22.703: Algorithm - handleTransition - currentHedgeShortfall is NOT ZERO and AUTOHEDGE IS NOT ENABLED!</t>
  </si>
  <si>
    <t>2015-1-20 17:50:24.438: DirectionIndicator - notify - price/longMA/ShortMA/prevDirection are 1.515/1.51513214486075/1.51506803019915/-1</t>
  </si>
  <si>
    <t>2015-1-20 17:50:24.439: Algorithm - FindNextStrikes - price is 1.515 nextStrikeUp/Down 1.52/0</t>
  </si>
  <si>
    <t>2015-1-20 17:50:24.439: Algorithm - getPortfolioForwardDelta - required deltas is -200 currentHedgePosition is 101</t>
  </si>
  <si>
    <t>2015-1-20 17:50:24.440: Algorithm - getHedgeShortfall - required deltas is -200 price is 1.5149 currentHedgePositionDeltas is 101</t>
  </si>
  <si>
    <t>2015-1-20 17:50:24.440: Algorithm - processTransitionPoint - nextUpper/LowerStrikes are 1.52/0 requiredDeltas/currentPosition/currentHedgeShortfall/direction/transitionPrice are -200/101/-301/-1/1.5149</t>
  </si>
  <si>
    <t>2015-1-20 17:50:24.441: TransitionLogger - processTransitionpoint - checking transition - currentHedgeShortfall is -301</t>
  </si>
  <si>
    <t>2015-1-20 17:50:24.441: Algorithm - handleTransition - currentHedgeShortfall is NOT ZERO and AUTOHEDGE IS NOT ENABLED!</t>
  </si>
  <si>
    <t>2015-1-20 17:50:24.508: DirectionIndicator - notify - price/longMA/ShortMA/prevDirection are 1.51495/1.51509902761334/1.51502868679943/-1</t>
  </si>
  <si>
    <t>2015-1-20 17:50:24.509: Algorithm - handleTransition - currentHedgeShortfall is NOT ZERO and AUTOHEDGE IS NOT ENABLED!</t>
  </si>
  <si>
    <t>2015-1-20 17:50:27.113: DirectionIndicator - notify - price/longMA/ShortMA/prevDirection are 1.515/1.51508102259274/1.51501912453295/-1</t>
  </si>
  <si>
    <t>2015-1-20 17:50:27.114: Algorithm - handleTransition - currentHedgeShortfall is NOT ZERO and AUTOHEDGE IS NOT ENABLED!</t>
  </si>
  <si>
    <t>2015-1-20 17:50:27.174: DirectionIndicator - notify - price/longMA/ShortMA/prevDirection are 1.51505/1.51507538212133/1.5150294163553/-1</t>
  </si>
  <si>
    <t>2015-1-20 17:50:27.175: Algorithm - handleTransition - currentHedgeShortfall is NOT ZERO and AUTOHEDGE IS NOT ENABLED!</t>
  </si>
  <si>
    <t>2015-1-20 17:50:29.9: DirectionIndicator - notify - price/longMA/ShortMA/prevDirection are 1.5151/1.51507985809927/1.51505294423687/-1</t>
  </si>
  <si>
    <t>2015-1-20 17:50:29.10: Algorithm - handleTransition - currentHedgeShortfall is NOT ZERO and AUTOHEDGE IS NOT ENABLED!</t>
  </si>
  <si>
    <t>2015-1-20 17:50:29.51: TransitionLogger - flushFile - flushing file</t>
  </si>
  <si>
    <t>2015-1-20 17:50:29.51: TransitionLogger - openTransitionFile - opening file C:\temp\transitionlog_2015-01-20_153021</t>
  </si>
  <si>
    <t>2015-1-20 17:50:29.99: DirectionIndicator - notify - price/longMA/ShortMA/prevDirection are 1.51515/1.51509261117213/1.51508529615791/-1</t>
  </si>
  <si>
    <t>2015-1-20 17:50:29.99: Algorithm - handleTransition - currentHedgeShortfall is NOT ZERO and AUTOHEDGE IS NOT ENABLED!</t>
  </si>
  <si>
    <t>2015-1-20 17:50:29.390: DirectionIndicator - notify - price/longMA/ShortMA/prevDirection are 1.5151/1.51509395459538/1.51509019743861/-1</t>
  </si>
  <si>
    <t>2015-1-20 17:50:29.391: Algorithm - handleTransition - currentHedgeShortfall is NOT ZERO and AUTOHEDGE IS NOT ENABLED!</t>
  </si>
  <si>
    <t>2015-1-20 17:50:30.343: DirectionIndicator - notify - price/longMA/ShortMA/prevDirection are 1.51515/1.51510414466895/1.51511013162574/-1</t>
  </si>
  <si>
    <t>2015-1-20 17:50:30.343: Algorithm - handleTransition - currentHedgeShortfall is NOT ZERO and AUTOHEDGE IS NOT ENABLED!</t>
  </si>
  <si>
    <t>2015-1-20 17:50:39.893: DirectionIndicator - notify - price/longMA/ShortMA/prevDirection are 1.5152/1.51512157291096/1.51514008775049/-1</t>
  </si>
  <si>
    <t>2015-1-20 17:50:39.893: Algorithm - handleTransition - currentHedgeShortfall is NOT ZERO and AUTOHEDGE IS NOT ENABLED!</t>
  </si>
  <si>
    <t>2015-1-20 17:50:41.887: DirectionIndicator - notify - price/longMA/ShortMA/prevDirection are 1.51525/1.51514492329078/1.51517672516699/-1</t>
  </si>
  <si>
    <t>2015-1-20 17:50:41.888: Algorithm - handleTransition - currentHedgeShortfall is NOT ZERO and AUTOHEDGE IS NOT ENABLED!</t>
  </si>
  <si>
    <t>2015-1-20 17:51:8.487: TransitionLogger - flushFile - flushing file</t>
  </si>
  <si>
    <t>2015-1-20 17:51:8.488: TransitionLogger - openTransitionFile - opening file C:\temp\transitionlog_2015-01-20_153021</t>
  </si>
  <si>
    <t>2015-1-20 17:51:10.1: DirectionIndicator - notify - price/longMA/ShortMA/prevDirection are 1.5152/1.51515493723791/1.51518448344466/1</t>
  </si>
  <si>
    <t>2015-1-20 17:51:10.2: Algorithm - handleTransition - currentHedgeShortfall is NOT ZERO and AUTOHEDGE IS NOT ENABLED!</t>
  </si>
  <si>
    <t>2015-1-20 17:51:10.67: DirectionIndicator - notify - price/longMA/ShortMA/prevDirection are 1.51515/1.51515403955829/1.51517298896311/1</t>
  </si>
  <si>
    <t>2015-1-20 17:51:10.67: Algorithm - handleTransition - currentHedgeShortfall is NOT ZERO and AUTOHEDGE IS NOT ENABLED!</t>
  </si>
  <si>
    <t>2015-1-20 17:51:10.895: DirectionIndicator - notify - price/longMA/ShortMA/prevDirection are 1.5152/1.51516239600224/1.51518199264207/1</t>
  </si>
  <si>
    <t>2015-1-20 17:51:10.896: Algorithm - handleTransition - currentHedgeShortfall is NOT ZERO and AUTOHEDGE IS NOT ENABLED!</t>
  </si>
  <si>
    <t>2015-1-20 17:51:11.141: DirectionIndicator - notify - price/longMA/ShortMA/prevDirection are 1.51525/1.51517832400183/1.51520466176138/1</t>
  </si>
  <si>
    <t>2015-1-20 17:51:11.142: Algorithm - handleTransition - currentHedgeShortfall is NOT ZERO and AUTOHEDGE IS NOT ENABLED!</t>
  </si>
  <si>
    <t>2015-1-20 17:51:17.96: Algorithm - FindNextStrikes - price is 1.51525 nextStrikeUp/Down 1.52/1.515</t>
  </si>
  <si>
    <t>2015-1-20 17:51:17.96: Algorithm - getPortfolioForwardDelta - required deltas is 100 currentHedgePosition is 101</t>
  </si>
  <si>
    <t>2015-1-20 17:51:17.96: Algorithm - getHedgeShortfall - required deltas is 100 price is 1.51535 currentHedgePositionDeltas is 101</t>
  </si>
  <si>
    <t>2015-1-20 17:51:17.97: Algorithm - processTransitionPoint - nextUpper/LowerStrikes are 1.52/1.515 requiredDeltas/currentPosition/currentHedgeShortfall/direction/transitionPrice are 100/101/-1/1/1.51535</t>
  </si>
  <si>
    <t>2015-1-20 17:51:17.97: TransitionLogger - processTransitionpoint - checking transition - currentHedgeShortfall is -1</t>
  </si>
  <si>
    <t>2015-1-20 17:51:17.98: Algorithm - handleTransition - currentHedgeShortfall is NOT ZERO and AUTOHEDGE IS NOT ENABLED!</t>
  </si>
  <si>
    <t>2015-1-20 17:51:17.99: Algorithm - updatePortfolio - haveAllDetails is True</t>
  </si>
  <si>
    <t>2015-1-20 17:51:17.100: RTWSControl - updatePortfolioEx - An Error Occured Object variable or With block variable not set</t>
  </si>
  <si>
    <t>2015-1-20 17:51:17.139: Algorithm - FindNextStrikes - price is 1.51525 nextStrikeUp/Down 1.52/1.515</t>
  </si>
  <si>
    <t>2015-1-20 17:51:17.140: Algorithm - getPortfolioForwardDelta - required deltas is 100 currentHedgePosition is 101</t>
  </si>
  <si>
    <t>2015-1-20 17:51:17.140: Algorithm - getHedgeShortfall - required deltas is 100 price is 1.51535 currentHedgePositionDeltas is 101</t>
  </si>
  <si>
    <t>2015-1-20 17:51:17.141: Algorithm - processTransitionPoint - nextUpper/LowerStrikes are 1.52/1.515 requiredDeltas/currentPosition/currentHedgeShortfall/direction/transitionPrice are 100/101/-1/1/1.51535</t>
  </si>
  <si>
    <t>2015-1-20 17:51:17.141: TransitionLogger - processTransitionpoint - checking transition - currentHedgeShortfall is -1</t>
  </si>
  <si>
    <t>2015-1-20 17:51:17.141: Algorithm - handleTransition - currentHedgeShortfall is NOT ZERO and AUTOHEDGE IS NOT ENABLED!</t>
  </si>
  <si>
    <t>2015-1-20 17:51:17.142: Algorithm - updatePortfolio - haveAllDetails is True</t>
  </si>
  <si>
    <t>2015-1-20 17:51:17.143: RTWSControl - updatePortfolioEx - An Error Occured Object variable or With block variable not set</t>
  </si>
  <si>
    <t>2015-1-20 17:51:17.191: Algorithm - FindNextStrikes - price is 1.51525 nextStrikeUp/Down 1.52/1.515</t>
  </si>
  <si>
    <t>2015-1-20 17:51:17.192: Algorithm - getPortfolioForwardDelta - required deltas is 100 currentHedgePosition is 101</t>
  </si>
  <si>
    <t>2015-1-20 17:51:17.192: Algorithm - getHedgeShortfall - required deltas is 100 price is 1.51535 currentHedgePositionDeltas is 101</t>
  </si>
  <si>
    <t>2015-1-20 17:51:17.192: Algorithm - processTransitionPoint - nextUpper/LowerStrikes are 1.52/1.515 requiredDeltas/currentPosition/currentHedgeShortfall/direction/transitionPrice are 100/101/-1/1/1.51535</t>
  </si>
  <si>
    <t>2015-1-20 17:51:17.193: TransitionLogger - processTransitionpoint - checking transition - currentHedgeShortfall is -1</t>
  </si>
  <si>
    <t>2015-1-20 17:51:17.193: Algorithm - handleTransition - currentHedgeShortfall is NOT ZERO and AUTOHEDGE IS NOT ENABLED!</t>
  </si>
  <si>
    <t>2015-1-20 17:51:17.194: Algorithm - updatePortfolio - haveAllDetails is True</t>
  </si>
  <si>
    <t>2015-1-20 17:51:17.195: RTWSControl - updatePortfolioEx - An Error Occured Object variable or With block variable not set</t>
  </si>
  <si>
    <t>2015-1-20 17:51:17.245: Algorithm - FindNextStrikes - price is 1.51525 nextStrikeUp/Down 1.52/1.515</t>
  </si>
  <si>
    <t>2015-1-20 17:51:17.246: Algorithm - getPortfolioForwardDelta - required deltas is 100 currentHedgePosition is 101</t>
  </si>
  <si>
    <t>2015-1-20 17:51:17.246: Algorithm - getHedgeShortfall - required deltas is 100 price is 1.51535 currentHedgePositionDeltas is 101</t>
  </si>
  <si>
    <t>2015-1-20 17:51:17.247: Algorithm - processTransitionPoint - nextUpper/LowerStrikes are 1.52/1.515 requiredDeltas/currentPosition/currentHedgeShortfall/direction/transitionPrice are 100/101/-1/1/1.51535</t>
  </si>
  <si>
    <t>2015-1-20 17:51:17.247: TransitionLogger - processTransitionpoint - checking transition - currentHedgeShortfall is -1</t>
  </si>
  <si>
    <t>2015-1-20 17:51:17.247: Algorithm - handleTransition - currentHedgeShortfall is NOT ZERO and AUTOHEDGE IS NOT ENABLED!</t>
  </si>
  <si>
    <t>2015-1-20 17:51:17.248: Algorithm - updatePortfolio - haveAllDetails is True</t>
  </si>
  <si>
    <t>2015-1-20 17:51:17.249: RTWSControl - updatePortfolioEx - An Error Occured Object variable or With block variable not set</t>
  </si>
  <si>
    <t>2015-1-20 17:51:17.312: Algorithm - FindNextStrikes - price is 1.51525 nextStrikeUp/Down 1.52/1.515</t>
  </si>
  <si>
    <t>2015-1-20 17:51:17.312: Algorithm - getPortfolioForwardDelta - required deltas is 100 currentHedgePosition is 101</t>
  </si>
  <si>
    <t>2015-1-20 17:51:17.313: Algorithm - getHedgeShortfall - required deltas is 100 price is 1.51535 currentHedgePositionDeltas is 101</t>
  </si>
  <si>
    <t>2015-1-20 17:51:17.313: Algorithm - processTransitionPoint - nextUpper/LowerStrikes are 1.52/1.515 requiredDeltas/currentPosition/currentHedgeShortfall/direction/transitionPrice are 100/101/-1/1/1.51535</t>
  </si>
  <si>
    <t>2015-1-20 17:51:17.313: TransitionLogger - processTransitionpoint - checking transition - currentHedgeShortfall is -1</t>
  </si>
  <si>
    <t>2015-1-20 17:51:17.314: Algorithm - handleTransition - currentHedgeShortfall is NOT ZERO and AUTOHEDGE IS NOT ENABLED!</t>
  </si>
  <si>
    <t>2015-1-20 17:51:17.315: Algorithm - updatePortfolio - haveAllDetails is True</t>
  </si>
  <si>
    <t>2015-1-20 17:51:17.316: RTWSControl - updatePortfolioEx - An Error Occured Object variable or With block variable not set</t>
  </si>
  <si>
    <t>2015-1-20 17:51:17.373: Algorithm - FindNextStrikes - price is 1.51525 nextStrikeUp/Down 1.52/1.515</t>
  </si>
  <si>
    <t>2015-1-20 17:51:17.373: Algorithm - getPortfolioForwardDelta - required deltas is 100 currentHedgePosition is 101</t>
  </si>
  <si>
    <t>2015-1-20 17:51:17.373: Algorithm - getHedgeShortfall - required deltas is 100 price is 1.51535 currentHedgePositionDeltas is 101</t>
  </si>
  <si>
    <t>2015-1-20 17:51:17.374: Algorithm - processTransitionPoint - nextUpper/LowerStrikes are 1.52/1.515 requiredDeltas/currentPosition/currentHedgeShortfall/direction/transitionPrice are 100/101/-1/1/1.51535</t>
  </si>
  <si>
    <t>2015-1-20 17:51:17.374: TransitionLogger - processTransitionpoint - checking transition - currentHedgeShortfall is -1</t>
  </si>
  <si>
    <t>2015-1-20 17:51:17.375: Algorithm - handleTransition - currentHedgeShortfall is NOT ZERO and AUTOHEDGE IS NOT ENABLED!</t>
  </si>
  <si>
    <t>2015-1-20 17:51:17.375: Algorithm - updatePortfolio - haveAllDetails is True</t>
  </si>
  <si>
    <t>2015-1-20 17:51:17.376: RTWSControl - updatePortfolioEx - An Error Occured Object variable or With block variable not set</t>
  </si>
  <si>
    <t>2015-1-20 17:51:21.394: DirectionIndicator - notify - price/longMA/ShortMA/prevDirection are 1.5153/1.51520044691059/1.51523644117425/1</t>
  </si>
  <si>
    <t>2015-1-20 17:51:21.395: Algorithm - handleTransition - currentHedgeShortfall is NOT ZERO and AUTOHEDGE IS NOT ENABLED!</t>
  </si>
  <si>
    <t>2015-1-20 17:51:21.471: DirectionIndicator - notify - price/longMA/ShortMA/prevDirection are 1.51535/1.51522763838139/1.51527429411617/1</t>
  </si>
  <si>
    <t>2015-1-20 17:51:21.471: Algorithm - handleTransition - currentHedgeShortfall is NOT ZERO and AUTOHEDGE IS NOT ENABLED!</t>
  </si>
  <si>
    <t>2015-1-20 17:51:29.452: TransitionLogger - flushFile - flushing file</t>
  </si>
  <si>
    <t>2015-1-20 17:51:29.453: TransitionLogger - openTransitionFile - opening file C:\temp\transitionlog_2015-01-20_153021</t>
  </si>
  <si>
    <t>2015-1-20 17:51:35.909: DirectionIndicator - notify - price/longMA/ShortMA/prevDirection are 1.5154/1.5152589768575/1.51531619607745/1</t>
  </si>
  <si>
    <t>2015-1-20 17:51:35.910: Algorithm - handleTransition - currentHedgeShortfall is NOT ZERO and AUTOHEDGE IS NOT ENABLED!</t>
  </si>
  <si>
    <t>2015-1-20 17:51:35.973: DirectionIndicator - notify - price/longMA/ShortMA/prevDirection are 1.51545/1.51529370833796/1.51536079738496/1</t>
  </si>
  <si>
    <t>2015-1-20 17:51:35.973: Algorithm - handleTransition - currentHedgeShortfall is NOT ZERO and AUTOHEDGE IS NOT ENABLED!</t>
  </si>
  <si>
    <t>2015-1-20 17:51:39.381: DirectionIndicator - notify - price/longMA/ShortMA/prevDirection are 1.5154/1.51531303409469/1.51537386492331/1</t>
  </si>
  <si>
    <t>2015-1-20 17:51:39.382: Algorithm - handleTransition - currentHedgeShortfall is NOT ZERO and AUTOHEDGE IS NOT ENABLED!</t>
  </si>
  <si>
    <t>2015-1-20 17:51:39.452: DirectionIndicator - notify - price/longMA/ShortMA/prevDirection are 1.51535/1.51531975516838/1.51536590994887/1</t>
  </si>
  <si>
    <t>2015-1-20 17:51:39.453: Algorithm - handleTransition - currentHedgeShortfall is NOT ZERO and AUTOHEDGE IS NOT ENABLED!</t>
  </si>
  <si>
    <t>2015-1-20 17:52:2.974: DirectionIndicator - notify - price/longMA/ShortMA/prevDirection are 1.5153/1.51531616331959/1.51534393996592/1</t>
  </si>
  <si>
    <t>2015-1-20 17:52:2.974: Algorithm - handleTransition - currentHedgeShortfall is NOT ZERO and AUTOHEDGE IS NOT ENABLED!</t>
  </si>
  <si>
    <t>2015-1-20 17:52:3.898: DirectionIndicator - notify - price/longMA/ShortMA/prevDirection are 1.51525/1.51530413362512/1.51531262664394/1</t>
  </si>
  <si>
    <t>2015-1-20 17:52:3.900: Algorithm - handleTransition - currentHedgeShortfall is NOT ZERO and AUTOHEDGE IS NOT ENABLED!</t>
  </si>
  <si>
    <t>2015-1-20 17:52:8.303: TransitionLogger - flushFile - flushing file</t>
  </si>
  <si>
    <t>2015-1-20 17:52:8.304: TransitionLogger - openTransitionFile - opening file C:\temp\transitionlog_2015-01-20_153021</t>
  </si>
  <si>
    <t>2015-1-20 17:52:28.776: DirectionIndicator - notify - price/longMA/ShortMA/prevDirection are 1.5153/1.51530338205691/1.51530841776263/1</t>
  </si>
  <si>
    <t>2015-1-20 17:52:28.777: Algorithm - handleTransition - currentHedgeShortfall is NOT ZERO and AUTOHEDGE IS NOT ENABLED!</t>
  </si>
  <si>
    <t>2015-1-20 17:52:28.819: DirectionIndicator - notify - price/longMA/ShortMA/prevDirection are 1.51535/1.51531185804657/1.51532227850842/1</t>
  </si>
  <si>
    <t>2015-1-20 17:52:28.820: Algorithm - handleTransition - currentHedgeShortfall is NOT ZERO and AUTOHEDGE IS NOT ENABLED!</t>
  </si>
  <si>
    <t>2015-1-20 17:52:29.29: TransitionLogger - flushFile - flushing file</t>
  </si>
  <si>
    <t>2015-1-20 17:52:29.29: TransitionLogger - openTransitionFile - opening file C:\temp\transitionlog_2015-01-20_153021</t>
  </si>
  <si>
    <t>2015-1-20 17:52:29.107: DirectionIndicator - notify - price/longMA/ShortMA/prevDirection are 1.5153/1.5153097020381/1.51531485233895/1</t>
  </si>
  <si>
    <t>2015-1-20 17:52:29.108: Algorithm - handleTransition - currentHedgeShortfall is NOT ZERO and AUTOHEDGE IS NOT ENABLED!</t>
  </si>
  <si>
    <t>2015-1-20 17:52:34.732: DirectionIndicator - notify - price/longMA/ShortMA/prevDirection are 1.51525/1.51529884712208/1.51529323489263/1</t>
  </si>
  <si>
    <t>2015-1-20 17:52:34.735: Algorithm - handleTransition - currentHedgeShortfall is NOT ZERO and AUTOHEDGE IS NOT ENABLED!</t>
  </si>
  <si>
    <t>2015-1-20 17:52:34.971: DirectionIndicator - notify - price/longMA/ShortMA/prevDirection are 1.5153/1.51529905673625/1.51529548992842/1</t>
  </si>
  <si>
    <t>2015-1-20 17:52:34.972: Algorithm - handleTransition - currentHedgeShortfall is NOT ZERO and AUTOHEDGE IS NOT ENABLED!</t>
  </si>
  <si>
    <t>2015-1-20 17:52:48.857: DirectionIndicator - notify - price/longMA/ShortMA/prevDirection are 1.51525/1.51529013732966/1.51528032661895/1</t>
  </si>
  <si>
    <t>2015-1-20 17:52:48.858: Algorithm - handleTransition - currentHedgeShortfall is NOT ZERO and AUTOHEDGE IS NOT ENABLED!</t>
  </si>
  <si>
    <t>2015-1-20 17:53:8.10: TransitionLogger - flushFile - flushing file</t>
  </si>
  <si>
    <t>2015-1-20 17:53:8.11: TransitionLogger - openTransitionFile - opening file C:\temp\transitionlog_2015-01-20_153021</t>
  </si>
  <si>
    <t>2015-1-20 17:53:29.266: TransitionLogger - flushFile - flushing file</t>
  </si>
  <si>
    <t>2015-1-20 17:53:29.267: TransitionLogger - openTransitionFile - opening file C:\temp\transitionlog_2015-01-20_153021</t>
  </si>
  <si>
    <t>2015-1-20 17:53:35.28: DirectionIndicator - notify - price/longMA/ShortMA/prevDirection are 1.5152/1.51527374872427/1.5152535510793/1</t>
  </si>
  <si>
    <t>2015-1-20 17:53:35.29: Algorithm - handleTransition - currentHedgeShortfall is NOT ZERO and AUTOHEDGE IS NOT ENABLED!</t>
  </si>
  <si>
    <t>2015-1-20 17:53:35.103: DirectionIndicator - notify - price/longMA/ShortMA/prevDirection are 1.51515/1.51525124895622/1.51521903405287/-1</t>
  </si>
  <si>
    <t>2015-1-20 17:53:35.103: Algorithm - handleTransition - currentHedgeShortfall is NOT ZERO and AUTOHEDGE IS NOT ENABLED!</t>
  </si>
  <si>
    <t>2015-1-20 17:53:36.563: DirectionIndicator - notify - price/longMA/ShortMA/prevDirection are 1.5151/1.515223749146/1.51517935603524/-1</t>
  </si>
  <si>
    <t>2015-1-20 17:53:36.563: Algorithm - handleTransition - currentHedgeShortfall is NOT ZERO and AUTOHEDGE IS NOT ENABLED!</t>
  </si>
  <si>
    <t>2015-1-20 17:53:36.614: DirectionIndicator - notify - price/longMA/ShortMA/prevDirection are 1.51505/1.51519215839218/1.51513623735683/-1</t>
  </si>
  <si>
    <t>2015-1-20 17:53:36.615: Algorithm - handleTransition - currentHedgeShortfall is NOT ZERO and AUTOHEDGE IS NOT ENABLED!</t>
  </si>
  <si>
    <t>2015-1-20 17:53:37.67: DirectionIndicator - notify - price/longMA/ShortMA/prevDirection are 1.5151/1.51517540232087/1.51512415823789/-1</t>
  </si>
  <si>
    <t>2015-1-20 17:53:37.67: Algorithm - handleTransition - currentHedgeShortfall is NOT ZERO and AUTOHEDGE IS NOT ENABLED!</t>
  </si>
  <si>
    <t>2015-1-20 17:53:37.114: DirectionIndicator - notify - price/longMA/ShortMA/prevDirection are 1.51515/1.51517078371708/1.51513277215859/-1</t>
  </si>
  <si>
    <t>2015-1-20 17:53:37.115: Algorithm - handleTransition - currentHedgeShortfall is NOT ZERO and AUTOHEDGE IS NOT ENABLED!</t>
  </si>
  <si>
    <t>2015-1-20 17:53:37.363: DirectionIndicator - notify - price/longMA/ShortMA/prevDirection are 1.5151/1.51515791395034/1.51512184810573/-1</t>
  </si>
  <si>
    <t>2015-1-20 17:53:37.364: Algorithm - handleTransition - currentHedgeShortfall is NOT ZERO and AUTOHEDGE IS NOT ENABLED!</t>
  </si>
  <si>
    <t>2015-1-20 17:53:38.893: DirectionIndicator - notify - price/longMA/ShortMA/prevDirection are 1.51505/1.51513829323209/1.51509789873715/-1</t>
  </si>
  <si>
    <t>2015-1-20 17:53:38.895: Algorithm - handleTransition - currentHedgeShortfall is NOT ZERO and AUTOHEDGE IS NOT ENABLED!</t>
  </si>
  <si>
    <t>2015-1-20 17:53:42.151: DirectionIndicator - notify - price/longMA/ShortMA/prevDirection are 1.515/1.51511314900808/1.51506526582477/-1</t>
  </si>
  <si>
    <t>2015-1-20 17:53:42.152: Algorithm - FindNextStrikes - price is 1.515 nextStrikeUp/Down 1.52/0</t>
  </si>
  <si>
    <t>2015-1-20 17:53:42.153: Algorithm - getPortfolioForwardDelta - required deltas is -200 currentHedgePosition is 101</t>
  </si>
  <si>
    <t>2015-1-20 17:53:42.153: Algorithm - getHedgeShortfall - required deltas is -200 price is 1.5149 currentHedgePositionDeltas is 101</t>
  </si>
  <si>
    <t>2015-1-20 17:53:42.154: Algorithm - processTransitionPoint - nextUpper/LowerStrikes are 1.52/0 requiredDeltas/currentPosition/currentHedgeShortfall/direction/transitionPrice are -200/101/-301/-1/1.5149</t>
  </si>
  <si>
    <t>2015-1-20 17:53:42.154: TransitionLogger - processTransitionpoint - checking transition - currentHedgeShortfall is -301</t>
  </si>
  <si>
    <t>2015-1-20 17:53:42.155: Algorithm - handleTransition - currentHedgeShortfall is NOT ZERO and AUTOHEDGE IS NOT ENABLED!</t>
  </si>
  <si>
    <t>2015-1-20 17:53:42.208: DirectionIndicator - notify - price/longMA/ShortMA/prevDirection are 1.51495/1.51508348555206/1.51502684388318/-1</t>
  </si>
  <si>
    <t>2015-1-20 17:53:42.209: Algorithm - handleTransition - currentHedgeShortfall is NOT ZERO and AUTOHEDGE IS NOT ENABLED!</t>
  </si>
  <si>
    <t>2015-1-20 17:53:51.979: DirectionIndicator - notify - price/longMA/ShortMA/prevDirection are 1.5149/1.5150501245426/1.51498456258879/-1</t>
  </si>
  <si>
    <t>2015-1-20 17:53:51.979: Algorithm - handleTransition - currentHedgeShortfall is NOT ZERO and AUTOHEDGE IS NOT ENABLED!</t>
  </si>
  <si>
    <t>2015-1-20 17:53:59.833: DirectionIndicator - notify - price/longMA/ShortMA/prevDirection are 1.51495/1.51503192008031/1.51497304172586/-1</t>
  </si>
  <si>
    <t>2015-1-20 17:53:59.835: Algorithm - handleTransition - currentHedgeShortfall is NOT ZERO and AUTOHEDGE IS NOT ENABLED!</t>
  </si>
  <si>
    <t>2015-1-20 17:54:8.154: TransitionLogger - flushFile - flushing file</t>
  </si>
  <si>
    <t>2015-1-20 17:54:8.155: TransitionLogger - openTransitionFile - opening file C:\temp\transitionlog_2015-01-20_153021</t>
  </si>
  <si>
    <t>2015-1-20 17:54:16.738: Algorithm - FindNextStrikes - price is 1.51495 nextStrikeUp/Down 1.515/0</t>
  </si>
  <si>
    <t>2015-1-20 17:54:16.738: Algorithm - getPortfolioForwardDelta - required deltas is -200 currentHedgePosition is 101</t>
  </si>
  <si>
    <t>2015-1-20 17:54:16.739: Algorithm - getHedgeShortfall - required deltas is -200 price is 1.51485 currentHedgePositionDeltas is 101</t>
  </si>
  <si>
    <t>2015-1-20 17:54:16.740: Algorithm - processTransitionPoint - nextUpper/LowerStrikes are 1.515/0 requiredDeltas/currentPosition/currentHedgeShortfall/direction/transitionPrice are -200/101/-301/-1/1.51485</t>
  </si>
  <si>
    <t>2015-1-20 17:54:16.740: TransitionLogger - processTransitionpoint - checking transition - currentHedgeShortfall is -301</t>
  </si>
  <si>
    <t>2015-1-20 17:54:16.740: Algorithm - handleTransition - currentHedgeShortfall is NOT ZERO and AUTOHEDGE IS NOT ENABLED!</t>
  </si>
  <si>
    <t>2015-1-20 17:54:16.741: Algorithm - updatePortfolio - haveAllDetails is True</t>
  </si>
  <si>
    <t>2015-1-20 17:54:16.742: RTWSControl - updatePortfolioEx - An Error Occured Object variable or With block variable not set</t>
  </si>
  <si>
    <t>2015-1-20 17:54:16.783: Algorithm - FindNextStrikes - price is 1.51495 nextStrikeUp/Down 1.515/0</t>
  </si>
  <si>
    <t>2015-1-20 17:54:16.783: Algorithm - getPortfolioForwardDelta - required deltas is -200 currentHedgePosition is 101</t>
  </si>
  <si>
    <t>2015-1-20 17:54:16.784: Algorithm - getHedgeShortfall - required deltas is -200 price is 1.51485 currentHedgePositionDeltas is 101</t>
  </si>
  <si>
    <t>2015-1-20 17:54:16.784: Algorithm - processTransitionPoint - nextUpper/LowerStrikes are 1.515/0 requiredDeltas/currentPosition/currentHedgeShortfall/direction/transitionPrice are -200/101/-301/-1/1.51485</t>
  </si>
  <si>
    <t>2015-1-20 17:54:16.785: TransitionLogger - processTransitionpoint - checking transition - currentHedgeShortfall is -301</t>
  </si>
  <si>
    <t>2015-1-20 17:54:16.785: Algorithm - handleTransition - currentHedgeShortfall is NOT ZERO and AUTOHEDGE IS NOT ENABLED!</t>
  </si>
  <si>
    <t>2015-1-20 17:54:16.786: Algorithm - updatePortfolio - haveAllDetails is True</t>
  </si>
  <si>
    <t>2015-1-20 17:54:16.787: RTWSControl - updatePortfolioEx - An Error Occured Object variable or With block variable not set</t>
  </si>
  <si>
    <t>2015-1-20 17:54:16.832: Algorithm - FindNextStrikes - price is 1.51495 nextStrikeUp/Down 1.515/0</t>
  </si>
  <si>
    <t>2015-1-20 17:54:16.832: Algorithm - getPortfolioForwardDelta - required deltas is -200 currentHedgePosition is 101</t>
  </si>
  <si>
    <t>2015-1-20 17:54:16.833: Algorithm - getHedgeShortfall - required deltas is -200 price is 1.51485 currentHedgePositionDeltas is 101</t>
  </si>
  <si>
    <t>2015-1-20 17:54:16.833: Algorithm - processTransitionPoint - nextUpper/LowerStrikes are 1.515/0 requiredDeltas/currentPosition/currentHedgeShortfall/direction/transitionPrice are -200/101/-301/-1/1.51485</t>
  </si>
  <si>
    <t>2015-1-20 17:54:16.833: TransitionLogger - processTransitionpoint - checking transition - currentHedgeShortfall is -301</t>
  </si>
  <si>
    <t>2015-1-20 17:54:16.834: Algorithm - handleTransition - currentHedgeShortfall is NOT ZERO and AUTOHEDGE IS NOT ENABLED!</t>
  </si>
  <si>
    <t>2015-1-20 17:54:16.835: Algorithm - updatePortfolio - haveAllDetails is True</t>
  </si>
  <si>
    <t>2015-1-20 17:54:16.836: RTWSControl - updatePortfolioEx - An Error Occured Object variable or With block variable not set</t>
  </si>
  <si>
    <t>2015-1-20 17:54:16.908: Algorithm - FindNextStrikes - price is 1.51495 nextStrikeUp/Down 1.515/0</t>
  </si>
  <si>
    <t>2015-1-20 17:54:16.908: Algorithm - getPortfolioForwardDelta - required deltas is -200 currentHedgePosition is 101</t>
  </si>
  <si>
    <t>2015-1-20 17:54:16.909: Algorithm - getHedgeShortfall - required deltas is -200 price is 1.51485 currentHedgePositionDeltas is 101</t>
  </si>
  <si>
    <t>2015-1-20 17:54:16.909: Algorithm - processTransitionPoint - nextUpper/LowerStrikes are 1.515/0 requiredDeltas/currentPosition/currentHedgeShortfall/direction/transitionPrice are -200/101/-301/-1/1.51485</t>
  </si>
  <si>
    <t>2015-1-20 17:54:16.909: TransitionLogger - processTransitionpoint - checking transition - currentHedgeShortfall is -301</t>
  </si>
  <si>
    <t>2015-1-20 17:54:16.910: Algorithm - handleTransition - currentHedgeShortfall is NOT ZERO and AUTOHEDGE IS NOT ENABLED!</t>
  </si>
  <si>
    <t>2015-1-20 17:54:16.911: Algorithm - updatePortfolio - haveAllDetails is True</t>
  </si>
  <si>
    <t>2015-1-20 17:54:16.912: RTWSControl - updatePortfolioEx - An Error Occured Object variable or With block variable not set</t>
  </si>
  <si>
    <t>2015-1-20 17:54:16.964: Algorithm - FindNextStrikes - price is 1.51495 nextStrikeUp/Down 1.515/0</t>
  </si>
  <si>
    <t>2015-1-20 17:54:16.965: Algorithm - getPortfolioForwardDelta - required deltas is -200 currentHedgePosition is 101</t>
  </si>
  <si>
    <t>2015-1-20 17:54:16.965: Algorithm - getHedgeShortfall - required deltas is -200 price is 1.51485 currentHedgePositionDeltas is 101</t>
  </si>
  <si>
    <t>2015-1-20 17:54:16.965: Algorithm - processTransitionPoint - nextUpper/LowerStrikes are 1.515/0 requiredDeltas/currentPosition/currentHedgeShortfall/direction/transitionPrice are -200/101/-301/-1/1.51485</t>
  </si>
  <si>
    <t>2015-1-20 17:54:16.966: TransitionLogger - processTransitionpoint - checking transition - currentHedgeShortfall is -301</t>
  </si>
  <si>
    <t>2015-1-20 17:54:16.966: Algorithm - handleTransition - currentHedgeShortfall is NOT ZERO and AUTOHEDGE IS NOT ENABLED!</t>
  </si>
  <si>
    <t>2015-1-20 17:54:16.967: Algorithm - updatePortfolio - haveAllDetails is True</t>
  </si>
  <si>
    <t>2015-1-20 17:54:16.968: RTWSControl - updatePortfolioEx - An Error Occured Object variable or With block variable not set</t>
  </si>
  <si>
    <t>2015-1-20 17:54:17.31: Algorithm - FindNextStrikes - price is 1.51495 nextStrikeUp/Down 1.515/0</t>
  </si>
  <si>
    <t>2015-1-20 17:54:17.31: Algorithm - getPortfolioForwardDelta - required deltas is -200 currentHedgePosition is 101</t>
  </si>
  <si>
    <t>2015-1-20 17:54:17.32: Algorithm - getHedgeShortfall - required deltas is -200 price is 1.51485 currentHedgePositionDeltas is 101</t>
  </si>
  <si>
    <t>2015-1-20 17:54:17.32: Algorithm - processTransitionPoint - nextUpper/LowerStrikes are 1.515/0 requiredDeltas/currentPosition/currentHedgeShortfall/direction/transitionPrice are -200/101/-301/-1/1.51485</t>
  </si>
  <si>
    <t>2015-1-20 17:54:17.32: TransitionLogger - processTransitionpoint - checking transition - currentHedgeShortfall is -301</t>
  </si>
  <si>
    <t>2015-1-20 17:54:17.33: Algorithm - handleTransition - currentHedgeShortfall is NOT ZERO and AUTOHEDGE IS NOT ENABLED!</t>
  </si>
  <si>
    <t>2015-1-20 17:54:17.34: Algorithm - updatePortfolio - haveAllDetails is True</t>
  </si>
  <si>
    <t>2015-1-20 17:54:17.35: RTWSControl - updatePortfolioEx - An Error Occured Object variable or With block variable not set</t>
  </si>
  <si>
    <t>2015-1-20 17:54:21.682: DirectionIndicator - notify - price/longMA/ShortMA/prevDirection are 1.5149/1.51500793461116/1.5149486944839/-1</t>
  </si>
  <si>
    <t>2015-1-20 17:54:21.684: Algorithm - handleTransition - currentHedgeShortfall is NOT ZERO and AUTOHEDGE IS NOT ENABLED!</t>
  </si>
  <si>
    <t>2015-1-20 17:54:21.772: DirectionIndicator - notify - price/longMA/ShortMA/prevDirection are 1.51485/1.51497921922731/1.5149157963226/-1</t>
  </si>
  <si>
    <t>2015-1-20 17:54:21.773: Algorithm - handleTransition - currentHedgeShortfall is NOT ZERO and AUTOHEDGE IS NOT ENABLED!</t>
  </si>
  <si>
    <t>2015-1-20 17:54:28.773: DirectionIndicator - notify - price/longMA/ShortMA/prevDirection are 1.5148/1.51494663391326/1.5148771975484/-1</t>
  </si>
  <si>
    <t>2015-1-20 17:54:28.774: Algorithm - handleTransition - currentHedgeShortfall is NOT ZERO and AUTOHEDGE IS NOT ENABLED!</t>
  </si>
  <si>
    <t>2015-1-20 17:54:28.825: DirectionIndicator - notify - price/longMA/ShortMA/prevDirection are 1.51475/1.51491088229266/1.5148347983656/-1</t>
  </si>
  <si>
    <t>2015-1-20 17:54:28.825: Algorithm - handleTransition - currentHedgeShortfall is NOT ZERO and AUTOHEDGE IS NOT ENABLED!</t>
  </si>
  <si>
    <t>2015-1-20 17:54:29.32: TransitionLogger - flushFile - flushing file</t>
  </si>
  <si>
    <t>2015-1-20 17:54:29.32: TransitionLogger - openTransitionFile - opening file C:\temp\transitionlog_2015-01-20_153021</t>
  </si>
  <si>
    <t>2015-1-20 17:54:52.869: DirectionIndicator - notify - price/longMA/ShortMA/prevDirection are 1.5148/1.51489072187582/1.5148231989104/-1</t>
  </si>
  <si>
    <t>2015-1-20 17:54:52.869: Algorithm - handleTransition - currentHedgeShortfall is NOT ZERO and AUTOHEDGE IS NOT ENABLED!</t>
  </si>
  <si>
    <t>2015-1-20 17:54:52.942: DirectionIndicator - notify - price/longMA/ShortMA/prevDirection are 1.51485/1.51488331789839/1.51483213260693/-1</t>
  </si>
  <si>
    <t>2015-1-20 17:54:52.943: Algorithm - handleTransition - currentHedgeShortfall is NOT ZERO and AUTOHEDGE IS NOT ENABLED!</t>
  </si>
  <si>
    <t>2015-1-20 17:54:55.406: DirectionIndicator - notify - price/longMA/ShortMA/prevDirection are 1.5148/1.5148681691896/1.51482142173796/-1</t>
  </si>
  <si>
    <t>2015-1-20 17:54:55.407: Algorithm - handleTransition - currentHedgeShortfall is NOT ZERO and AUTOHEDGE IS NOT ENABLED!</t>
  </si>
  <si>
    <t>2015-1-20 17:54:56.35: DirectionIndicator - notify - price/longMA/ShortMA/prevDirection are 1.51475/1.5148466838824/1.51479761449197/-1</t>
  </si>
  <si>
    <t>2015-1-20 17:54:56.36: Algorithm - handleTransition - currentHedgeShortfall is NOT ZERO and AUTOHEDGE IS NOT ENABLED!</t>
  </si>
  <si>
    <t>2015-1-20 17:54:56.977: DirectionIndicator - notify - price/longMA/ShortMA/prevDirection are 1.5148/1.51483819590378/1.51479840966131/-1</t>
  </si>
  <si>
    <t>2015-1-20 17:54:56.979: Algorithm - handleTransition - currentHedgeShortfall is NOT ZERO and AUTOHEDGE IS NOT ENABLED!</t>
  </si>
  <si>
    <t>2015-1-20 17:54:57.364: DirectionIndicator - notify - price/longMA/ShortMA/prevDirection are 1.51475/1.51482216028491/1.51478227310754/-1</t>
  </si>
  <si>
    <t>2015-1-20 17:54:57.364: Algorithm - handleTransition - currentHedgeShortfall is NOT ZERO and AUTOHEDGE IS NOT ENABLED!</t>
  </si>
  <si>
    <t>2015-1-20 17:54:58.657: DirectionIndicator - notify - price/longMA/ShortMA/prevDirection are 1.5148/1.5148181311422/1.51478818207169/-1</t>
  </si>
  <si>
    <t>2015-1-20 17:54:58.658: Algorithm - handleTransition - currentHedgeShortfall is NOT ZERO and AUTOHEDGE IS NOT ENABLED!</t>
  </si>
  <si>
    <t>2015-1-20 17:55:8.108: TransitionLogger - flushFile - flushing file</t>
  </si>
  <si>
    <t>2015-1-20 17:55:8.109: TransitionLogger - openTransitionFile - opening file C:\temp\transitionlog_2015-01-20_153021</t>
  </si>
  <si>
    <t>2015-1-20 17:55:13.923: DirectionIndicator - notify - price/longMA/ShortMA/prevDirection are 1.51475/1.5148057436618/1.51477545471446/-1</t>
  </si>
  <si>
    <t>2015-1-20 17:55:13.925: Algorithm - handleTransition - currentHedgeShortfall is NOT ZERO and AUTOHEDGE IS NOT ENABLED!</t>
  </si>
  <si>
    <t>2015-1-20 17:55:29.73: TransitionLogger - flushFile - flushing file</t>
  </si>
  <si>
    <t>2015-1-20 17:55:29.74: TransitionLogger - openTransitionFile - opening file C:\temp\transitionlog_2015-01-20_153021</t>
  </si>
  <si>
    <t>2015-1-20 17:56:1.463: DirectionIndicator - notify - price/longMA/ShortMA/prevDirection are 1.5147/1.51478651754147/1.51475030314298/-1</t>
  </si>
  <si>
    <t>2015-1-20 17:56:1.464: Algorithm - handleTransition - currentHedgeShortfall is NOT ZERO and AUTOHEDGE IS NOT ENABLED!</t>
  </si>
  <si>
    <t>2015-1-20 17:56:1.529: DirectionIndicator - notify - price/longMA/ShortMA/prevDirection are 1.51465/1.5147616961703/1.51471686876198/-1</t>
  </si>
  <si>
    <t>2015-1-20 17:56:1.530: Algorithm - handleTransition - currentHedgeShortfall is NOT ZERO and AUTOHEDGE IS NOT ENABLED!</t>
  </si>
  <si>
    <t>2015-1-20 17:56:8.298: TransitionLogger - flushFile - flushing file</t>
  </si>
  <si>
    <t>2015-1-20 17:56:8.299: TransitionLogger - openTransitionFile - opening file C:\temp\transitionlog_2015-01-20_153021</t>
  </si>
  <si>
    <t>2015-1-20 17:56:8.759: DirectionIndicator - notify - price/longMA/ShortMA/prevDirection are 1.5146/1.51473229686661/1.51467791250799/-1</t>
  </si>
  <si>
    <t>2015-1-20 17:56:8.759: Algorithm - handleTransition - currentHedgeShortfall is NOT ZERO and AUTOHEDGE IS NOT ENABLED!</t>
  </si>
  <si>
    <t>2015-1-20 17:56:8.820: DirectionIndicator - notify - price/longMA/ShortMA/prevDirection are 1.51455/1.51469915198177/1.51463527500533/-1</t>
  </si>
  <si>
    <t>2015-1-20 17:56:8.821: Algorithm - handleTransition - currentHedgeShortfall is NOT ZERO and AUTOHEDGE IS NOT ENABLED!</t>
  </si>
  <si>
    <t>2015-1-20 17:56:12.322: DirectionIndicator - notify - price/longMA/ShortMA/prevDirection are 1.5144/1.51464476071236/1.51455685000355/-1</t>
  </si>
  <si>
    <t>2015-1-20 17:56:12.322: Algorithm - handleTransition - currentHedgeShortfall is NOT ZERO and AUTOHEDGE IS NOT ENABLED!</t>
  </si>
  <si>
    <t>2015-1-20 17:56:12.374: DirectionIndicator - notify - price/longMA/ShortMA/prevDirection are 1.51425/1.51457298603738/1.51445456666903/-1</t>
  </si>
  <si>
    <t>2015-1-20 17:56:12.375: Algorithm - handleTransition - currentHedgeShortfall is NOT ZERO and AUTOHEDGE IS NOT ENABLED!</t>
  </si>
  <si>
    <t>2015-1-20 17:56:19.374: DirectionIndicator - notify - price/longMA/ShortMA/prevDirection are 1.5143/1.5145233522124/1.51440304444602/-1</t>
  </si>
  <si>
    <t>2015-1-20 17:56:19.375: Algorithm - handleTransition - currentHedgeShortfall is NOT ZERO and AUTOHEDGE IS NOT ENABLED!</t>
  </si>
  <si>
    <t>2015-1-20 17:56:20.89: DirectionIndicator - notify - price/longMA/ShortMA/prevDirection are 1.51425/1.51447365181015/1.51435202963068/-1</t>
  </si>
  <si>
    <t>2015-1-20 17:56:20.90: Algorithm - handleTransition - currentHedgeShortfall is NOT ZERO and AUTOHEDGE IS NOT ENABLED!</t>
  </si>
  <si>
    <t>2015-1-20 17:56:22.995: DirectionIndicator - notify - price/longMA/ShortMA/prevDirection are 1.5143/1.51444207875376/1.51433468642045/-1</t>
  </si>
  <si>
    <t>2015-1-20 17:56:22.996: Algorithm - handleTransition - currentHedgeShortfall is NOT ZERO and AUTOHEDGE IS NOT ENABLED!</t>
  </si>
  <si>
    <t>2015-1-20 17:56:24.25: DirectionIndicator - notify - price/longMA/ShortMA/prevDirection are 1.51425/1.51440715534398/1.51430645761364/-1</t>
  </si>
  <si>
    <t>2015-1-20 17:56:24.26: Algorithm - handleTransition - currentHedgeShortfall is NOT ZERO and AUTOHEDGE IS NOT ENABLED!</t>
  </si>
  <si>
    <t>2015-1-20 17:56:24.291: DirectionIndicator - notify - price/longMA/ShortMA/prevDirection are 1.5143/1.51438767255417/1.51430430507576/-1</t>
  </si>
  <si>
    <t>2015-1-20 17:56:24.294: Algorithm - handleTransition - currentHedgeShortfall is NOT ZERO and AUTOHEDGE IS NOT ENABLED!</t>
  </si>
  <si>
    <t>2015-1-20 17:56:25.223: DirectionIndicator - notify - price/longMA/ShortMA/prevDirection are 1.51425/1.51436264118068/1.51428620338384/-1</t>
  </si>
  <si>
    <t>2015-1-20 17:56:25.226: Algorithm - handleTransition - currentHedgeShortfall is NOT ZERO and AUTOHEDGE IS NOT ENABLED!</t>
  </si>
  <si>
    <t>2015-1-20 17:56:25.457: DirectionIndicator - notify - price/longMA/ShortMA/prevDirection are 1.5143/1.5143512518751/1.51429080225589/-1</t>
  </si>
  <si>
    <t>2015-1-20 17:56:25.458: Algorithm - handleTransition - currentHedgeShortfall is NOT ZERO and AUTOHEDGE IS NOT ENABLED!</t>
  </si>
  <si>
    <t>2015-1-20 17:56:25.655: DirectionIndicator - notify - price/longMA/ShortMA/prevDirection are 1.51425/1.51433284244327/1.51427720150393/-1</t>
  </si>
  <si>
    <t>2015-1-20 17:56:25.655: Algorithm - handleTransition - currentHedgeShortfall is NOT ZERO and AUTOHEDGE IS NOT ENABLED!</t>
  </si>
  <si>
    <t>2015-1-20 17:56:27.570: DirectionIndicator - notify - price/longMA/ShortMA/prevDirection are 1.5143/1.51432687108995/1.51428480100262/-1</t>
  </si>
  <si>
    <t>2015-1-20 17:56:27.571: Algorithm - handleTransition - currentHedgeShortfall is NOT ZERO and AUTOHEDGE IS NOT ENABLED!</t>
  </si>
  <si>
    <t>2015-1-20 17:56:29.401: TransitionLogger - flushFile - flushing file</t>
  </si>
  <si>
    <t>2015-1-20 17:56:29.403: TransitionLogger - openTransitionFile - opening file C:\temp\transitionlog_2015-01-20_153021</t>
  </si>
  <si>
    <t>2015-1-20 17:56:33.11: DirectionIndicator - notify - price/longMA/ShortMA/prevDirection are 1.51435/1.51433107634632/1.51430653400175/-1</t>
  </si>
  <si>
    <t>2015-1-20 17:56:33.14: Algorithm - handleTransition - currentHedgeShortfall is NOT ZERO and AUTOHEDGE IS NOT ENABLED!</t>
  </si>
  <si>
    <t>2015-1-20 17:56:33.572: DirectionIndicator - notify - price/longMA/ShortMA/prevDirection are 1.5144/1.51434360791972/1.5143376893345/-1</t>
  </si>
  <si>
    <t>2015-1-20 17:56:33.573: Algorithm - handleTransition - currentHedgeShortfall is NOT ZERO and AUTOHEDGE IS NOT ENABLED!</t>
  </si>
  <si>
    <t>2015-1-20 17:56:33.624: DirectionIndicator - notify - price/longMA/ShortMA/prevDirection are 1.51445/1.51436295193431/1.514375126223/-1</t>
  </si>
  <si>
    <t>2015-1-20 17:56:33.625: Algorithm - handleTransition - currentHedgeShortfall is NOT ZERO and AUTOHEDGE IS NOT ENABLED!</t>
  </si>
  <si>
    <t>2015-1-20 17:56:34.705: DirectionIndicator - notify - price/longMA/ShortMA/prevDirection are 1.5144/1.51436968794626/1.514383417482/-1</t>
  </si>
  <si>
    <t>2015-1-20 17:56:34.706: Algorithm - handleTransition - currentHedgeShortfall is NOT ZERO and AUTOHEDGE IS NOT ENABLED!</t>
  </si>
  <si>
    <t>2015-1-20 17:56:34.779: DirectionIndicator - notify - price/longMA/ShortMA/prevDirection are 1.51435/1.51436610831966/1.51437227832133/-1</t>
  </si>
  <si>
    <t>2015-1-20 17:56:34.780: Algorithm - handleTransition - currentHedgeShortfall is NOT ZERO and AUTOHEDGE IS NOT ENABLED!</t>
  </si>
  <si>
    <t>2015-1-20 17:56:35.327: DirectionIndicator - notify - price/longMA/ShortMA/prevDirection are 1.5144/1.51437227044336/1.51438151888089/-1</t>
  </si>
  <si>
    <t>2015-1-20 17:56:35.328: Algorithm - handleTransition - currentHedgeShortfall is NOT ZERO and AUTOHEDGE IS NOT ENABLED!</t>
  </si>
  <si>
    <t>2015-1-20 17:56:35.375: DirectionIndicator - notify - price/longMA/ShortMA/prevDirection are 1.51445/1.51438640309002/1.51440434592059/-1</t>
  </si>
  <si>
    <t>2015-1-20 17:56:35.375: Algorithm - handleTransition - currentHedgeShortfall is NOT ZERO and AUTOHEDGE IS NOT ENABLED!</t>
  </si>
  <si>
    <t>2015-1-20 17:56:36.119: DirectionIndicator - notify - price/longMA/ShortMA/prevDirection are 1.5144/1.51438887525547/1.51440289728039/-1</t>
  </si>
  <si>
    <t>2015-1-20 17:56:36.120: Algorithm - handleTransition - currentHedgeShortfall is NOT ZERO and AUTOHEDGE IS NOT ENABLED!</t>
  </si>
  <si>
    <t>2015-1-20 17:56:36.615: DirectionIndicator - notify - price/longMA/ShortMA/prevDirection are 1.51445/1.51439998884539/1.51441859818693/-1</t>
  </si>
  <si>
    <t>2015-1-20 17:56:36.616: Algorithm - handleTransition - currentHedgeShortfall is NOT ZERO and AUTOHEDGE IS NOT ENABLED!</t>
  </si>
  <si>
    <t>2015-1-20 17:56:37.83: DirectionIndicator - notify - price/longMA/ShortMA/prevDirection are 1.5145/1.51441817269168/1.51444573212462/-1</t>
  </si>
  <si>
    <t>2015-1-20 17:56:37.83: Algorithm - handleTransition - currentHedgeShortfall is NOT ZERO and AUTOHEDGE IS NOT ENABLED!</t>
  </si>
  <si>
    <t>2015-1-20 17:56:38.408: DirectionIndicator - notify - price/longMA/ShortMA/prevDirection are 1.51455/1.51444214129319/1.51448048808308/1</t>
  </si>
  <si>
    <t>2015-1-20 17:56:38.409: Algorithm - handleTransition - currentHedgeShortfall is NOT ZERO and AUTOHEDGE IS NOT ENABLED!</t>
  </si>
  <si>
    <t>2015-1-20 17:56:38.662: DirectionIndicator - notify - price/longMA/ShortMA/prevDirection are 1.5146/1.51447084287625/1.51452032538872/1</t>
  </si>
  <si>
    <t>2015-1-20 17:56:38.663: Algorithm - handleTransition - currentHedgeShortfall is NOT ZERO and AUTOHEDGE IS NOT ENABLED!</t>
  </si>
  <si>
    <t>2015-1-20 17:56:39.631: DirectionIndicator - notify - price/longMA/ShortMA/prevDirection are 1.51465/1.51450341689875/1.51456355025915/1</t>
  </si>
  <si>
    <t>2015-1-20 17:56:39.632: Algorithm - handleTransition - currentHedgeShortfall is NOT ZERO and AUTOHEDGE IS NOT ENABLED!</t>
  </si>
  <si>
    <t>2015-1-20 17:56:58.84: DirectionIndicator - notify - price/longMA/ShortMA/prevDirection are 1.5146/1.51452097746261/1.51457570017276/1</t>
  </si>
  <si>
    <t>2015-1-20 17:56:58.85: Algorithm - handleTransition - currentHedgeShortfall is NOT ZERO and AUTOHEDGE IS NOT ENABLED!</t>
  </si>
  <si>
    <t>2015-1-20 17:56:58.455: DirectionIndicator - notify - price/longMA/ShortMA/prevDirection are 1.51465/1.51454443610577/1.51460046678184/1</t>
  </si>
  <si>
    <t>2015-1-20 17:56:58.456: Algorithm - handleTransition - currentHedgeShortfall is NOT ZERO and AUTOHEDGE IS NOT ENABLED!</t>
  </si>
  <si>
    <t>2015-1-20 17:57:7.284: DirectionIndicator - notify - price/longMA/ShortMA/prevDirection are 1.5146/1.514554538632/1.5146003111879/1</t>
  </si>
  <si>
    <t>2015-1-20 17:57:7.285: Algorithm - handleTransition - currentHedgeShortfall is NOT ZERO and AUTOHEDGE IS NOT ENABLED!</t>
  </si>
  <si>
    <t>2015-1-20 17:57:7.339: DirectionIndicator - notify - price/longMA/ShortMA/prevDirection are 1.51455/1.51455371342618/1.51458354079193/1</t>
  </si>
  <si>
    <t>2015-1-20 17:57:7.340: Algorithm - handleTransition - currentHedgeShortfall is NOT ZERO and AUTOHEDGE IS NOT ENABLED!</t>
  </si>
  <si>
    <t>2015-1-20 17:57:8.31: TransitionLogger - flushFile - flushing file</t>
  </si>
  <si>
    <t>2015-1-20 17:57:8.31: TransitionLogger - openTransitionFile - opening file C:\temp\transitionlog_2015-01-20_153021</t>
  </si>
  <si>
    <t>2015-1-20 17:57:9.825: DirectionIndicator - notify - price/longMA/ShortMA/prevDirection are 1.5145/1.51454394734869/1.51455569386129/1</t>
  </si>
  <si>
    <t>2015-1-20 17:57:9.826: Algorithm - handleTransition - currentHedgeShortfall is NOT ZERO and AUTOHEDGE IS NOT ENABLED!</t>
  </si>
  <si>
    <t>2015-1-20 17:57:9.878: DirectionIndicator - notify - price/longMA/ShortMA/prevDirection are 1.51445/1.51452686601257/1.51452046257419/1</t>
  </si>
  <si>
    <t>2015-1-20 17:57:9.879: Algorithm - handleTransition - currentHedgeShortfall is NOT ZERO and AUTOHEDGE IS NOT ENABLED!</t>
  </si>
  <si>
    <t>2015-1-20 17:57:16.713: Algorithm - FindNextStrikes - price is 1.51445 nextStrikeUp/Down 1.515/0</t>
  </si>
  <si>
    <t>2015-1-20 17:57:16.713: Algorithm - getPortfolioForwardDelta - required deltas is -200 currentHedgePosition is 101</t>
  </si>
  <si>
    <t>2015-1-20 17:57:16.714: Algorithm - getHedgeShortfall - required deltas is -200 price is 1.51455 currentHedgePositionDeltas is 101</t>
  </si>
  <si>
    <t>2015-1-20 17:57:16.714: Algorithm - processTransitionPoint - nextUpper/LowerStrikes are 1.515/0 requiredDeltas/currentPosition/currentHedgeShortfall/direction/transitionPrice are -200/101/-301/1/1.51455</t>
  </si>
  <si>
    <t>2015-1-20 17:57:16.715: TransitionLogger - processTransitionpoint - checking transition - currentHedgeShortfall is -301</t>
  </si>
  <si>
    <t>2015-1-20 17:57:16.715: Algorithm - handleTransition - currentHedgeShortfall is NOT ZERO and AUTOHEDGE IS NOT ENABLED!</t>
  </si>
  <si>
    <t>2015-1-20 17:57:16.716: Algorithm - updatePortfolio - haveAllDetails is True</t>
  </si>
  <si>
    <t>2015-1-20 17:57:16.717: RTWSControl - updatePortfolioEx - An Error Occured Object variable or With block variable not set</t>
  </si>
  <si>
    <t>2015-1-20 17:57:16.756: Algorithm - FindNextStrikes - price is 1.51445 nextStrikeUp/Down 1.515/0</t>
  </si>
  <si>
    <t>2015-1-20 17:57:16.756: Algorithm - getPortfolioForwardDelta - required deltas is -200 currentHedgePosition is 101</t>
  </si>
  <si>
    <t>2015-1-20 17:57:16.757: Algorithm - getHedgeShortfall - required deltas is -200 price is 1.51455 currentHedgePositionDeltas is 101</t>
  </si>
  <si>
    <t>2015-1-20 17:57:16.757: Algorithm - processTransitionPoint - nextUpper/LowerStrikes are 1.515/0 requiredDeltas/currentPosition/currentHedgeShortfall/direction/transitionPrice are -200/101/-301/1/1.51455</t>
  </si>
  <si>
    <t>2015-1-20 17:57:16.758: TransitionLogger - processTransitionpoint - checking transition - currentHedgeShortfall is -301</t>
  </si>
  <si>
    <t>2015-1-20 17:57:16.758: Algorithm - handleTransition - currentHedgeShortfall is NOT ZERO and AUTOHEDGE IS NOT ENABLED!</t>
  </si>
  <si>
    <t>2015-1-20 17:57:16.759: Algorithm - updatePortfolio - haveAllDetails is True</t>
  </si>
  <si>
    <t>2015-1-20 17:57:16.760: RTWSControl - updatePortfolioEx - An Error Occured Object variable or With block variable not set</t>
  </si>
  <si>
    <t>2015-1-20 17:57:16.829: Algorithm - FindNextStrikes - price is 1.51445 nextStrikeUp/Down 1.515/0</t>
  </si>
  <si>
    <t>2015-1-20 17:57:16.829: Algorithm - getPortfolioForwardDelta - required deltas is -200 currentHedgePosition is 101</t>
  </si>
  <si>
    <t>2015-1-20 17:57:16.829: Algorithm - getHedgeShortfall - required deltas is -200 price is 1.51455 currentHedgePositionDeltas is 101</t>
  </si>
  <si>
    <t>2015-1-20 17:57:16.830: Algorithm - processTransitionPoint - nextUpper/LowerStrikes are 1.515/0 requiredDeltas/currentPosition/currentHedgeShortfall/direction/transitionPrice are -200/101/-301/1/1.51455</t>
  </si>
  <si>
    <t>2015-1-20 17:57:16.830: TransitionLogger - processTransitionpoint - checking transition - currentHedgeShortfall is -301</t>
  </si>
  <si>
    <t>2015-1-20 17:57:16.831: Algorithm - handleTransition - currentHedgeShortfall is NOT ZERO and AUTOHEDGE IS NOT ENABLED!</t>
  </si>
  <si>
    <t>2015-1-20 17:57:16.831: Algorithm - updatePortfolio - haveAllDetails is True</t>
  </si>
  <si>
    <t>2015-1-20 17:57:16.832: RTWSControl - updatePortfolioEx - An Error Occured Object variable or With block variable not set</t>
  </si>
  <si>
    <t>2015-1-20 17:57:16.889: Algorithm - FindNextStrikes - price is 1.51445 nextStrikeUp/Down 1.515/0</t>
  </si>
  <si>
    <t>2015-1-20 17:57:16.889: Algorithm - getPortfolioForwardDelta - required deltas is -200 currentHedgePosition is 101</t>
  </si>
  <si>
    <t>2015-1-20 17:57:16.890: Algorithm - getHedgeShortfall - required deltas is -200 price is 1.51455 currentHedgePositionDeltas is 101</t>
  </si>
  <si>
    <t>2015-1-20 17:57:16.890: Algorithm - processTransitionPoint - nextUpper/LowerStrikes are 1.515/0 requiredDeltas/currentPosition/currentHedgeShortfall/direction/transitionPrice are -200/101/-301/1/1.51455</t>
  </si>
  <si>
    <t>2015-1-20 17:57:16.890: TransitionLogger - processTransitionpoint - checking transition - currentHedgeShortfall is -301</t>
  </si>
  <si>
    <t>2015-1-20 17:57:16.891: Algorithm - handleTransition - currentHedgeShortfall is NOT ZERO and AUTOHEDGE IS NOT ENABLED!</t>
  </si>
  <si>
    <t>2015-1-20 17:57:16.891: Algorithm - updatePortfolio - haveAllDetails is True</t>
  </si>
  <si>
    <t>2015-1-20 17:57:16.893: RTWSControl - updatePortfolioEx - An Error Occured Object variable or With block variable not set</t>
  </si>
  <si>
    <t>2015-1-20 17:57:16.936: Algorithm - FindNextStrikes - price is 1.51445 nextStrikeUp/Down 1.515/0</t>
  </si>
  <si>
    <t>2015-1-20 17:57:16.937: Algorithm - getPortfolioForwardDelta - required deltas is -200 currentHedgePosition is 101</t>
  </si>
  <si>
    <t>2015-1-20 17:57:16.937: Algorithm - getHedgeShortfall - required deltas is -200 price is 1.51455 currentHedgePositionDeltas is 101</t>
  </si>
  <si>
    <t>2015-1-20 17:57:16.938: Algorithm - processTransitionPoint - nextUpper/LowerStrikes are 1.515/0 requiredDeltas/currentPosition/currentHedgeShortfall/direction/transitionPrice are -200/101/-301/1/1.51455</t>
  </si>
  <si>
    <t>2015-1-20 17:57:16.938: TransitionLogger - processTransitionpoint - checking transition - currentHedgeShortfall is -301</t>
  </si>
  <si>
    <t>2015-1-20 17:57:16.939: Algorithm - handleTransition - currentHedgeShortfall is NOT ZERO and AUTOHEDGE IS NOT ENABLED!</t>
  </si>
  <si>
    <t>2015-1-20 17:57:16.939: Algorithm - updatePortfolio - haveAllDetails is True</t>
  </si>
  <si>
    <t>2015-1-20 17:57:16.941: RTWSControl - updatePortfolioEx - An Error Occured Object variable or With block variable not set</t>
  </si>
  <si>
    <t>2015-1-20 17:57:17.2: Algorithm - FindNextStrikes - price is 1.51445 nextStrikeUp/Down 1.515/0</t>
  </si>
  <si>
    <t>2015-1-20 17:57:17.2: Algorithm - getPortfolioForwardDelta - required deltas is -200 currentHedgePosition is 101</t>
  </si>
  <si>
    <t>2015-1-20 17:57:17.3: Algorithm - getHedgeShortfall - required deltas is -200 price is 1.51455 currentHedgePositionDeltas is 101</t>
  </si>
  <si>
    <t>2015-1-20 17:57:17.3: Algorithm - processTransitionPoint - nextUpper/LowerStrikes are 1.515/0 requiredDeltas/currentPosition/currentHedgeShortfall/direction/transitionPrice are -200/101/-301/1/1.51455</t>
  </si>
  <si>
    <t>2015-1-20 17:57:17.3: TransitionLogger - processTransitionpoint - checking transition - currentHedgeShortfall is -301</t>
  </si>
  <si>
    <t>2015-1-20 17:57:17.4: Algorithm - handleTransition - currentHedgeShortfall is NOT ZERO and AUTOHEDGE IS NOT ENABLED!</t>
  </si>
  <si>
    <t>2015-1-20 17:57:17.5: Algorithm - updatePortfolio - haveAllDetails is True</t>
  </si>
  <si>
    <t>2015-1-20 17:57:17.6: RTWSControl - updatePortfolioEx - An Error Occured Object variable or With block variable not set</t>
  </si>
  <si>
    <t>2015-1-20 17:57:29.333: TransitionLogger - flushFile - flushing file</t>
  </si>
  <si>
    <t>2015-1-20 17:57:29.334: TransitionLogger - openTransitionFile - opening file C:\temp\transitionlog_2015-01-20_153021</t>
  </si>
  <si>
    <t>2015-1-20 17:57:59.995: Algorithm - FindNextStrikes - price is 1.51445 nextStrikeUp/Down 1.515/0</t>
  </si>
  <si>
    <t>2015-1-20 17:57:59.996: Algorithm - getPortfolioForwardDelta - required deltas is -200 currentHedgePosition is 101</t>
  </si>
  <si>
    <t>2015-1-20 17:57:59.996: Algorithm - getHedgeShortfall - required deltas is -200 price is 1.51455 currentHedgePositionDeltas is 101</t>
  </si>
  <si>
    <t>2015-1-20 17:57:59.996: Algorithm - processTransitionPoint - nextUpper/LowerStrikes are 1.515/0 requiredDeltas/currentPosition/currentHedgeShortfall/direction/transitionPrice are -200/101/-301/1/1.51455</t>
  </si>
  <si>
    <t>2015-1-20 17:57:59.997: TransitionLogger - processTransitionpoint - checking transition - currentHedgeShortfall is -301</t>
  </si>
  <si>
    <t>2015-1-20 17:57:59.997: Algorithm - handleTransition - currentHedgeShortfall is NOT ZERO and AUTOHEDGE IS NOT ENABLED!</t>
  </si>
  <si>
    <t>2015-1-20 17:57:59.998: Algorithm - updatePortfolio - haveAllDetails is True</t>
  </si>
  <si>
    <t>2015-1-20 17:57:59.999: RTWSControl - updatePortfolioEx - An Error Occured Object variable or With block variable not set</t>
  </si>
  <si>
    <t>2015-1-20 17:58:8.818: TransitionLogger - flushFile - flushing file</t>
  </si>
  <si>
    <t>2015-1-20 17:58:8.818: TransitionLogger - openTransitionFile - opening file C:\temp\transitionlog_2015-01-20_153021</t>
  </si>
  <si>
    <t>2015-1-20 17:58:25.60: DirectionIndicator - notify - price/longMA/ShortMA/prevDirection are 1.5145/1.51452198128301/1.51451364171613/1</t>
  </si>
  <si>
    <t>2015-1-20 17:58:25.61: Algorithm - handleTransition - currentHedgeShortfall is NOT ZERO and AUTOHEDGE IS NOT ENABLED!</t>
  </si>
  <si>
    <t>2015-1-20 17:58:25.172: DirectionIndicator - notify - price/longMA/ShortMA/prevDirection are 1.51455/1.51452707559519/1.51452576114408/1</t>
  </si>
  <si>
    <t>2015-1-20 17:58:25.173: Algorithm - handleTransition - currentHedgeShortfall is NOT ZERO and AUTOHEDGE IS NOT ENABLED!</t>
  </si>
  <si>
    <t>2015-1-20 17:58:26.417: DirectionIndicator - notify - price/longMA/ShortMA/prevDirection are 1.5146/1.51454033457788/1.51455050742939/1</t>
  </si>
  <si>
    <t>2015-1-20 17:58:26.418: Algorithm - handleTransition - currentHedgeShortfall is NOT ZERO and AUTOHEDGE IS NOT ENABLED!</t>
  </si>
  <si>
    <t>2015-1-20 17:58:28.718: DirectionIndicator - notify - price/longMA/ShortMA/prevDirection are 1.51465/1.51456027374554/1.51458367161959/1</t>
  </si>
  <si>
    <t>2015-1-20 17:58:28.718: Algorithm - handleTransition - currentHedgeShortfall is NOT ZERO and AUTOHEDGE IS NOT ENABLED!</t>
  </si>
  <si>
    <t>2015-1-20 17:58:29.49: TransitionLogger - flushFile - flushing file</t>
  </si>
  <si>
    <t>2015-1-20 17:58:29.49: TransitionLogger - openTransitionFile - opening file C:\temp\transitionlog_2015-01-20_153021</t>
  </si>
  <si>
    <t>2015-1-20 17:58:57.689: DirectionIndicator - notify - price/longMA/ShortMA/prevDirection are 1.5146/1.5145674967009/1.51458911441306/1</t>
  </si>
  <si>
    <t>2015-1-20 17:58:57.690: Algorithm - handleTransition - currentHedgeShortfall is NOT ZERO and AUTOHEDGE IS NOT ENABLED!</t>
  </si>
  <si>
    <t>2015-1-20 17:58:57.764: DirectionIndicator - notify - price/longMA/ShortMA/prevDirection are 1.51455/1.51456431548255/1.51457607627537/1</t>
  </si>
  <si>
    <t>2015-1-20 17:58:57.765: Algorithm - handleTransition - currentHedgeShortfall is NOT ZERO and AUTOHEDGE IS NOT ENABLED!</t>
  </si>
  <si>
    <t>2015-1-20 17:59:7.43: DirectionIndicator - notify - price/longMA/ShortMA/prevDirection are 1.5145/1.51455262175845/1.51455071751692/1</t>
  </si>
  <si>
    <t>2015-1-20 17:59:7.43: Algorithm - handleTransition - currentHedgeShortfall is NOT ZERO and AUTOHEDGE IS NOT ENABLED!</t>
  </si>
  <si>
    <t>2015-1-20 17:59:7.124: DirectionIndicator - notify - price/longMA/ShortMA/prevDirection are 1.51445/1.51453396325691/1.51451714501128/1</t>
  </si>
  <si>
    <t>2015-1-20 17:59:7.124: Algorithm - handleTransition - currentHedgeShortfall is NOT ZERO and AUTOHEDGE IS NOT ENABLED!</t>
  </si>
  <si>
    <t>2015-1-20 17:59:7.378: DirectionIndicator - notify - price/longMA/ShortMA/prevDirection are 1.5145/1.51452778811929/1.51451143000752/1</t>
  </si>
  <si>
    <t>2015-1-20 17:59:7.379: Algorithm - handleTransition - currentHedgeShortfall is NOT ZERO and AUTOHEDGE IS NOT ENABLED!</t>
  </si>
  <si>
    <t>2015-1-20 17:59:8.44: TransitionLogger - flushFile - flushing file</t>
  </si>
  <si>
    <t>2015-1-20 17:59:8.45: TransitionLogger - openTransitionFile - opening file C:\temp\transitionlog_2015-01-20_153021</t>
  </si>
  <si>
    <t>2015-1-20 17:59:8.127: DirectionIndicator - notify - price/longMA/ShortMA/prevDirection are 1.51445/1.51451364482488/1.51449095333835/1</t>
  </si>
  <si>
    <t>2015-1-20 17:59:8.127: Algorithm - handleTransition - currentHedgeShortfall is NOT ZERO and AUTOHEDGE IS NOT ENABLED!</t>
  </si>
  <si>
    <t>2015-1-20 17:59:12.46: DirectionIndicator - notify - price/longMA/ShortMA/prevDirection are 1.5144/1.51449298212944/1.5144606355589/-1</t>
  </si>
  <si>
    <t>2015-1-20 17:59:12.46: Algorithm - handleTransition - currentHedgeShortfall is NOT ZERO and AUTOHEDGE IS NOT ENABLED!</t>
  </si>
  <si>
    <t>2015-1-20 17:59:12.121: DirectionIndicator - notify - price/longMA/ShortMA/prevDirection are 1.51435/1.51446698537864/1.51442375703926/-1</t>
  </si>
  <si>
    <t>2015-1-20 17:59:12.122: Algorithm - handleTransition - currentHedgeShortfall is NOT ZERO and AUTOHEDGE IS NOT ENABLED!</t>
  </si>
  <si>
    <t>2015-1-20 17:59:29.180: TransitionLogger - flushFile - flushing file</t>
  </si>
  <si>
    <t>2015-1-20 17:59:29.180: TransitionLogger - openTransitionFile - opening file C:\temp\transitionlog_2015-01-20_153021</t>
  </si>
  <si>
    <t>2015-1-20 17:59:38.904: DirectionIndicator - notify - price/longMA/ShortMA/prevDirection are 1.5144/1.51445480621888/1.51441583802618/-1</t>
  </si>
  <si>
    <t>2015-1-20 17:59:38.905: Algorithm - handleTransition - currentHedgeShortfall is NOT ZERO and AUTOHEDGE IS NOT ENABLED!</t>
  </si>
  <si>
    <t>2015-1-20 17:59:38.960: DirectionIndicator - notify - price/longMA/ShortMA/prevDirection are 1.51445/1.51445393236091/1.51442722535078/-1</t>
  </si>
  <si>
    <t>2015-1-20 17:59:38.961: Algorithm - handleTransition - currentHedgeShortfall is NOT ZERO and AUTOHEDGE IS NOT ENABLED!</t>
  </si>
  <si>
    <t>2015-1-20 17:59:54.752: DirectionIndicator - notify - price/longMA/ShortMA/prevDirection are 1.5145/1.51446230829529/1.51445148356719/-1</t>
  </si>
  <si>
    <t>2015-1-20 17:59:54.752: Algorithm - handleTransition - currentHedgeShortfall is NOT ZERO and AUTOHEDGE IS NOT ENABLED!</t>
  </si>
  <si>
    <t>2015-1-20 17:59:57.790: DirectionIndicator - notify - price/longMA/ShortMA/prevDirection are 1.51455/1.5144782522416/1.51448432237813/-1</t>
  </si>
  <si>
    <t>2015-1-20 17:59:57.792: Algorithm - handleTransition - currentHedgeShortfall is NOT ZERO and AUTOHEDGE IS NOT ENABLED!</t>
  </si>
  <si>
    <t>2015-1-20 18:0:6.960: DirectionIndicator - notify - price/longMA/ShortMA/prevDirection are 1.5145/1.51448220637949/1.51448954825208/-1</t>
  </si>
  <si>
    <t>2015-1-20 18:0:6.961: Algorithm - handleTransition - currentHedgeShortfall is NOT ZERO and AUTOHEDGE IS NOT ENABLED!</t>
  </si>
  <si>
    <t>2015-1-20 18:0:7.13: DirectionIndicator - notify - price/longMA/ShortMA/prevDirection are 1.51445/1.51447635067413/1.51447636550139/-1</t>
  </si>
  <si>
    <t>2015-1-20 18:0:7.14: Algorithm - handleTransition - currentHedgeShortfall is NOT ZERO and AUTOHEDGE IS NOT ENABLED!</t>
  </si>
  <si>
    <t>2015-1-20 18:0:8.11: TransitionLogger - flushFile - flushing file</t>
  </si>
  <si>
    <t>2015-1-20 18:0:8.11: TransitionLogger - openTransitionFile - opening file C:\temp\transitionlog_2015-01-20_153021</t>
  </si>
  <si>
    <t>2015-1-20 18:0:16.717: Algorithm - FindNextStrikes - price is 1.51445 nextStrikeUp/Down 1.515/0</t>
  </si>
  <si>
    <t>2015-1-20 18:0:16.717: Algorithm - getPortfolioForwardDelta - required deltas is -200 currentHedgePosition is 101</t>
  </si>
  <si>
    <t>2015-1-20 18:0:16.718: Algorithm - getHedgeShortfall - required deltas is -200 price is 1.51435 currentHedgePositionDeltas is 101</t>
  </si>
  <si>
    <t>2015-1-20 18:0:16.718: Algorithm - processTransitionPoint - nextUpper/LowerStrikes are 1.515/0 requiredDeltas/currentPosition/currentHedgeShortfall/direction/transitionPrice are -200/101/-301/-1/1.51435</t>
  </si>
  <si>
    <t>2015-1-20 18:0:16.719: TransitionLogger - processTransitionpoint - checking transition - currentHedgeShortfall is -301</t>
  </si>
  <si>
    <t>2015-1-20 18:0:16.719: Algorithm - handleTransition - currentHedgeShortfall is NOT ZERO and AUTOHEDGE IS NOT ENABLED!</t>
  </si>
  <si>
    <t>2015-1-20 18:0:16.720: Algorithm - updatePortfolio - haveAllDetails is True</t>
  </si>
  <si>
    <t>2015-1-20 18:0:16.721: RTWSControl - updatePortfolioEx - An Error Occured Object variable or With block variable not set</t>
  </si>
  <si>
    <t>2015-1-20 18:0:16.768: Algorithm - FindNextStrikes - price is 1.51445 nextStrikeUp/Down 1.515/0</t>
  </si>
  <si>
    <t>2015-1-20 18:0:16.769: Algorithm - getPortfolioForwardDelta - required deltas is -200 currentHedgePosition is 101</t>
  </si>
  <si>
    <t>2015-1-20 18:0:16.769: Algorithm - getHedgeShortfall - required deltas is -200 price is 1.51435 currentHedgePositionDeltas is 101</t>
  </si>
  <si>
    <t>2015-1-20 18:0:16.769: Algorithm - processTransitionPoint - nextUpper/LowerStrikes are 1.515/0 requiredDeltas/currentPosition/currentHedgeShortfall/direction/transitionPrice are -200/101/-301/-1/1.51435</t>
  </si>
  <si>
    <t>2015-1-20 18:0:16.770: TransitionLogger - processTransitionpoint - checking transition - currentHedgeShortfall is -301</t>
  </si>
  <si>
    <t>2015-1-20 18:0:16.770: Algorithm - handleTransition - currentHedgeShortfall is NOT ZERO and AUTOHEDGE IS NOT ENABLED!</t>
  </si>
  <si>
    <t>2015-1-20 18:0:16.771: Algorithm - updatePortfolio - haveAllDetails is True</t>
  </si>
  <si>
    <t>2015-1-20 18:0:16.772: RTWSControl - updatePortfolioEx - An Error Occured Object variable or With block variable not set</t>
  </si>
  <si>
    <t>2015-1-20 18:0:16.820: Algorithm - FindNextStrikes - price is 1.51445 nextStrikeUp/Down 1.515/0</t>
  </si>
  <si>
    <t>2015-1-20 18:0:16.820: Algorithm - getPortfolioForwardDelta - required deltas is -200 currentHedgePosition is 101</t>
  </si>
  <si>
    <t>2015-1-20 18:0:16.821: Algorithm - getHedgeShortfall - required deltas is -200 price is 1.51435 currentHedgePositionDeltas is 101</t>
  </si>
  <si>
    <t>2015-1-20 18:0:16.821: Algorithm - processTransitionPoint - nextUpper/LowerStrikes are 1.515/0 requiredDeltas/currentPosition/currentHedgeShortfall/direction/transitionPrice are -200/101/-301/-1/1.51435</t>
  </si>
  <si>
    <t>2015-1-20 18:0:16.822: TransitionLogger - processTransitionpoint - checking transition - currentHedgeShortfall is -301</t>
  </si>
  <si>
    <t>2015-1-20 18:0:16.822: Algorithm - handleTransition - currentHedgeShortfall is NOT ZERO and AUTOHEDGE IS NOT ENABLED!</t>
  </si>
  <si>
    <t>2015-1-20 18:0:16.823: Algorithm - updatePortfolio - haveAllDetails is True</t>
  </si>
  <si>
    <t>2015-1-20 18:0:16.824: RTWSControl - updatePortfolioEx - An Error Occured Object variable or With block variable not set</t>
  </si>
  <si>
    <t>2015-1-20 18:0:16.886: Algorithm - FindNextStrikes - price is 1.51445 nextStrikeUp/Down 1.515/0</t>
  </si>
  <si>
    <t>2015-1-20 18:0:16.886: Algorithm - getPortfolioForwardDelta - required deltas is -200 currentHedgePosition is 101</t>
  </si>
  <si>
    <t>2015-1-20 18:0:16.886: Algorithm - getHedgeShortfall - required deltas is -200 price is 1.51435 currentHedgePositionDeltas is 101</t>
  </si>
  <si>
    <t>2015-1-20 18:0:16.887: Algorithm - processTransitionPoint - nextUpper/LowerStrikes are 1.515/0 requiredDeltas/currentPosition/currentHedgeShortfall/direction/transitionPrice are -200/101/-301/-1/1.51435</t>
  </si>
  <si>
    <t>2015-1-20 18:0:16.887: TransitionLogger - processTransitionpoint - checking transition - currentHedgeShortfall is -301</t>
  </si>
  <si>
    <t>2015-1-20 18:0:16.887: Algorithm - handleTransition - currentHedgeShortfall is NOT ZERO and AUTOHEDGE IS NOT ENABLED!</t>
  </si>
  <si>
    <t>2015-1-20 18:0:16.888: Algorithm - updatePortfolio - haveAllDetails is True</t>
  </si>
  <si>
    <t>2015-1-20 18:0:16.889: RTWSControl - updatePortfolioEx - An Error Occured Object variable or With block variable not set</t>
  </si>
  <si>
    <t>2015-1-20 18:0:17.345: DirectionIndicator - notify - price/longMA/ShortMA/prevDirection are 1.5145/1.51448065055156/1.51448424366759/-1</t>
  </si>
  <si>
    <t>2015-1-20 18:0:17.346: Algorithm - handleTransition - currentHedgeShortfall is NOT ZERO and AUTOHEDGE IS NOT ENABLED!</t>
  </si>
  <si>
    <t>2015-1-20 18:0:17.464: DirectionIndicator - notify - price/longMA/ShortMA/prevDirection are 1.51445/1.514475077724/1.51447282911173/-1</t>
  </si>
  <si>
    <t>2015-1-20 18:0:17.465: Algorithm - handleTransition - currentHedgeShortfall is NOT ZERO and AUTOHEDGE IS NOT ENABLED!</t>
  </si>
  <si>
    <t>2015-1-20 18:0:20.756: DirectionIndicator - notify - price/longMA/ShortMA/prevDirection are 1.5145/1.51447960904691/1.51448188607449/-1</t>
  </si>
  <si>
    <t>2015-1-20 18:0:20.756: Algorithm - handleTransition - currentHedgeShortfall is NOT ZERO and AUTOHEDGE IS NOT ENABLED!</t>
  </si>
  <si>
    <t>2015-1-20 18:0:20.834: DirectionIndicator - notify - price/longMA/ShortMA/prevDirection are 1.51455/1.51449240740202/1.51450459071632/-1</t>
  </si>
  <si>
    <t>2015-1-20 18:0:20.835: Algorithm - handleTransition - currentHedgeShortfall is NOT ZERO and AUTOHEDGE IS NOT ENABLED!</t>
  </si>
  <si>
    <t>2015-1-20 18:0:29.452: TransitionLogger - flushFile - flushing file</t>
  </si>
  <si>
    <t>2015-1-20 18:0:29.453: TransitionLogger - openTransitionFile - opening file C:\temp\transitionlog_2015-01-20_153021</t>
  </si>
  <si>
    <t>2015-1-20 18:0:33.261: DirectionIndicator - notify - price/longMA/ShortMA/prevDirection are 1.5146/1.51451196969256/1.51453639381088/-1</t>
  </si>
  <si>
    <t>2015-1-20 18:0:33.262: Algorithm - handleTransition - currentHedgeShortfall is NOT ZERO and AUTOHEDGE IS NOT ENABLED!</t>
  </si>
  <si>
    <t>2015-1-20 18:0:33.310: DirectionIndicator - notify - price/longMA/ShortMA/prevDirection are 1.51465/1.5145370661121/1.51457426254059/1</t>
  </si>
  <si>
    <t>2015-1-20 18:0:33.311: Algorithm - handleTransition - currentHedgeShortfall is NOT ZERO and AUTOHEDGE IS NOT ENABLED!</t>
  </si>
  <si>
    <t>2015-1-20 18:0:46.978: DirectionIndicator - notify - price/longMA/ShortMA/prevDirection are 1.5147/1.51456669045535/1.51461617502706/1</t>
  </si>
  <si>
    <t>2015-1-20 18:0:46.978: Algorithm - handleTransition - currentHedgeShortfall is NOT ZERO and AUTOHEDGE IS NOT ENABLED!</t>
  </si>
  <si>
    <t>2015-1-20 18:0:47.66: DirectionIndicator - notify - price/longMA/ShortMA/prevDirection are 1.51475/1.51460001946347/1.51466078335137/1</t>
  </si>
  <si>
    <t>2015-1-20 18:0:47.67: Algorithm - handleTransition - currentHedgeShortfall is NOT ZERO and AUTOHEDGE IS NOT ENABLED!</t>
  </si>
  <si>
    <t>2015-1-20 18:0:47.765: DirectionIndicator - notify - price/longMA/ShortMA/prevDirection are 1.5148/1.51463637956102/1.51470718890091/1</t>
  </si>
  <si>
    <t>2015-1-20 18:0:47.766: Algorithm - handleTransition - currentHedgeShortfall is NOT ZERO and AUTOHEDGE IS NOT ENABLED!</t>
  </si>
  <si>
    <t>2015-1-20 18:0:47.836: DirectionIndicator - notify - price/longMA/ShortMA/prevDirection are 1.51485/1.51467521964083/1.51475479260061/1</t>
  </si>
  <si>
    <t>2015-1-20 18:0:47.837: Algorithm - handleTransition - currentHedgeShortfall is NOT ZERO and AUTOHEDGE IS NOT ENABLED!</t>
  </si>
  <si>
    <t>2015-1-20 18:0:48.134: DirectionIndicator - notify - price/longMA/ShortMA/prevDirection are 1.5148/1.51469790697886/1.51476986173374/1</t>
  </si>
  <si>
    <t>2015-1-20 18:0:48.135: Algorithm - handleTransition - currentHedgeShortfall is NOT ZERO and AUTOHEDGE IS NOT ENABLED!</t>
  </si>
  <si>
    <t>2015-1-20 18:0:48.181: DirectionIndicator - notify - price/longMA/ShortMA/prevDirection are 1.51475/1.51470737843725/1.51476324115583/1</t>
  </si>
  <si>
    <t>2015-1-20 18:0:48.182: Algorithm - handleTransition - currentHedgeShortfall is NOT ZERO and AUTOHEDGE IS NOT ENABLED!</t>
  </si>
  <si>
    <t>2015-1-20 18:0:49.382: DirectionIndicator - notify - price/longMA/ShortMA/prevDirection are 1.5147/1.51470603690321/1.51474216077055/1</t>
  </si>
  <si>
    <t>2015-1-20 18:0:49.383: Algorithm - handleTransition - currentHedgeShortfall is NOT ZERO and AUTOHEDGE IS NOT ENABLED!</t>
  </si>
  <si>
    <t>2015-1-20 18:0:52.527: DirectionIndicator - notify - price/longMA/ShortMA/prevDirection are 1.51475/1.51471403019353/1.51474477384703/1</t>
  </si>
  <si>
    <t>2015-1-20 18:0:52.528: Algorithm - handleTransition - currentHedgeShortfall is NOT ZERO and AUTOHEDGE IS NOT ENABLED!</t>
  </si>
  <si>
    <t>2015-1-20 18:0:58.391: DirectionIndicator - notify - price/longMA/ShortMA/prevDirection are 1.5148/1.51472966106744/1.51476318256469/1</t>
  </si>
  <si>
    <t>2015-1-20 18:0:58.392: Algorithm - handleTransition - currentHedgeShortfall is NOT ZERO and AUTOHEDGE IS NOT ENABLED!</t>
  </si>
  <si>
    <t>2015-1-20 18:0:58.466: DirectionIndicator - notify - price/longMA/ShortMA/prevDirection are 1.51485/1.51475154087336/1.51479212170979/1</t>
  </si>
  <si>
    <t>2015-1-20 18:0:58.467: Algorithm - handleTransition - currentHedgeShortfall is NOT ZERO and AUTOHEDGE IS NOT ENABLED!</t>
  </si>
  <si>
    <t>2015-1-20 18:0:59.135: DirectionIndicator - notify - price/longMA/ShortMA/prevDirection are 1.5148/1.51476035162366/1.51479474780653/1</t>
  </si>
  <si>
    <t>2015-1-20 18:0:59.135: Algorithm - handleTransition - currentHedgeShortfall is NOT ZERO and AUTOHEDGE IS NOT ENABLED!</t>
  </si>
  <si>
    <t>2015-1-20 18:0:59.182: DirectionIndicator - notify - price/longMA/ShortMA/prevDirection are 1.51475/1.51475846951026/1.51477983187102/1</t>
  </si>
  <si>
    <t>2015-1-20 18:0:59.183: Algorithm - handleTransition - currentHedgeShortfall is NOT ZERO and AUTOHEDGE IS NOT ENABLED!</t>
  </si>
  <si>
    <t>2015-1-20 18:0:59.763: DirectionIndicator - notify - price/longMA/ShortMA/prevDirection are 1.5148/1.5147660205084/1.51478655458068/1</t>
  </si>
  <si>
    <t>2015-1-20 18:0:59.764: Algorithm - handleTransition - currentHedgeShortfall is NOT ZERO and AUTOHEDGE IS NOT ENABLED!</t>
  </si>
  <si>
    <t>2015-1-20 18:0:59.881: DirectionIndicator - notify - price/longMA/ShortMA/prevDirection are 1.51475/1.51476310768869/1.51477436972045/1</t>
  </si>
  <si>
    <t>2015-1-20 18:0:59.881: Algorithm - handleTransition - currentHedgeShortfall is NOT ZERO and AUTOHEDGE IS NOT ENABLED!</t>
  </si>
  <si>
    <t>2015-1-20 18:1:0.883: DirectionIndicator - notify - price/longMA/ShortMA/prevDirection are 1.5147/1.51475163356347/1.51474957981364/1</t>
  </si>
  <si>
    <t>2015-1-20 18:1:0.884: Algorithm - handleTransition - currentHedgeShortfall is NOT ZERO and AUTOHEDGE IS NOT ENABLED!</t>
  </si>
  <si>
    <t>2015-1-20 18:1:2.827: DirectionIndicator - notify - price/longMA/ShortMA/prevDirection are 1.51475/1.51475133655193/1.51474971987576/1</t>
  </si>
  <si>
    <t>2015-1-20 18:1:2.830: Algorithm - handleTransition - currentHedgeShortfall is NOT ZERO and AUTOHEDGE IS NOT ENABLED!</t>
  </si>
  <si>
    <t>2015-1-20 18:1:4.822: DirectionIndicator - notify - price/longMA/ShortMA/prevDirection are 1.5147/1.5147420026334/1.51473314658384/1</t>
  </si>
  <si>
    <t>2015-1-20 18:1:4.823: Algorithm - handleTransition - currentHedgeShortfall is NOT ZERO and AUTOHEDGE IS NOT ENABLED!</t>
  </si>
  <si>
    <t>2015-1-20 18:1:5.46: DirectionIndicator - notify - price/longMA/ShortMA/prevDirection are 1.51465/1.51472527488187/1.51470543105589/1</t>
  </si>
  <si>
    <t>2015-1-20 18:1:5.47: Algorithm - handleTransition - currentHedgeShortfall is NOT ZERO and AUTOHEDGE IS NOT ENABLED!</t>
  </si>
  <si>
    <t>2015-1-20 18:1:6.56: DirectionIndicator - notify - price/longMA/ShortMA/prevDirection are 1.5146/1.51470249763062/1.51467028737059/1</t>
  </si>
  <si>
    <t>2015-1-20 18:1:6.58: Algorithm - handleTransition - currentHedgeShortfall is NOT ZERO and AUTOHEDGE IS NOT ENABLED!</t>
  </si>
  <si>
    <t>2015-1-20 18:1:6.180: DirectionIndicator - notify - price/longMA/ShortMA/prevDirection are 1.51455/1.51467477078869/1.5146301915804/-1</t>
  </si>
  <si>
    <t>2015-1-20 18:1:6.181: Algorithm - handleTransition - currentHedgeShortfall is NOT ZERO and AUTOHEDGE IS NOT ENABLED!</t>
  </si>
  <si>
    <t>2015-1-20 18:1:8.236: TransitionLogger - flushFile - flushing file</t>
  </si>
  <si>
    <t>2015-1-20 18:1:8.236: TransitionLogger - openTransitionFile - opening file C:\temp\transitionlog_2015-01-20_153021</t>
  </si>
  <si>
    <t>2015-1-20 18:1:29.497: TransitionLogger - flushFile - flushing file</t>
  </si>
  <si>
    <t>2015-1-20 18:1:29.499: TransitionLogger - openTransitionFile - opening file C:\temp\transitionlog_2015-01-20_153021</t>
  </si>
  <si>
    <t>2015-1-20 18:2:8.98: TransitionLogger - flushFile - flushing file</t>
  </si>
  <si>
    <t>2015-1-20 18:2:8.100: TransitionLogger - openTransitionFile - opening file C:\temp\transitionlog_2015-01-20_153021</t>
  </si>
  <si>
    <t>2015-1-20 18:2:19.227: DirectionIndicator - notify - price/longMA/ShortMA/prevDirection are 1.5145/1.51464299428166/1.51458679438693/-1</t>
  </si>
  <si>
    <t>2015-1-20 18:2:19.228: Algorithm - handleTransition - currentHedgeShortfall is NOT ZERO and AUTOHEDGE IS NOT ENABLED!</t>
  </si>
  <si>
    <t>2015-1-20 18:2:19.302: DirectionIndicator - notify - price/longMA/ShortMA/prevDirection are 1.51445/1.51460790441226/1.51454119625795/-1</t>
  </si>
  <si>
    <t>2015-1-20 18:2:19.303: Algorithm - handleTransition - currentHedgeShortfall is NOT ZERO and AUTOHEDGE IS NOT ENABLED!</t>
  </si>
  <si>
    <t>2015-1-20 18:2:29.401: TransitionLogger - flushFile - flushing file</t>
  </si>
  <si>
    <t>2015-1-20 18:2:29.401: TransitionLogger - openTransitionFile - opening file C:\temp\transitionlog_2015-01-20_153021</t>
  </si>
  <si>
    <t>2015-1-20 18:2:31.865: DirectionIndicator - notify - price/longMA/ShortMA/prevDirection are 1.5144/1.51457010361003/1.51449413083864/-1</t>
  </si>
  <si>
    <t>2015-1-20 18:2:31.866: Algorithm - handleTransition - currentHedgeShortfall is NOT ZERO and AUTOHEDGE IS NOT ENABLED!</t>
  </si>
  <si>
    <t>2015-1-20 18:2:31.927: DirectionIndicator - notify - price/longMA/ShortMA/prevDirection are 1.51435/1.51453008477185/1.51444608722576/-1</t>
  </si>
  <si>
    <t>2015-1-20 18:2:31.927: Algorithm - handleTransition - currentHedgeShortfall is NOT ZERO and AUTOHEDGE IS NOT ENABLED!</t>
  </si>
  <si>
    <t>2015-1-20 18:3:0.429: DirectionIndicator - notify - price/longMA/ShortMA/prevDirection are 1.5143/1.51448825117697/1.51439739148384/-1</t>
  </si>
  <si>
    <t>2015-1-20 18:3:0.429: Algorithm - handleTransition - currentHedgeShortfall is NOT ZERO and AUTOHEDGE IS NOT ENABLED!</t>
  </si>
  <si>
    <t>2015-1-20 18:3:0.482: DirectionIndicator - notify - price/longMA/ShortMA/prevDirection are 1.51425/1.51444493278115/1.51434826098923/-1</t>
  </si>
  <si>
    <t>2015-1-20 18:3:0.483: Algorithm - handleTransition - currentHedgeShortfall is NOT ZERO and AUTOHEDGE IS NOT ENABLED!</t>
  </si>
  <si>
    <t>2015-1-20 18:3:2.262: DirectionIndicator - notify - price/longMA/ShortMA/prevDirection are 1.5143/1.5144185813664/1.51433217399282/-1</t>
  </si>
  <si>
    <t>2015-1-20 18:3:2.263: Algorithm - handleTransition - currentHedgeShortfall is NOT ZERO and AUTOHEDGE IS NOT ENABLED!</t>
  </si>
  <si>
    <t>2015-1-20 18:3:6.824: DirectionIndicator - notify - price/longMA/ShortMA/prevDirection are 1.51425/1.51438793020887/1.51430478266188/-1</t>
  </si>
  <si>
    <t>2015-1-20 18:3:6.825: Algorithm - handleTransition - currentHedgeShortfall is NOT ZERO and AUTOHEDGE IS NOT ENABLED!</t>
  </si>
  <si>
    <t>2015-1-20 18:3:7.315: DirectionIndicator - notify - price/longMA/ShortMA/prevDirection are 1.5143/1.51437194289817/1.51430318844125/-1</t>
  </si>
  <si>
    <t>2015-1-20 18:3:7.315: Algorithm - handleTransition - currentHedgeShortfall is NOT ZERO and AUTOHEDGE IS NOT ENABLED!</t>
  </si>
  <si>
    <t>2015-1-20 18:3:8.126: TransitionLogger - flushFile - flushing file</t>
  </si>
  <si>
    <t>2015-1-20 18:3:8.126: TransitionLogger - openTransitionFile - opening file C:\temp\transitionlog_2015-01-20_153021</t>
  </si>
  <si>
    <t>2015-1-20 18:3:11.36: DirectionIndicator - notify - price/longMA/ShortMA/prevDirection are 1.51435/1.51436795328032/1.51431879229417/-1</t>
  </si>
  <si>
    <t>2015-1-20 18:3:11.38: Algorithm - handleTransition - currentHedgeShortfall is NOT ZERO and AUTOHEDGE IS NOT ENABLED!</t>
  </si>
  <si>
    <t>2015-1-20 18:3:16.803: Algorithm - FindNextStrikes - price is 1.51435 nextStrikeUp/Down 1.515/0</t>
  </si>
  <si>
    <t>2015-1-20 18:3:16.804: Algorithm - getPortfolioForwardDelta - required deltas is -200 currentHedgePosition is 101</t>
  </si>
  <si>
    <t>2015-1-20 18:3:16.804: Algorithm - getHedgeShortfall - required deltas is -200 price is 1.51425 currentHedgePositionDeltas is 101</t>
  </si>
  <si>
    <t>2015-1-20 18:3:16.805: Algorithm - processTransitionPoint - nextUpper/LowerStrikes are 1.515/0 requiredDeltas/currentPosition/currentHedgeShortfall/direction/transitionPrice are -200/101/-301/-1/1.51425</t>
  </si>
  <si>
    <t>2015-1-20 18:3:16.805: TransitionLogger - processTransitionpoint - checking transition - currentHedgeShortfall is -301</t>
  </si>
  <si>
    <t>2015-1-20 18:3:16.805: Algorithm - handleTransition - currentHedgeShortfall is NOT ZERO and AUTOHEDGE IS NOT ENABLED!</t>
  </si>
  <si>
    <t>2015-1-20 18:3:16.806: Algorithm - updatePortfolio - haveAllDetails is True</t>
  </si>
  <si>
    <t>2015-1-20 18:3:16.807: RTWSControl - updatePortfolioEx - An Error Occured Object variable or With block variable not set</t>
  </si>
  <si>
    <t>2015-1-20 18:3:16.847: Algorithm - FindNextStrikes - price is 1.51435 nextStrikeUp/Down 1.515/0</t>
  </si>
  <si>
    <t>2015-1-20 18:3:16.848: Algorithm - getPortfolioForwardDelta - required deltas is -200 currentHedgePosition is 101</t>
  </si>
  <si>
    <t>2015-1-20 18:3:16.848: Algorithm - getHedgeShortfall - required deltas is -200 price is 1.51425 currentHedgePositionDeltas is 101</t>
  </si>
  <si>
    <t>2015-1-20 18:3:16.848: Algorithm - processTransitionPoint - nextUpper/LowerStrikes are 1.515/0 requiredDeltas/currentPosition/currentHedgeShortfall/direction/transitionPrice are -200/101/-301/-1/1.51425</t>
  </si>
  <si>
    <t>2015-1-20 18:3:16.849: TransitionLogger - processTransitionpoint - checking transition - currentHedgeShortfall is -301</t>
  </si>
  <si>
    <t>2015-1-20 18:3:16.849: Algorithm - handleTransition - currentHedgeShortfall is NOT ZERO and AUTOHEDGE IS NOT ENABLED!</t>
  </si>
  <si>
    <t>2015-1-20 18:3:16.850: Algorithm - updatePortfolio - haveAllDetails is True</t>
  </si>
  <si>
    <t>2015-1-20 18:3:16.851: RTWSControl - updatePortfolioEx - An Error Occured Object variable or With block variable not set</t>
  </si>
  <si>
    <t>2015-1-20 18:3:16.898: Algorithm - FindNextStrikes - price is 1.51435 nextStrikeUp/Down 1.515/0</t>
  </si>
  <si>
    <t>2015-1-20 18:3:16.899: Algorithm - getPortfolioForwardDelta - required deltas is -200 currentHedgePosition is 101</t>
  </si>
  <si>
    <t>2015-1-20 18:3:16.899: Algorithm - getHedgeShortfall - required deltas is -200 price is 1.51425 currentHedgePositionDeltas is 101</t>
  </si>
  <si>
    <t>2015-1-20 18:3:16.900: Algorithm - processTransitionPoint - nextUpper/LowerStrikes are 1.515/0 requiredDeltas/currentPosition/currentHedgeShortfall/direction/transitionPrice are -200/101/-301/-1/1.51425</t>
  </si>
  <si>
    <t>2015-1-20 18:3:16.900: TransitionLogger - processTransitionpoint - checking transition - currentHedgeShortfall is -301</t>
  </si>
  <si>
    <t>2015-1-20 18:3:16.900: Algorithm - handleTransition - currentHedgeShortfall is NOT ZERO and AUTOHEDGE IS NOT ENABLED!</t>
  </si>
  <si>
    <t>2015-1-20 18:3:16.901: Algorithm - updatePortfolio - haveAllDetails is True</t>
  </si>
  <si>
    <t>2015-1-20 18:3:16.902: RTWSControl - updatePortfolioEx - An Error Occured Object variable or With block variable not set</t>
  </si>
  <si>
    <t>2015-1-20 18:3:16.954: Algorithm - FindNextStrikes - price is 1.51435 nextStrikeUp/Down 1.515/0</t>
  </si>
  <si>
    <t>2015-1-20 18:3:16.954: Algorithm - getPortfolioForwardDelta - required deltas is -200 currentHedgePosition is 101</t>
  </si>
  <si>
    <t>2015-1-20 18:3:16.954: Algorithm - getHedgeShortfall - required deltas is -200 price is 1.51425 currentHedgePositionDeltas is 101</t>
  </si>
  <si>
    <t>2015-1-20 18:3:16.955: Algorithm - processTransitionPoint - nextUpper/LowerStrikes are 1.515/0 requiredDeltas/currentPosition/currentHedgeShortfall/direction/transitionPrice are -200/101/-301/-1/1.51425</t>
  </si>
  <si>
    <t>2015-1-20 18:3:16.955: TransitionLogger - processTransitionpoint - checking transition - currentHedgeShortfall is -301</t>
  </si>
  <si>
    <t>2015-1-20 18:3:16.956: Algorithm - handleTransition - currentHedgeShortfall is NOT ZERO and AUTOHEDGE IS NOT ENABLED!</t>
  </si>
  <si>
    <t>2015-1-20 18:3:16.956: Algorithm - updatePortfolio - haveAllDetails is True</t>
  </si>
  <si>
    <t>2015-1-20 18:3:16.958: RTWSControl - updatePortfolioEx - An Error Occured Object variable or With block variable not set</t>
  </si>
  <si>
    <t>2015-1-20 18:3:17.20: Algorithm - FindNextStrikes - price is 1.51435 nextStrikeUp/Down 1.515/0</t>
  </si>
  <si>
    <t>2015-1-20 18:3:17.20: Algorithm - getPortfolioForwardDelta - required deltas is -200 currentHedgePosition is 101</t>
  </si>
  <si>
    <t>2015-1-20 18:3:17.20: Algorithm - getHedgeShortfall - required deltas is -200 price is 1.51425 currentHedgePositionDeltas is 101</t>
  </si>
  <si>
    <t>2015-1-20 18:3:17.21: Algorithm - processTransitionPoint - nextUpper/LowerStrikes are 1.515/0 requiredDeltas/currentPosition/currentHedgeShortfall/direction/transitionPrice are -200/101/-301/-1/1.51425</t>
  </si>
  <si>
    <t>2015-1-20 18:3:17.21: TransitionLogger - processTransitionpoint - checking transition - currentHedgeShortfall is -301</t>
  </si>
  <si>
    <t>2015-1-20 18:3:17.21: Algorithm - handleTransition - currentHedgeShortfall is NOT ZERO and AUTOHEDGE IS NOT ENABLED!</t>
  </si>
  <si>
    <t>2015-1-20 18:3:17.22: Algorithm - updatePortfolio - haveAllDetails is True</t>
  </si>
  <si>
    <t>2015-1-20 18:3:17.23: RTWSControl - updatePortfolioEx - An Error Occured Object variable or With block variable not set</t>
  </si>
  <si>
    <t>2015-1-20 18:3:17.83: Algorithm - FindNextStrikes - price is 1.51435 nextStrikeUp/Down 1.515/0</t>
  </si>
  <si>
    <t>2015-1-20 18:3:17.83: Algorithm - getPortfolioForwardDelta - required deltas is -200 currentHedgePosition is 101</t>
  </si>
  <si>
    <t>2015-1-20 18:3:17.83: Algorithm - getHedgeShortfall - required deltas is -200 price is 1.51425 currentHedgePositionDeltas is 101</t>
  </si>
  <si>
    <t>2015-1-20 18:3:17.84: Algorithm - processTransitionPoint - nextUpper/LowerStrikes are 1.515/0 requiredDeltas/currentPosition/currentHedgeShortfall/direction/transitionPrice are -200/101/-301/-1/1.51425</t>
  </si>
  <si>
    <t>2015-1-20 18:3:17.84: TransitionLogger - processTransitionpoint - checking transition - currentHedgeShortfall is -301</t>
  </si>
  <si>
    <t>2015-1-20 18:3:17.84: Algorithm - handleTransition - currentHedgeShortfall is NOT ZERO and AUTOHEDGE IS NOT ENABLED!</t>
  </si>
  <si>
    <t>2015-1-20 18:3:17.85: Algorithm - updatePortfolio - haveAllDetails is True</t>
  </si>
  <si>
    <t>2015-1-20 18:3:17.86: RTWSControl - updatePortfolioEx - An Error Occured Object variable or With block variable not set</t>
  </si>
  <si>
    <t>2015-1-20 18:3:29.304: TransitionLogger - flushFile - flushing file</t>
  </si>
  <si>
    <t>2015-1-20 18:3:29.306: TransitionLogger - openTransitionFile - opening file C:\temp\transitionlog_2015-01-20_153021</t>
  </si>
  <si>
    <t>2015-1-20 18:3:50.579: DirectionIndicator - notify - price/longMA/ShortMA/prevDirection are 1.5143/1.51435559813844/1.51431252819611/-1</t>
  </si>
  <si>
    <t>2015-1-20 18:3:50.581: Algorithm - handleTransition - currentHedgeShortfall is NOT ZERO and AUTOHEDGE IS NOT ENABLED!</t>
  </si>
  <si>
    <t>2015-1-20 18:3:50.689: DirectionIndicator - notify - price/longMA/ShortMA/prevDirection are 1.51425/1.51433639847691/1.51429168546407/-1</t>
  </si>
  <si>
    <t>2015-1-20 18:3:50.690: Algorithm - handleTransition - currentHedgeShortfall is NOT ZERO and AUTOHEDGE IS NOT ENABLED!</t>
  </si>
  <si>
    <t>2015-1-20 18:4:8.109: TransitionLogger - flushFile - flushing file</t>
  </si>
  <si>
    <t>2015-1-20 18:4:8.110: TransitionLogger - openTransitionFile - opening file C:\temp\transitionlog_2015-01-20_153021</t>
  </si>
  <si>
    <t>2015-1-20 18:4:8.500: DirectionIndicator - notify - price/longMA/ShortMA/prevDirection are 1.5143/1.51432978057202/1.51429445697605/-1</t>
  </si>
  <si>
    <t>2015-1-20 18:4:8.501: Algorithm - handleTransition - currentHedgeShortfall is NOT ZERO and AUTOHEDGE IS NOT ENABLED!</t>
  </si>
  <si>
    <t>2015-1-20 18:4:8.559: DirectionIndicator - notify - price/longMA/ShortMA/prevDirection are 1.51435/1.51433345683165/1.51431297131737/-1</t>
  </si>
  <si>
    <t>2015-1-20 18:4:8.560: Algorithm - handleTransition - currentHedgeShortfall is NOT ZERO and AUTOHEDGE IS NOT ENABLED!</t>
  </si>
  <si>
    <t>2015-1-20 18:4:29.212: TransitionLogger - flushFile - flushing file</t>
  </si>
  <si>
    <t>2015-1-20 18:4:29.213: TransitionLogger - openTransitionFile - opening file C:\temp\transitionlog_2015-01-20_153021</t>
  </si>
  <si>
    <t>2015-1-20 18:5:8.150: TransitionLogger - flushFile - flushing file</t>
  </si>
  <si>
    <t>2015-1-20 18:5:8.151: TransitionLogger - openTransitionFile - opening file C:\temp\transitionlog_2015-01-20_153021</t>
  </si>
  <si>
    <t>2015-1-20 18:5:29.118: TransitionLogger - flushFile - flushing file</t>
  </si>
  <si>
    <t>2015-1-20 18:5:29.120: TransitionLogger - openTransitionFile - opening file C:\temp\transitionlog_2015-01-20_153021</t>
  </si>
  <si>
    <t>2015-1-20 18:5:44.647: DirectionIndicator - notify - price/longMA/ShortMA/prevDirection are 1.5144/1.51434555558953/1.51434198087824/-1</t>
  </si>
  <si>
    <t>2015-1-20 18:5:44.647: Algorithm - handleTransition - currentHedgeShortfall is NOT ZERO and AUTOHEDGE IS NOT ENABLED!</t>
  </si>
  <si>
    <t>2015-1-20 18:5:44.701: DirectionIndicator - notify - price/longMA/ShortMA/prevDirection are 1.51445/1.51436454548234/1.51437798725216/-1</t>
  </si>
  <si>
    <t>2015-1-20 18:5:44.702: Algorithm - handleTransition - currentHedgeShortfall is NOT ZERO and AUTOHEDGE IS NOT ENABLED!</t>
  </si>
  <si>
    <t>2015-1-20 18:6:3.943: DirectionIndicator - notify - price/longMA/ShortMA/prevDirection are 1.5145/1.51438917357646/1.51441865816811/-1</t>
  </si>
  <si>
    <t>2015-1-20 18:6:3.944: Algorithm - handleTransition - currentHedgeShortfall is NOT ZERO and AUTOHEDGE IS NOT ENABLED!</t>
  </si>
  <si>
    <t>2015-1-20 18:6:4.23: DirectionIndicator - notify - price/longMA/ShortMA/prevDirection are 1.51455/1.51441841474438/1.51446243877874/1</t>
  </si>
  <si>
    <t>2015-1-20 18:6:4.24: Algorithm - handleTransition - currentHedgeShortfall is NOT ZERO and AUTOHEDGE IS NOT ENABLED!</t>
  </si>
  <si>
    <t>2015-1-20 18:6:8.53: TransitionLogger - flushFile - flushing file</t>
  </si>
  <si>
    <t>2015-1-20 18:6:8.55: TransitionLogger - openTransitionFile - opening file C:\temp\transitionlog_2015-01-20_153021</t>
  </si>
  <si>
    <t>2015-1-20 18:6:16.816: Algorithm - FindNextStrikes - price is 1.51455 nextStrikeUp/Down 1.515/0</t>
  </si>
  <si>
    <t>2015-1-20 18:6:16.816: Algorithm - getPortfolioForwardDelta - required deltas is -200 currentHedgePosition is 101</t>
  </si>
  <si>
    <t>2015-1-20 18:6:16.816: Algorithm - getHedgeShortfall - required deltas is -200 price is 1.51465 currentHedgePositionDeltas is 101</t>
  </si>
  <si>
    <t>2015-1-20 18:6:16.817: Algorithm - processTransitionPoint - nextUpper/LowerStrikes are 1.515/0 requiredDeltas/currentPosition/currentHedgeShortfall/direction/transitionPrice are -200/101/-301/1/1.51465</t>
  </si>
  <si>
    <t>2015-1-20 18:6:16.817: TransitionLogger - processTransitionpoint - checking transition - currentHedgeShortfall is -301</t>
  </si>
  <si>
    <t>2015-1-20 18:6:16.817: Algorithm - handleTransition - currentHedgeShortfall is NOT ZERO and AUTOHEDGE IS NOT ENABLED!</t>
  </si>
  <si>
    <t>2015-1-20 18:6:16.818: Algorithm - updatePortfolio - haveAllDetails is True</t>
  </si>
  <si>
    <t>2015-1-20 18:6:16.819: RTWSControl - updatePortfolioEx - An Error Occured Object variable or With block variable not set</t>
  </si>
  <si>
    <t>2015-1-20 18:6:16.860: Algorithm - FindNextStrikes - price is 1.51455 nextStrikeUp/Down 1.515/0</t>
  </si>
  <si>
    <t>2015-1-20 18:6:16.860: Algorithm - getPortfolioForwardDelta - required deltas is -200 currentHedgePosition is 101</t>
  </si>
  <si>
    <t>2015-1-20 18:6:16.860: Algorithm - getHedgeShortfall - required deltas is -200 price is 1.51465 currentHedgePositionDeltas is 101</t>
  </si>
  <si>
    <t>2015-1-20 18:6:16.861: Algorithm - processTransitionPoint - nextUpper/LowerStrikes are 1.515/0 requiredDeltas/currentPosition/currentHedgeShortfall/direction/transitionPrice are -200/101/-301/1/1.51465</t>
  </si>
  <si>
    <t>2015-1-20 18:6:16.861: TransitionLogger - processTransitionpoint - checking transition - currentHedgeShortfall is -301</t>
  </si>
  <si>
    <t>2015-1-20 18:6:16.862: Algorithm - handleTransition - currentHedgeShortfall is NOT ZERO and AUTOHEDGE IS NOT ENABLED!</t>
  </si>
  <si>
    <t>2015-1-20 18:6:16.862: Algorithm - updatePortfolio - haveAllDetails is True</t>
  </si>
  <si>
    <t>2015-1-20 18:6:16.863: RTWSControl - updatePortfolioEx - An Error Occured Object variable or With block variable not set</t>
  </si>
  <si>
    <t>2015-1-20 18:6:16.912: Algorithm - FindNextStrikes - price is 1.51455 nextStrikeUp/Down 1.515/0</t>
  </si>
  <si>
    <t>2015-1-20 18:6:16.912: Algorithm - getPortfolioForwardDelta - required deltas is -200 currentHedgePosition is 101</t>
  </si>
  <si>
    <t>2015-1-20 18:6:16.913: Algorithm - getHedgeShortfall - required deltas is -200 price is 1.51465 currentHedgePositionDeltas is 101</t>
  </si>
  <si>
    <t>2015-1-20 18:6:16.913: Algorithm - processTransitionPoint - nextUpper/LowerStrikes are 1.515/0 requiredDeltas/currentPosition/currentHedgeShortfall/direction/transitionPrice are -200/101/-301/1/1.51465</t>
  </si>
  <si>
    <t>2015-1-20 18:6:16.913: TransitionLogger - processTransitionpoint - checking transition - currentHedgeShortfall is -301</t>
  </si>
  <si>
    <t>2015-1-20 18:6:16.914: Algorithm - handleTransition - currentHedgeShortfall is NOT ZERO and AUTOHEDGE IS NOT ENABLED!</t>
  </si>
  <si>
    <t>2015-1-20 18:6:16.915: Algorithm - updatePortfolio - haveAllDetails is True</t>
  </si>
  <si>
    <t>2015-1-20 18:6:16.916: RTWSControl - updatePortfolioEx - An Error Occured Object variable or With block variable not set</t>
  </si>
  <si>
    <t>2015-1-20 18:6:16.972: Algorithm - FindNextStrikes - price is 1.51455 nextStrikeUp/Down 1.515/0</t>
  </si>
  <si>
    <t>2015-1-20 18:6:16.972: Algorithm - getPortfolioForwardDelta - required deltas is -200 currentHedgePosition is 101</t>
  </si>
  <si>
    <t>2015-1-20 18:6:16.972: Algorithm - getHedgeShortfall - required deltas is -200 price is 1.51465 currentHedgePositionDeltas is 101</t>
  </si>
  <si>
    <t>2015-1-20 18:6:16.973: Algorithm - processTransitionPoint - nextUpper/LowerStrikes are 1.515/0 requiredDeltas/currentPosition/currentHedgeShortfall/direction/transitionPrice are -200/101/-301/1/1.51465</t>
  </si>
  <si>
    <t>2015-1-20 18:6:16.973: TransitionLogger - processTransitionpoint - checking transition - currentHedgeShortfall is -301</t>
  </si>
  <si>
    <t>2015-1-20 18:6:16.974: Algorithm - handleTransition - currentHedgeShortfall is NOT ZERO and AUTOHEDGE IS NOT ENABLED!</t>
  </si>
  <si>
    <t>2015-1-20 18:6:16.975: Algorithm - updatePortfolio - haveAllDetails is True</t>
  </si>
  <si>
    <t>2015-1-20 18:6:16.976: RTWSControl - updatePortfolioEx - An Error Occured Object variable or With block variable not set</t>
  </si>
  <si>
    <t>2015-1-20 18:6:17.31: Algorithm - FindNextStrikes - price is 1.51455 nextStrikeUp/Down 1.515/0</t>
  </si>
  <si>
    <t>2015-1-20 18:6:17.31: Algorithm - getPortfolioForwardDelta - required deltas is -200 currentHedgePosition is 101</t>
  </si>
  <si>
    <t>2015-1-20 18:6:17.32: Algorithm - getHedgeShortfall - required deltas is -200 price is 1.51465 currentHedgePositionDeltas is 101</t>
  </si>
  <si>
    <t>2015-1-20 18:6:17.32: Algorithm - processTransitionPoint - nextUpper/LowerStrikes are 1.515/0 requiredDeltas/currentPosition/currentHedgeShortfall/direction/transitionPrice are -200/101/-301/1/1.51465</t>
  </si>
  <si>
    <t>2015-1-20 18:6:17.33: TransitionLogger - processTransitionpoint - checking transition - currentHedgeShortfall is -301</t>
  </si>
  <si>
    <t>2015-1-20 18:6:17.33: Algorithm - handleTransition - currentHedgeShortfall is NOT ZERO and AUTOHEDGE IS NOT ENABLED!</t>
  </si>
  <si>
    <t>2015-1-20 18:6:17.34: Algorithm - updatePortfolio - haveAllDetails is True</t>
  </si>
  <si>
    <t>2015-1-20 18:6:17.35: RTWSControl - updatePortfolioEx - An Error Occured Object variable or With block variable not set</t>
  </si>
  <si>
    <t>2015-1-20 18:6:17.95: Algorithm - FindNextStrikes - price is 1.51455 nextStrikeUp/Down 1.515/0</t>
  </si>
  <si>
    <t>2015-1-20 18:6:17.95: Algorithm - getPortfolioForwardDelta - required deltas is -200 currentHedgePosition is 101</t>
  </si>
  <si>
    <t>2015-1-20 18:6:17.96: Algorithm - getHedgeShortfall - required deltas is -200 price is 1.51465 currentHedgePositionDeltas is 101</t>
  </si>
  <si>
    <t>2015-1-20 18:6:17.96: Algorithm - processTransitionPoint - nextUpper/LowerStrikes are 1.515/0 requiredDeltas/currentPosition/currentHedgeShortfall/direction/transitionPrice are -200/101/-301/1/1.51465</t>
  </si>
  <si>
    <t>2015-1-20 18:6:17.96: TransitionLogger - processTransitionpoint - checking transition - currentHedgeShortfall is -301</t>
  </si>
  <si>
    <t>2015-1-20 18:6:17.97: Algorithm - handleTransition - currentHedgeShortfall is NOT ZERO and AUTOHEDGE IS NOT ENABLED!</t>
  </si>
  <si>
    <t>2015-1-20 18:6:17.98: Algorithm - updatePortfolio - haveAllDetails is True</t>
  </si>
  <si>
    <t>2015-1-20 18:6:17.99: RTWSControl - updatePortfolioEx - An Error Occured Object variable or With block variable not set</t>
  </si>
  <si>
    <t>2015-1-20 18:6:29.22: TransitionLogger - flushFile - flushing file</t>
  </si>
  <si>
    <t>2015-1-20 18:6:29.22: TransitionLogger - openTransitionFile - opening file C:\temp\transitionlog_2015-01-20_153021</t>
  </si>
  <si>
    <t>2015-1-20 18:6:30.568: DirectionIndicator - notify - price/longMA/ShortMA/prevDirection are 1.5145/1.51443324842722/1.51447495918583/1</t>
  </si>
  <si>
    <t>2015-1-20 18:6:30.569: Algorithm - handleTransition - currentHedgeShortfall is NOT ZERO and AUTOHEDGE IS NOT ENABLED!</t>
  </si>
  <si>
    <t>2015-1-20 18:6:30.621: DirectionIndicator - notify - price/longMA/ShortMA/prevDirection are 1.51445/1.51443629416772/1.51446663945722/1</t>
  </si>
  <si>
    <t>2015-1-20 18:6:30.622: Algorithm - handleTransition - currentHedgeShortfall is NOT ZERO and AUTOHEDGE IS NOT ENABLED!</t>
  </si>
  <si>
    <t>2015-1-20 18:6:33.446: DirectionIndicator - notify - price/longMA/ShortMA/prevDirection are 1.5144/1.51442969522814/1.51444442630481/1</t>
  </si>
  <si>
    <t>2015-1-20 18:6:33.447: Algorithm - handleTransition - currentHedgeShortfall is NOT ZERO and AUTOHEDGE IS NOT ENABLED!</t>
  </si>
  <si>
    <t>2015-1-20 18:6:33.528: DirectionIndicator - notify - price/longMA/ShortMA/prevDirection are 1.51435/1.51441520518666/1.51441295086987/1</t>
  </si>
  <si>
    <t>2015-1-20 18:6:33.529: Algorithm - handleTransition - currentHedgeShortfall is NOT ZERO and AUTOHEDGE IS NOT ENABLED!</t>
  </si>
  <si>
    <t>2015-1-20 18:6:59.43: DirectionIndicator - notify - price/longMA/ShortMA/prevDirection are 1.5144/1.51441244060727/1.51440863391325/1</t>
  </si>
  <si>
    <t>2015-1-20 18:6:59.44: Algorithm - handleTransition - currentHedgeShortfall is NOT ZERO and AUTOHEDGE IS NOT ENABLED!</t>
  </si>
  <si>
    <t>2015-1-20 18:6:59.111: DirectionIndicator - notify - price/longMA/ShortMA/prevDirection are 1.51445/1.51441926958776/1.51442242260883/1</t>
  </si>
  <si>
    <t>2015-1-20 18:6:59.111: Algorithm - handleTransition - currentHedgeShortfall is NOT ZERO and AUTOHEDGE IS NOT ENABLED!</t>
  </si>
  <si>
    <t>2015-1-20 18:7:0.614: DirectionIndicator - notify - price/longMA/ShortMA/prevDirection are 1.5144/1.51441576602635/1.51441494840589/1</t>
  </si>
  <si>
    <t>2015-1-20 18:7:0.615: Algorithm - handleTransition - currentHedgeShortfall is NOT ZERO and AUTOHEDGE IS NOT ENABLED!</t>
  </si>
  <si>
    <t>2015-1-20 18:7:0.664: DirectionIndicator - notify - price/longMA/ShortMA/prevDirection are 1.51435/1.51440380856701/1.51439329893726/1</t>
  </si>
  <si>
    <t>2015-1-20 18:7:0.665: Algorithm - handleTransition - currentHedgeShortfall is NOT ZERO and AUTOHEDGE IS NOT ENABLED!</t>
  </si>
  <si>
    <t>2015-1-20 18:7:1.408: DirectionIndicator - notify - price/longMA/ShortMA/prevDirection are 1.5144/1.51440311610028/1.51439553262484/1</t>
  </si>
  <si>
    <t>2015-1-20 18:7:1.409: Algorithm - handleTransition - currentHedgeShortfall is NOT ZERO and AUTOHEDGE IS NOT ENABLED!</t>
  </si>
  <si>
    <t>2015-1-20 18:7:1.483: DirectionIndicator - notify - price/longMA/ShortMA/prevDirection are 1.51445/1.51441164044569/1.51441368841656/1</t>
  </si>
  <si>
    <t>2015-1-20 18:7:1.484: Algorithm - handleTransition - currentHedgeShortfall is NOT ZERO and AUTOHEDGE IS NOT ENABLED!</t>
  </si>
  <si>
    <t>2015-1-20 18:7:2.821: DirectionIndicator - notify - price/longMA/ShortMA/prevDirection are 1.5145/1.5144277058192/1.51444245894437/1</t>
  </si>
  <si>
    <t>2015-1-20 18:7:2.821: Algorithm - handleTransition - currentHedgeShortfall is NOT ZERO and AUTOHEDGE IS NOT ENABLED!</t>
  </si>
  <si>
    <t>2015-1-20 18:7:2.942: DirectionIndicator - notify - price/longMA/ShortMA/prevDirection are 1.51445/1.51443175930662/1.51444497262958/1</t>
  </si>
  <si>
    <t>2015-1-20 18:7:2.943: Algorithm - handleTransition - currentHedgeShortfall is NOT ZERO and AUTOHEDGE IS NOT ENABLED!</t>
  </si>
  <si>
    <t>2015-1-20 18:7:3.901: DirectionIndicator - notify - price/longMA/ShortMA/prevDirection are 1.5144/1.51442598488723/1.51442998175305/1</t>
  </si>
  <si>
    <t>2015-1-20 18:7:3.901: Algorithm - handleTransition - currentHedgeShortfall is NOT ZERO and AUTOHEDGE IS NOT ENABLED!</t>
  </si>
  <si>
    <t>2015-1-20 18:7:6.701: DirectionIndicator - notify - price/longMA/ShortMA/prevDirection are 1.51435/1.51441216945319/1.5144033211687/1</t>
  </si>
  <si>
    <t>2015-1-20 18:7:6.703: Algorithm - handleTransition - currentHedgeShortfall is NOT ZERO and AUTOHEDGE IS NOT ENABLED!</t>
  </si>
  <si>
    <t>2015-1-20 18:7:7.192: DirectionIndicator - notify - price/longMA/ShortMA/prevDirection are 1.5144/1.51440995682534/1.51440221411247/1</t>
  </si>
  <si>
    <t>2015-1-20 18:7:7.194: Algorithm - handleTransition - currentHedgeShortfall is NOT ZERO and AUTOHEDGE IS NOT ENABLED!</t>
  </si>
  <si>
    <t>2015-1-20 18:7:8.31: TransitionLogger - flushFile - flushing file</t>
  </si>
  <si>
    <t>2015-1-20 18:7:8.32: TransitionLogger - openTransitionFile - opening file C:\temp\transitionlog_2015-01-20_153021</t>
  </si>
  <si>
    <t>2015-1-20 18:7:8.619: DirectionIndicator - notify - price/longMA/ShortMA/prevDirection are 1.51435/1.51439905558437/1.51438480940831/1</t>
  </si>
  <si>
    <t>2015-1-20 18:7:8.620: Algorithm - handleTransition - currentHedgeShortfall is NOT ZERO and AUTOHEDGE IS NOT ENABLED!</t>
  </si>
  <si>
    <t>2015-1-20 18:7:8.734: DirectionIndicator - notify - price/longMA/ShortMA/prevDirection are 1.5144/1.5143992272963/1.51438987293887/1</t>
  </si>
  <si>
    <t>2015-1-20 18:7:8.735: Algorithm - handleTransition - currentHedgeShortfall is NOT ZERO and AUTOHEDGE IS NOT ENABLED!</t>
  </si>
  <si>
    <t>2015-1-20 18:7:8.829: DirectionIndicator - notify - price/longMA/ShortMA/prevDirection are 1.51435/1.51439027687879/1.51437658195925/1</t>
  </si>
  <si>
    <t>2015-1-20 18:7:8.829: Algorithm - handleTransition - currentHedgeShortfall is NOT ZERO and AUTOHEDGE IS NOT ENABLED!</t>
  </si>
  <si>
    <t>2015-1-20 18:7:12.918: DirectionIndicator - notify - price/longMA/ShortMA/prevDirection are 1.5144/1.51439204471901/1.51438438797283/1</t>
  </si>
  <si>
    <t>2015-1-20 18:7:12.920: Algorithm - handleTransition - currentHedgeShortfall is NOT ZERO and AUTOHEDGE IS NOT ENABLED!</t>
  </si>
  <si>
    <t>2015-1-20 18:7:20.920: DirectionIndicator - notify - price/longMA/ShortMA/prevDirection are 1.51435/1.51438440022465/1.51437292531522/1</t>
  </si>
  <si>
    <t>2015-1-20 18:7:20.921: Algorithm - handleTransition - currentHedgeShortfall is NOT ZERO and AUTOHEDGE IS NOT ENABLED!</t>
  </si>
  <si>
    <t>2015-1-20 18:7:23.926: DirectionIndicator - notify - price/longMA/ShortMA/prevDirection are 1.5144/1.51438723654744/1.51438195021015/1</t>
  </si>
  <si>
    <t>2015-1-20 18:7:23.928: Algorithm - handleTransition - currentHedgeShortfall is NOT ZERO and AUTOHEDGE IS NOT ENABLED!</t>
  </si>
  <si>
    <t>2015-1-20 18:7:24.28: DirectionIndicator - notify - price/longMA/ShortMA/prevDirection are 1.51445/1.51439864808427/1.51440463347343/1</t>
  </si>
  <si>
    <t>2015-1-20 18:7:24.29: Algorithm - handleTransition - currentHedgeShortfall is NOT ZERO and AUTOHEDGE IS NOT ENABLED!</t>
  </si>
  <si>
    <t>2015-1-20 18:7:29.6: TransitionLogger - flushFile - flushing file</t>
  </si>
  <si>
    <t>2015-1-20 18:7:29.7: TransitionLogger - openTransitionFile - opening file C:\temp\transitionlog_2015-01-20_153021</t>
  </si>
  <si>
    <t>2015-1-20 18:7:36.616: DirectionIndicator - notify - price/longMA/ShortMA/prevDirection are 1.5145/1.51441707570531/1.51443642231562/1</t>
  </si>
  <si>
    <t>2015-1-20 18:7:36.617: Algorithm - handleTransition - currentHedgeShortfall is NOT ZERO and AUTOHEDGE IS NOT ENABLED!</t>
  </si>
  <si>
    <t>2015-1-20 18:7:36.665: DirectionIndicator - notify - price/longMA/ShortMA/prevDirection are 1.51455/1.51444124375889/1.51447428154375/1</t>
  </si>
  <si>
    <t>2015-1-20 18:7:36.666: Algorithm - handleTransition - currentHedgeShortfall is NOT ZERO and AUTOHEDGE IS NOT ENABLED!</t>
  </si>
  <si>
    <t>2015-1-20 18:7:37.39: DirectionIndicator - notify - price/longMA/ShortMA/prevDirection are 1.5145/1.51445192671182/1.5144828543625/1</t>
  </si>
  <si>
    <t>2015-1-20 18:7:37.40: Algorithm - handleTransition - currentHedgeShortfall is NOT ZERO and AUTOHEDGE IS NOT ENABLED!</t>
  </si>
  <si>
    <t>2015-1-20 18:7:41.570: DirectionIndicator - notify - price/longMA/ShortMA/prevDirection are 1.51455/1.51446975821876/1.51450523624167/1</t>
  </si>
  <si>
    <t>2015-1-20 18:7:41.572: Algorithm - handleTransition - currentHedgeShortfall is NOT ZERO and AUTOHEDGE IS NOT ENABLED!</t>
  </si>
  <si>
    <t>2015-1-20 18:7:44.122: DirectionIndicator - notify - price/longMA/ShortMA/prevDirection are 1.5145/1.51447525672444/1.51450349082778/1</t>
  </si>
  <si>
    <t>2015-1-20 18:7:44.123: Algorithm - handleTransition - currentHedgeShortfall is NOT ZERO and AUTOHEDGE IS NOT ENABLED!</t>
  </si>
  <si>
    <t>2015-1-20 18:7:44.195: DirectionIndicator - notify - price/longMA/ShortMA/prevDirection are 1.51445/1.51447066459272/1.51448566055185/1</t>
  </si>
  <si>
    <t>2015-1-20 18:7:44.196: Algorithm - handleTransition - currentHedgeShortfall is NOT ZERO and AUTOHEDGE IS NOT ENABLED!</t>
  </si>
  <si>
    <t>2015-1-20 18:7:55.447: DirectionIndicator - notify - price/longMA/ShortMA/prevDirection are 1.5144/1.51445781648496/1.51445710703457/1</t>
  </si>
  <si>
    <t>2015-1-20 18:7:55.448: Algorithm - handleTransition - currentHedgeShortfall is NOT ZERO and AUTOHEDGE IS NOT ENABLED!</t>
  </si>
  <si>
    <t>2015-1-20 18:7:55.504: DirectionIndicator - notify - price/longMA/ShortMA/prevDirection are 1.51435/1.51443821348769/1.51442140468971/1</t>
  </si>
  <si>
    <t>2015-1-20 18:7:55.505: Algorithm - handleTransition - currentHedgeShortfall is NOT ZERO and AUTOHEDGE IS NOT ENABLED!</t>
  </si>
  <si>
    <t>2015-1-20 18:7:56.950: DirectionIndicator - notify - price/longMA/ShortMA/prevDirection are 1.5144/1.51443126558084/1.51441426979314/1</t>
  </si>
  <si>
    <t>2015-1-20 18:7:56.951: Algorithm - handleTransition - currentHedgeShortfall is NOT ZERO and AUTOHEDGE IS NOT ENABLED!</t>
  </si>
  <si>
    <t>2015-1-20 18:7:58.201: DirectionIndicator - notify - price/longMA/ShortMA/prevDirection are 1.51435/1.51441649002069/1.51439284652876/1</t>
  </si>
  <si>
    <t>2015-1-20 18:7:58.202: Algorithm - handleTransition - currentHedgeShortfall is NOT ZERO and AUTOHEDGE IS NOT ENABLED!</t>
  </si>
  <si>
    <t>2015-1-20 18:8:8.277: TransitionLogger - flushFile - flushing file</t>
  </si>
  <si>
    <t>2015-1-20 18:8:8.278: TransitionLogger - openTransitionFile - opening file C:\temp\transitionlog_2015-01-20_153021</t>
  </si>
  <si>
    <t>2015-1-20 18:8:15.835: DirectionIndicator - notify - price/longMA/ShortMA/prevDirection are 1.5144/1.51441349183511/1.51439523101917/-1</t>
  </si>
  <si>
    <t>2015-1-20 18:8:15.836: Algorithm - handleTransition - currentHedgeShortfall is NOT ZERO and AUTOHEDGE IS NOT ENABLED!</t>
  </si>
  <si>
    <t>2015-1-20 18:8:15.907: DirectionIndicator - notify - price/longMA/ShortMA/prevDirection are 1.51445/1.51442012968327/1.51441348734612/-1</t>
  </si>
  <si>
    <t>2015-1-20 18:8:15.908: Algorithm - handleTransition - currentHedgeShortfall is NOT ZERO and AUTOHEDGE IS NOT ENABLED!</t>
  </si>
  <si>
    <t>2015-1-20 18:8:19.694: DirectionIndicator - notify - price/longMA/ShortMA/prevDirection are 1.5144/1.51441646974086/1.51440899156408/-1</t>
  </si>
  <si>
    <t>2015-1-20 18:8:19.694: Algorithm - handleTransition - currentHedgeShortfall is NOT ZERO and AUTOHEDGE IS NOT ENABLED!</t>
  </si>
  <si>
    <t>2015-1-20 18:8:20.981: DirectionIndicator - notify - price/longMA/ShortMA/prevDirection are 1.51445/1.51442256615161/1.51442266104272/-1</t>
  </si>
  <si>
    <t>2015-1-20 18:8:20.983: Algorithm - handleTransition - currentHedgeShortfall is NOT ZERO and AUTOHEDGE IS NOT ENABLED!</t>
  </si>
  <si>
    <t>2015-1-20 18:8:21.495: DirectionIndicator - notify - price/longMA/ShortMA/prevDirection are 1.5144/1.51441846321495/1.51441510736181/-1</t>
  </si>
  <si>
    <t>2015-1-20 18:8:21.496: Algorithm - handleTransition - currentHedgeShortfall is NOT ZERO and AUTOHEDGE IS NOT ENABLED!</t>
  </si>
  <si>
    <t>2015-1-20 18:8:25.785: DirectionIndicator - notify - price/longMA/ShortMA/prevDirection are 1.51445/1.51442419717587/1.51442673824121/-1</t>
  </si>
  <si>
    <t>2015-1-20 18:8:25.787: Algorithm - handleTransition - currentHedgeShortfall is NOT ZERO and AUTOHEDGE IS NOT ENABLED!</t>
  </si>
  <si>
    <t>2015-1-20 18:8:29.830: TransitionLogger - flushFile - flushing file</t>
  </si>
  <si>
    <t>2015-1-20 18:8:29.831: TransitionLogger - openTransitionFile - opening file C:\temp\transitionlog_2015-01-20_153021</t>
  </si>
  <si>
    <t>2015-1-20 18:8:33.365: DirectionIndicator - notify - price/longMA/ShortMA/prevDirection are 1.5145/1.51443797950753/1.51445115882747/-1</t>
  </si>
  <si>
    <t>2015-1-20 18:8:33.366: Algorithm - handleTransition - currentHedgeShortfall is NOT ZERO and AUTOHEDGE IS NOT ENABLED!</t>
  </si>
  <si>
    <t>2015-1-20 18:8:33.417: DirectionIndicator - notify - price/longMA/ShortMA/prevDirection are 1.51455/1.5144583468698/1.51448410588498/-1</t>
  </si>
  <si>
    <t>2015-1-20 18:8:33.418: Algorithm - handleTransition - currentHedgeShortfall is NOT ZERO and AUTOHEDGE IS NOT ENABLED!</t>
  </si>
  <si>
    <t>2015-1-20 18:8:49.284: DirectionIndicator - notify - price/longMA/ShortMA/prevDirection are 1.5146/1.51448410198438/1.51452273725665/1</t>
  </si>
  <si>
    <t>2015-1-20 18:8:49.285: Algorithm - handleTransition - currentHedgeShortfall is NOT ZERO and AUTOHEDGE IS NOT ENABLED!</t>
  </si>
  <si>
    <t>2015-1-20 18:8:50.748: DirectionIndicator - notify - price/longMA/ShortMA/prevDirection are 1.51455/1.51449608344177/1.51453182483777/1</t>
  </si>
  <si>
    <t>2015-1-20 18:8:50.751: Algorithm - handleTransition - currentHedgeShortfall is NOT ZERO and AUTOHEDGE IS NOT ENABLED!</t>
  </si>
  <si>
    <t>2015-1-20 18:8:52.251: DirectionIndicator - notify - price/longMA/ShortMA/prevDirection are 1.5146/1.51451497736144/1.51455454989185/1</t>
  </si>
  <si>
    <t>2015-1-20 18:8:52.253: Algorithm - handleTransition - currentHedgeShortfall is NOT ZERO and AUTOHEDGE IS NOT ENABLED!</t>
  </si>
  <si>
    <t>2015-1-20 18:9:0.871: DirectionIndicator - notify - price/longMA/ShortMA/prevDirection are 1.51455/1.51452134511391/1.51455303326123/1</t>
  </si>
  <si>
    <t>2015-1-20 18:9:0.873: Algorithm - handleTransition - currentHedgeShortfall is NOT ZERO and AUTOHEDGE IS NOT ENABLED!</t>
  </si>
  <si>
    <t>2015-1-20 18:9:7.158: DirectionIndicator - notify - price/longMA/ShortMA/prevDirection are 1.5145/1.51451746418411/1.51453535550749/1</t>
  </si>
  <si>
    <t>2015-1-20 18:9:7.158: Algorithm - handleTransition - currentHedgeShortfall is NOT ZERO and AUTOHEDGE IS NOT ENABLED!</t>
  </si>
  <si>
    <t>2015-1-20 18:9:7.212: DirectionIndicator - notify - price/longMA/ShortMA/prevDirection are 1.51445/1.51450519796882/1.51450690367166/1</t>
  </si>
  <si>
    <t>2015-1-20 18:9:7.213: Algorithm - handleTransition - currentHedgeShortfall is NOT ZERO and AUTOHEDGE IS NOT ENABLED!</t>
  </si>
  <si>
    <t>2015-1-20 18:9:8.33: TransitionLogger - flushFile - flushing file</t>
  </si>
  <si>
    <t>2015-1-20 18:9:8.33: TransitionLogger - openTransitionFile - opening file C:\temp\transitionlog_2015-01-20_153021</t>
  </si>
  <si>
    <t>2015-1-20 18:9:8.117: DirectionIndicator - notify - price/longMA/ShortMA/prevDirection are 1.5144/1.51448607106539/1.51447126911444/1</t>
  </si>
  <si>
    <t>2015-1-20 18:9:8.118: Algorithm - handleTransition - currentHedgeShortfall is NOT ZERO and AUTOHEDGE IS NOT ENABLED!</t>
  </si>
  <si>
    <t>2015-1-20 18:9:9.827: DirectionIndicator - notify - price/longMA/ShortMA/prevDirection are 1.51445/1.51447951268987/1.51446417940963/1</t>
  </si>
  <si>
    <t>2015-1-20 18:9:9.828: Algorithm - handleTransition - currentHedgeShortfall is NOT ZERO and AUTOHEDGE IS NOT ENABLED!</t>
  </si>
  <si>
    <t>2015-1-20 18:9:17.295: Algorithm - FindNextStrikes - price is 1.51445 nextStrikeUp/Down 1.515/0</t>
  </si>
  <si>
    <t>2015-1-20 18:9:17.296: Algorithm - getPortfolioForwardDelta - required deltas is -200 currentHedgePosition is 101</t>
  </si>
  <si>
    <t>2015-1-20 18:9:17.296: Algorithm - getHedgeShortfall - required deltas is -200 price is 1.51455 currentHedgePositionDeltas is 101</t>
  </si>
  <si>
    <t>2015-1-20 18:9:17.297: Algorithm - processTransitionPoint - nextUpper/LowerStrikes are 1.515/0 requiredDeltas/currentPosition/currentHedgeShortfall/direction/transitionPrice are -200/101/-301/1/1.51455</t>
  </si>
  <si>
    <t>2015-1-20 18:9:17.297: TransitionLogger - processTransitionpoint - checking transition - currentHedgeShortfall is -301</t>
  </si>
  <si>
    <t>2015-1-20 18:9:17.298: Algorithm - handleTransition - currentHedgeShortfall is NOT ZERO and AUTOHEDGE IS NOT ENABLED!</t>
  </si>
  <si>
    <t>2015-1-20 18:9:17.298: Algorithm - updatePortfolio - haveAllDetails is True</t>
  </si>
  <si>
    <t>2015-1-20 18:9:17.299: RTWSControl - updatePortfolioEx - An Error Occured Object variable or With block variable not set</t>
  </si>
  <si>
    <t>2015-1-20 18:9:17.341: Algorithm - FindNextStrikes - price is 1.51445 nextStrikeUp/Down 1.515/0</t>
  </si>
  <si>
    <t>2015-1-20 18:9:17.341: Algorithm - getPortfolioForwardDelta - required deltas is -200 currentHedgePosition is 101</t>
  </si>
  <si>
    <t>2015-1-20 18:9:17.341: Algorithm - getHedgeShortfall - required deltas is -200 price is 1.51455 currentHedgePositionDeltas is 101</t>
  </si>
  <si>
    <t>2015-1-20 18:9:17.342: Algorithm - processTransitionPoint - nextUpper/LowerStrikes are 1.515/0 requiredDeltas/currentPosition/currentHedgeShortfall/direction/transitionPrice are -200/101/-301/1/1.51455</t>
  </si>
  <si>
    <t>2015-1-20 18:9:17.342: TransitionLogger - processTransitionpoint - checking transition - currentHedgeShortfall is -301</t>
  </si>
  <si>
    <t>2015-1-20 18:9:17.342: Algorithm - handleTransition - currentHedgeShortfall is NOT ZERO and AUTOHEDGE IS NOT ENABLED!</t>
  </si>
  <si>
    <t>2015-1-20 18:9:17.343: Algorithm - updatePortfolio - haveAllDetails is True</t>
  </si>
  <si>
    <t>2015-1-20 18:9:17.344: RTWSControl - updatePortfolioEx - An Error Occured Object variable or With block variable not set</t>
  </si>
  <si>
    <t>2015-1-20 18:9:17.412: Algorithm - FindNextStrikes - price is 1.51445 nextStrikeUp/Down 1.515/0</t>
  </si>
  <si>
    <t>2015-1-20 18:9:17.413: Algorithm - getPortfolioForwardDelta - required deltas is -200 currentHedgePosition is 101</t>
  </si>
  <si>
    <t>2015-1-20 18:9:17.413: Algorithm - getHedgeShortfall - required deltas is -200 price is 1.51455 currentHedgePositionDeltas is 101</t>
  </si>
  <si>
    <t>2015-1-20 18:9:17.413: Algorithm - processTransitionPoint - nextUpper/LowerStrikes are 1.515/0 requiredDeltas/currentPosition/currentHedgeShortfall/direction/transitionPrice are -200/101/-301/1/1.51455</t>
  </si>
  <si>
    <t>2015-1-20 18:9:17.414: TransitionLogger - processTransitionpoint - checking transition - currentHedgeShortfall is -301</t>
  </si>
  <si>
    <t>2015-1-20 18:9:17.414: Algorithm - handleTransition - currentHedgeShortfall is NOT ZERO and AUTOHEDGE IS NOT ENABLED!</t>
  </si>
  <si>
    <t>2015-1-20 18:9:17.415: Algorithm - updatePortfolio - haveAllDetails is True</t>
  </si>
  <si>
    <t>2015-1-20 18:9:17.416: RTWSControl - updatePortfolioEx - An Error Occured Object variable or With block variable not set</t>
  </si>
  <si>
    <t>2015-1-20 18:9:17.472: Algorithm - FindNextStrikes - price is 1.51445 nextStrikeUp/Down 1.515/0</t>
  </si>
  <si>
    <t>2015-1-20 18:9:17.472: Algorithm - getPortfolioForwardDelta - required deltas is -200 currentHedgePosition is 101</t>
  </si>
  <si>
    <t>2015-1-20 18:9:17.472: Algorithm - getHedgeShortfall - required deltas is -200 price is 1.51455 currentHedgePositionDeltas is 101</t>
  </si>
  <si>
    <t>2015-1-20 18:9:17.473: Algorithm - processTransitionPoint - nextUpper/LowerStrikes are 1.515/0 requiredDeltas/currentPosition/currentHedgeShortfall/direction/transitionPrice are -200/101/-301/1/1.51455</t>
  </si>
  <si>
    <t>2015-1-20 18:9:17.473: TransitionLogger - processTransitionpoint - checking transition - currentHedgeShortfall is -301</t>
  </si>
  <si>
    <t>2015-1-20 18:9:17.473: Algorithm - handleTransition - currentHedgeShortfall is NOT ZERO and AUTOHEDGE IS NOT ENABLED!</t>
  </si>
  <si>
    <t>2015-1-20 18:9:17.474: Algorithm - updatePortfolio - haveAllDetails is True</t>
  </si>
  <si>
    <t>2015-1-20 18:9:17.475: RTWSControl - updatePortfolioEx - An Error Occured Object variable or With block variable not set</t>
  </si>
  <si>
    <t>2015-1-20 18:9:17.517: Algorithm - FindNextStrikes - price is 1.51445 nextStrikeUp/Down 1.515/0</t>
  </si>
  <si>
    <t>2015-1-20 18:9:17.517: Algorithm - getPortfolioForwardDelta - required deltas is -200 currentHedgePosition is 101</t>
  </si>
  <si>
    <t>2015-1-20 18:9:17.517: Algorithm - getHedgeShortfall - required deltas is -200 price is 1.51455 currentHedgePositionDeltas is 101</t>
  </si>
  <si>
    <t>2015-1-20 18:9:17.518: Algorithm - processTransitionPoint - nextUpper/LowerStrikes are 1.515/0 requiredDeltas/currentPosition/currentHedgeShortfall/direction/transitionPrice are -200/101/-301/1/1.51455</t>
  </si>
  <si>
    <t>2015-1-20 18:9:17.518: TransitionLogger - processTransitionpoint - checking transition - currentHedgeShortfall is -301</t>
  </si>
  <si>
    <t>2015-1-20 18:9:17.518: Algorithm - handleTransition - currentHedgeShortfall is NOT ZERO and AUTOHEDGE IS NOT ENABLED!</t>
  </si>
  <si>
    <t>2015-1-20 18:9:17.519: Algorithm - updatePortfolio - haveAllDetails is True</t>
  </si>
  <si>
    <t>2015-1-20 18:9:17.520: RTWSControl - updatePortfolioEx - An Error Occured Object variable or With block variable not set</t>
  </si>
  <si>
    <t>2015-1-20 18:9:17.584: Algorithm - FindNextStrikes - price is 1.51445 nextStrikeUp/Down 1.515/0</t>
  </si>
  <si>
    <t>2015-1-20 18:9:17.584: Algorithm - getPortfolioForwardDelta - required deltas is -200 currentHedgePosition is 101</t>
  </si>
  <si>
    <t>2015-1-20 18:9:17.585: Algorithm - getHedgeShortfall - required deltas is -200 price is 1.51455 currentHedgePositionDeltas is 101</t>
  </si>
  <si>
    <t>2015-1-20 18:9:17.585: Algorithm - processTransitionPoint - nextUpper/LowerStrikes are 1.515/0 requiredDeltas/currentPosition/currentHedgeShortfall/direction/transitionPrice are -200/101/-301/1/1.51455</t>
  </si>
  <si>
    <t>2015-1-20 18:9:17.585: TransitionLogger - processTransitionpoint - checking transition - currentHedgeShortfall is -301</t>
  </si>
  <si>
    <t>2015-1-20 18:9:17.586: Algorithm - handleTransition - currentHedgeShortfall is NOT ZERO and AUTOHEDGE IS NOT ENABLED!</t>
  </si>
  <si>
    <t>2015-1-20 18:9:17.587: Algorithm - updatePortfolio - haveAllDetails is True</t>
  </si>
  <si>
    <t>2015-1-20 18:9:17.588: RTWSControl - updatePortfolioEx - An Error Occured Object variable or With block variable not set</t>
  </si>
  <si>
    <t>2015-1-20 18:9:19.363: DirectionIndicator - notify - price/longMA/ShortMA/prevDirection are 1.5144/1.51446505583716/1.51444278627308/1</t>
  </si>
  <si>
    <t>2015-1-20 18:9:19.364: Algorithm - handleTransition - currentHedgeShortfall is NOT ZERO and AUTOHEDGE IS NOT ENABLED!</t>
  </si>
  <si>
    <t>2015-1-20 18:9:20.256: DirectionIndicator - notify - price/longMA/ShortMA/prevDirection are 1.51435/1.51444413659404/1.51441185751539/-1</t>
  </si>
  <si>
    <t>2015-1-20 18:9:20.257: Algorithm - handleTransition - currentHedgeShortfall is NOT ZERO and AUTOHEDGE IS NOT ENABLED!</t>
  </si>
  <si>
    <t>2015-1-20 18:9:28.327: DirectionIndicator - notify - price/longMA/ShortMA/prevDirection are 1.5143/1.51441792994058/1.51437457167693/-1</t>
  </si>
  <si>
    <t>2015-1-20 18:9:28.328: Algorithm - handleTransition - currentHedgeShortfall is NOT ZERO and AUTOHEDGE IS NOT ENABLED!</t>
  </si>
  <si>
    <t>2015-1-20 18:9:28.379: DirectionIndicator - notify - price/longMA/ShortMA/prevDirection are 1.51425/1.51438739722411/1.51433304778462/-1</t>
  </si>
  <si>
    <t>2015-1-20 18:9:28.380: Algorithm - handleTransition - currentHedgeShortfall is NOT ZERO and AUTOHEDGE IS NOT ENABLED!</t>
  </si>
  <si>
    <t>2015-1-20 18:9:29.33: TransitionLogger - flushFile - flushing file</t>
  </si>
  <si>
    <t>2015-1-20 18:9:29.34: TransitionLogger - openTransitionFile - opening file C:\temp\transitionlog_2015-01-20_153021</t>
  </si>
  <si>
    <t>2015-1-20 18:9:44.162: DirectionIndicator - notify - price/longMA/ShortMA/prevDirection are 1.51415/1.51434423409246/1.51427203185641/-1</t>
  </si>
  <si>
    <t>2015-1-20 18:9:44.163: Algorithm - handleTransition - currentHedgeShortfall is NOT ZERO and AUTOHEDGE IS NOT ENABLED!</t>
  </si>
  <si>
    <t>2015-1-20 18:9:44.219: DirectionIndicator - notify - price/longMA/ShortMA/prevDirection are 1.51405/1.51429073698474/1.51419802123761/-1</t>
  </si>
  <si>
    <t>2015-1-20 18:9:44.220: Algorithm - handleTransition - currentHedgeShortfall is NOT ZERO and AUTOHEDGE IS NOT ENABLED!</t>
  </si>
  <si>
    <t>2015-1-20 18:9:44.331: DirectionIndicator - notify - price/longMA/ShortMA/prevDirection are 1.5141/1.51425605753297/1.51416534749174/-1</t>
  </si>
  <si>
    <t>2015-1-20 18:9:44.331: Algorithm - handleTransition - currentHedgeShortfall is NOT ZERO and AUTOHEDGE IS NOT ENABLED!</t>
  </si>
  <si>
    <t>2015-1-20 18:9:45.378: DirectionIndicator - notify - price/longMA/ShortMA/prevDirection are 1.51405/1.51421859252697/1.51412689832783/-1</t>
  </si>
  <si>
    <t>2015-1-20 18:9:45.379: Algorithm - handleTransition - currentHedgeShortfall is NOT ZERO and AUTOHEDGE IS NOT ENABLED!</t>
  </si>
  <si>
    <t>2015-1-20 18:10:8.351: TransitionLogger - flushFile - flushing file</t>
  </si>
  <si>
    <t>2015-1-20 18:10:8.352: TransitionLogger - openTransitionFile - opening file C:\temp\transitionlog_2015-01-20_153021</t>
  </si>
  <si>
    <t>2015-1-20 18:10:14.145: DirectionIndicator - notify - price/longMA/ShortMA/prevDirection are 1.514/1.51417884843116/1.51408459888522/-1</t>
  </si>
  <si>
    <t>2015-1-20 18:10:14.146: Algorithm - handleTransition - currentHedgeShortfall is NOT ZERO and AUTOHEDGE IS NOT ENABLED!</t>
  </si>
  <si>
    <t>2015-1-20 18:10:14.204: DirectionIndicator - notify - price/longMA/ShortMA/prevDirection are 1.51395/1.51413723962549/1.51403973259014/-1</t>
  </si>
  <si>
    <t>2015-1-20 18:10:14.204: Algorithm - handleTransition - currentHedgeShortfall is NOT ZERO and AUTOHEDGE IS NOT ENABLED!</t>
  </si>
  <si>
    <t>2015-1-20 18:10:25.17: DirectionIndicator - notify - price/longMA/ShortMA/prevDirection are 1.514/1.51411228696631/1.51402648839343/-1</t>
  </si>
  <si>
    <t>2015-1-20 18:10:25.17: Algorithm - handleTransition - currentHedgeShortfall is NOT ZERO and AUTOHEDGE IS NOT ENABLED!</t>
  </si>
  <si>
    <t>2015-1-20 18:10:25.78: DirectionIndicator - notify - price/longMA/ShortMA/prevDirection are 1.51405/1.51410096206335/1.51403432559562/-1</t>
  </si>
  <si>
    <t>2015-1-20 18:10:25.79: Algorithm - handleTransition - currentHedgeShortfall is NOT ZERO and AUTOHEDGE IS NOT ENABLED!</t>
  </si>
  <si>
    <t>2015-1-20 18:10:29.13: TransitionLogger - flushFile - flushing file</t>
  </si>
  <si>
    <t>2015-1-20 18:10:29.14: TransitionLogger - openTransitionFile - opening file C:\temp\transitionlog_2015-01-20_153021</t>
  </si>
  <si>
    <t>2015-1-20 18:10:32.693: DirectionIndicator - notify - price/longMA/ShortMA/prevDirection are 1.514/1.51408260532456/1.51402288373041/-1</t>
  </si>
  <si>
    <t>2015-1-20 18:10:32.694: Algorithm - handleTransition - currentHedgeShortfall is NOT ZERO and AUTOHEDGE IS NOT ENABLED!</t>
  </si>
  <si>
    <t>2015-1-20 18:10:32.746: DirectionIndicator - notify - price/longMA/ShortMA/prevDirection are 1.51395/1.51405849526555/1.51399858915361/-1</t>
  </si>
  <si>
    <t>2015-1-20 18:10:32.747: Algorithm - handleTransition - currentHedgeShortfall is NOT ZERO and AUTOHEDGE IS NOT ENABLED!</t>
  </si>
  <si>
    <t>2015-1-20 18:10:33.255: DirectionIndicator - notify - price/longMA/ShortMA/prevDirection are 1.514/1.51404785976272/1.51399905943574/-1</t>
  </si>
  <si>
    <t>2015-1-20 18:10:33.256: Algorithm - handleTransition - currentHedgeShortfall is NOT ZERO and AUTOHEDGE IS NOT ENABLED!</t>
  </si>
  <si>
    <t>2015-1-20 18:10:42.951: DirectionIndicator - notify - price/longMA/ShortMA/prevDirection are 1.51405/1.51404824889677/1.51401603962383/-1</t>
  </si>
  <si>
    <t>2015-1-20 18:10:42.953: Algorithm - handleTransition - currentHedgeShortfall is NOT ZERO and AUTOHEDGE IS NOT ENABLED!</t>
  </si>
  <si>
    <t>2015-1-20 18:10:45.920: DirectionIndicator - notify - price/longMA/ShortMA/prevDirection are 1.5141/1.51405765818827/1.51404402641588/-1</t>
  </si>
  <si>
    <t>2015-1-20 18:10:45.921: Algorithm - handleTransition - currentHedgeShortfall is NOT ZERO and AUTOHEDGE IS NOT ENABLED!</t>
  </si>
  <si>
    <t>2015-1-20 18:10:48.60: DirectionIndicator - notify - price/longMA/ShortMA/prevDirection are 1.51405/1.5140562657904/1.51404601761059/-1</t>
  </si>
  <si>
    <t>2015-1-20 18:10:48.61: Algorithm - handleTransition - currentHedgeShortfall is NOT ZERO and AUTOHEDGE IS NOT ENABLED!</t>
  </si>
  <si>
    <t>2015-1-20 18:11:8.7: TransitionLogger - flushFile - flushing file</t>
  </si>
  <si>
    <t>2015-1-20 18:11:8.9: TransitionLogger - openTransitionFile - opening file C:\temp\transitionlog_2015-01-20_153021</t>
  </si>
  <si>
    <t>2015-1-20 18:11:13.386: DirectionIndicator - notify - price/longMA/ShortMA/prevDirection are 1.5141/1.51406421746487/1.51406401174039/-1</t>
  </si>
  <si>
    <t>2015-1-20 18:11:13.387: Algorithm - handleTransition - currentHedgeShortfall is NOT ZERO and AUTOHEDGE IS NOT ENABLED!</t>
  </si>
  <si>
    <t>2015-1-20 18:11:16.928: DirectionIndicator - notify - price/longMA/ShortMA/prevDirection are 1.51415/1.51407981428944/1.5140926744936/-1</t>
  </si>
  <si>
    <t>2015-1-20 18:11:16.930: Algorithm - handleTransition - currentHedgeShortfall is NOT ZERO and AUTOHEDGE IS NOT ENABLED!</t>
  </si>
  <si>
    <t>2015-1-20 18:11:20.25: DirectionIndicator - notify - price/longMA/ShortMA/prevDirection are 1.5141/1.51408348441863/1.51409511632906/-1</t>
  </si>
  <si>
    <t>2015-1-20 18:11:20.27: Algorithm - handleTransition - currentHedgeShortfall is NOT ZERO and AUTOHEDGE IS NOT ENABLED!</t>
  </si>
  <si>
    <t>2015-1-20 18:11:20.96: DirectionIndicator - notify - price/longMA/ShortMA/prevDirection are 1.51405/1.51407739634252/1.51408007755271/-1</t>
  </si>
  <si>
    <t>2015-1-20 18:11:20.96: Algorithm - handleTransition - currentHedgeShortfall is NOT ZERO and AUTOHEDGE IS NOT ENABLED!</t>
  </si>
  <si>
    <t>2015-1-20 18:11:20.510: DirectionIndicator - notify - price/longMA/ShortMA/prevDirection are 1.5141/1.51408150609842/1.51408671836847/-1</t>
  </si>
  <si>
    <t>2015-1-20 18:11:20.510: Algorithm - handleTransition - currentHedgeShortfall is NOT ZERO and AUTOHEDGE IS NOT ENABLED!</t>
  </si>
  <si>
    <t>2015-1-20 18:11:29.537: TransitionLogger - flushFile - flushing file</t>
  </si>
  <si>
    <t>2015-1-20 18:11:29.538: TransitionLogger - openTransitionFile - opening file C:\temp\transitionlog_2015-01-20_153021</t>
  </si>
  <si>
    <t>2015-1-20 18:12:3.344: DirectionIndicator - notify - price/longMA/ShortMA/prevDirection are 1.51415/1.51409395953507/1.51410781224565/-1</t>
  </si>
  <si>
    <t>2015-1-20 18:12:3.346: Algorithm - handleTransition - currentHedgeShortfall is NOT ZERO and AUTOHEDGE IS NOT ENABLED!</t>
  </si>
  <si>
    <t>2015-1-20 18:12:6.790: DirectionIndicator - notify - price/longMA/ShortMA/prevDirection are 1.5141/1.51409505780142/1.51410520816377/-1</t>
  </si>
  <si>
    <t>2015-1-20 18:12:6.791: Algorithm - handleTransition - currentHedgeShortfall is NOT ZERO and AUTOHEDGE IS NOT ENABLED!</t>
  </si>
  <si>
    <t>2015-1-20 18:12:7.635: DirectionIndicator - notify - price/longMA/ShortMA/prevDirection are 1.51405/1.51408686547389/1.51408680544251/-1</t>
  </si>
  <si>
    <t>2015-1-20 18:12:7.636: Algorithm - handleTransition - currentHedgeShortfall is NOT ZERO and AUTOHEDGE IS NOT ENABLED!</t>
  </si>
  <si>
    <t>2015-1-20 18:12:8.160: TransitionLogger - flushFile - flushing file</t>
  </si>
  <si>
    <t>2015-1-20 18:12:8.161: TransitionLogger - openTransitionFile - opening file C:\temp\transitionlog_2015-01-20_153021</t>
  </si>
  <si>
    <t>2015-1-20 18:12:10.892: DirectionIndicator - notify - price/longMA/ShortMA/prevDirection are 1.5141/1.51408925356955/1.51409120362834/-1</t>
  </si>
  <si>
    <t>2015-1-20 18:12:10.893: Algorithm - handleTransition - currentHedgeShortfall is NOT ZERO and AUTOHEDGE IS NOT ENABLED!</t>
  </si>
  <si>
    <t>2015-1-20 18:12:11.981: DirectionIndicator - notify - price/longMA/ShortMA/prevDirection are 1.51405/1.5140821165569/1.51407746908556/-1</t>
  </si>
  <si>
    <t>2015-1-20 18:12:11.984: Algorithm - handleTransition - currentHedgeShortfall is NOT ZERO and AUTOHEDGE IS NOT ENABLED!</t>
  </si>
  <si>
    <t>2015-1-20 18:12:12.988: DirectionIndicator - notify - price/longMA/ShortMA/prevDirection are 1.5141/1.51408536809201/1.51408497939037/-1</t>
  </si>
  <si>
    <t>2015-1-20 18:12:12.989: Algorithm - handleTransition - currentHedgeShortfall is NOT ZERO and AUTOHEDGE IS NOT ENABLED!</t>
  </si>
  <si>
    <t>2015-1-20 18:12:16.878: Algorithm - FindNextStrikes - price is 1.5141 nextStrikeUp/Down 1.515/0</t>
  </si>
  <si>
    <t>2015-1-20 18:12:16.878: Algorithm - getPortfolioForwardDelta - required deltas is -200 currentHedgePosition is 101</t>
  </si>
  <si>
    <t>2015-1-20 18:12:16.879: Algorithm - getHedgeShortfall - required deltas is -200 price is 1.514 currentHedgePositionDeltas is 101</t>
  </si>
  <si>
    <t>2015-1-20 18:12:16.879: Algorithm - processTransitionPoint - nextUpper/LowerStrikes are 1.515/0 requiredDeltas/currentPosition/currentHedgeShortfall/direction/transitionPrice are -200/101/-301/-1/1.514</t>
  </si>
  <si>
    <t>2015-1-20 18:12:16.880: TransitionLogger - processTransitionpoint - checking transition - currentHedgeShortfall is -301</t>
  </si>
  <si>
    <t>2015-1-20 18:12:16.880: Algorithm - handleTransition - currentHedgeShortfall is NOT ZERO and AUTOHEDGE IS NOT ENABLED!</t>
  </si>
  <si>
    <t>2015-1-20 18:12:16.881: Algorithm - updatePortfolio - haveAllDetails is True</t>
  </si>
  <si>
    <t>2015-1-20 18:12:16.882: RTWSControl - updatePortfolioEx - An Error Occured Object variable or With block variable not set</t>
  </si>
  <si>
    <t>2015-1-20 18:12:16.922: Algorithm - FindNextStrikes - price is 1.5141 nextStrikeUp/Down 1.515/0</t>
  </si>
  <si>
    <t>2015-1-20 18:12:16.922: Algorithm - getPortfolioForwardDelta - required deltas is -200 currentHedgePosition is 101</t>
  </si>
  <si>
    <t>2015-1-20 18:12:16.923: Algorithm - getHedgeShortfall - required deltas is -200 price is 1.514 currentHedgePositionDeltas is 101</t>
  </si>
  <si>
    <t>2015-1-20 18:12:16.923: Algorithm - processTransitionPoint - nextUpper/LowerStrikes are 1.515/0 requiredDeltas/currentPosition/currentHedgeShortfall/direction/transitionPrice are -200/101/-301/-1/1.514</t>
  </si>
  <si>
    <t>2015-1-20 18:12:16.924: TransitionLogger - processTransitionpoint - checking transition - currentHedgeShortfall is -301</t>
  </si>
  <si>
    <t>2015-1-20 18:12:16.924: Algorithm - handleTransition - currentHedgeShortfall is NOT ZERO and AUTOHEDGE IS NOT ENABLED!</t>
  </si>
  <si>
    <t>2015-1-20 18:12:16.925: Algorithm - updatePortfolio - haveAllDetails is True</t>
  </si>
  <si>
    <t>2015-1-20 18:12:16.926: RTWSControl - updatePortfolioEx - An Error Occured Object variable or With block variable not set</t>
  </si>
  <si>
    <t>2015-1-20 18:12:16.974: Algorithm - FindNextStrikes - price is 1.5141 nextStrikeUp/Down 1.515/0</t>
  </si>
  <si>
    <t>2015-1-20 18:12:16.974: Algorithm - getPortfolioForwardDelta - required deltas is -200 currentHedgePosition is 101</t>
  </si>
  <si>
    <t>2015-1-20 18:12:16.974: Algorithm - getHedgeShortfall - required deltas is -200 price is 1.514 currentHedgePositionDeltas is 101</t>
  </si>
  <si>
    <t>2015-1-20 18:12:16.975: Algorithm - processTransitionPoint - nextUpper/LowerStrikes are 1.515/0 requiredDeltas/currentPosition/currentHedgeShortfall/direction/transitionPrice are -200/101/-301/-1/1.514</t>
  </si>
  <si>
    <t>2015-1-20 18:12:16.975: TransitionLogger - processTransitionpoint - checking transition - currentHedgeShortfall is -301</t>
  </si>
  <si>
    <t>2015-1-20 18:12:16.975: Algorithm - handleTransition - currentHedgeShortfall is NOT ZERO and AUTOHEDGE IS NOT ENABLED!</t>
  </si>
  <si>
    <t>2015-1-20 18:12:16.976: Algorithm - updatePortfolio - haveAllDetails is True</t>
  </si>
  <si>
    <t>2015-1-20 18:12:16.978: RTWSControl - updatePortfolioEx - An Error Occured Object variable or With block variable not set</t>
  </si>
  <si>
    <t>2015-1-20 18:12:17.30: Algorithm - FindNextStrikes - price is 1.5141 nextStrikeUp/Down 1.515/0</t>
  </si>
  <si>
    <t>2015-1-20 18:12:17.30: Algorithm - getPortfolioForwardDelta - required deltas is -200 currentHedgePosition is 101</t>
  </si>
  <si>
    <t>2015-1-20 18:12:17.31: Algorithm - getHedgeShortfall - required deltas is -200 price is 1.514 currentHedgePositionDeltas is 101</t>
  </si>
  <si>
    <t>2015-1-20 18:12:17.31: Algorithm - processTransitionPoint - nextUpper/LowerStrikes are 1.515/0 requiredDeltas/currentPosition/currentHedgeShortfall/direction/transitionPrice are -200/101/-301/-1/1.514</t>
  </si>
  <si>
    <t>2015-1-20 18:12:17.31: TransitionLogger - processTransitionpoint - checking transition - currentHedgeShortfall is -301</t>
  </si>
  <si>
    <t>2015-1-20 18:12:17.32: Algorithm - handleTransition - currentHedgeShortfall is NOT ZERO and AUTOHEDGE IS NOT ENABLED!</t>
  </si>
  <si>
    <t>2015-1-20 18:12:17.32: Algorithm - updatePortfolio - haveAllDetails is True</t>
  </si>
  <si>
    <t>2015-1-20 18:12:17.33: RTWSControl - updatePortfolioEx - An Error Occured Object variable or With block variable not set</t>
  </si>
  <si>
    <t>2015-1-20 18:12:17.93: Algorithm - FindNextStrikes - price is 1.5141 nextStrikeUp/Down 1.515/0</t>
  </si>
  <si>
    <t>2015-1-20 18:12:17.94: Algorithm - getPortfolioForwardDelta - required deltas is -200 currentHedgePosition is 101</t>
  </si>
  <si>
    <t>2015-1-20 18:12:17.94: Algorithm - getHedgeShortfall - required deltas is -200 price is 1.514 currentHedgePositionDeltas is 101</t>
  </si>
  <si>
    <t>2015-1-20 18:12:17.95: Algorithm - processTransitionPoint - nextUpper/LowerStrikes are 1.515/0 requiredDeltas/currentPosition/currentHedgeShortfall/direction/transitionPrice are -200/101/-301/-1/1.514</t>
  </si>
  <si>
    <t>2015-1-20 18:12:17.95: TransitionLogger - processTransitionpoint - checking transition - currentHedgeShortfall is -301</t>
  </si>
  <si>
    <t>2015-1-20 18:12:17.95: Algorithm - handleTransition - currentHedgeShortfall is NOT ZERO and AUTOHEDGE IS NOT ENABLED!</t>
  </si>
  <si>
    <t>2015-1-20 18:12:17.96: Algorithm - updatePortfolio - haveAllDetails is True</t>
  </si>
  <si>
    <t>2015-1-20 18:12:17.97: RTWSControl - updatePortfolioEx - An Error Occured Object variable or With block variable not set</t>
  </si>
  <si>
    <t>2015-1-20 18:12:17.154: Algorithm - FindNextStrikes - price is 1.5141 nextStrikeUp/Down 1.515/0</t>
  </si>
  <si>
    <t>2015-1-20 18:12:17.155: Algorithm - getPortfolioForwardDelta - required deltas is -200 currentHedgePosition is 101</t>
  </si>
  <si>
    <t>2015-1-20 18:12:17.155: Algorithm - getHedgeShortfall - required deltas is -200 price is 1.514 currentHedgePositionDeltas is 101</t>
  </si>
  <si>
    <t>2015-1-20 18:12:17.155: Algorithm - processTransitionPoint - nextUpper/LowerStrikes are 1.515/0 requiredDeltas/currentPosition/currentHedgeShortfall/direction/transitionPrice are -200/101/-301/-1/1.514</t>
  </si>
  <si>
    <t>2015-1-20 18:12:17.156: TransitionLogger - processTransitionpoint - checking transition - currentHedgeShortfall is -301</t>
  </si>
  <si>
    <t>2015-1-20 18:12:17.156: Algorithm - handleTransition - currentHedgeShortfall is NOT ZERO and AUTOHEDGE IS NOT ENABLED!</t>
  </si>
  <si>
    <t>2015-1-20 18:12:17.157: Algorithm - updatePortfolio - haveAllDetails is True</t>
  </si>
  <si>
    <t>2015-1-20 18:12:17.158: RTWSControl - updatePortfolioEx - An Error Occured Object variable or With block variable not set</t>
  </si>
  <si>
    <t>2015-1-20 18:12:18.272: DirectionIndicator - notify - price/longMA/ShortMA/prevDirection are 1.51415/1.51409711934801/1.51410665292692/-1</t>
  </si>
  <si>
    <t>2015-1-20 18:12:18.273: Algorithm - handleTransition - currentHedgeShortfall is NOT ZERO and AUTOHEDGE IS NOT ENABLED!</t>
  </si>
  <si>
    <t>2015-1-20 18:12:27.528: DirectionIndicator - notify - price/longMA/ShortMA/prevDirection are 1.5141/1.51409764310292/1.51410443528461/-1</t>
  </si>
  <si>
    <t>2015-1-20 18:12:27.528: Algorithm - handleTransition - currentHedgeShortfall is NOT ZERO and AUTOHEDGE IS NOT ENABLED!</t>
  </si>
  <si>
    <t>2015-1-20 18:12:27.762: DirectionIndicator - notify - price/longMA/ShortMA/prevDirection are 1.51415/1.51410716253875/1.51411962352307/-1</t>
  </si>
  <si>
    <t>2015-1-20 18:12:27.763: Algorithm - handleTransition - currentHedgeShortfall is NOT ZERO and AUTOHEDGE IS NOT ENABLED!</t>
  </si>
  <si>
    <t>2015-1-20 18:12:28.614: DirectionIndicator - notify - price/longMA/ShortMA/prevDirection are 1.5141/1.51410586025898/1.51411308234872/-1</t>
  </si>
  <si>
    <t>2015-1-20 18:12:28.616: Algorithm - handleTransition - currentHedgeShortfall is NOT ZERO and AUTOHEDGE IS NOT ENABLED!</t>
  </si>
  <si>
    <t>2015-1-20 18:12:28.728: DirectionIndicator - notify - price/longMA/ShortMA/prevDirection are 1.51405/1.51409570384825/1.51409205489914/-1</t>
  </si>
  <si>
    <t>2015-1-20 18:12:28.729: Algorithm - handleTransition - currentHedgeShortfall is NOT ZERO and AUTOHEDGE IS NOT ENABLED!</t>
  </si>
  <si>
    <t>2015-1-20 18:12:29.14: TransitionLogger - flushFile - flushing file</t>
  </si>
  <si>
    <t>2015-1-20 18:12:29.14: TransitionLogger - openTransitionFile - opening file C:\temp\transitionlog_2015-01-20_153021</t>
  </si>
  <si>
    <t>2015-1-20 18:12:30.26: DirectionIndicator - notify - price/longMA/ShortMA/prevDirection are 1.5141/1.51409648496675/1.5140947032661/-1</t>
  </si>
  <si>
    <t>2015-1-20 18:12:30.27: Algorithm - handleTransition - currentHedgeShortfall is NOT ZERO and AUTOHEDGE IS NOT ENABLED!</t>
  </si>
  <si>
    <t>2015-1-20 18:12:30.326: DirectionIndicator - notify - price/longMA/ShortMA/prevDirection are 1.51405/1.51408803315462/1.5140798021774/-1</t>
  </si>
  <si>
    <t>2015-1-20 18:12:30.327: Algorithm - handleTransition - currentHedgeShortfall is NOT ZERO and AUTOHEDGE IS NOT ENABLED!</t>
  </si>
  <si>
    <t>2015-1-20 18:12:34.518: DirectionIndicator - notify - price/longMA/ShortMA/prevDirection are 1.5141/1.51409020894469/1.51408653478493/-1</t>
  </si>
  <si>
    <t>2015-1-20 18:12:34.519: Algorithm - handleTransition - currentHedgeShortfall is NOT ZERO and AUTOHEDGE IS NOT ENABLED!</t>
  </si>
  <si>
    <t>2015-1-20 18:12:39.628: DirectionIndicator - notify - price/longMA/ShortMA/prevDirection are 1.51405/1.51408289822747/1.51407435652329/-1</t>
  </si>
  <si>
    <t>2015-1-20 18:12:39.631: Algorithm - handleTransition - currentHedgeShortfall is NOT ZERO and AUTOHEDGE IS NOT ENABLED!</t>
  </si>
  <si>
    <t>2015-1-20 18:12:40.381: DirectionIndicator - notify - price/longMA/ShortMA/prevDirection are 1.5141/1.51408600764066/1.51408290434886/-1</t>
  </si>
  <si>
    <t>2015-1-20 18:12:40.381: Algorithm - handleTransition - currentHedgeShortfall is NOT ZERO and AUTOHEDGE IS NOT ENABLED!</t>
  </si>
  <si>
    <t>2015-1-20 18:12:40.461: DirectionIndicator - notify - price/longMA/ShortMA/prevDirection are 1.51415/1.51409764261508/1.51410526956591/-1</t>
  </si>
  <si>
    <t>2015-1-20 18:12:40.462: Algorithm - handleTransition - currentHedgeShortfall is NOT ZERO and AUTOHEDGE IS NOT ENABLED!</t>
  </si>
  <si>
    <t>2015-1-20 18:12:40.676: DirectionIndicator - notify - price/longMA/ShortMA/prevDirection are 1.5141/1.51409807123052/1.51410351304394/-1</t>
  </si>
  <si>
    <t>2015-1-20 18:12:40.677: Algorithm - handleTransition - currentHedgeShortfall is NOT ZERO and AUTOHEDGE IS NOT ENABLED!</t>
  </si>
  <si>
    <t>2015-1-20 18:12:40.796: DirectionIndicator - notify - price/longMA/ShortMA/prevDirection are 1.51415/1.51410751282497/1.51411900869596/-1</t>
  </si>
  <si>
    <t>2015-1-20 18:12:40.797: Algorithm - handleTransition - currentHedgeShortfall is NOT ZERO and AUTOHEDGE IS NOT ENABLED!</t>
  </si>
  <si>
    <t>2015-1-20 18:12:42.140: DirectionIndicator - notify - price/longMA/ShortMA/prevDirection are 1.5141/1.5141061468568/1.51411267246397/-1</t>
  </si>
  <si>
    <t>2015-1-20 18:12:42.141: Algorithm - handleTransition - currentHedgeShortfall is NOT ZERO and AUTOHEDGE IS NOT ENABLED!</t>
  </si>
  <si>
    <t>2015-1-20 18:12:45.753: DirectionIndicator - notify - price/longMA/ShortMA/prevDirection are 1.51405/1.51409593833738/1.51409178164265/-1</t>
  </si>
  <si>
    <t>2015-1-20 18:12:45.754: Algorithm - handleTransition - currentHedgeShortfall is NOT ZERO and AUTOHEDGE IS NOT ENABLED!</t>
  </si>
  <si>
    <t>2015-1-20 18:13:3.631: DirectionIndicator - notify - price/longMA/ShortMA/prevDirection are 1.514/1.51407849500331/1.51406118776177/-1</t>
  </si>
  <si>
    <t>2015-1-20 18:13:3.632: Algorithm - handleTransition - currentHedgeShortfall is NOT ZERO and AUTOHEDGE IS NOT ENABLED!</t>
  </si>
  <si>
    <t>2015-1-20 18:13:3.684: DirectionIndicator - notify - price/longMA/ShortMA/prevDirection are 1.51395/1.51405513227544/1.51402412517451/-1</t>
  </si>
  <si>
    <t>2015-1-20 18:13:3.685: Algorithm - handleTransition - currentHedgeShortfall is NOT ZERO and AUTOHEDGE IS NOT ENABLED!</t>
  </si>
  <si>
    <t>2015-1-20 18:13:4.305: DirectionIndicator - notify - price/longMA/ShortMA/prevDirection are 1.514/1.51404510822536/1.51401608344967/-1</t>
  </si>
  <si>
    <t>2015-1-20 18:13:4.305: Algorithm - handleTransition - currentHedgeShortfall is NOT ZERO and AUTOHEDGE IS NOT ENABLED!</t>
  </si>
  <si>
    <t>2015-1-20 18:13:4.552: DirectionIndicator - notify - price/longMA/ShortMA/prevDirection are 1.51395/1.51402781582075/1.51399405563312/-1</t>
  </si>
  <si>
    <t>2015-1-20 18:13:4.552: Algorithm - handleTransition - currentHedgeShortfall is NOT ZERO and AUTOHEDGE IS NOT ENABLED!</t>
  </si>
  <si>
    <t>2015-1-20 18:13:8.264: TransitionLogger - flushFile - flushing file</t>
  </si>
  <si>
    <t>2015-1-20 18:13:8.265: TransitionLogger - openTransitionFile - opening file C:\temp\transitionlog_2015-01-20_153021</t>
  </si>
  <si>
    <t>2015-1-20 18:13:11.802: DirectionIndicator - notify - price/longMA/ShortMA/prevDirection are 1.5139/1.51400457658061/1.51396270375541/-1</t>
  </si>
  <si>
    <t>2015-1-20 18:13:11.803: Algorithm - handleTransition - currentHedgeShortfall is NOT ZERO and AUTOHEDGE IS NOT ENABLED!</t>
  </si>
  <si>
    <t>2015-1-20 18:13:11.969: DirectionIndicator - notify - price/longMA/ShortMA/prevDirection are 1.51385/1.51397647174777/1.51392513583694/-1</t>
  </si>
  <si>
    <t>2015-1-20 18:13:11.970: Algorithm - handleTransition - currentHedgeShortfall is NOT ZERO and AUTOHEDGE IS NOT ENABLED!</t>
  </si>
  <si>
    <t>2015-1-20 18:13:13.151: DirectionIndicator - notify - price/longMA/ShortMA/prevDirection are 1.5138/1.51394438597545/1.51388342389129/-1</t>
  </si>
  <si>
    <t>2015-1-20 18:13:13.152: Algorithm - handleTransition - currentHedgeShortfall is NOT ZERO and AUTOHEDGE IS NOT ENABLED!</t>
  </si>
  <si>
    <t>2015-1-20 18:13:13.854: DirectionIndicator - notify - price/longMA/ShortMA/prevDirection are 1.51385/1.513927224889/1.5138722825942/-1</t>
  </si>
  <si>
    <t>2015-1-20 18:13:13.855: Algorithm - handleTransition - currentHedgeShortfall is NOT ZERO and AUTOHEDGE IS NOT ENABLED!</t>
  </si>
  <si>
    <t>2015-1-20 18:13:15.848: DirectionIndicator - notify - price/longMA/ShortMA/prevDirection are 1.5138/1.513904093091/1.51384818839613/-1</t>
  </si>
  <si>
    <t>2015-1-20 18:13:15.849: Algorithm - handleTransition - currentHedgeShortfall is NOT ZERO and AUTOHEDGE IS NOT ENABLED!</t>
  </si>
  <si>
    <t>2015-1-20 18:13:17.230: DirectionIndicator - notify - price/longMA/ShortMA/prevDirection are 1.51385/1.51389425798355/1.51384879226409/-1</t>
  </si>
  <si>
    <t>2015-1-20 18:13:17.232: Algorithm - handleTransition - currentHedgeShortfall is NOT ZERO and AUTOHEDGE IS NOT ENABLED!</t>
  </si>
  <si>
    <t>2015-1-20 18:13:29.36: TransitionLogger - flushFile - flushing file</t>
  </si>
  <si>
    <t>2015-1-20 18:13:29.37: TransitionLogger - openTransitionFile - opening file C:\temp\transitionlog_2015-01-20_153021</t>
  </si>
  <si>
    <t>2015-1-20 18:14:2.818: DirectionIndicator - notify - price/longMA/ShortMA/prevDirection are 1.5139/1.51389530198654/1.51386586150939/-1</t>
  </si>
  <si>
    <t>2015-1-20 18:14:2.819: Algorithm - handleTransition - currentHedgeShortfall is NOT ZERO and AUTOHEDGE IS NOT ENABLED!</t>
  </si>
  <si>
    <t>2015-1-20 18:14:2.930: DirectionIndicator - notify - price/longMA/ShortMA/prevDirection are 1.51395/1.5139052470799/1.51389390767293/-1</t>
  </si>
  <si>
    <t>2015-1-20 18:14:2.931: Algorithm - handleTransition - currentHedgeShortfall is NOT ZERO and AUTOHEDGE IS NOT ENABLED!</t>
  </si>
  <si>
    <t>2015-1-20 18:14:8.288: TransitionLogger - flushFile - flushing file</t>
  </si>
  <si>
    <t>2015-1-20 18:14:8.290: TransitionLogger - openTransitionFile - opening file C:\temp\transitionlog_2015-01-20_153021</t>
  </si>
  <si>
    <t>2015-1-20 18:14:9.96: DirectionIndicator - notify - price/longMA/ShortMA/prevDirection are 1.5139/1.51390429306537/1.51389593844862/-1</t>
  </si>
  <si>
    <t>2015-1-20 18:14:9.98: Algorithm - handleTransition - currentHedgeShortfall is NOT ZERO and AUTOHEDGE IS NOT ENABLED!</t>
  </si>
  <si>
    <t>2015-1-20 18:14:10.280: DirectionIndicator - notify - price/longMA/ShortMA/prevDirection are 1.51395/1.51391260341712/1.51391395896575/-1</t>
  </si>
  <si>
    <t>2015-1-20 18:14:10.281: Algorithm - handleTransition - currentHedgeShortfall is NOT ZERO and AUTOHEDGE IS NOT ENABLED!</t>
  </si>
  <si>
    <t>2015-1-20 18:14:10.490: DirectionIndicator - notify - price/longMA/ShortMA/prevDirection are 1.5139/1.51391031188673/1.51390930597716/-1</t>
  </si>
  <si>
    <t>2015-1-20 18:14:10.491: Algorithm - handleTransition - currentHedgeShortfall is NOT ZERO and AUTOHEDGE IS NOT ENABLED!</t>
  </si>
  <si>
    <t>2015-1-20 18:14:13.746: DirectionIndicator - notify - price/longMA/ShortMA/prevDirection are 1.51395/1.51391752790733/1.51392287065144/-1</t>
  </si>
  <si>
    <t>2015-1-20 18:14:13.748: Algorithm - handleTransition - currentHedgeShortfall is NOT ZERO and AUTOHEDGE IS NOT ENABLED!</t>
  </si>
  <si>
    <t>2015-1-20 18:14:26.887: DirectionIndicator - notify - price/longMA/ShortMA/prevDirection are 1.514/1.51393252283327/1.51394858043429/-1</t>
  </si>
  <si>
    <t>2015-1-20 18:14:26.887: Algorithm - handleTransition - currentHedgeShortfall is NOT ZERO and AUTOHEDGE IS NOT ENABLED!</t>
  </si>
  <si>
    <t>2015-1-20 18:14:27.725: DirectionIndicator - notify - price/longMA/ShortMA/prevDirection are 1.51405/1.51395388231813/1.5139823869562/-1</t>
  </si>
  <si>
    <t>2015-1-20 18:14:27.725: Algorithm - handleTransition - currentHedgeShortfall is NOT ZERO and AUTOHEDGE IS NOT ENABLED!</t>
  </si>
  <si>
    <t>2015-1-20 18:14:29.21: TransitionLogger - flushFile - flushing file</t>
  </si>
  <si>
    <t>2015-1-20 18:14:29.22: TransitionLogger - openTransitionFile - opening file C:\temp\transitionlog_2015-01-20_153021</t>
  </si>
  <si>
    <t>2015-1-20 18:14:54.649: DirectionIndicator - notify - price/longMA/ShortMA/prevDirection are 1.5141/1.51398044916938/1.51402159130413/1</t>
  </si>
  <si>
    <t>2015-1-20 18:14:54.650: Algorithm - handleTransition - currentHedgeShortfall is NOT ZERO and AUTOHEDGE IS NOT ENABLED!</t>
  </si>
  <si>
    <t>2015-1-20 18:14:58.955: DirectionIndicator - notify - price/longMA/ShortMA/prevDirection are 1.51405/1.51399309477495/1.51403106086942/1</t>
  </si>
  <si>
    <t>2015-1-20 18:14:58.957: Algorithm - handleTransition - currentHedgeShortfall is NOT ZERO and AUTOHEDGE IS NOT ENABLED!</t>
  </si>
  <si>
    <t>2015-1-20 18:14:59.897: DirectionIndicator - notify - price/longMA/ShortMA/prevDirection are 1.5141/1.51401253208859/1.51405404057961/1</t>
  </si>
  <si>
    <t>2015-1-20 18:14:59.898: Algorithm - handleTransition - currentHedgeShortfall is NOT ZERO and AUTOHEDGE IS NOT ENABLED!</t>
  </si>
  <si>
    <t>2015-1-20 18:15:1.259: DirectionIndicator - notify - price/longMA/ShortMA/prevDirection are 1.51415/1.5140375262543/1.51408602705308/1</t>
  </si>
  <si>
    <t>2015-1-20 18:15:1.261: Algorithm - handleTransition - currentHedgeShortfall is NOT ZERO and AUTOHEDGE IS NOT ENABLED!</t>
  </si>
  <si>
    <t>2015-1-20 18:15:1.607: DirectionIndicator - notify - price/longMA/ShortMA/prevDirection are 1.5141/1.51404888511716/1.51409068470205/1</t>
  </si>
  <si>
    <t>2015-1-20 18:15:1.607: Algorithm - handleTransition - currentHedgeShortfall is NOT ZERO and AUTOHEDGE IS NOT ENABLED!</t>
  </si>
  <si>
    <t>2015-1-20 18:15:1.724: DirectionIndicator - notify - price/longMA/ShortMA/prevDirection are 1.51415/1.51406726964131/1.51411045646803/1</t>
  </si>
  <si>
    <t>2015-1-20 18:15:1.725: Algorithm - handleTransition - currentHedgeShortfall is NOT ZERO and AUTOHEDGE IS NOT ENABLED!</t>
  </si>
  <si>
    <t>2015-1-20 18:15:8.14: TransitionLogger - flushFile - flushing file</t>
  </si>
  <si>
    <t>2015-1-20 18:15:8.14: TransitionLogger - openTransitionFile - opening file C:\temp\transitionlog_2015-01-20_153021</t>
  </si>
  <si>
    <t>2015-1-20 18:15:17.266: Algorithm - FindNextStrikes - price is 1.51415 nextStrikeUp/Down 1.515/0</t>
  </si>
  <si>
    <t>2015-1-20 18:15:17.267: Algorithm - getPortfolioForwardDelta - required deltas is -200 currentHedgePosition is 101</t>
  </si>
  <si>
    <t>2015-1-20 18:15:17.267: Algorithm - getHedgeShortfall - required deltas is -200 price is 1.51425 currentHedgePositionDeltas is 101</t>
  </si>
  <si>
    <t>2015-1-20 18:15:17.268: Algorithm - processTransitionPoint - nextUpper/LowerStrikes are 1.515/0 requiredDeltas/currentPosition/currentHedgeShortfall/direction/transitionPrice are -200/101/-301/1/1.51425</t>
  </si>
  <si>
    <t>2015-1-20 18:15:17.268: TransitionLogger - processTransitionpoint - checking transition - currentHedgeShortfall is -301</t>
  </si>
  <si>
    <t>2015-1-20 18:15:17.268: Algorithm - handleTransition - currentHedgeShortfall is NOT ZERO and AUTOHEDGE IS NOT ENABLED!</t>
  </si>
  <si>
    <t>2015-1-20 18:15:17.269: Algorithm - updatePortfolio - haveAllDetails is True</t>
  </si>
  <si>
    <t>2015-1-20 18:15:17.270: RTWSControl - updatePortfolioEx - An Error Occured Object variable or With block variable not set</t>
  </si>
  <si>
    <t>2015-1-20 18:15:17.308: Algorithm - FindNextStrikes - price is 1.51415 nextStrikeUp/Down 1.515/0</t>
  </si>
  <si>
    <t>2015-1-20 18:15:17.308: Algorithm - getPortfolioForwardDelta - required deltas is -200 currentHedgePosition is 101</t>
  </si>
  <si>
    <t>2015-1-20 18:15:17.309: Algorithm - getHedgeShortfall - required deltas is -200 price is 1.51425 currentHedgePositionDeltas is 101</t>
  </si>
  <si>
    <t>2015-1-20 18:15:17.309: Algorithm - processTransitionPoint - nextUpper/LowerStrikes are 1.515/0 requiredDeltas/currentPosition/currentHedgeShortfall/direction/transitionPrice are -200/101/-301/1/1.51425</t>
  </si>
  <si>
    <t>2015-1-20 18:15:17.310: TransitionLogger - processTransitionpoint - checking transition - currentHedgeShortfall is -301</t>
  </si>
  <si>
    <t>2015-1-20 18:15:17.310: Algorithm - handleTransition - currentHedgeShortfall is NOT ZERO and AUTOHEDGE IS NOT ENABLED!</t>
  </si>
  <si>
    <t>2015-1-20 18:15:17.311: Algorithm - updatePortfolio - haveAllDetails is True</t>
  </si>
  <si>
    <t>2015-1-20 18:15:17.312: RTWSControl - updatePortfolioEx - An Error Occured Object variable or With block variable not set</t>
  </si>
  <si>
    <t>2015-1-20 18:15:17.361: Algorithm - FindNextStrikes - price is 1.51415 nextStrikeUp/Down 1.515/0</t>
  </si>
  <si>
    <t>2015-1-20 18:15:17.361: Algorithm - getPortfolioForwardDelta - required deltas is -200 currentHedgePosition is 101</t>
  </si>
  <si>
    <t>2015-1-20 18:15:17.362: Algorithm - getHedgeShortfall - required deltas is -200 price is 1.51425 currentHedgePositionDeltas is 101</t>
  </si>
  <si>
    <t>2015-1-20 18:15:17.362: Algorithm - processTransitionPoint - nextUpper/LowerStrikes are 1.515/0 requiredDeltas/currentPosition/currentHedgeShortfall/direction/transitionPrice are -200/101/-301/1/1.51425</t>
  </si>
  <si>
    <t>2015-1-20 18:15:17.362: TransitionLogger - processTransitionpoint - checking transition - currentHedgeShortfall is -301</t>
  </si>
  <si>
    <t>2015-1-20 18:15:17.363: Algorithm - handleTransition - currentHedgeShortfall is NOT ZERO and AUTOHEDGE IS NOT ENABLED!</t>
  </si>
  <si>
    <t>2015-1-20 18:15:17.364: Algorithm - updatePortfolio - haveAllDetails is True</t>
  </si>
  <si>
    <t>2015-1-20 18:15:17.365: RTWSControl - updatePortfolioEx - An Error Occured Object variable or With block variable not set</t>
  </si>
  <si>
    <t>2015-1-20 18:15:17.415: Algorithm - FindNextStrikes - price is 1.51415 nextStrikeUp/Down 1.515/0</t>
  </si>
  <si>
    <t>2015-1-20 18:15:17.415: Algorithm - getPortfolioForwardDelta - required deltas is -200 currentHedgePosition is 101</t>
  </si>
  <si>
    <t>2015-1-20 18:15:17.416: Algorithm - getHedgeShortfall - required deltas is -200 price is 1.51425 currentHedgePositionDeltas is 101</t>
  </si>
  <si>
    <t>2015-1-20 18:15:17.416: Algorithm - processTransitionPoint - nextUpper/LowerStrikes are 1.515/0 requiredDeltas/currentPosition/currentHedgeShortfall/direction/transitionPrice are -200/101/-301/1/1.51425</t>
  </si>
  <si>
    <t>2015-1-20 18:15:17.417: TransitionLogger - processTransitionpoint - checking transition - currentHedgeShortfall is -301</t>
  </si>
  <si>
    <t>2015-1-20 18:15:17.417: Algorithm - handleTransition - currentHedgeShortfall is NOT ZERO and AUTOHEDGE IS NOT ENABLED!</t>
  </si>
  <si>
    <t>2015-1-20 18:15:17.418: Algorithm - updatePortfolio - haveAllDetails is True</t>
  </si>
  <si>
    <t>2015-1-20 18:15:17.419: RTWSControl - updatePortfolioEx - An Error Occured Object variable or With block variable not set</t>
  </si>
  <si>
    <t>2015-1-20 18:15:17.481: Algorithm - FindNextStrikes - price is 1.51415 nextStrikeUp/Down 1.515/0</t>
  </si>
  <si>
    <t>2015-1-20 18:15:17.481: Algorithm - getPortfolioForwardDelta - required deltas is -200 currentHedgePosition is 101</t>
  </si>
  <si>
    <t>2015-1-20 18:15:17.482: Algorithm - getHedgeShortfall - required deltas is -200 price is 1.51425 currentHedgePositionDeltas is 101</t>
  </si>
  <si>
    <t>2015-1-20 18:15:17.482: Algorithm - processTransitionPoint - nextUpper/LowerStrikes are 1.515/0 requiredDeltas/currentPosition/currentHedgeShortfall/direction/transitionPrice are -200/101/-301/1/1.51425</t>
  </si>
  <si>
    <t>2015-1-20 18:15:17.482: TransitionLogger - processTransitionpoint - checking transition - currentHedgeShortfall is -301</t>
  </si>
  <si>
    <t>2015-1-20 18:15:17.483: Algorithm - handleTransition - currentHedgeShortfall is NOT ZERO and AUTOHEDGE IS NOT ENABLED!</t>
  </si>
  <si>
    <t>2015-1-20 18:15:17.484: Algorithm - updatePortfolio - haveAllDetails is True</t>
  </si>
  <si>
    <t>2015-1-20 18:15:17.485: RTWSControl - updatePortfolioEx - An Error Occured Object variable or With block variable not set</t>
  </si>
  <si>
    <t>2015-1-20 18:15:17.544: Algorithm - FindNextStrikes - price is 1.51415 nextStrikeUp/Down 1.515/0</t>
  </si>
  <si>
    <t>2015-1-20 18:15:17.544: Algorithm - getPortfolioForwardDelta - required deltas is -200 currentHedgePosition is 101</t>
  </si>
  <si>
    <t>2015-1-20 18:15:17.545: Algorithm - getHedgeShortfall - required deltas is -200 price is 1.51425 currentHedgePositionDeltas is 101</t>
  </si>
  <si>
    <t>2015-1-20 18:15:17.545: Algorithm - processTransitionPoint - nextUpper/LowerStrikes are 1.515/0 requiredDeltas/currentPosition/currentHedgeShortfall/direction/transitionPrice are -200/101/-301/1/1.51425</t>
  </si>
  <si>
    <t>2015-1-20 18:15:17.545: TransitionLogger - processTransitionpoint - checking transition - currentHedgeShortfall is -301</t>
  </si>
  <si>
    <t>2015-1-20 18:15:17.546: Algorithm - handleTransition - currentHedgeShortfall is NOT ZERO and AUTOHEDGE IS NOT ENABLED!</t>
  </si>
  <si>
    <t>2015-1-20 18:15:17.547: Algorithm - updatePortfolio - haveAllDetails is True</t>
  </si>
  <si>
    <t>2015-1-20 18:15:17.548: RTWSControl - updatePortfolioEx - An Error Occured Object variable or With block variable not set</t>
  </si>
  <si>
    <t>2015-1-20 18:15:22.481: DirectionIndicator - notify - price/longMA/ShortMA/prevDirection are 1.5141/1.51407322061562/1.51410697097869/1</t>
  </si>
  <si>
    <t>2015-1-20 18:15:22.482: Algorithm - handleTransition - currentHedgeShortfall is NOT ZERO and AUTOHEDGE IS NOT ENABLED!</t>
  </si>
  <si>
    <t>2015-1-20 18:15:22.604: DirectionIndicator - notify - price/longMA/ShortMA/prevDirection are 1.51405/1.51406899868551/1.51408798065246/1</t>
  </si>
  <si>
    <t>2015-1-20 18:15:22.605: Algorithm - handleTransition - currentHedgeShortfall is NOT ZERO and AUTOHEDGE IS NOT ENABLED!</t>
  </si>
  <si>
    <t>2015-1-20 18:15:24.17: DirectionIndicator - notify - price/longMA/ShortMA/prevDirection are 1.5141/1.51407463528814/1.51409198710164/1</t>
  </si>
  <si>
    <t>2015-1-20 18:15:24.18: Algorithm - handleTransition - currentHedgeShortfall is NOT ZERO and AUTOHEDGE IS NOT ENABLED!</t>
  </si>
  <si>
    <t>2015-1-20 18:15:28.20: DirectionIndicator - notify - price/longMA/ShortMA/prevDirection are 1.51405/1.51407015614484/1.51407799140109/1</t>
  </si>
  <si>
    <t>2015-1-20 18:15:28.22: Algorithm - handleTransition - currentHedgeShortfall is NOT ZERO and AUTOHEDGE IS NOT ENABLED!</t>
  </si>
  <si>
    <t>2015-1-20 18:15:29.84: TransitionLogger - flushFile - flushing file</t>
  </si>
  <si>
    <t>2015-1-20 18:15:29.85: TransitionLogger - openTransitionFile - opening file C:\temp\transitionlog_2015-01-20_153021</t>
  </si>
  <si>
    <t>2015-1-20 18:15:37.27: DirectionIndicator - notify - price/longMA/ShortMA/prevDirection are 1.5141/1.51407558230033/1.51408532760073/1</t>
  </si>
  <si>
    <t>2015-1-20 18:15:37.28: Algorithm - handleTransition - currentHedgeShortfall is NOT ZERO and AUTOHEDGE IS NOT ENABLED!</t>
  </si>
  <si>
    <t>2015-1-20 18:15:37.316: DirectionIndicator - notify - price/longMA/ShortMA/prevDirection are 1.51415/1.51408911279118/1.51410688506715/1</t>
  </si>
  <si>
    <t>2015-1-20 18:15:37.317: Algorithm - handleTransition - currentHedgeShortfall is NOT ZERO and AUTOHEDGE IS NOT ENABLED!</t>
  </si>
  <si>
    <t>2015-1-20 18:15:37.568: DirectionIndicator - notify - price/longMA/ShortMA/prevDirection are 1.5141/1.51409109228369/1.51410459004477/1</t>
  </si>
  <si>
    <t>2015-1-20 18:15:37.568: Algorithm - handleTransition - currentHedgeShortfall is NOT ZERO and AUTOHEDGE IS NOT ENABLED!</t>
  </si>
  <si>
    <t>2015-1-20 18:15:37.640: DirectionIndicator - notify - price/longMA/ShortMA/prevDirection are 1.51405/1.51408362095938/1.51408639336318/1</t>
  </si>
  <si>
    <t>2015-1-20 18:15:37.641: Algorithm - handleTransition - currentHedgeShortfall is NOT ZERO and AUTOHEDGE IS NOT ENABLED!</t>
  </si>
  <si>
    <t>2015-1-20 18:15:38.109: DirectionIndicator - notify - price/longMA/ShortMA/prevDirection are 1.5141/1.51408659896677/1.51409092890879/1</t>
  </si>
  <si>
    <t>2015-1-20 18:15:38.110: Algorithm - handleTransition - currentHedgeShortfall is NOT ZERO and AUTOHEDGE IS NOT ENABLED!</t>
  </si>
  <si>
    <t>2015-1-20 18:15:38.179: DirectionIndicator - notify - price/longMA/ShortMA/prevDirection are 1.51415/1.51409812642735/1.51411061927252/1</t>
  </si>
  <si>
    <t>2015-1-20 18:15:38.179: Algorithm - handleTransition - currentHedgeShortfall is NOT ZERO and AUTOHEDGE IS NOT ENABLED!</t>
  </si>
  <si>
    <t>2015-1-20 18:15:38.398: DirectionIndicator - notify - price/longMA/ShortMA/prevDirection are 1.5141/1.51409846707693/1.51410707951502/1</t>
  </si>
  <si>
    <t>2015-1-20 18:15:38.399: Algorithm - handleTransition - currentHedgeShortfall is NOT ZERO and AUTOHEDGE IS NOT ENABLED!</t>
  </si>
  <si>
    <t>2015-1-20 18:15:43.467: DirectionIndicator - notify - price/longMA/ShortMA/prevDirection are 1.51415/1.5141078366993/1.51412138634334/1</t>
  </si>
  <si>
    <t>2015-1-20 18:15:43.469: Algorithm - handleTransition - currentHedgeShortfall is NOT ZERO and AUTOHEDGE IS NOT ENABLED!</t>
  </si>
  <si>
    <t>2015-1-20 18:15:47.527: DirectionIndicator - notify - price/longMA/ShortMA/prevDirection are 1.5141/1.51410641184488/1.51411425756223/1</t>
  </si>
  <si>
    <t>2015-1-20 18:15:47.529: Algorithm - handleTransition - currentHedgeShortfall is NOT ZERO and AUTOHEDGE IS NOT ENABLED!</t>
  </si>
  <si>
    <t>2015-1-20 18:15:47.646: DirectionIndicator - notify - price/longMA/ShortMA/prevDirection are 1.51405/1.51409615514581/1.51409283837482/1</t>
  </si>
  <si>
    <t>2015-1-20 18:15:47.646: Algorithm - handleTransition - currentHedgeShortfall is NOT ZERO and AUTOHEDGE IS NOT ENABLED!</t>
  </si>
  <si>
    <t>2015-1-20 18:15:47.940: DirectionIndicator - notify - price/longMA/ShortMA/prevDirection are 1.5141/1.51409685421021/1.51409522558321/1</t>
  </si>
  <si>
    <t>2015-1-20 18:15:47.941: Algorithm - handleTransition - currentHedgeShortfall is NOT ZERO and AUTOHEDGE IS NOT ENABLED!</t>
  </si>
  <si>
    <t>2015-1-20 18:15:49.24: DirectionIndicator - notify - price/longMA/ShortMA/prevDirection are 1.51415/1.51410651708108/1.51411348372214/1</t>
  </si>
  <si>
    <t>2015-1-20 18:15:49.25: Algorithm - handleTransition - currentHedgeShortfall is NOT ZERO and AUTOHEDGE IS NOT ENABLED!</t>
  </si>
  <si>
    <t>2015-1-20 18:15:50.327: DirectionIndicator - notify - price/longMA/ShortMA/prevDirection are 1.5141/1.51410533215725/1.51410898914809/1</t>
  </si>
  <si>
    <t>2015-1-20 18:15:50.329: Algorithm - handleTransition - currentHedgeShortfall is NOT ZERO and AUTOHEDGE IS NOT ENABLED!</t>
  </si>
  <si>
    <t>2015-1-20 18:15:52.739: DirectionIndicator - notify - price/longMA/ShortMA/prevDirection are 1.51405/1.51409527176502/1.51408932609873/1</t>
  </si>
  <si>
    <t>2015-1-20 18:15:52.741: Algorithm - handleTransition - currentHedgeShortfall is NOT ZERO and AUTOHEDGE IS NOT ENABLED!</t>
  </si>
  <si>
    <t>2015-1-20 18:16:8.102: TransitionLogger - flushFile - flushing file</t>
  </si>
  <si>
    <t>2015-1-20 18:16:8.104: TransitionLogger - openTransitionFile - opening file C:\temp\transitionlog_2015-01-20_153021</t>
  </si>
  <si>
    <t>2015-1-20 18:16:20.266: DirectionIndicator - notify - price/longMA/ShortMA/prevDirection are 1.5141/1.51409613144411/1.51409288406582/1</t>
  </si>
  <si>
    <t>2015-1-20 18:16:20.267: Algorithm - handleTransition - currentHedgeShortfall is NOT ZERO and AUTOHEDGE IS NOT ENABLED!</t>
  </si>
  <si>
    <t>2015-1-20 18:16:25.1: DirectionIndicator - notify - price/longMA/ShortMA/prevDirection are 1.51415/1.514105925727/1.51411192271055/1</t>
  </si>
  <si>
    <t>2015-1-20 18:16:25.4: Algorithm - handleTransition - currentHedgeShortfall is NOT ZERO and AUTOHEDGE IS NOT ENABLED!</t>
  </si>
  <si>
    <t>2015-1-20 18:16:29.15: TransitionLogger - flushFile - flushing file</t>
  </si>
  <si>
    <t>2015-1-20 18:16:29.16: TransitionLogger - openTransitionFile - opening file C:\temp\transitionlog_2015-01-20_153021</t>
  </si>
  <si>
    <t>2015-1-20 18:16:30.312: DirectionIndicator - notify - price/longMA/ShortMA/prevDirection are 1.5141/1.51410484832209/1.5141079484737/1</t>
  </si>
  <si>
    <t>2015-1-20 18:16:30.314: Algorithm - handleTransition - currentHedgeShortfall is NOT ZERO and AUTOHEDGE IS NOT ENABLED!</t>
  </si>
  <si>
    <t>2015-1-20 18:16:35.605: DirectionIndicator - notify - price/longMA/ShortMA/prevDirection are 1.51415/1.51411305771807/1.51412196564913/1</t>
  </si>
  <si>
    <t>2015-1-20 18:16:35.606: Algorithm - handleTransition - currentHedgeShortfall is NOT ZERO and AUTOHEDGE IS NOT ENABLED!</t>
  </si>
  <si>
    <t>2015-1-20 18:16:35.657: DirectionIndicator - notify - price/longMA/ShortMA/prevDirection are 1.5142/1.5141288654057/1.51414797709942/1</t>
  </si>
  <si>
    <t>2015-1-20 18:16:35.658: Algorithm - handleTransition - currentHedgeShortfall is NOT ZERO and AUTOHEDGE IS NOT ENABLED!</t>
  </si>
  <si>
    <t>2015-1-20 18:16:36.360: DirectionIndicator - notify - price/longMA/ShortMA/prevDirection are 1.51415/1.51413270805921/1.51414865139961/1</t>
  </si>
  <si>
    <t>2015-1-20 18:16:36.361: Algorithm - handleTransition - currentHedgeShortfall is NOT ZERO and AUTOHEDGE IS NOT ENABLED!</t>
  </si>
  <si>
    <t>2015-1-20 18:16:36.651: DirectionIndicator - notify - price/longMA/ShortMA/prevDirection are 1.5142/1.51414494295753/1.51416576759974/1</t>
  </si>
  <si>
    <t>2015-1-20 18:16:36.652: Algorithm - handleTransition - currentHedgeShortfall is NOT ZERO and AUTOHEDGE IS NOT ENABLED!</t>
  </si>
  <si>
    <t>2015-1-20 18:16:36.696: DirectionIndicator - notify - price/longMA/ShortMA/prevDirection are 1.51425/1.51416404423798/1.5141938450665/1</t>
  </si>
  <si>
    <t>2015-1-20 18:16:36.697: Algorithm - handleTransition - currentHedgeShortfall is NOT ZERO and AUTOHEDGE IS NOT ENABLED!</t>
  </si>
  <si>
    <t>2015-1-20 18:16:38.274: DirectionIndicator - notify - price/longMA/ShortMA/prevDirection are 1.5143/1.51418876346744/1.51422923004433/1</t>
  </si>
  <si>
    <t>2015-1-20 18:16:38.275: Algorithm - handleTransition - currentHedgeShortfall is NOT ZERO and AUTOHEDGE IS NOT ENABLED!</t>
  </si>
  <si>
    <t>2015-1-20 18:16:38.323: DirectionIndicator - notify - price/longMA/ShortMA/prevDirection are 1.51435/1.51421807920063/1.51426948669622/1</t>
  </si>
  <si>
    <t>2015-1-20 18:16:38.323: Algorithm - handleTransition - currentHedgeShortfall is NOT ZERO and AUTOHEDGE IS NOT ENABLED!</t>
  </si>
  <si>
    <t>2015-1-20 18:16:39.58: DirectionIndicator - notify - price/longMA/ShortMA/prevDirection are 1.5144/1.51425115570961/1.51431299113081/1</t>
  </si>
  <si>
    <t>2015-1-20 18:16:39.58: Algorithm - handleTransition - currentHedgeShortfall is NOT ZERO and AUTOHEDGE IS NOT ENABLED!</t>
  </si>
  <si>
    <t>2015-1-20 18:16:39.115: DirectionIndicator - notify - price/longMA/ShortMA/prevDirection are 1.51445/1.51428730921695/1.51435866075388/1</t>
  </si>
  <si>
    <t>2015-1-20 18:16:39.116: Algorithm - handleTransition - currentHedgeShortfall is NOT ZERO and AUTOHEDGE IS NOT ENABLED!</t>
  </si>
  <si>
    <t>2015-1-20 18:16:39.652: DirectionIndicator - notify - price/longMA/ShortMA/prevDirection are 1.5144/1.51430779845023/1.51437244050258/1</t>
  </si>
  <si>
    <t>2015-1-20 18:16:39.653: Algorithm - handleTransition - currentHedgeShortfall is NOT ZERO and AUTOHEDGE IS NOT ENABLED!</t>
  </si>
  <si>
    <t>2015-1-20 18:16:39.772: DirectionIndicator - notify - price/longMA/ShortMA/prevDirection are 1.51445/1.51433365327746/1.51439829366839/1</t>
  </si>
  <si>
    <t>2015-1-20 18:16:39.773: Algorithm - handleTransition - currentHedgeShortfall is NOT ZERO and AUTOHEDGE IS NOT ENABLED!</t>
  </si>
  <si>
    <t>2015-1-20 18:16:40.892: DirectionIndicator - notify - price/longMA/ShortMA/prevDirection are 1.5144/1.51434571631792/1.51439886244559/1</t>
  </si>
  <si>
    <t>2015-1-20 18:16:40.892: Algorithm - handleTransition - currentHedgeShortfall is NOT ZERO and AUTOHEDGE IS NOT ENABLED!</t>
  </si>
  <si>
    <t>2015-1-20 18:16:41.339: DirectionIndicator - notify - price/longMA/ShortMA/prevDirection are 1.51435/1.51434649516921/1.51438257496373/1</t>
  </si>
  <si>
    <t>2015-1-20 18:16:41.342: Algorithm - handleTransition - currentHedgeShortfall is NOT ZERO and AUTOHEDGE IS NOT ENABLED!</t>
  </si>
  <si>
    <t>2015-1-20 18:16:42.986: DirectionIndicator - notify - price/longMA/ShortMA/prevDirection are 1.5143/1.51433804150208/1.51435504997582/1</t>
  </si>
  <si>
    <t>2015-1-20 18:16:42.987: Algorithm - handleTransition - currentHedgeShortfall is NOT ZERO and AUTOHEDGE IS NOT ENABLED!</t>
  </si>
  <si>
    <t>2015-1-20 18:16:43.60: DirectionIndicator - notify - price/longMA/ShortMA/prevDirection are 1.51425/1.51432203395625/1.51432003331721/1</t>
  </si>
  <si>
    <t>2015-1-20 18:16:43.60: Algorithm - handleTransition - currentHedgeShortfall is NOT ZERO and AUTOHEDGE IS NOT ENABLED!</t>
  </si>
  <si>
    <t>2015-1-20 18:16:43.227: DirectionIndicator - notify - price/longMA/ShortMA/prevDirection are 1.5143/1.51431802778239/1.51431335554481/1</t>
  </si>
  <si>
    <t>2015-1-20 18:16:43.228: Algorithm - handleTransition - currentHedgeShortfall is NOT ZERO and AUTOHEDGE IS NOT ENABLED!</t>
  </si>
  <si>
    <t>2015-1-20 18:16:43.280: DirectionIndicator - notify - price/longMA/ShortMA/prevDirection are 1.51435/1.51432384091286/1.51432557036321/1</t>
  </si>
  <si>
    <t>2015-1-20 18:16:43.281: Algorithm - handleTransition - currentHedgeShortfall is NOT ZERO and AUTOHEDGE IS NOT ENABLED!</t>
  </si>
  <si>
    <t>2015-1-20 18:17:8.53: TransitionLogger - flushFile - flushing file</t>
  </si>
  <si>
    <t>2015-1-20 18:17:8.54: TransitionLogger - openTransitionFile - opening file C:\temp\transitionlog_2015-01-20_153021</t>
  </si>
  <si>
    <t>2015-1-20 18:17:15.663: DirectionIndicator - notify - price/longMA/ShortMA/prevDirection are 1.5144/1.51433768801961/1.51435038024214/1</t>
  </si>
  <si>
    <t>2015-1-20 18:17:15.664: Algorithm - handleTransition - currentHedgeShortfall is NOT ZERO and AUTOHEDGE IS NOT ENABLED!</t>
  </si>
  <si>
    <t>2015-1-20 18:17:16.27: DirectionIndicator - notify - price/longMA/ShortMA/prevDirection are 1.51445/1.51435810837968/1.51438358682809/1</t>
  </si>
  <si>
    <t>2015-1-20 18:17:16.27: Algorithm - handleTransition - currentHedgeShortfall is NOT ZERO and AUTOHEDGE IS NOT ENABLED!</t>
  </si>
  <si>
    <t>2015-1-20 18:17:29.967: TransitionLogger - flushFile - flushing file</t>
  </si>
  <si>
    <t>2015-1-20 18:17:29.968: TransitionLogger - openTransitionFile - opening file C:\temp\transitionlog_2015-01-20_153021</t>
  </si>
  <si>
    <t>2015-1-20 18:17:32.835: DirectionIndicator - notify - price/longMA/ShortMA/prevDirection are 1.5144/1.51436572503792/1.51438905788539/1</t>
  </si>
  <si>
    <t>2015-1-20 18:17:32.836: Algorithm - handleTransition - currentHedgeShortfall is NOT ZERO and AUTOHEDGE IS NOT ENABLED!</t>
  </si>
  <si>
    <t>2015-1-20 18:17:32.909: DirectionIndicator - notify - price/longMA/ShortMA/prevDirection are 1.51435/1.51436286594012/1.51437603859026/1</t>
  </si>
  <si>
    <t>2015-1-20 18:17:32.910: Algorithm - handleTransition - currentHedgeShortfall is NOT ZERO and AUTOHEDGE IS NOT ENABLED!</t>
  </si>
  <si>
    <t>2015-1-20 18:17:41.828: DirectionIndicator - notify - price/longMA/ShortMA/prevDirection are 1.5144/1.51436961758737/1.51438402572684/1</t>
  </si>
  <si>
    <t>2015-1-20 18:17:41.829: Algorithm - handleTransition - currentHedgeShortfall is NOT ZERO and AUTOHEDGE IS NOT ENABLED!</t>
  </si>
  <si>
    <t>2015-1-20 18:17:41.898: DirectionIndicator - notify - price/longMA/ShortMA/prevDirection are 1.51445/1.51438423257148/1.51440601715123/1</t>
  </si>
  <si>
    <t>2015-1-20 18:17:41.898: Algorithm - handleTransition - currentHedgeShortfall is NOT ZERO and AUTOHEDGE IS NOT ENABLED!</t>
  </si>
  <si>
    <t>2015-1-20 18:17:54.433: DirectionIndicator - notify - price/longMA/ShortMA/prevDirection are 1.5144/1.51438709937667/1.51440401143415/1</t>
  </si>
  <si>
    <t>2015-1-20 18:17:54.435: Algorithm - handleTransition - currentHedgeShortfall is NOT ZERO and AUTOHEDGE IS NOT ENABLED!</t>
  </si>
  <si>
    <t>2015-1-20 18:17:58.518: DirectionIndicator - notify - price/longMA/ShortMA/prevDirection are 1.51445/1.51439853585364/1.5144193409561/1</t>
  </si>
  <si>
    <t>2015-1-20 18:17:58.521: Algorithm - handleTransition - currentHedgeShortfall is NOT ZERO and AUTOHEDGE IS NOT ENABLED!</t>
  </si>
  <si>
    <t>2015-1-20 18:18:0.404: Algorithm - FindNextStrikes - price is 1.51445 nextStrikeUp/Down 1.515/0</t>
  </si>
  <si>
    <t>2015-1-20 18:18:0.404: Algorithm - getPortfolioForwardDelta - required deltas is -200 currentHedgePosition is 101</t>
  </si>
  <si>
    <t>2015-1-20 18:18:0.405: Algorithm - getHedgeShortfall - required deltas is -200 price is 1.51455 currentHedgePositionDeltas is 101</t>
  </si>
  <si>
    <t>2015-1-20 18:18:0.405: Algorithm - processTransitionPoint - nextUpper/LowerStrikes are 1.515/0 requiredDeltas/currentPosition/currentHedgeShortfall/direction/transitionPrice are -200/101/-301/1/1.51455</t>
  </si>
  <si>
    <t>2015-1-20 18:18:0.405: TransitionLogger - processTransitionpoint - checking transition - currentHedgeShortfall is -301</t>
  </si>
  <si>
    <t>2015-1-20 18:18:0.406: Algorithm - handleTransition - currentHedgeShortfall is NOT ZERO and AUTOHEDGE IS NOT ENABLED!</t>
  </si>
  <si>
    <t>2015-1-20 18:18:0.407: Algorithm - updatePortfolio - haveAllDetails is True</t>
  </si>
  <si>
    <t>2015-1-20 18:18:0.408: RTWSControl - updatePortfolioEx - An Error Occured Object variable or With block variable not set</t>
  </si>
  <si>
    <t>2015-1-20 18:18:0.449: Algorithm - FindNextStrikes - price is 1.51445 nextStrikeUp/Down 1.515/0</t>
  </si>
  <si>
    <t>2015-1-20 18:18:0.450: Algorithm - getPortfolioForwardDelta - required deltas is -200 currentHedgePosition is 101</t>
  </si>
  <si>
    <t>2015-1-20 18:18:0.450: Algorithm - getHedgeShortfall - required deltas is -200 price is 1.51455 currentHedgePositionDeltas is 101</t>
  </si>
  <si>
    <t>2015-1-20 18:18:0.451: Algorithm - processTransitionPoint - nextUpper/LowerStrikes are 1.515/0 requiredDeltas/currentPosition/currentHedgeShortfall/direction/transitionPrice are -200/101/-301/1/1.51455</t>
  </si>
  <si>
    <t>2015-1-20 18:18:0.451: TransitionLogger - processTransitionpoint - checking transition - currentHedgeShortfall is -301</t>
  </si>
  <si>
    <t>2015-1-20 18:18:0.452: Algorithm - handleTransition - currentHedgeShortfall is NOT ZERO and AUTOHEDGE IS NOT ENABLED!</t>
  </si>
  <si>
    <t>2015-1-20 18:18:0.452: Algorithm - updatePortfolio - haveAllDetails is True</t>
  </si>
  <si>
    <t>2015-1-20 18:18:0.453: RTWSControl - updatePortfolioEx - An Error Occured Object variable or With block variable not set</t>
  </si>
  <si>
    <t>2015-1-20 18:18:0.498: Algorithm - FindNextStrikes - price is 1.51445 nextStrikeUp/Down 1.515/0</t>
  </si>
  <si>
    <t>2015-1-20 18:18:0.498: Algorithm - getPortfolioForwardDelta - required deltas is -200 currentHedgePosition is 101</t>
  </si>
  <si>
    <t>2015-1-20 18:18:0.499: Algorithm - getHedgeShortfall - required deltas is -200 price is 1.51455 currentHedgePositionDeltas is 101</t>
  </si>
  <si>
    <t>2015-1-20 18:18:0.499: Algorithm - processTransitionPoint - nextUpper/LowerStrikes are 1.515/0 requiredDeltas/currentPosition/currentHedgeShortfall/direction/transitionPrice are -200/101/-301/1/1.51455</t>
  </si>
  <si>
    <t>2015-1-20 18:18:0.499: TransitionLogger - processTransitionpoint - checking transition - currentHedgeShortfall is -301</t>
  </si>
  <si>
    <t>2015-1-20 18:18:0.500: Algorithm - handleTransition - currentHedgeShortfall is NOT ZERO and AUTOHEDGE IS NOT ENABLED!</t>
  </si>
  <si>
    <t>2015-1-20 18:18:0.501: Algorithm - updatePortfolio - haveAllDetails is True</t>
  </si>
  <si>
    <t>2015-1-20 18:18:0.502: RTWSControl - updatePortfolioEx - An Error Occured Object variable or With block variable not set</t>
  </si>
  <si>
    <t>2015-1-20 18:18:0.573: Algorithm - FindNextStrikes - price is 1.51445 nextStrikeUp/Down 1.515/0</t>
  </si>
  <si>
    <t>2015-1-20 18:18:0.573: Algorithm - getPortfolioForwardDelta - required deltas is -200 currentHedgePosition is 101</t>
  </si>
  <si>
    <t>2015-1-20 18:18:0.574: Algorithm - getHedgeShortfall - required deltas is -200 price is 1.51455 currentHedgePositionDeltas is 101</t>
  </si>
  <si>
    <t>2015-1-20 18:18:0.574: Algorithm - processTransitionPoint - nextUpper/LowerStrikes are 1.515/0 requiredDeltas/currentPosition/currentHedgeShortfall/direction/transitionPrice are -200/101/-301/1/1.51455</t>
  </si>
  <si>
    <t>2015-1-20 18:18:0.574: TransitionLogger - processTransitionpoint - checking transition - currentHedgeShortfall is -301</t>
  </si>
  <si>
    <t>2015-1-20 18:18:0.575: Algorithm - handleTransition - currentHedgeShortfall is NOT ZERO and AUTOHEDGE IS NOT ENABLED!</t>
  </si>
  <si>
    <t>2015-1-20 18:18:0.576: Algorithm - updatePortfolio - haveAllDetails is True</t>
  </si>
  <si>
    <t>2015-1-20 18:18:0.577: RTWSControl - updatePortfolioEx - An Error Occured Object variable or With block variable not set</t>
  </si>
  <si>
    <t>2015-1-20 18:18:0.628: Algorithm - FindNextStrikes - price is 1.51445 nextStrikeUp/Down 1.515/0</t>
  </si>
  <si>
    <t>2015-1-20 18:18:0.629: Algorithm - getPortfolioForwardDelta - required deltas is -200 currentHedgePosition is 101</t>
  </si>
  <si>
    <t>2015-1-20 18:18:0.629: Algorithm - getHedgeShortfall - required deltas is -200 price is 1.51455 currentHedgePositionDeltas is 101</t>
  </si>
  <si>
    <t>2015-1-20 18:18:0.630: Algorithm - processTransitionPoint - nextUpper/LowerStrikes are 1.515/0 requiredDeltas/currentPosition/currentHedgeShortfall/direction/transitionPrice are -200/101/-301/1/1.51455</t>
  </si>
  <si>
    <t>2015-1-20 18:18:0.630: TransitionLogger - processTransitionpoint - checking transition - currentHedgeShortfall is -301</t>
  </si>
  <si>
    <t>2015-1-20 18:18:0.630: Algorithm - handleTransition - currentHedgeShortfall is NOT ZERO and AUTOHEDGE IS NOT ENABLED!</t>
  </si>
  <si>
    <t>2015-1-20 18:18:0.631: Algorithm - updatePortfolio - haveAllDetails is True</t>
  </si>
  <si>
    <t>2015-1-20 18:18:0.633: RTWSControl - updatePortfolioEx - An Error Occured Object variable or With block variable not set</t>
  </si>
  <si>
    <t>2015-1-20 18:18:0.700: Algorithm - FindNextStrikes - price is 1.51445 nextStrikeUp/Down 1.515/0</t>
  </si>
  <si>
    <t>2015-1-20 18:18:0.700: Algorithm - getPortfolioForwardDelta - required deltas is -200 currentHedgePosition is 101</t>
  </si>
  <si>
    <t>2015-1-20 18:18:0.701: Algorithm - getHedgeShortfall - required deltas is -200 price is 1.51455 currentHedgePositionDeltas is 101</t>
  </si>
  <si>
    <t>2015-1-20 18:18:0.701: Algorithm - processTransitionPoint - nextUpper/LowerStrikes are 1.515/0 requiredDeltas/currentPosition/currentHedgeShortfall/direction/transitionPrice are -200/101/-301/1/1.51455</t>
  </si>
  <si>
    <t>2015-1-20 18:18:0.701: TransitionLogger - processTransitionpoint - checking transition - currentHedgeShortfall is -301</t>
  </si>
  <si>
    <t>2015-1-20 18:18:0.702: Algorithm - handleTransition - currentHedgeShortfall is NOT ZERO and AUTOHEDGE IS NOT ENABLED!</t>
  </si>
  <si>
    <t>2015-1-20 18:18:0.703: Algorithm - updatePortfolio - haveAllDetails is True</t>
  </si>
  <si>
    <t>2015-1-20 18:18:0.704: RTWSControl - updatePortfolioEx - An Error Occured Object variable or With block variable not set</t>
  </si>
  <si>
    <t>2015-1-20 18:18:5.326: DirectionIndicator - notify - price/longMA/ShortMA/prevDirection are 1.5144/1.51439880206207/1.51441289397073/1</t>
  </si>
  <si>
    <t>2015-1-20 18:18:5.327: Algorithm - handleTransition - currentHedgeShortfall is NOT ZERO and AUTOHEDGE IS NOT ENABLED!</t>
  </si>
  <si>
    <t>2015-1-20 18:18:5.826: DirectionIndicator - notify - price/longMA/ShortMA/prevDirection are 1.51435/1.51438992895987/1.51439192931382/1</t>
  </si>
  <si>
    <t>2015-1-20 18:18:5.827: Algorithm - handleTransition - currentHedgeShortfall is NOT ZERO and AUTOHEDGE IS NOT ENABLED!</t>
  </si>
  <si>
    <t>2015-1-20 18:18:8.259: TransitionLogger - flushFile - flushing file</t>
  </si>
  <si>
    <t>2015-1-20 18:18:8.260: TransitionLogger - openTransitionFile - opening file C:\temp\transitionlog_2015-01-20_153021</t>
  </si>
  <si>
    <t>2015-1-20 18:18:16.858: Algorithm - FindNextStrikes - price is 1.51435 nextStrikeUp/Down 1.515/0</t>
  </si>
  <si>
    <t>2015-1-20 18:18:16.858: Algorithm - getPortfolioForwardDelta - required deltas is -200 currentHedgePosition is 101</t>
  </si>
  <si>
    <t>2015-1-20 18:18:16.859: Algorithm - getHedgeShortfall - required deltas is -200 price is 1.51445 currentHedgePositionDeltas is 101</t>
  </si>
  <si>
    <t>2015-1-20 18:18:16.859: Algorithm - processTransitionPoint - nextUpper/LowerStrikes are 1.515/0 requiredDeltas/currentPosition/currentHedgeShortfall/direction/transitionPrice are -200/101/-301/1/1.51445</t>
  </si>
  <si>
    <t>2015-1-20 18:18:16.859: TransitionLogger - processTransitionpoint - checking transition - currentHedgeShortfall is -301</t>
  </si>
  <si>
    <t>2015-1-20 18:18:16.860: Algorithm - handleTransition - currentHedgeShortfall is NOT ZERO and AUTOHEDGE IS NOT ENABLED!</t>
  </si>
  <si>
    <t>2015-1-20 18:18:16.861: Algorithm - updatePortfolio - haveAllDetails is True</t>
  </si>
  <si>
    <t>2015-1-20 18:18:16.862: RTWSControl - updatePortfolioEx - An Error Occured Object variable or With block variable not set</t>
  </si>
  <si>
    <t>2015-1-20 18:18:16.902: Algorithm - FindNextStrikes - price is 1.51435 nextStrikeUp/Down 1.515/0</t>
  </si>
  <si>
    <t>2015-1-20 18:18:16.903: Algorithm - getPortfolioForwardDelta - required deltas is -200 currentHedgePosition is 101</t>
  </si>
  <si>
    <t>2015-1-20 18:18:16.903: Algorithm - getHedgeShortfall - required deltas is -200 price is 1.51445 currentHedgePositionDeltas is 101</t>
  </si>
  <si>
    <t>2015-1-20 18:18:16.904: Algorithm - processTransitionPoint - nextUpper/LowerStrikes are 1.515/0 requiredDeltas/currentPosition/currentHedgeShortfall/direction/transitionPrice are -200/101/-301/1/1.51445</t>
  </si>
  <si>
    <t>2015-1-20 18:18:16.904: TransitionLogger - processTransitionpoint - checking transition - currentHedgeShortfall is -301</t>
  </si>
  <si>
    <t>2015-1-20 18:18:16.904: Algorithm - handleTransition - currentHedgeShortfall is NOT ZERO and AUTOHEDGE IS NOT ENABLED!</t>
  </si>
  <si>
    <t>2015-1-20 18:18:16.905: Algorithm - updatePortfolio - haveAllDetails is True</t>
  </si>
  <si>
    <t>2015-1-20 18:18:16.906: RTWSControl - updatePortfolioEx - An Error Occured Object variable or With block variable not set</t>
  </si>
  <si>
    <t>2015-1-20 18:18:16.952: Algorithm - FindNextStrikes - price is 1.51435 nextStrikeUp/Down 1.515/0</t>
  </si>
  <si>
    <t>2015-1-20 18:18:16.952: Algorithm - getPortfolioForwardDelta - required deltas is -200 currentHedgePosition is 101</t>
  </si>
  <si>
    <t>2015-1-20 18:18:16.953: Algorithm - getHedgeShortfall - required deltas is -200 price is 1.51445 currentHedgePositionDeltas is 101</t>
  </si>
  <si>
    <t>2015-1-20 18:18:16.953: Algorithm - processTransitionPoint - nextUpper/LowerStrikes are 1.515/0 requiredDeltas/currentPosition/currentHedgeShortfall/direction/transitionPrice are -200/101/-301/1/1.51445</t>
  </si>
  <si>
    <t>2015-1-20 18:18:16.953: TransitionLogger - processTransitionpoint - checking transition - currentHedgeShortfall is -301</t>
  </si>
  <si>
    <t>2015-1-20 18:18:16.954: Algorithm - handleTransition - currentHedgeShortfall is NOT ZERO and AUTOHEDGE IS NOT ENABLED!</t>
  </si>
  <si>
    <t>2015-1-20 18:18:16.955: Algorithm - updatePortfolio - haveAllDetails is True</t>
  </si>
  <si>
    <t>2015-1-20 18:18:16.956: RTWSControl - updatePortfolioEx - An Error Occured Object variable or With block variable not set</t>
  </si>
  <si>
    <t>2015-1-20 18:18:17.7: Algorithm - FindNextStrikes - price is 1.51435 nextStrikeUp/Down 1.515/0</t>
  </si>
  <si>
    <t>2015-1-20 18:18:17.8: Algorithm - getPortfolioForwardDelta - required deltas is -200 currentHedgePosition is 101</t>
  </si>
  <si>
    <t>2015-1-20 18:18:17.8: Algorithm - getHedgeShortfall - required deltas is -200 price is 1.51445 currentHedgePositionDeltas is 101</t>
  </si>
  <si>
    <t>2015-1-20 18:18:17.9: Algorithm - processTransitionPoint - nextUpper/LowerStrikes are 1.515/0 requiredDeltas/currentPosition/currentHedgeShortfall/direction/transitionPrice are -200/101/-301/1/1.51445</t>
  </si>
  <si>
    <t>2015-1-20 18:18:17.9: TransitionLogger - processTransitionpoint - checking transition - currentHedgeShortfall is -301</t>
  </si>
  <si>
    <t>2015-1-20 18:18:17.9: Algorithm - handleTransition - currentHedgeShortfall is NOT ZERO and AUTOHEDGE IS NOT ENABLED!</t>
  </si>
  <si>
    <t>2015-1-20 18:18:17.10: Algorithm - updatePortfolio - haveAllDetails is True</t>
  </si>
  <si>
    <t>2015-1-20 18:18:17.11: RTWSControl - updatePortfolioEx - An Error Occured Object variable or With block variable not set</t>
  </si>
  <si>
    <t>2015-1-20 18:18:17.74: Algorithm - FindNextStrikes - price is 1.51435 nextStrikeUp/Down 1.515/0</t>
  </si>
  <si>
    <t>2015-1-20 18:18:17.74: Algorithm - getPortfolioForwardDelta - required deltas is -200 currentHedgePosition is 101</t>
  </si>
  <si>
    <t>2015-1-20 18:18:17.75: Algorithm - getHedgeShortfall - required deltas is -200 price is 1.51445 currentHedgePositionDeltas is 101</t>
  </si>
  <si>
    <t>2015-1-20 18:18:17.75: Algorithm - processTransitionPoint - nextUpper/LowerStrikes are 1.515/0 requiredDeltas/currentPosition/currentHedgeShortfall/direction/transitionPrice are -200/101/-301/1/1.51445</t>
  </si>
  <si>
    <t>2015-1-20 18:18:17.75: TransitionLogger - processTransitionpoint - checking transition - currentHedgeShortfall is -301</t>
  </si>
  <si>
    <t>2015-1-20 18:18:17.76: Algorithm - handleTransition - currentHedgeShortfall is NOT ZERO and AUTOHEDGE IS NOT ENABLED!</t>
  </si>
  <si>
    <t>2015-1-20 18:18:17.77: Algorithm - updatePortfolio - haveAllDetails is True</t>
  </si>
  <si>
    <t>2015-1-20 18:18:17.78: RTWSControl - updatePortfolioEx - An Error Occured Object variable or With block variable not set</t>
  </si>
  <si>
    <t>2015-1-20 18:18:17.135: Algorithm - FindNextStrikes - price is 1.51435 nextStrikeUp/Down 1.515/0</t>
  </si>
  <si>
    <t>2015-1-20 18:18:17.135: Algorithm - getPortfolioForwardDelta - required deltas is -200 currentHedgePosition is 101</t>
  </si>
  <si>
    <t>2015-1-20 18:18:17.135: Algorithm - getHedgeShortfall - required deltas is -200 price is 1.51445 currentHedgePositionDeltas is 101</t>
  </si>
  <si>
    <t>2015-1-20 18:18:17.136: Algorithm - processTransitionPoint - nextUpper/LowerStrikes are 1.515/0 requiredDeltas/currentPosition/currentHedgeShortfall/direction/transitionPrice are -200/101/-301/1/1.51445</t>
  </si>
  <si>
    <t>2015-1-20 18:18:17.136: TransitionLogger - processTransitionpoint - checking transition - currentHedgeShortfall is -301</t>
  </si>
  <si>
    <t>2015-1-20 18:18:17.136: Algorithm - handleTransition - currentHedgeShortfall is NOT ZERO and AUTOHEDGE IS NOT ENABLED!</t>
  </si>
  <si>
    <t>2015-1-20 18:18:17.137: Algorithm - updatePortfolio - haveAllDetails is True</t>
  </si>
  <si>
    <t>2015-1-20 18:18:17.138: RTWSControl - updatePortfolioEx - An Error Occured Object variable or With block variable not set</t>
  </si>
  <si>
    <t>2015-1-20 18:18:29.89: TransitionLogger - flushFile - flushing file</t>
  </si>
  <si>
    <t>2015-1-20 18:18:29.90: TransitionLogger - openTransitionFile - opening file C:\temp\transitionlog_2015-01-20_153021</t>
  </si>
  <si>
    <t>2015-1-20 18:18:43.568: DirectionIndicator - notify - price/longMA/ShortMA/prevDirection are 1.5144/1.51439176005808/1.51439461954255/1</t>
  </si>
  <si>
    <t>2015-1-20 18:18:43.568: Algorithm - handleTransition - currentHedgeShortfall is NOT ZERO and AUTOHEDGE IS NOT ENABLED!</t>
  </si>
  <si>
    <t>2015-1-20 18:18:51.840: DirectionIndicator - notify - price/longMA/ShortMA/prevDirection are 1.51435/1.51438416732025/1.5143797463617/1</t>
  </si>
  <si>
    <t>2015-1-20 18:18:51.842: Algorithm - handleTransition - currentHedgeShortfall is NOT ZERO and AUTOHEDGE IS NOT ENABLED!</t>
  </si>
  <si>
    <t>2015-1-20 18:18:54.643: DirectionIndicator - notify - price/longMA/ShortMA/prevDirection are 1.5144/1.51438704598929/1.51438649757447/1</t>
  </si>
  <si>
    <t>2015-1-20 18:18:54.643: Algorithm - handleTransition - currentHedgeShortfall is NOT ZERO and AUTOHEDGE IS NOT ENABLED!</t>
  </si>
  <si>
    <t>2015-1-20 18:18:55.328: DirectionIndicator - notify - price/longMA/ShortMA/prevDirection are 1.51445/1.51439849217306/1.51440766504964/1</t>
  </si>
  <si>
    <t>2015-1-20 18:18:55.328: Algorithm - handleTransition - currentHedgeShortfall is NOT ZERO and AUTOHEDGE IS NOT ENABLED!</t>
  </si>
  <si>
    <t>2015-1-20 18:18:55.460: DirectionIndicator - notify - price/longMA/ShortMA/prevDirection are 1.5144/1.51439876632341/1.5144051100331/1</t>
  </si>
  <si>
    <t>2015-1-20 18:18:55.460: Algorithm - handleTransition - currentHedgeShortfall is NOT ZERO and AUTOHEDGE IS NOT ENABLED!</t>
  </si>
  <si>
    <t>2015-1-20 18:19:8.74: TransitionLogger - flushFile - flushing file</t>
  </si>
  <si>
    <t>2015-1-20 18:19:8.75: TransitionLogger - openTransitionFile - opening file C:\temp\transitionlog_2015-01-20_153021</t>
  </si>
  <si>
    <t>2015-1-20 18:19:18.19: DirectionIndicator - notify - price/longMA/ShortMA/prevDirection are 1.51445/1.51440808153734/1.5144200733554/1</t>
  </si>
  <si>
    <t>2015-1-20 18:19:18.20: Algorithm - handleTransition - currentHedgeShortfall is NOT ZERO and AUTOHEDGE IS NOT ENABLED!</t>
  </si>
  <si>
    <t>2015-1-20 18:19:18.714: DirectionIndicator - notify - price/longMA/ShortMA/prevDirection are 1.5144/1.51440661216691/1.51441338223693/1</t>
  </si>
  <si>
    <t>2015-1-20 18:19:18.715: Algorithm - handleTransition - currentHedgeShortfall is NOT ZERO and AUTOHEDGE IS NOT ENABLED!</t>
  </si>
  <si>
    <t>2015-1-20 18:19:28.963: DirectionIndicator - notify - price/longMA/ShortMA/prevDirection are 1.51435/1.51439631904565/1.51439225482462/1</t>
  </si>
  <si>
    <t>2015-1-20 18:19:28.965: Algorithm - handleTransition - currentHedgeShortfall is NOT ZERO and AUTOHEDGE IS NOT ENABLED!</t>
  </si>
  <si>
    <t>2015-1-20 18:19:29.20: TransitionLogger - flushFile - flushing file</t>
  </si>
  <si>
    <t>2015-1-20 18:19:29.20: TransitionLogger - openTransitionFile - opening file C:\temp\transitionlog_2015-01-20_153021</t>
  </si>
  <si>
    <t>2015-1-20 18:19:42.866: DirectionIndicator - notify - price/longMA/ShortMA/prevDirection are 1.5144/1.51439698831008/1.51439483654975/1</t>
  </si>
  <si>
    <t>2015-1-20 18:19:42.867: Algorithm - handleTransition - currentHedgeShortfall is NOT ZERO and AUTOHEDGE IS NOT ENABLED!</t>
  </si>
  <si>
    <t>2015-1-20 18:19:42.946: DirectionIndicator - notify - price/longMA/ShortMA/prevDirection are 1.51445/1.51440662679916/1.5144132243665/1</t>
  </si>
  <si>
    <t>2015-1-20 18:19:42.947: Algorithm - handleTransition - currentHedgeShortfall is NOT ZERO and AUTOHEDGE IS NOT ENABLED!</t>
  </si>
  <si>
    <t>2015-1-20 18:20:8.21: TransitionLogger - flushFile - flushing file</t>
  </si>
  <si>
    <t>2015-1-20 18:20:8.21: TransitionLogger - openTransitionFile - opening file C:\temp\transitionlog_2015-01-20_153021</t>
  </si>
  <si>
    <t>2015-1-20 18:20:18.509: DirectionIndicator - notify - price/longMA/ShortMA/prevDirection are 1.5145/1.51442360374476/1.51444214957767/1</t>
  </si>
  <si>
    <t>2015-1-20 18:20:18.510: Algorithm - handleTransition - currentHedgeShortfall is NOT ZERO and AUTOHEDGE IS NOT ENABLED!</t>
  </si>
  <si>
    <t>2015-1-20 18:20:18.575: DirectionIndicator - notify - price/longMA/ShortMA/prevDirection are 1.51455/1.51444658488208/1.51447809971844/1</t>
  </si>
  <si>
    <t>2015-1-20 18:20:18.575: Algorithm - handleTransition - currentHedgeShortfall is NOT ZERO and AUTOHEDGE IS NOT ENABLED!</t>
  </si>
  <si>
    <t>2015-1-20 18:20:19.459: DirectionIndicator - notify - price/longMA/ShortMA/prevDirection are 1.5145/1.5144562967217/1.5144853998123/1</t>
  </si>
  <si>
    <t>2015-1-20 18:20:19.459: Algorithm - handleTransition - currentHedgeShortfall is NOT ZERO and AUTOHEDGE IS NOT ENABLED!</t>
  </si>
  <si>
    <t>2015-1-20 18:20:20.46: DirectionIndicator - notify - price/longMA/ShortMA/prevDirection are 1.51455/1.51447333368139/1.5145069332082/1</t>
  </si>
  <si>
    <t>2015-1-20 18:20:20.47: Algorithm - handleTransition - currentHedgeShortfall is NOT ZERO and AUTOHEDGE IS NOT ENABLED!</t>
  </si>
  <si>
    <t>2015-1-20 18:20:29.568: TransitionLogger - flushFile - flushing file</t>
  </si>
  <si>
    <t>2015-1-20 18:20:29.569: TransitionLogger - openTransitionFile - opening file C:\temp\transitionlog_2015-01-20_153021</t>
  </si>
  <si>
    <t>2015-1-20 18:20:31.232: DirectionIndicator - notify - price/longMA/ShortMA/prevDirection are 1.5145/1.51447818210296/1.5145046221388/1</t>
  </si>
  <si>
    <t>2015-1-20 18:20:31.233: Algorithm - handleTransition - currentHedgeShortfall is NOT ZERO and AUTOHEDGE IS NOT ENABLED!</t>
  </si>
  <si>
    <t>2015-1-20 18:20:32.680: DirectionIndicator - notify - price/longMA/ShortMA/prevDirection are 1.51445/1.51447305808424/1.5144864147592/1</t>
  </si>
  <si>
    <t>2015-1-20 18:20:32.681: Algorithm - handleTransition - currentHedgeShortfall is NOT ZERO and AUTOHEDGE IS NOT ENABLED!</t>
  </si>
  <si>
    <t>2015-1-20 18:20:34.535: DirectionIndicator - notify - price/longMA/ShortMA/prevDirection are 1.5144/1.51445977479619/1.51445760983947/1</t>
  </si>
  <si>
    <t>2015-1-20 18:20:34.536: Algorithm - handleTransition - currentHedgeShortfall is NOT ZERO and AUTOHEDGE IS NOT ENABLED!</t>
  </si>
  <si>
    <t>2015-1-20 18:20:34.616: DirectionIndicator - notify - price/longMA/ShortMA/prevDirection are 1.51435/1.51443981574234/1.51442173989298/1</t>
  </si>
  <si>
    <t>2015-1-20 18:20:34.617: Algorithm - handleTransition - currentHedgeShortfall is NOT ZERO and AUTOHEDGE IS NOT ENABLED!</t>
  </si>
  <si>
    <t>2015-1-20 18:20:35.490: DirectionIndicator - notify - price/longMA/ShortMA/prevDirection are 1.5143/1.51441439469828/1.51438115992865/1</t>
  </si>
  <si>
    <t>2015-1-20 18:20:35.491: Algorithm - handleTransition - currentHedgeShortfall is NOT ZERO and AUTOHEDGE IS NOT ENABLED!</t>
  </si>
  <si>
    <t>2015-1-20 18:20:35.544: DirectionIndicator - notify - price/longMA/ShortMA/prevDirection are 1.51425/1.51438450475314/1.51433743995243/-1</t>
  </si>
  <si>
    <t>2015-1-20 18:20:35.544: Algorithm - handleTransition - currentHedgeShortfall is NOT ZERO and AUTOHEDGE IS NOT ENABLED!</t>
  </si>
  <si>
    <t>2015-1-20 18:20:36.42: DirectionIndicator - notify - price/longMA/ShortMA/prevDirection are 1.5142/1.51435095843439/1.51429162663496/-1</t>
  </si>
  <si>
    <t>2015-1-20 18:20:36.42: Algorithm - handleTransition - currentHedgeShortfall is NOT ZERO and AUTOHEDGE IS NOT ENABLED!</t>
  </si>
  <si>
    <t>2015-1-20 18:20:36.115: DirectionIndicator - notify - price/longMA/ShortMA/prevDirection are 1.51415/1.51431442053722/1.51424441775664/-1</t>
  </si>
  <si>
    <t>2015-1-20 18:20:36.116: Algorithm - handleTransition - currentHedgeShortfall is NOT ZERO and AUTOHEDGE IS NOT ENABLED!</t>
  </si>
  <si>
    <t>2015-1-20 18:20:40.906: DirectionIndicator - notify - price/longMA/ShortMA/prevDirection are 1.5141/1.514275434985/1.51419627850442/-1</t>
  </si>
  <si>
    <t>2015-1-20 18:20:40.907: Algorithm - handleTransition - currentHedgeShortfall is NOT ZERO and AUTOHEDGE IS NOT ENABLED!</t>
  </si>
  <si>
    <t>2015-1-20 18:20:40.994: DirectionIndicator - notify - price/longMA/ShortMA/prevDirection are 1.51415/1.51425262862409/1.51418085233628/-1</t>
  </si>
  <si>
    <t>2015-1-20 18:20:40.994: Algorithm - handleTransition - currentHedgeShortfall is NOT ZERO and AUTOHEDGE IS NOT ENABLED!</t>
  </si>
  <si>
    <t>2015-1-20 18:20:43.154: DirectionIndicator - notify - price/longMA/ShortMA/prevDirection are 1.5141/1.51422487796517/1.51415390155752/-1</t>
  </si>
  <si>
    <t>2015-1-20 18:20:43.155: Algorithm - handleTransition - currentHedgeShortfall is NOT ZERO and AUTOHEDGE IS NOT ENABLED!</t>
  </si>
  <si>
    <t>2015-1-20 18:20:44.871: DirectionIndicator - notify - price/longMA/ShortMA/prevDirection are 1.51415/1.51421126378968/1.51415260103835/-1</t>
  </si>
  <si>
    <t>2015-1-20 18:20:44.871: Algorithm - handleTransition - currentHedgeShortfall is NOT ZERO and AUTOHEDGE IS NOT ENABLED!</t>
  </si>
  <si>
    <t>2015-1-20 18:20:46.681: DirectionIndicator - notify - price/longMA/ShortMA/prevDirection are 1.5141/1.51419103400974/1.5141350673589/-1</t>
  </si>
  <si>
    <t>2015-1-20 18:20:46.681: Algorithm - handleTransition - currentHedgeShortfall is NOT ZERO and AUTOHEDGE IS NOT ENABLED!</t>
  </si>
  <si>
    <t>2015-1-20 18:20:47.121: DirectionIndicator - notify - price/longMA/ShortMA/prevDirection are 1.51405/1.51416539146251/1.5141067115726/-1</t>
  </si>
  <si>
    <t>2015-1-20 18:20:47.122: Algorithm - handleTransition - currentHedgeShortfall is NOT ZERO and AUTOHEDGE IS NOT ENABLED!</t>
  </si>
  <si>
    <t>2015-1-20 18:20:52.81: DirectionIndicator - notify - price/longMA/ShortMA/prevDirection are 1.5141/1.51415350210569/1.51410447438173/-1</t>
  </si>
  <si>
    <t>2015-1-20 18:20:52.81: Algorithm - handleTransition - currentHedgeShortfall is NOT ZERO and AUTOHEDGE IS NOT ENABLED!</t>
  </si>
  <si>
    <t>2015-1-20 18:20:53.224: DirectionIndicator - notify - price/longMA/ShortMA/prevDirection are 1.51405/1.51413468354102/1.51408631625449/-1</t>
  </si>
  <si>
    <t>2015-1-20 18:20:53.226: Algorithm - handleTransition - currentHedgeShortfall is NOT ZERO and AUTOHEDGE IS NOT ENABLED!</t>
  </si>
  <si>
    <t>2015-1-20 18:20:56.908: DirectionIndicator - notify - price/longMA/ShortMA/prevDirection are 1.5141/1.51412837744265/1.51409087750299/-1</t>
  </si>
  <si>
    <t>2015-1-20 18:20:56.909: Algorithm - handleTransition - currentHedgeShortfall is NOT ZERO and AUTOHEDGE IS NOT ENABLED!</t>
  </si>
  <si>
    <t>2015-1-20 18:20:56.962: DirectionIndicator - notify - price/longMA/ShortMA/prevDirection are 1.51415/1.51413230881672/1.51411058500199/-1</t>
  </si>
  <si>
    <t>2015-1-20 18:20:56.963: Algorithm - handleTransition - currentHedgeShortfall is NOT ZERO and AUTOHEDGE IS NOT ENABLED!</t>
  </si>
  <si>
    <t>2015-1-20 18:21:8.613: TransitionLogger - flushFile - flushing file</t>
  </si>
  <si>
    <t>2015-1-20 18:21:8.614: TransitionLogger - openTransitionFile - opening file C:\temp\transitionlog_2015-01-20_153021</t>
  </si>
  <si>
    <t>2015-1-20 18:21:16.873: Algorithm - FindNextStrikes - price is 1.51415 nextStrikeUp/Down 1.515/0</t>
  </si>
  <si>
    <t>2015-1-20 18:21:16.874: Algorithm - getPortfolioForwardDelta - required deltas is -200 currentHedgePosition is 101</t>
  </si>
  <si>
    <t>2015-1-20 18:21:16.874: Algorithm - getHedgeShortfall - required deltas is -200 price is 1.51405 currentHedgePositionDeltas is 101</t>
  </si>
  <si>
    <t>2015-1-20 18:21:16.875: Algorithm - processTransitionPoint - nextUpper/LowerStrikes are 1.515/0 requiredDeltas/currentPosition/currentHedgeShortfall/direction/transitionPrice are -200/101/-301/-1/1.51405</t>
  </si>
  <si>
    <t>2015-1-20 18:21:16.875: TransitionLogger - processTransitionpoint - checking transition - currentHedgeShortfall is -301</t>
  </si>
  <si>
    <t>2015-1-20 18:21:16.875: Algorithm - handleTransition - currentHedgeShortfall is NOT ZERO and AUTOHEDGE IS NOT ENABLED!</t>
  </si>
  <si>
    <t>2015-1-20 18:21:16.876: Algorithm - updatePortfolio - haveAllDetails is True</t>
  </si>
  <si>
    <t>2015-1-20 18:21:16.877: RTWSControl - updatePortfolioEx - An Error Occured Object variable or With block variable not set</t>
  </si>
  <si>
    <t>2015-1-20 18:21:16.920: Algorithm - FindNextStrikes - price is 1.51415 nextStrikeUp/Down 1.515/0</t>
  </si>
  <si>
    <t>2015-1-20 18:21:16.921: Algorithm - getPortfolioForwardDelta - required deltas is -200 currentHedgePosition is 101</t>
  </si>
  <si>
    <t>2015-1-20 18:21:16.921: Algorithm - getHedgeShortfall - required deltas is -200 price is 1.51405 currentHedgePositionDeltas is 101</t>
  </si>
  <si>
    <t>2015-1-20 18:21:16.922: Algorithm - processTransitionPoint - nextUpper/LowerStrikes are 1.515/0 requiredDeltas/currentPosition/currentHedgeShortfall/direction/transitionPrice are -200/101/-301/-1/1.51405</t>
  </si>
  <si>
    <t>2015-1-20 18:21:16.922: TransitionLogger - processTransitionpoint - checking transition - currentHedgeShortfall is -301</t>
  </si>
  <si>
    <t>2015-1-20 18:21:16.923: Algorithm - handleTransition - currentHedgeShortfall is NOT ZERO and AUTOHEDGE IS NOT ENABLED!</t>
  </si>
  <si>
    <t>2015-1-20 18:21:16.923: Algorithm - updatePortfolio - haveAllDetails is True</t>
  </si>
  <si>
    <t>2015-1-20 18:21:16.924: RTWSControl - updatePortfolioEx - An Error Occured Object variable or With block variable not set</t>
  </si>
  <si>
    <t>2015-1-20 18:21:16.965: Algorithm - FindNextStrikes - price is 1.51415 nextStrikeUp/Down 1.515/0</t>
  </si>
  <si>
    <t>2015-1-20 18:21:16.965: Algorithm - getPortfolioForwardDelta - required deltas is -200 currentHedgePosition is 101</t>
  </si>
  <si>
    <t>2015-1-20 18:21:16.966: Algorithm - getHedgeShortfall - required deltas is -200 price is 1.51405 currentHedgePositionDeltas is 101</t>
  </si>
  <si>
    <t>2015-1-20 18:21:16.966: Algorithm - processTransitionPoint - nextUpper/LowerStrikes are 1.515/0 requiredDeltas/currentPosition/currentHedgeShortfall/direction/transitionPrice are -200/101/-301/-1/1.51405</t>
  </si>
  <si>
    <t>2015-1-20 18:21:16.966: TransitionLogger - processTransitionpoint - checking transition - currentHedgeShortfall is -301</t>
  </si>
  <si>
    <t>2015-1-20 18:21:16.967: Algorithm - handleTransition - currentHedgeShortfall is NOT ZERO and AUTOHEDGE IS NOT ENABLED!</t>
  </si>
  <si>
    <t>2015-1-20 18:21:16.968: Algorithm - updatePortfolio - haveAllDetails is True</t>
  </si>
  <si>
    <t>2015-1-20 18:21:16.969: RTWSControl - updatePortfolioEx - An Error Occured Object variable or With block variable not set</t>
  </si>
  <si>
    <t>2015-1-20 18:21:17.44: Algorithm - FindNextStrikes - price is 1.51415 nextStrikeUp/Down 1.515/0</t>
  </si>
  <si>
    <t>2015-1-20 18:21:17.44: Algorithm - getPortfolioForwardDelta - required deltas is -200 currentHedgePosition is 101</t>
  </si>
  <si>
    <t>2015-1-20 18:21:17.45: Algorithm - getHedgeShortfall - required deltas is -200 price is 1.51405 currentHedgePositionDeltas is 101</t>
  </si>
  <si>
    <t>2015-1-20 18:21:17.45: Algorithm - processTransitionPoint - nextUpper/LowerStrikes are 1.515/0 requiredDeltas/currentPosition/currentHedgeShortfall/direction/transitionPrice are -200/101/-301/-1/1.51405</t>
  </si>
  <si>
    <t>2015-1-20 18:21:17.46: TransitionLogger - processTransitionpoint - checking transition - currentHedgeShortfall is -301</t>
  </si>
  <si>
    <t>2015-1-20 18:21:17.46: Algorithm - handleTransition - currentHedgeShortfall is NOT ZERO and AUTOHEDGE IS NOT ENABLED!</t>
  </si>
  <si>
    <t>2015-1-20 18:21:17.47: Algorithm - updatePortfolio - haveAllDetails is True</t>
  </si>
  <si>
    <t>2015-1-20 18:21:17.48: RTWSControl - updatePortfolioEx - An Error Occured Object variable or With block variable not set</t>
  </si>
  <si>
    <t>2015-1-20 18:21:17.101: Algorithm - FindNextStrikes - price is 1.51415 nextStrikeUp/Down 1.515/0</t>
  </si>
  <si>
    <t>2015-1-20 18:21:17.101: Algorithm - getPortfolioForwardDelta - required deltas is -200 currentHedgePosition is 101</t>
  </si>
  <si>
    <t>2015-1-20 18:21:17.102: Algorithm - getHedgeShortfall - required deltas is -200 price is 1.51405 currentHedgePositionDeltas is 101</t>
  </si>
  <si>
    <t>2015-1-20 18:21:17.102: Algorithm - processTransitionPoint - nextUpper/LowerStrikes are 1.515/0 requiredDeltas/currentPosition/currentHedgeShortfall/direction/transitionPrice are -200/101/-301/-1/1.51405</t>
  </si>
  <si>
    <t>2015-1-20 18:21:17.103: TransitionLogger - processTransitionpoint - checking transition - currentHedgeShortfall is -301</t>
  </si>
  <si>
    <t>2015-1-20 18:21:17.103: Algorithm - handleTransition - currentHedgeShortfall is NOT ZERO and AUTOHEDGE IS NOT ENABLED!</t>
  </si>
  <si>
    <t>2015-1-20 18:21:17.104: Algorithm - updatePortfolio - haveAllDetails is True</t>
  </si>
  <si>
    <t>2015-1-20 18:21:17.105: RTWSControl - updatePortfolioEx - An Error Occured Object variable or With block variable not set</t>
  </si>
  <si>
    <t>2015-1-20 18:21:17.168: Algorithm - FindNextStrikes - price is 1.51415 nextStrikeUp/Down 1.515/0</t>
  </si>
  <si>
    <t>2015-1-20 18:21:17.168: Algorithm - getPortfolioForwardDelta - required deltas is -200 currentHedgePosition is 101</t>
  </si>
  <si>
    <t>2015-1-20 18:21:17.168: Algorithm - getHedgeShortfall - required deltas is -200 price is 1.51405 currentHedgePositionDeltas is 101</t>
  </si>
  <si>
    <t>2015-1-20 18:21:17.169: Algorithm - processTransitionPoint - nextUpper/LowerStrikes are 1.515/0 requiredDeltas/currentPosition/currentHedgeShortfall/direction/transitionPrice are -200/101/-301/-1/1.51405</t>
  </si>
  <si>
    <t>2015-1-20 18:21:17.169: TransitionLogger - processTransitionpoint - checking transition - currentHedgeShortfall is -301</t>
  </si>
  <si>
    <t>2015-1-20 18:21:17.170: Algorithm - handleTransition - currentHedgeShortfall is NOT ZERO and AUTOHEDGE IS NOT ENABLED!</t>
  </si>
  <si>
    <t>2015-1-20 18:21:17.170: Algorithm - updatePortfolio - haveAllDetails is True</t>
  </si>
  <si>
    <t>2015-1-20 18:21:17.171: RTWSControl - updatePortfolioEx - An Error Occured Object variable or With block variable not set</t>
  </si>
  <si>
    <t>2015-1-20 18:21:29.579: TransitionLogger - flushFile - flushing file</t>
  </si>
  <si>
    <t>2015-1-20 18:21:29.580: TransitionLogger - openTransitionFile - opening file C:\temp\transitionlog_2015-01-20_153021</t>
  </si>
  <si>
    <t>2015-1-20 18:21:53.786: DirectionIndicator - notify - price/longMA/ShortMA/prevDirection are 1.5142/1.51414461630459/1.51414039000133/-1</t>
  </si>
  <si>
    <t>2015-1-20 18:21:53.786: Algorithm - handleTransition - currentHedgeShortfall is NOT ZERO and AUTOHEDGE IS NOT ENABLED!</t>
  </si>
  <si>
    <t>2015-1-20 18:21:53.838: DirectionIndicator - notify - price/longMA/ShortMA/prevDirection are 1.51425/1.51416377697648/1.51417692666755/-1</t>
  </si>
  <si>
    <t>2015-1-20 18:21:53.839: Algorithm - handleTransition - currentHedgeShortfall is NOT ZERO and AUTOHEDGE IS NOT ENABLED!</t>
  </si>
  <si>
    <t>2015-1-20 18:22:8.523: TransitionLogger - flushFile - flushing file</t>
  </si>
  <si>
    <t>2015-1-20 18:22:8.524: TransitionLogger - openTransitionFile - opening file C:\temp\transitionlog_2015-01-20_153021</t>
  </si>
  <si>
    <t>2015-1-20 18:22:29.486: TransitionLogger - flushFile - flushing file</t>
  </si>
  <si>
    <t>2015-1-20 18:22:29.487: TransitionLogger - openTransitionFile - opening file C:\temp\transitionlog_2015-01-20_153021</t>
  </si>
  <si>
    <t>2015-1-20 18:22:44.236: DirectionIndicator - notify - price/longMA/ShortMA/prevDirection are 1.5143/1.51418854479894/1.5142179511117/-1</t>
  </si>
  <si>
    <t>2015-1-20 18:22:44.237: Algorithm - handleTransition - currentHedgeShortfall is NOT ZERO and AUTOHEDGE IS NOT ENABLED!</t>
  </si>
  <si>
    <t>2015-1-20 18:22:44.672: DirectionIndicator - notify - price/longMA/ShortMA/prevDirection are 1.51435/1.51421790029004/1.5142619674078/1</t>
  </si>
  <si>
    <t>2015-1-20 18:22:44.673: Algorithm - handleTransition - currentHedgeShortfall is NOT ZERO and AUTOHEDGE IS NOT ENABLED!</t>
  </si>
  <si>
    <t>2015-1-20 18:23:5.712: DirectionIndicator - notify - price/longMA/ShortMA/prevDirection are 1.5143/1.51423282751003/1.51427464493853/1</t>
  </si>
  <si>
    <t>2015-1-20 18:23:5.714: Algorithm - handleTransition - currentHedgeShortfall is NOT ZERO and AUTOHEDGE IS NOT ENABLED!</t>
  </si>
  <si>
    <t>2015-1-20 18:23:6.118: DirectionIndicator - notify - price/longMA/ShortMA/prevDirection are 1.51435/1.51425413159912/1.51429976329236/1</t>
  </si>
  <si>
    <t>2015-1-20 18:23:6.120: Algorithm - handleTransition - currentHedgeShortfall is NOT ZERO and AUTOHEDGE IS NOT ENABLED!</t>
  </si>
  <si>
    <t>2015-1-20 18:23:8.253: TransitionLogger - flushFile - flushing file</t>
  </si>
  <si>
    <t>2015-1-20 18:23:8.254: TransitionLogger - openTransitionFile - opening file C:\temp\transitionlog_2015-01-20_153021</t>
  </si>
  <si>
    <t>2015-1-20 18:23:11.751: DirectionIndicator - notify - price/longMA/ShortMA/prevDirection are 1.5144/1.51428065312655/1.51433317552824/1</t>
  </si>
  <si>
    <t>2015-1-20 18:23:11.751: Algorithm - handleTransition - currentHedgeShortfall is NOT ZERO and AUTOHEDGE IS NOT ENABLED!</t>
  </si>
  <si>
    <t>2015-1-20 18:23:11.802: DirectionIndicator - notify - price/longMA/ShortMA/prevDirection are 1.51445/1.51431144346718/1.51437211701882/1</t>
  </si>
  <si>
    <t>2015-1-20 18:23:11.803: Algorithm - handleTransition - currentHedgeShortfall is NOT ZERO and AUTOHEDGE IS NOT ENABLED!</t>
  </si>
  <si>
    <t>2015-1-20 18:23:29.390: TransitionLogger - flushFile - flushing file</t>
  </si>
  <si>
    <t>2015-1-20 18:23:29.392: TransitionLogger - openTransitionFile - opening file C:\temp\transitionlog_2015-01-20_153021</t>
  </si>
  <si>
    <t>2015-1-20 18:23:33.459: DirectionIndicator - notify - price/longMA/ShortMA/prevDirection are 1.5144/1.51432754465496/1.51438141134588/1</t>
  </si>
  <si>
    <t>2015-1-20 18:23:33.460: Algorithm - handleTransition - currentHedgeShortfall is NOT ZERO and AUTOHEDGE IS NOT ENABLED!</t>
  </si>
  <si>
    <t>2015-1-20 18:23:34.297: DirectionIndicator - notify - price/longMA/ShortMA/prevDirection are 1.51435/1.51433162744497/1.51437094089726/1</t>
  </si>
  <si>
    <t>2015-1-20 18:23:34.298: Algorithm - handleTransition - currentHedgeShortfall is NOT ZERO and AUTOHEDGE IS NOT ENABLED!</t>
  </si>
  <si>
    <t>2015-1-20 18:24:8.329: TransitionLogger - flushFile - flushing file</t>
  </si>
  <si>
    <t>2015-1-20 18:24:8.330: TransitionLogger - openTransitionFile - opening file C:\temp\transitionlog_2015-01-20_153021</t>
  </si>
  <si>
    <t>2015-1-20 18:24:17.135: Algorithm - FindNextStrikes - price is 1.51435 nextStrikeUp/Down 1.515/0</t>
  </si>
  <si>
    <t>2015-1-20 18:24:17.136: Algorithm - getPortfolioForwardDelta - required deltas is -200 currentHedgePosition is 101</t>
  </si>
  <si>
    <t>2015-1-20 18:24:17.136: Algorithm - getHedgeShortfall - required deltas is -200 price is 1.51445 currentHedgePositionDeltas is 101</t>
  </si>
  <si>
    <t>2015-1-20 18:24:17.137: Algorithm - processTransitionPoint - nextUpper/LowerStrikes are 1.515/0 requiredDeltas/currentPosition/currentHedgeShortfall/direction/transitionPrice are -200/101/-301/1/1.51445</t>
  </si>
  <si>
    <t>2015-1-20 18:24:17.137: TransitionLogger - processTransitionpoint - checking transition - currentHedgeShortfall is -301</t>
  </si>
  <si>
    <t>2015-1-20 18:24:17.137: Algorithm - handleTransition - currentHedgeShortfall is NOT ZERO and AUTOHEDGE IS NOT ENABLED!</t>
  </si>
  <si>
    <t>2015-1-20 18:24:17.138: Algorithm - updatePortfolio - haveAllDetails is True</t>
  </si>
  <si>
    <t>2015-1-20 18:24:17.139: RTWSControl - updatePortfolioEx - An Error Occured Object variable or With block variable not set</t>
  </si>
  <si>
    <t>2015-1-20 18:24:17.182: Algorithm - FindNextStrikes - price is 1.51435 nextStrikeUp/Down 1.515/0</t>
  </si>
  <si>
    <t>2015-1-20 18:24:17.182: Algorithm - getPortfolioForwardDelta - required deltas is -200 currentHedgePosition is 101</t>
  </si>
  <si>
    <t>2015-1-20 18:24:17.183: Algorithm - getHedgeShortfall - required deltas is -200 price is 1.51445 currentHedgePositionDeltas is 101</t>
  </si>
  <si>
    <t>2015-1-20 18:24:17.183: Algorithm - processTransitionPoint - nextUpper/LowerStrikes are 1.515/0 requiredDeltas/currentPosition/currentHedgeShortfall/direction/transitionPrice are -200/101/-301/1/1.51445</t>
  </si>
  <si>
    <t>2015-1-20 18:24:17.183: TransitionLogger - processTransitionpoint - checking transition - currentHedgeShortfall is -301</t>
  </si>
  <si>
    <t>2015-1-20 18:24:17.184: Algorithm - handleTransition - currentHedgeShortfall is NOT ZERO and AUTOHEDGE IS NOT ENABLED!</t>
  </si>
  <si>
    <t>2015-1-20 18:24:17.185: Algorithm - updatePortfolio - haveAllDetails is True</t>
  </si>
  <si>
    <t>2015-1-20 18:24:17.186: RTWSControl - updatePortfolioEx - An Error Occured Object variable or With block variable not set</t>
  </si>
  <si>
    <t>2015-1-20 18:24:17.228: Algorithm - FindNextStrikes - price is 1.51435 nextStrikeUp/Down 1.515/0</t>
  </si>
  <si>
    <t>2015-1-20 18:24:17.229: Algorithm - getPortfolioForwardDelta - required deltas is -200 currentHedgePosition is 101</t>
  </si>
  <si>
    <t>2015-1-20 18:24:17.229: Algorithm - getHedgeShortfall - required deltas is -200 price is 1.51445 currentHedgePositionDeltas is 101</t>
  </si>
  <si>
    <t>2015-1-20 18:24:17.229: Algorithm - processTransitionPoint - nextUpper/LowerStrikes are 1.515/0 requiredDeltas/currentPosition/currentHedgeShortfall/direction/transitionPrice are -200/101/-301/1/1.51445</t>
  </si>
  <si>
    <t>2015-1-20 18:24:17.230: TransitionLogger - processTransitionpoint - checking transition - currentHedgeShortfall is -301</t>
  </si>
  <si>
    <t>2015-1-20 18:24:17.230: Algorithm - handleTransition - currentHedgeShortfall is NOT ZERO and AUTOHEDGE IS NOT ENABLED!</t>
  </si>
  <si>
    <t>2015-1-20 18:24:17.231: Algorithm - updatePortfolio - haveAllDetails is True</t>
  </si>
  <si>
    <t>2015-1-20 18:24:17.232: RTWSControl - updatePortfolioEx - An Error Occured Object variable or With block variable not set</t>
  </si>
  <si>
    <t>2015-1-20 18:24:17.305: Algorithm - FindNextStrikes - price is 1.51435 nextStrikeUp/Down 1.515/0</t>
  </si>
  <si>
    <t>2015-1-20 18:24:17.305: Algorithm - getPortfolioForwardDelta - required deltas is -200 currentHedgePosition is 101</t>
  </si>
  <si>
    <t>2015-1-20 18:24:17.305: Algorithm - getHedgeShortfall - required deltas is -200 price is 1.51445 currentHedgePositionDeltas is 101</t>
  </si>
  <si>
    <t>2015-1-20 18:24:17.306: Algorithm - processTransitionPoint - nextUpper/LowerStrikes are 1.515/0 requiredDeltas/currentPosition/currentHedgeShortfall/direction/transitionPrice are -200/101/-301/1/1.51445</t>
  </si>
  <si>
    <t>2015-1-20 18:24:17.306: TransitionLogger - processTransitionpoint - checking transition - currentHedgeShortfall is -301</t>
  </si>
  <si>
    <t>2015-1-20 18:24:17.306: Algorithm - handleTransition - currentHedgeShortfall is NOT ZERO and AUTOHEDGE IS NOT ENABLED!</t>
  </si>
  <si>
    <t>2015-1-20 18:24:17.307: Algorithm - updatePortfolio - haveAllDetails is True</t>
  </si>
  <si>
    <t>2015-1-20 18:24:17.308: RTWSControl - updatePortfolioEx - An Error Occured Object variable or With block variable not set</t>
  </si>
  <si>
    <t>2015-1-20 18:24:17.361: Algorithm - FindNextStrikes - price is 1.51435 nextStrikeUp/Down 1.515/0</t>
  </si>
  <si>
    <t>2015-1-20 18:24:17.362: Algorithm - getPortfolioForwardDelta - required deltas is -200 currentHedgePosition is 101</t>
  </si>
  <si>
    <t>2015-1-20 18:24:17.362: Algorithm - getHedgeShortfall - required deltas is -200 price is 1.51445 currentHedgePositionDeltas is 101</t>
  </si>
  <si>
    <t>2015-1-20 18:24:17.363: Algorithm - processTransitionPoint - nextUpper/LowerStrikes are 1.515/0 requiredDeltas/currentPosition/currentHedgeShortfall/direction/transitionPrice are -200/101/-301/1/1.51445</t>
  </si>
  <si>
    <t>2015-1-20 18:24:17.363: TransitionLogger - processTransitionpoint - checking transition - currentHedgeShortfall is -301</t>
  </si>
  <si>
    <t>2015-1-20 18:24:17.363: Algorithm - handleTransition - currentHedgeShortfall is NOT ZERO and AUTOHEDGE IS NOT ENABLED!</t>
  </si>
  <si>
    <t>2015-1-20 18:24:17.364: Algorithm - updatePortfolio - haveAllDetails is True</t>
  </si>
  <si>
    <t>2015-1-20 18:24:17.365: RTWSControl - updatePortfolioEx - An Error Occured Object variable or With block variable not set</t>
  </si>
  <si>
    <t>2015-1-20 18:24:17.431: Algorithm - FindNextStrikes - price is 1.51435 nextStrikeUp/Down 1.515/0</t>
  </si>
  <si>
    <t>2015-1-20 18:24:17.431: Algorithm - getPortfolioForwardDelta - required deltas is -200 currentHedgePosition is 101</t>
  </si>
  <si>
    <t>2015-1-20 18:24:17.432: Algorithm - getHedgeShortfall - required deltas is -200 price is 1.51445 currentHedgePositionDeltas is 101</t>
  </si>
  <si>
    <t>2015-1-20 18:24:17.432: Algorithm - processTransitionPoint - nextUpper/LowerStrikes are 1.515/0 requiredDeltas/currentPosition/currentHedgeShortfall/direction/transitionPrice are -200/101/-301/1/1.51445</t>
  </si>
  <si>
    <t>2015-1-20 18:24:17.433: TransitionLogger - processTransitionpoint - checking transition - currentHedgeShortfall is -301</t>
  </si>
  <si>
    <t>2015-1-20 18:24:17.433: Algorithm - handleTransition - currentHedgeShortfall is NOT ZERO and AUTOHEDGE IS NOT ENABLED!</t>
  </si>
  <si>
    <t>2015-1-20 18:24:17.434: Algorithm - updatePortfolio - haveAllDetails is True</t>
  </si>
  <si>
    <t>2015-1-20 18:24:17.435: RTWSControl - updatePortfolioEx - An Error Occured Object variable or With block variable not set</t>
  </si>
  <si>
    <t>2015-1-20 18:24:22.84: DirectionIndicator - notify - price/longMA/ShortMA/prevDirection are 1.5144/1.51434405881861/1.51438062726484/1</t>
  </si>
  <si>
    <t>2015-1-20 18:24:22.86: Algorithm - handleTransition - currentHedgeShortfall is NOT ZERO and AUTOHEDGE IS NOT ENABLED!</t>
  </si>
  <si>
    <t>2015-1-20 18:24:22.194: DirectionIndicator - notify - price/longMA/ShortMA/prevDirection are 1.51445/1.51436332085159/1.51440375150989/1</t>
  </si>
  <si>
    <t>2015-1-20 18:24:22.195: Algorithm - handleTransition - currentHedgeShortfall is NOT ZERO and AUTOHEDGE IS NOT ENABLED!</t>
  </si>
  <si>
    <t>2015-1-20 18:24:22.596: DirectionIndicator - notify - price/longMA/ShortMA/prevDirection are 1.5144/1.51436998978767/1.51440250100659/1</t>
  </si>
  <si>
    <t>2015-1-20 18:24:22.597: Algorithm - handleTransition - currentHedgeShortfall is NOT ZERO and AUTOHEDGE IS NOT ENABLED!</t>
  </si>
  <si>
    <t>2015-1-20 18:24:25.729: DirectionIndicator - notify - price/longMA/ShortMA/prevDirection are 1.51435/1.51436635528082/1.51438500067106/1</t>
  </si>
  <si>
    <t>2015-1-20 18:24:25.729: Algorithm - handleTransition - currentHedgeShortfall is NOT ZERO and AUTOHEDGE IS NOT ENABLED!</t>
  </si>
  <si>
    <t>2015-1-20 18:24:29.298: TransitionLogger - flushFile - flushing file</t>
  </si>
  <si>
    <t>2015-1-20 18:24:29.300: TransitionLogger - openTransitionFile - opening file C:\temp\transitionlog_2015-01-20_153021</t>
  </si>
  <si>
    <t>2015-1-20 18:24:30.705: DirectionIndicator - notify - price/longMA/ShortMA/prevDirection are 1.5143/1.51435429068431/1.51435666711404/1</t>
  </si>
  <si>
    <t>2015-1-20 18:24:30.707: Algorithm - handleTransition - currentHedgeShortfall is NOT ZERO and AUTOHEDGE IS NOT ENABLED!</t>
  </si>
  <si>
    <t>2015-1-20 18:24:31.987: DirectionIndicator - notify - price/longMA/ShortMA/prevDirection are 1.51425/1.5143353287417/1.51432111140936/1</t>
  </si>
  <si>
    <t>2015-1-20 18:24:31.989: Algorithm - handleTransition - currentHedgeShortfall is NOT ZERO and AUTOHEDGE IS NOT ENABLED!</t>
  </si>
  <si>
    <t>2015-1-20 18:24:35.678: DirectionIndicator - notify - price/longMA/ShortMA/prevDirection are 1.5143/1.51432890533412/1.51431407427291/1</t>
  </si>
  <si>
    <t>2015-1-20 18:24:35.679: Algorithm - handleTransition - currentHedgeShortfall is NOT ZERO and AUTOHEDGE IS NOT ENABLED!</t>
  </si>
  <si>
    <t>2015-1-20 18:24:35.758: DirectionIndicator - notify - price/longMA/ShortMA/prevDirection are 1.51435/1.51433274072792/1.51432604951527/1</t>
  </si>
  <si>
    <t>2015-1-20 18:24:35.758: Algorithm - handleTransition - currentHedgeShortfall is NOT ZERO and AUTOHEDGE IS NOT ENABLED!</t>
  </si>
  <si>
    <t>2015-1-20 18:24:47.392: DirectionIndicator - notify - price/longMA/ShortMA/prevDirection are 1.5143/1.5143267878683/1.51431736634351/1</t>
  </si>
  <si>
    <t>2015-1-20 18:24:47.393: Algorithm - handleTransition - currentHedgeShortfall is NOT ZERO and AUTOHEDGE IS NOT ENABLED!</t>
  </si>
  <si>
    <t>2015-1-20 18:24:47.462: DirectionIndicator - notify - price/longMA/ShortMA/prevDirection are 1.51425/1.5143128264377/1.51429491089568/1</t>
  </si>
  <si>
    <t>2015-1-20 18:24:47.463: Algorithm - handleTransition - currentHedgeShortfall is NOT ZERO and AUTOHEDGE IS NOT ENABLED!</t>
  </si>
  <si>
    <t>2015-1-20 18:24:47.617: DirectionIndicator - notify - price/longMA/ShortMA/prevDirection are 1.5143/1.51431049435812/1.51429660726378/1</t>
  </si>
  <si>
    <t>2015-1-20 18:24:47.618: Algorithm - handleTransition - currentHedgeShortfall is NOT ZERO and AUTOHEDGE IS NOT ENABLED!</t>
  </si>
  <si>
    <t>2015-1-20 18:24:48.561: DirectionIndicator - notify - price/longMA/ShortMA/prevDirection are 1.51435/1.51431767720209/1.51431440484252/1</t>
  </si>
  <si>
    <t>2015-1-20 18:24:48.562: Algorithm - handleTransition - currentHedgeShortfall is NOT ZERO and AUTOHEDGE IS NOT ENABLED!</t>
  </si>
  <si>
    <t>2015-1-20 18:24:48.904: DirectionIndicator - notify - price/longMA/ShortMA/prevDirection are 1.5143/1.51431446316535/1.51430960322835/1</t>
  </si>
  <si>
    <t>2015-1-20 18:24:48.905: Algorithm - handleTransition - currentHedgeShortfall is NOT ZERO and AUTOHEDGE IS NOT ENABLED!</t>
  </si>
  <si>
    <t>2015-1-20 18:24:53.539: DirectionIndicator - notify - price/longMA/ShortMA/prevDirection are 1.51435/1.51432092440801/1.5143230688189/1</t>
  </si>
  <si>
    <t>2015-1-20 18:24:53.542: Algorithm - handleTransition - currentHedgeShortfall is NOT ZERO and AUTOHEDGE IS NOT ENABLED!</t>
  </si>
  <si>
    <t>2015-1-20 18:25:2.923: DirectionIndicator - notify - price/longMA/ShortMA/prevDirection are 1.5143/1.51431711997019/1.5143153792126/1</t>
  </si>
  <si>
    <t>2015-1-20 18:25:2.924: Algorithm - handleTransition - currentHedgeShortfall is NOT ZERO and AUTOHEDGE IS NOT ENABLED!</t>
  </si>
  <si>
    <t>2015-1-20 18:25:4.565: DirectionIndicator - notify - price/longMA/ShortMA/prevDirection are 1.51425/1.51430491633925/1.51429358614173/1</t>
  </si>
  <si>
    <t>2015-1-20 18:25:4.567: Algorithm - handleTransition - currentHedgeShortfall is NOT ZERO and AUTOHEDGE IS NOT ENABLED!</t>
  </si>
  <si>
    <t>2015-1-20 18:25:8.238: TransitionLogger - flushFile - flushing file</t>
  </si>
  <si>
    <t>2015-1-20 18:25:8.240: TransitionLogger - openTransitionFile - opening file C:\temp\transitionlog_2015-01-20_153021</t>
  </si>
  <si>
    <t>2015-1-20 18:25:15.634: DirectionIndicator - notify - price/longMA/ShortMA/prevDirection are 1.5142/1.5142858406412/1.51426239076116/1</t>
  </si>
  <si>
    <t>2015-1-20 18:25:15.634: Algorithm - handleTransition - currentHedgeShortfall is NOT ZERO and AUTOHEDGE IS NOT ENABLED!</t>
  </si>
  <si>
    <t>2015-1-20 18:25:16.99: DirectionIndicator - notify - price/longMA/ShortMA/prevDirection are 1.51415/1.5142611423428/1.5142249271741/-1</t>
  </si>
  <si>
    <t>2015-1-20 18:25:16.99: Algorithm - handleTransition - currentHedgeShortfall is NOT ZERO and AUTOHEDGE IS NOT ENABLED!</t>
  </si>
  <si>
    <t>2015-1-20 18:25:29.200: TransitionLogger - flushFile - flushing file</t>
  </si>
  <si>
    <t>2015-1-20 18:25:29.201: TransitionLogger - openTransitionFile - opening file C:\temp\transitionlog_2015-01-20_153021</t>
  </si>
  <si>
    <t>2015-1-20 18:25:55.753: DirectionIndicator - notify - price/longMA/ShortMA/prevDirection are 1.5142/1.5142500255532/1.51421661811607/-1</t>
  </si>
  <si>
    <t>2015-1-20 18:25:55.753: Algorithm - handleTransition - currentHedgeShortfall is NOT ZERO and AUTOHEDGE IS NOT ENABLED!</t>
  </si>
  <si>
    <t>2015-1-20 18:25:56.228: DirectionIndicator - notify - price/longMA/ShortMA/prevDirection are 1.51425/1.51425002090717/1.51422774541071/-1</t>
  </si>
  <si>
    <t>2015-1-20 18:25:56.229: Algorithm - handleTransition - currentHedgeShortfall is NOT ZERO and AUTOHEDGE IS NOT ENABLED!</t>
  </si>
  <si>
    <t>2015-1-20 18:26:6.392: DirectionIndicator - notify - price/longMA/ShortMA/prevDirection are 1.5142/1.51424092619677/1.51421849694048/-1</t>
  </si>
  <si>
    <t>2015-1-20 18:26:6.392: Algorithm - handleTransition - currentHedgeShortfall is NOT ZERO and AUTOHEDGE IS NOT ENABLED!</t>
  </si>
  <si>
    <t>2015-1-20 18:26:8.136: TransitionLogger - flushFile - flushing file</t>
  </si>
  <si>
    <t>2015-1-20 18:26:8.137: TransitionLogger - openTransitionFile - opening file C:\temp\transitionlog_2015-01-20_153021</t>
  </si>
  <si>
    <t>2015-1-20 18:26:12.445: DirectionIndicator - notify - price/longMA/ShortMA/prevDirection are 1.51425/1.51424257597918/1.51422899796032/-1</t>
  </si>
  <si>
    <t>2015-1-20 18:26:12.447: Algorithm - handleTransition - currentHedgeShortfall is NOT ZERO and AUTOHEDGE IS NOT ENABLED!</t>
  </si>
  <si>
    <t>2015-1-20 18:26:29.104: TransitionLogger - flushFile - flushing file</t>
  </si>
  <si>
    <t>2015-1-20 18:26:29.105: TransitionLogger - openTransitionFile - opening file C:\temp\transitionlog_2015-01-20_153021</t>
  </si>
  <si>
    <t>2015-1-20 18:27:8.36: TransitionLogger - flushFile - flushing file</t>
  </si>
  <si>
    <t>2015-1-20 18:27:8.36: TransitionLogger - openTransitionFile - opening file C:\temp\transitionlog_2015-01-20_153021</t>
  </si>
  <si>
    <t>2015-1-20 18:27:16.938: Algorithm - FindNextStrikes - price is 1.51425 nextStrikeUp/Down 1.515/0</t>
  </si>
  <si>
    <t>2015-1-20 18:27:16.938: Algorithm - getPortfolioForwardDelta - required deltas is -200 currentHedgePosition is 101</t>
  </si>
  <si>
    <t>2015-1-20 18:27:16.938: Algorithm - getHedgeShortfall - required deltas is -200 price is 1.51415 currentHedgePositionDeltas is 101</t>
  </si>
  <si>
    <t>2015-1-20 18:27:16.939: Algorithm - processTransitionPoint - nextUpper/LowerStrikes are 1.515/0 requiredDeltas/currentPosition/currentHedgeShortfall/direction/transitionPrice are -200/101/-301/-1/1.51415</t>
  </si>
  <si>
    <t>2015-1-20 18:27:16.939: TransitionLogger - processTransitionpoint - checking transition - currentHedgeShortfall is -301</t>
  </si>
  <si>
    <t>2015-1-20 18:27:16.940: Algorithm - handleTransition - currentHedgeShortfall is NOT ZERO and AUTOHEDGE IS NOT ENABLED!</t>
  </si>
  <si>
    <t>2015-1-20 18:27:16.941: Algorithm - updatePortfolio - haveAllDetails is True</t>
  </si>
  <si>
    <t>2015-1-20 18:27:16.942: RTWSControl - updatePortfolioEx - An Error Occured Object variable or With block variable not set</t>
  </si>
  <si>
    <t>2015-1-20 18:27:16.984: Algorithm - FindNextStrikes - price is 1.51425 nextStrikeUp/Down 1.515/0</t>
  </si>
  <si>
    <t>2015-1-20 18:27:16.984: Algorithm - getPortfolioForwardDelta - required deltas is -200 currentHedgePosition is 101</t>
  </si>
  <si>
    <t>2015-1-20 18:27:16.984: Algorithm - getHedgeShortfall - required deltas is -200 price is 1.51415 currentHedgePositionDeltas is 101</t>
  </si>
  <si>
    <t>2015-1-20 18:27:16.985: Algorithm - processTransitionPoint - nextUpper/LowerStrikes are 1.515/0 requiredDeltas/currentPosition/currentHedgeShortfall/direction/transitionPrice are -200/101/-301/-1/1.51415</t>
  </si>
  <si>
    <t>2015-1-20 18:27:16.985: TransitionLogger - processTransitionpoint - checking transition - currentHedgeShortfall is -301</t>
  </si>
  <si>
    <t>2015-1-20 18:27:16.986: Algorithm - handleTransition - currentHedgeShortfall is NOT ZERO and AUTOHEDGE IS NOT ENABLED!</t>
  </si>
  <si>
    <t>2015-1-20 18:27:16.987: Algorithm - updatePortfolio - haveAllDetails is True</t>
  </si>
  <si>
    <t>2015-1-20 18:27:16.988: RTWSControl - updatePortfolioEx - An Error Occured Object variable or With block variable not set</t>
  </si>
  <si>
    <t>2015-1-20 18:27:17.31: Algorithm - FindNextStrikes - price is 1.51425 nextStrikeUp/Down 1.515/0</t>
  </si>
  <si>
    <t>2015-1-20 18:27:17.32: Algorithm - getPortfolioForwardDelta - required deltas is -200 currentHedgePosition is 101</t>
  </si>
  <si>
    <t>2015-1-20 18:27:17.32: Algorithm - getHedgeShortfall - required deltas is -200 price is 1.51415 currentHedgePositionDeltas is 101</t>
  </si>
  <si>
    <t>2015-1-20 18:27:17.32: Algorithm - processTransitionPoint - nextUpper/LowerStrikes are 1.515/0 requiredDeltas/currentPosition/currentHedgeShortfall/direction/transitionPrice are -200/101/-301/-1/1.51415</t>
  </si>
  <si>
    <t>2015-1-20 18:27:17.33: TransitionLogger - processTransitionpoint - checking transition - currentHedgeShortfall is -301</t>
  </si>
  <si>
    <t>2015-1-20 18:27:17.33: Algorithm - handleTransition - currentHedgeShortfall is NOT ZERO and AUTOHEDGE IS NOT ENABLED!</t>
  </si>
  <si>
    <t>2015-1-20 18:27:17.34: Algorithm - updatePortfolio - haveAllDetails is True</t>
  </si>
  <si>
    <t>2015-1-20 18:27:17.35: RTWSControl - updatePortfolioEx - An Error Occured Object variable or With block variable not set</t>
  </si>
  <si>
    <t>2015-1-20 18:27:17.107: Algorithm - FindNextStrikes - price is 1.51425 nextStrikeUp/Down 1.515/0</t>
  </si>
  <si>
    <t>2015-1-20 18:27:17.108: Algorithm - getPortfolioForwardDelta - required deltas is -200 currentHedgePosition is 101</t>
  </si>
  <si>
    <t>2015-1-20 18:27:17.108: Algorithm - getHedgeShortfall - required deltas is -200 price is 1.51415 currentHedgePositionDeltas is 101</t>
  </si>
  <si>
    <t>2015-1-20 18:27:17.108: Algorithm - processTransitionPoint - nextUpper/LowerStrikes are 1.515/0 requiredDeltas/currentPosition/currentHedgeShortfall/direction/transitionPrice are -200/101/-301/-1/1.51415</t>
  </si>
  <si>
    <t>2015-1-20 18:27:17.109: TransitionLogger - processTransitionpoint - checking transition - currentHedgeShortfall is -301</t>
  </si>
  <si>
    <t>2015-1-20 18:27:17.109: Algorithm - handleTransition - currentHedgeShortfall is NOT ZERO and AUTOHEDGE IS NOT ENABLED!</t>
  </si>
  <si>
    <t>2015-1-20 18:27:17.110: Algorithm - updatePortfolio - haveAllDetails is True</t>
  </si>
  <si>
    <t>2015-1-20 18:27:17.111: RTWSControl - updatePortfolioEx - An Error Occured Object variable or With block variable not set</t>
  </si>
  <si>
    <t>2015-1-20 18:27:17.165: Algorithm - FindNextStrikes - price is 1.51425 nextStrikeUp/Down 1.515/0</t>
  </si>
  <si>
    <t>2015-1-20 18:27:17.165: Algorithm - getPortfolioForwardDelta - required deltas is -200 currentHedgePosition is 101</t>
  </si>
  <si>
    <t>2015-1-20 18:27:17.165: Algorithm - getHedgeShortfall - required deltas is -200 price is 1.51415 currentHedgePositionDeltas is 101</t>
  </si>
  <si>
    <t>2015-1-20 18:27:17.166: Algorithm - processTransitionPoint - nextUpper/LowerStrikes are 1.515/0 requiredDeltas/currentPosition/currentHedgeShortfall/direction/transitionPrice are -200/101/-301/-1/1.51415</t>
  </si>
  <si>
    <t>2015-1-20 18:27:17.166: TransitionLogger - processTransitionpoint - checking transition - currentHedgeShortfall is -301</t>
  </si>
  <si>
    <t>2015-1-20 18:27:17.167: Algorithm - handleTransition - currentHedgeShortfall is NOT ZERO and AUTOHEDGE IS NOT ENABLED!</t>
  </si>
  <si>
    <t>2015-1-20 18:27:17.167: Algorithm - updatePortfolio - haveAllDetails is True</t>
  </si>
  <si>
    <t>2015-1-20 18:27:17.168: RTWSControl - updatePortfolioEx - An Error Occured Object variable or With block variable not set</t>
  </si>
  <si>
    <t>2015-1-20 18:27:17.232: Algorithm - FindNextStrikes - price is 1.51425 nextStrikeUp/Down 1.515/0</t>
  </si>
  <si>
    <t>2015-1-20 18:27:17.233: Algorithm - getPortfolioForwardDelta - required deltas is -200 currentHedgePosition is 101</t>
  </si>
  <si>
    <t>2015-1-20 18:27:17.233: Algorithm - getHedgeShortfall - required deltas is -200 price is 1.51415 currentHedgePositionDeltas is 101</t>
  </si>
  <si>
    <t>2015-1-20 18:27:17.233: Algorithm - processTransitionPoint - nextUpper/LowerStrikes are 1.515/0 requiredDeltas/currentPosition/currentHedgeShortfall/direction/transitionPrice are -200/101/-301/-1/1.51415</t>
  </si>
  <si>
    <t>2015-1-20 18:27:17.234: TransitionLogger - processTransitionpoint - checking transition - currentHedgeShortfall is -301</t>
  </si>
  <si>
    <t>2015-1-20 18:27:17.234: Algorithm - handleTransition - currentHedgeShortfall is NOT ZERO and AUTOHEDGE IS NOT ENABLED!</t>
  </si>
  <si>
    <t>2015-1-20 18:27:17.235: Algorithm - updatePortfolio - haveAllDetails is True</t>
  </si>
  <si>
    <t>2015-1-20 18:27:17.236: RTWSControl - updatePortfolioEx - An Error Occured Object variable or With block variable not set</t>
  </si>
  <si>
    <t>2015-1-20 18:27:29.7: TransitionLogger - flushFile - flushing file</t>
  </si>
  <si>
    <t>2015-1-20 18:27:29.8: TransitionLogger - openTransitionFile - opening file C:\temp\transitionlog_2015-01-20_153021</t>
  </si>
  <si>
    <t>2015-1-20 18:27:32.270: DirectionIndicator - notify - price/longMA/ShortMA/prevDirection are 1.5143/1.51425301671024/1.51425266530688/-1</t>
  </si>
  <si>
    <t>2015-1-20 18:27:32.270: Algorithm - handleTransition - currentHedgeShortfall is NOT ZERO and AUTOHEDGE IS NOT ENABLED!</t>
  </si>
  <si>
    <t>2015-1-20 18:27:32.604: DirectionIndicator - notify - price/longMA/ShortMA/prevDirection are 1.51435/1.51427065003565/1.51428511020459/-1</t>
  </si>
  <si>
    <t>2015-1-20 18:27:32.605: Algorithm - handleTransition - currentHedgeShortfall is NOT ZERO and AUTOHEDGE IS NOT ENABLED!</t>
  </si>
  <si>
    <t>2015-1-20 18:27:34.24: DirectionIndicator - notify - price/longMA/ShortMA/prevDirection are 1.5144/1.51429416821098/1.51432340680306/-1</t>
  </si>
  <si>
    <t>2015-1-20 18:27:34.25: Algorithm - handleTransition - currentHedgeShortfall is NOT ZERO and AUTOHEDGE IS NOT ENABLED!</t>
  </si>
  <si>
    <t>2015-1-20 18:27:34.358: DirectionIndicator - notify - price/longMA/ShortMA/prevDirection are 1.51445/1.51432250126353/1.51436560453537/1</t>
  </si>
  <si>
    <t>2015-1-20 18:27:34.359: Algorithm - handleTransition - currentHedgeShortfall is NOT ZERO and AUTOHEDGE IS NOT ENABLED!</t>
  </si>
  <si>
    <t>2015-1-20 18:27:34.974: DirectionIndicator - notify - price/longMA/ShortMA/prevDirection are 1.5144/1.51433659194289/1.51437706969025/1</t>
  </si>
  <si>
    <t>2015-1-20 18:27:34.974: Algorithm - handleTransition - currentHedgeShortfall is NOT ZERO and AUTOHEDGE IS NOT ENABLED!</t>
  </si>
  <si>
    <t>2015-1-20 18:28:1.187: DirectionIndicator - notify - price/longMA/ShortMA/prevDirection are 1.51435/1.51433902977146/1.51436804646016/1</t>
  </si>
  <si>
    <t>2015-1-20 18:28:1.188: Algorithm - handleTransition - currentHedgeShortfall is NOT ZERO and AUTOHEDGE IS NOT ENABLED!</t>
  </si>
  <si>
    <t>2015-1-20 18:28:2.933: DirectionIndicator - notify - price/longMA/ShortMA/prevDirection are 1.5143/1.51433193344937/1.51434536430678/1</t>
  </si>
  <si>
    <t>2015-1-20 18:28:2.934: Algorithm - handleTransition - currentHedgeShortfall is NOT ZERO and AUTOHEDGE IS NOT ENABLED!</t>
  </si>
  <si>
    <t>2015-1-20 18:28:4.197: DirectionIndicator - notify - price/longMA/ShortMA/prevDirection are 1.51425/1.51431703645858/1.51431357620452/1</t>
  </si>
  <si>
    <t>2015-1-20 18:28:4.200: Algorithm - handleTransition - currentHedgeShortfall is NOT ZERO and AUTOHEDGE IS NOT ENABLED!</t>
  </si>
  <si>
    <t>2015-1-20 18:28:8.11: TransitionLogger - flushFile - flushing file</t>
  </si>
  <si>
    <t>2015-1-20 18:28:8.11: TransitionLogger - openTransitionFile - opening file C:\temp\transitionlog_2015-01-20_153021</t>
  </si>
  <si>
    <t>2015-1-20 18:28:29.538: TransitionLogger - flushFile - flushing file</t>
  </si>
  <si>
    <t>2015-1-20 18:28:29.539: TransitionLogger - openTransitionFile - opening file C:\temp\transitionlog_2015-01-20_153021</t>
  </si>
  <si>
    <t>2015-1-20 18:28:49.955: DirectionIndicator - notify - price/longMA/ShortMA/prevDirection are 1.5143/1.51431393892065/1.51430905080301/1</t>
  </si>
  <si>
    <t>2015-1-20 18:28:49.956: Algorithm - handleTransition - currentHedgeShortfall is NOT ZERO and AUTOHEDGE IS NOT ENABLED!</t>
  </si>
  <si>
    <t>2015-1-20 18:28:50.131: DirectionIndicator - notify - price/longMA/ShortMA/prevDirection are 1.51435/1.51432049548054/1.51432270053534/1</t>
  </si>
  <si>
    <t>2015-1-20 18:28:50.131: Algorithm - handleTransition - currentHedgeShortfall is NOT ZERO and AUTOHEDGE IS NOT ENABLED!</t>
  </si>
  <si>
    <t>2015-1-20 18:28:57.397: DirectionIndicator - notify - price/longMA/ShortMA/prevDirection are 1.5143/1.51431676902953/1.51431513369023/1</t>
  </si>
  <si>
    <t>2015-1-20 18:28:57.398: Algorithm - handleTransition - currentHedgeShortfall is NOT ZERO and AUTOHEDGE IS NOT ENABLED!</t>
  </si>
  <si>
    <t>2015-1-20 18:28:57.448: DirectionIndicator - notify - price/longMA/ShortMA/prevDirection are 1.51425/1.51430462920598/1.51429342246015/1</t>
  </si>
  <si>
    <t>2015-1-20 18:28:57.449: Algorithm - handleTransition - currentHedgeShortfall is NOT ZERO and AUTOHEDGE IS NOT ENABLED!</t>
  </si>
  <si>
    <t>2015-1-20 18:28:59.24: DirectionIndicator - notify - price/longMA/ShortMA/prevDirection are 1.5143/1.51430378753216/1.51429561497343/1</t>
  </si>
  <si>
    <t>2015-1-20 18:28:59.25: Algorithm - handleTransition - currentHedgeShortfall is NOT ZERO and AUTOHEDGE IS NOT ENABLED!</t>
  </si>
  <si>
    <t>2015-1-20 18:29:2.804: DirectionIndicator - notify - price/longMA/ShortMA/prevDirection are 1.51425/1.51429400798086/1.51428040998229/1</t>
  </si>
  <si>
    <t>2015-1-20 18:29:2.806: Algorithm - handleTransition - currentHedgeShortfall is NOT ZERO and AUTOHEDGE IS NOT ENABLED!</t>
  </si>
  <si>
    <t>2015-1-20 18:29:3.63: DirectionIndicator - notify - price/longMA/ShortMA/prevDirection are 1.5143/1.51429509743889/1.51428693998819/1</t>
  </si>
  <si>
    <t>2015-1-20 18:29:3.64: Algorithm - handleTransition - currentHedgeShortfall is NOT ZERO and AUTOHEDGE IS NOT ENABLED!</t>
  </si>
  <si>
    <t>2015-1-20 18:29:8.560: TransitionLogger - flushFile - flushing file</t>
  </si>
  <si>
    <t>2015-1-20 18:29:8.561: TransitionLogger - openTransitionFile - opening file C:\temp\transitionlog_2015-01-20_153021</t>
  </si>
  <si>
    <t>2015-1-20 18:29:10.267: DirectionIndicator - notify - price/longMA/ShortMA/prevDirection are 1.51435/1.51430507972273/1.51430795999213/1</t>
  </si>
  <si>
    <t>2015-1-20 18:29:10.269: Algorithm - handleTransition - currentHedgeShortfall is NOT ZERO and AUTOHEDGE IS NOT ENABLED!</t>
  </si>
  <si>
    <t>2015-1-20 18:29:10.526: DirectionIndicator - notify - price/longMA/ShortMA/prevDirection are 1.5143/1.51430415613678/1.51430530666142/1</t>
  </si>
  <si>
    <t>2015-1-20 18:29:10.527: Algorithm - handleTransition - currentHedgeShortfall is NOT ZERO and AUTOHEDGE IS NOT ENABLED!</t>
  </si>
  <si>
    <t>2015-1-20 18:29:16.610: DirectionIndicator - notify - price/longMA/ShortMA/prevDirection are 1.51435/1.51431249138463/1.51432020444095/1</t>
  </si>
  <si>
    <t>2015-1-20 18:29:16.611: Algorithm - handleTransition - currentHedgeShortfall is NOT ZERO and AUTOHEDGE IS NOT ENABLED!</t>
  </si>
  <si>
    <t>2015-1-20 18:29:19.553: DirectionIndicator - notify - price/longMA/ShortMA/prevDirection are 1.5143/1.51431022022379/1.5143134696273/1</t>
  </si>
  <si>
    <t>2015-1-20 18:29:19.554: Algorithm - handleTransition - currentHedgeShortfall is NOT ZERO and AUTOHEDGE IS NOT ENABLED!</t>
  </si>
  <si>
    <t>2015-1-20 18:29:29.10: DirectionIndicator - notify - price/longMA/ShortMA/prevDirection are 1.51425/1.51429927109219/1.51429231308486/1</t>
  </si>
  <si>
    <t>2015-1-20 18:29:29.12: Algorithm - handleTransition - currentHedgeShortfall is NOT ZERO and AUTOHEDGE IS NOT ENABLED!</t>
  </si>
  <si>
    <t>2015-1-20 18:29:29.55: TransitionLogger - flushFile - flushing file</t>
  </si>
  <si>
    <t>2015-1-20 18:29:29.56: TransitionLogger - openTransitionFile - opening file C:\temp\transitionlog_2015-01-20_153021</t>
  </si>
  <si>
    <t>2015-1-20 18:29:37.400: DirectionIndicator - notify - price/longMA/ShortMA/prevDirection are 1.5143/1.51429940362089/1.51429487538991/1</t>
  </si>
  <si>
    <t>2015-1-20 18:29:37.400: Algorithm - handleTransition - currentHedgeShortfall is NOT ZERO and AUTOHEDGE IS NOT ENABLED!</t>
  </si>
  <si>
    <t>2015-1-20 18:29:41.440: DirectionIndicator - notify - price/longMA/ShortMA/prevDirection are 1.51425/1.51429042114436/1.51427991692661/1</t>
  </si>
  <si>
    <t>2015-1-20 18:29:41.442: Algorithm - handleTransition - currentHedgeShortfall is NOT ZERO and AUTOHEDGE IS NOT ENABLED!</t>
  </si>
  <si>
    <t>2015-1-20 18:29:44.982: DirectionIndicator - notify - price/longMA/ShortMA/prevDirection are 1.5143/1.51429216275448/1.5142866112844/1</t>
  </si>
  <si>
    <t>2015-1-20 18:29:44.983: Algorithm - handleTransition - currentHedgeShortfall is NOT ZERO and AUTOHEDGE IS NOT ENABLED!</t>
  </si>
  <si>
    <t>2015-1-20 18:30:0.381: DirectionIndicator - notify - price/longMA/ShortMA/prevDirection are 1.51425/1.51428449679912/1.51427440752294/1</t>
  </si>
  <si>
    <t>2015-1-20 18:30:0.384: Algorithm - handleTransition - currentHedgeShortfall is NOT ZERO and AUTOHEDGE IS NOT ENABLED!</t>
  </si>
  <si>
    <t>2015-1-20 18:30:8.270: TransitionLogger - flushFile - flushing file</t>
  </si>
  <si>
    <t>2015-1-20 18:30:8.271: TransitionLogger - openTransitionFile - opening file C:\temp\transitionlog_2015-01-20_153021</t>
  </si>
  <si>
    <t>2015-1-20 18:30:16.786: Algorithm - FindNextStrikes - price is 1.51425 nextStrikeUp/Down 1.515/0</t>
  </si>
  <si>
    <t>2015-1-20 18:30:16.786: Algorithm - getPortfolioForwardDelta - required deltas is -200 currentHedgePosition is 101</t>
  </si>
  <si>
    <t>2015-1-20 18:30:16.787: Algorithm - getHedgeShortfall - required deltas is -200 price is 1.51435 currentHedgePositionDeltas is 101</t>
  </si>
  <si>
    <t>2015-1-20 18:30:16.787: Algorithm - processTransitionPoint - nextUpper/LowerStrikes are 1.515/0 requiredDeltas/currentPosition/currentHedgeShortfall/direction/transitionPrice are -200/101/-301/1/1.51435</t>
  </si>
  <si>
    <t>2015-1-20 18:30:16.787: TransitionLogger - processTransitionpoint - checking transition - currentHedgeShortfall is -301</t>
  </si>
  <si>
    <t>2015-1-20 18:30:16.788: Algorithm - handleTransition - currentHedgeShortfall is NOT ZERO and AUTOHEDGE IS NOT ENABLED!</t>
  </si>
  <si>
    <t>2015-1-20 18:30:16.789: Algorithm - updatePortfolio - haveAllDetails is True</t>
  </si>
  <si>
    <t>2015-1-20 18:30:16.790: RTWSControl - updatePortfolioEx - An Error Occured Object variable or With block variable not set</t>
  </si>
  <si>
    <t>2015-1-20 18:30:16.837: Algorithm - FindNextStrikes - price is 1.51425 nextStrikeUp/Down 1.515/0</t>
  </si>
  <si>
    <t>2015-1-20 18:30:16.838: Algorithm - getPortfolioForwardDelta - required deltas is -200 currentHedgePosition is 101</t>
  </si>
  <si>
    <t>2015-1-20 18:30:16.838: Algorithm - getHedgeShortfall - required deltas is -200 price is 1.51435 currentHedgePositionDeltas is 101</t>
  </si>
  <si>
    <t>2015-1-20 18:30:16.839: Algorithm - processTransitionPoint - nextUpper/LowerStrikes are 1.515/0 requiredDeltas/currentPosition/currentHedgeShortfall/direction/transitionPrice are -200/101/-301/1/1.51435</t>
  </si>
  <si>
    <t>2015-1-20 18:30:16.839: TransitionLogger - processTransitionpoint - checking transition - currentHedgeShortfall is -301</t>
  </si>
  <si>
    <t>2015-1-20 18:30:16.840: Algorithm - handleTransition - currentHedgeShortfall is NOT ZERO and AUTOHEDGE IS NOT ENABLED!</t>
  </si>
  <si>
    <t>2015-1-20 18:30:16.841: Algorithm - updatePortfolio - haveAllDetails is True</t>
  </si>
  <si>
    <t>2015-1-20 18:30:16.842: RTWSControl - updatePortfolioEx - An Error Occured Object variable or With block variable not set</t>
  </si>
  <si>
    <t>2015-1-20 18:30:16.908: Algorithm - FindNextStrikes - price is 1.51425 nextStrikeUp/Down 1.515/0</t>
  </si>
  <si>
    <t>2015-1-20 18:30:16.909: Algorithm - getPortfolioForwardDelta - required deltas is -200 currentHedgePosition is 101</t>
  </si>
  <si>
    <t>2015-1-20 18:30:16.909: Algorithm - getHedgeShortfall - required deltas is -200 price is 1.51435 currentHedgePositionDeltas is 101</t>
  </si>
  <si>
    <t>2015-1-20 18:30:16.909: Algorithm - processTransitionPoint - nextUpper/LowerStrikes are 1.515/0 requiredDeltas/currentPosition/currentHedgeShortfall/direction/transitionPrice are -200/101/-301/1/1.51435</t>
  </si>
  <si>
    <t>2015-1-20 18:30:16.910: TransitionLogger - processTransitionpoint - checking transition - currentHedgeShortfall is -301</t>
  </si>
  <si>
    <t>2015-1-20 18:30:16.910: Algorithm - handleTransition - currentHedgeShortfall is NOT ZERO and AUTOHEDGE IS NOT ENABLED!</t>
  </si>
  <si>
    <t>2015-1-20 18:30:16.911: Algorithm - updatePortfolio - haveAllDetails is True</t>
  </si>
  <si>
    <t>2015-1-20 18:30:16.912: RTWSControl - updatePortfolioEx - An Error Occured Object variable or With block variable not set</t>
  </si>
  <si>
    <t>2015-1-20 18:30:29.726: TransitionLogger - flushFile - flushing file</t>
  </si>
  <si>
    <t>2015-1-20 18:30:29.727: TransitionLogger - openTransitionFile - opening file C:\temp\transitionlog_2015-01-20_153021</t>
  </si>
  <si>
    <t>2015-1-20 18:30:36.885: DirectionIndicator - notify - price/longMA/ShortMA/prevDirection are 1.5142/1.51426913374473/1.51424960501529/1</t>
  </si>
  <si>
    <t>2015-1-20 18:30:36.888: Algorithm - handleTransition - currentHedgeShortfall is NOT ZERO and AUTOHEDGE IS NOT ENABLED!</t>
  </si>
  <si>
    <t>2015-1-20 18:30:39.185: DirectionIndicator - notify - price/longMA/ShortMA/prevDirection are 1.51425/1.51426565488205/1.51424973667686/1</t>
  </si>
  <si>
    <t>2015-1-20 18:30:39.186: Algorithm - handleTransition - currentHedgeShortfall is NOT ZERO and AUTOHEDGE IS NOT ENABLED!</t>
  </si>
  <si>
    <t>2015-1-20 18:31:8.547: TransitionLogger - flushFile - flushing file</t>
  </si>
  <si>
    <t>2015-1-20 18:31:8.549: TransitionLogger - openTransitionFile - opening file C:\temp\transitionlog_2015-01-20_153021</t>
  </si>
  <si>
    <t>2015-1-20 18:31:29.513: TransitionLogger - flushFile - flushing file</t>
  </si>
  <si>
    <t>2015-1-20 18:31:29.514: TransitionLogger - openTransitionFile - opening file C:\temp\transitionlog_2015-01-20_153021</t>
  </si>
  <si>
    <t>2015-1-20 18:32:3.794: DirectionIndicator - notify - price/longMA/ShortMA/prevDirection are 1.5143/1.51427189944895/1.51426649111791/1</t>
  </si>
  <si>
    <t>2015-1-20 18:32:3.795: Algorithm - handleTransition - currentHedgeShortfall is NOT ZERO and AUTOHEDGE IS NOT ENABLED!</t>
  </si>
  <si>
    <t>2015-1-20 18:32:3.866: DirectionIndicator - notify - price/longMA/ShortMA/prevDirection are 1.51435/1.51428609954914/1.51429432741194/1</t>
  </si>
  <si>
    <t>2015-1-20 18:32:3.866: Algorithm - handleTransition - currentHedgeShortfall is NOT ZERO and AUTOHEDGE IS NOT ENABLED!</t>
  </si>
  <si>
    <t>2015-1-20 18:32:8.250: TransitionLogger - flushFile - flushing file</t>
  </si>
  <si>
    <t>2015-1-20 18:32:8.251: TransitionLogger - openTransitionFile - opening file C:\temp\transitionlog_2015-01-20_153021</t>
  </si>
  <si>
    <t>2015-1-20 18:32:29.529: TransitionLogger - flushFile - flushing file</t>
  </si>
  <si>
    <t>2015-1-20 18:32:29.530: TransitionLogger - openTransitionFile - opening file C:\temp\transitionlog_2015-01-20_153021</t>
  </si>
  <si>
    <t>2015-1-20 18:32:34.579: DirectionIndicator - notify - price/longMA/ShortMA/prevDirection are 1.5144/1.51430680872203/1.51432955160796/1</t>
  </si>
  <si>
    <t>2015-1-20 18:32:34.579: Algorithm - handleTransition - currentHedgeShortfall is NOT ZERO and AUTOHEDGE IS NOT ENABLED!</t>
  </si>
  <si>
    <t>2015-1-20 18:32:34.955: DirectionIndicator - notify - price/longMA/ShortMA/prevDirection are 1.51445/1.51433284349984/1.51436970107197/1</t>
  </si>
  <si>
    <t>2015-1-20 18:32:34.956: Algorithm - handleTransition - currentHedgeShortfall is NOT ZERO and AUTOHEDGE IS NOT ENABLED!</t>
  </si>
  <si>
    <t>2015-1-20 18:32:35.77: DirectionIndicator - notify - price/longMA/ShortMA/prevDirection are 1.5144/1.5143450537726/1.51437980071465/1</t>
  </si>
  <si>
    <t>2015-1-20 18:32:35.78: Algorithm - handleTransition - currentHedgeShortfall is NOT ZERO and AUTOHEDGE IS NOT ENABLED!</t>
  </si>
  <si>
    <t>2015-1-20 18:32:35.200: DirectionIndicator - notify - price/longMA/ShortMA/prevDirection are 1.51445/1.51436413490485/1.51440320047643/1</t>
  </si>
  <si>
    <t>2015-1-20 18:32:35.201: Algorithm - handleTransition - currentHedgeShortfall is NOT ZERO and AUTOHEDGE IS NOT ENABLED!</t>
  </si>
  <si>
    <t>2015-1-20 18:33:8.234: TransitionLogger - flushFile - flushing file</t>
  </si>
  <si>
    <t>2015-1-20 18:33:8.235: TransitionLogger - openTransitionFile - opening file C:\temp\transitionlog_2015-01-20_153021</t>
  </si>
  <si>
    <t>2015-1-20 18:33:16.924: Algorithm - FindNextStrikes - price is 1.51445 nextStrikeUp/Down 1.515/0</t>
  </si>
  <si>
    <t>2015-1-20 18:33:16.925: Algorithm - getPortfolioForwardDelta - required deltas is -200 currentHedgePosition is 101</t>
  </si>
  <si>
    <t>2015-1-20 18:33:16.925: Algorithm - getHedgeShortfall - required deltas is -200 price is 1.51455 currentHedgePositionDeltas is 101</t>
  </si>
  <si>
    <t>2015-1-20 18:33:16.925: Algorithm - processTransitionPoint - nextUpper/LowerStrikes are 1.515/0 requiredDeltas/currentPosition/currentHedgeShortfall/direction/transitionPrice are -200/101/-301/1/1.51455</t>
  </si>
  <si>
    <t>2015-1-20 18:33:16.926: TransitionLogger - processTransitionpoint - checking transition - currentHedgeShortfall is -301</t>
  </si>
  <si>
    <t>2015-1-20 18:33:16.926: Algorithm - handleTransition - currentHedgeShortfall is NOT ZERO and AUTOHEDGE IS NOT ENABLED!</t>
  </si>
  <si>
    <t>2015-1-20 18:33:16.927: Algorithm - updatePortfolio - haveAllDetails is True</t>
  </si>
  <si>
    <t>2015-1-20 18:33:16.928: RTWSControl - updatePortfolioEx - An Error Occured Object variable or With block variable not set</t>
  </si>
  <si>
    <t>2015-1-20 18:33:16.965: Algorithm - FindNextStrikes - price is 1.51445 nextStrikeUp/Down 1.515/0</t>
  </si>
  <si>
    <t>2015-1-20 18:33:16.965: Algorithm - getPortfolioForwardDelta - required deltas is -200 currentHedgePosition is 101</t>
  </si>
  <si>
    <t>2015-1-20 18:33:16.966: Algorithm - getHedgeShortfall - required deltas is -200 price is 1.51455 currentHedgePositionDeltas is 101</t>
  </si>
  <si>
    <t>2015-1-20 18:33:16.966: Algorithm - processTransitionPoint - nextUpper/LowerStrikes are 1.515/0 requiredDeltas/currentPosition/currentHedgeShortfall/direction/transitionPrice are -200/101/-301/1/1.51455</t>
  </si>
  <si>
    <t>2015-1-20 18:33:16.967: TransitionLogger - processTransitionpoint - checking transition - currentHedgeShortfall is -301</t>
  </si>
  <si>
    <t>2015-1-20 18:33:16.967: Algorithm - handleTransition - currentHedgeShortfall is NOT ZERO and AUTOHEDGE IS NOT ENABLED!</t>
  </si>
  <si>
    <t>2015-1-20 18:33:16.968: Algorithm - updatePortfolio - haveAllDetails is True</t>
  </si>
  <si>
    <t>2015-1-20 18:33:16.969: RTWSControl - updatePortfolioEx - An Error Occured Object variable or With block variable not set</t>
  </si>
  <si>
    <t>2015-1-20 18:33:17.37: Algorithm - FindNextStrikes - price is 1.51445 nextStrikeUp/Down 1.515/0</t>
  </si>
  <si>
    <t>2015-1-20 18:33:17.37: Algorithm - getPortfolioForwardDelta - required deltas is -200 currentHedgePosition is 101</t>
  </si>
  <si>
    <t>2015-1-20 18:33:17.37: Algorithm - getHedgeShortfall - required deltas is -200 price is 1.51455 currentHedgePositionDeltas is 101</t>
  </si>
  <si>
    <t>2015-1-20 18:33:17.38: Algorithm - processTransitionPoint - nextUpper/LowerStrikes are 1.515/0 requiredDeltas/currentPosition/currentHedgeShortfall/direction/transitionPrice are -200/101/-301/1/1.51455</t>
  </si>
  <si>
    <t>2015-1-20 18:33:17.38: TransitionLogger - processTransitionpoint - checking transition - currentHedgeShortfall is -301</t>
  </si>
  <si>
    <t>2015-1-20 18:33:17.39: Algorithm - handleTransition - currentHedgeShortfall is NOT ZERO and AUTOHEDGE IS NOT ENABLED!</t>
  </si>
  <si>
    <t>2015-1-20 18:33:17.39: Algorithm - updatePortfolio - haveAllDetails is True</t>
  </si>
  <si>
    <t>2015-1-20 18:33:17.40: RTWSControl - updatePortfolioEx - An Error Occured Object variable or With block variable not set</t>
  </si>
  <si>
    <t>2015-1-20 18:33:17.98: Algorithm - FindNextStrikes - price is 1.51445 nextStrikeUp/Down 1.515/0</t>
  </si>
  <si>
    <t>2015-1-20 18:33:17.99: Algorithm - getPortfolioForwardDelta - required deltas is -200 currentHedgePosition is 101</t>
  </si>
  <si>
    <t>2015-1-20 18:33:17.99: Algorithm - getHedgeShortfall - required deltas is -200 price is 1.51455 currentHedgePositionDeltas is 101</t>
  </si>
  <si>
    <t>2015-1-20 18:33:17.99: Algorithm - processTransitionPoint - nextUpper/LowerStrikes are 1.515/0 requiredDeltas/currentPosition/currentHedgeShortfall/direction/transitionPrice are -200/101/-301/1/1.51455</t>
  </si>
  <si>
    <t>2015-1-20 18:33:17.100: TransitionLogger - processTransitionpoint - checking transition - currentHedgeShortfall is -301</t>
  </si>
  <si>
    <t>2015-1-20 18:33:17.100: Algorithm - handleTransition - currentHedgeShortfall is NOT ZERO and AUTOHEDGE IS NOT ENABLED!</t>
  </si>
  <si>
    <t>2015-1-20 18:33:17.101: Algorithm - updatePortfolio - haveAllDetails is True</t>
  </si>
  <si>
    <t>2015-1-20 18:33:17.102: RTWSControl - updatePortfolioEx - An Error Occured Object variable or With block variable not set</t>
  </si>
  <si>
    <t>2015-1-20 18:33:17.143: Algorithm - FindNextStrikes - price is 1.51445 nextStrikeUp/Down 1.515/0</t>
  </si>
  <si>
    <t>2015-1-20 18:33:17.143: Algorithm - getPortfolioForwardDelta - required deltas is -200 currentHedgePosition is 101</t>
  </si>
  <si>
    <t>2015-1-20 18:33:17.143: Algorithm - getHedgeShortfall - required deltas is -200 price is 1.51455 currentHedgePositionDeltas is 101</t>
  </si>
  <si>
    <t>2015-1-20 18:33:17.144: Algorithm - processTransitionPoint - nextUpper/LowerStrikes are 1.515/0 requiredDeltas/currentPosition/currentHedgeShortfall/direction/transitionPrice are -200/101/-301/1/1.51455</t>
  </si>
  <si>
    <t>2015-1-20 18:33:17.144: TransitionLogger - processTransitionpoint - checking transition - currentHedgeShortfall is -301</t>
  </si>
  <si>
    <t>2015-1-20 18:33:17.145: Algorithm - handleTransition - currentHedgeShortfall is NOT ZERO and AUTOHEDGE IS NOT ENABLED!</t>
  </si>
  <si>
    <t>2015-1-20 18:33:17.145: Algorithm - updatePortfolio - haveAllDetails is True</t>
  </si>
  <si>
    <t>2015-1-20 18:33:17.146: RTWSControl - updatePortfolioEx - An Error Occured Object variable or With block variable not set</t>
  </si>
  <si>
    <t>2015-1-20 18:33:17.211: Algorithm - FindNextStrikes - price is 1.51445 nextStrikeUp/Down 1.515/0</t>
  </si>
  <si>
    <t>2015-1-20 18:33:17.212: Algorithm - getPortfolioForwardDelta - required deltas is -200 currentHedgePosition is 101</t>
  </si>
  <si>
    <t>2015-1-20 18:33:17.212: Algorithm - getHedgeShortfall - required deltas is -200 price is 1.51455 currentHedgePositionDeltas is 101</t>
  </si>
  <si>
    <t>2015-1-20 18:33:17.213: Algorithm - processTransitionPoint - nextUpper/LowerStrikes are 1.515/0 requiredDeltas/currentPosition/currentHedgeShortfall/direction/transitionPrice are -200/101/-301/1/1.51455</t>
  </si>
  <si>
    <t>2015-1-20 18:33:17.213: TransitionLogger - processTransitionpoint - checking transition - currentHedgeShortfall is -301</t>
  </si>
  <si>
    <t>2015-1-20 18:33:17.213: Algorithm - handleTransition - currentHedgeShortfall is NOT ZERO and AUTOHEDGE IS NOT ENABLED!</t>
  </si>
  <si>
    <t>2015-1-20 18:33:17.214: Algorithm - updatePortfolio - haveAllDetails is True</t>
  </si>
  <si>
    <t>2015-1-20 18:33:17.215: RTWSControl - updatePortfolioEx - An Error Occured Object variable or With block variable not set</t>
  </si>
  <si>
    <t>2015-1-20 18:33:23.91: DirectionIndicator - notify - price/longMA/ShortMA/prevDirection are 1.5144/1.51437065583124/1.51440213365095/1</t>
  </si>
  <si>
    <t>2015-1-20 18:33:23.92: Algorithm - handleTransition - currentHedgeShortfall is NOT ZERO and AUTOHEDGE IS NOT ENABLED!</t>
  </si>
  <si>
    <t>2015-1-20 18:33:23.374: DirectionIndicator - notify - price/longMA/ShortMA/prevDirection are 1.51435/1.51436690022556/1.5143847557673/1</t>
  </si>
  <si>
    <t>2015-1-20 18:33:23.374: Algorithm - handleTransition - currentHedgeShortfall is NOT ZERO and AUTOHEDGE IS NOT ENABLED!</t>
  </si>
  <si>
    <t>2015-1-20 18:33:29.431: TransitionLogger - flushFile - flushing file</t>
  </si>
  <si>
    <t>2015-1-20 18:33:29.433: TransitionLogger - openTransitionFile - opening file C:\temp\transitionlog_2015-01-20_153021</t>
  </si>
  <si>
    <t>2015-1-20 18:33:37.119: DirectionIndicator - notify - price/longMA/ShortMA/prevDirection are 1.5144/1.51437291836637/1.5143898371782/1</t>
  </si>
  <si>
    <t>2015-1-20 18:33:37.120: Algorithm - handleTransition - currentHedgeShortfall is NOT ZERO and AUTOHEDGE IS NOT ENABLED!</t>
  </si>
  <si>
    <t>2015-1-20 18:33:37.901: DirectionIndicator - notify - price/longMA/ShortMA/prevDirection are 1.51445/1.51438693320885/1.51440989145213/1</t>
  </si>
  <si>
    <t>2015-1-20 18:33:37.901: Algorithm - handleTransition - currentHedgeShortfall is NOT ZERO and AUTOHEDGE IS NOT ENABLED!</t>
  </si>
  <si>
    <t>2015-1-20 18:34:1.301: DirectionIndicator - notify - price/longMA/ShortMA/prevDirection are 1.5144/1.51438930898906/1.51440659430142/1</t>
  </si>
  <si>
    <t>2015-1-20 18:34:1.302: Algorithm - handleTransition - currentHedgeShortfall is NOT ZERO and AUTOHEDGE IS NOT ENABLED!</t>
  </si>
  <si>
    <t>2015-1-20 18:34:1.371: DirectionIndicator - notify - price/longMA/ShortMA/prevDirection are 1.51435/1.51438216190014/1.51438772953428/1</t>
  </si>
  <si>
    <t>2015-1-20 18:34:1.372: Algorithm - handleTransition - currentHedgeShortfall is NOT ZERO and AUTOHEDGE IS NOT ENABLED!</t>
  </si>
  <si>
    <t>2015-1-20 18:34:2.966: DirectionIndicator - notify - price/longMA/ShortMA/prevDirection are 1.5144/1.51438540519102/1.51439181968952/1</t>
  </si>
  <si>
    <t>2015-1-20 18:34:2.966: Algorithm - handleTransition - currentHedgeShortfall is NOT ZERO and AUTOHEDGE IS NOT ENABLED!</t>
  </si>
  <si>
    <t>2015-1-20 18:34:4.998: DirectionIndicator - notify - price/longMA/ShortMA/prevDirection are 1.51445/1.51439714970174/1.51441121312635/1</t>
  </si>
  <si>
    <t>2015-1-20 18:34:4.998: Algorithm - handleTransition - currentHedgeShortfall is NOT ZERO and AUTOHEDGE IS NOT ENABLED!</t>
  </si>
  <si>
    <t>2015-1-20 18:34:8.232: TransitionLogger - flushFile - flushing file</t>
  </si>
  <si>
    <t>2015-1-20 18:34:8.233: TransitionLogger - openTransitionFile - opening file C:\temp\transitionlog_2015-01-20_153021</t>
  </si>
  <si>
    <t>2015-1-20 18:34:11.372: DirectionIndicator - notify - price/longMA/ShortMA/prevDirection are 1.5144/1.51439766793779/1.51440747541757/1</t>
  </si>
  <si>
    <t>2015-1-20 18:34:11.372: Algorithm - handleTransition - currentHedgeShortfall is NOT ZERO and AUTOHEDGE IS NOT ENABLED!</t>
  </si>
  <si>
    <t>2015-1-20 18:34:11.458: DirectionIndicator - notify - price/longMA/ShortMA/prevDirection are 1.51435/1.51438900104001/1.51438831694504/1</t>
  </si>
  <si>
    <t>2015-1-20 18:34:11.458: Algorithm - handleTransition - currentHedgeShortfall is NOT ZERO and AUTOHEDGE IS NOT ENABLED!</t>
  </si>
  <si>
    <t>2015-1-20 18:34:29.336: TransitionLogger - flushFile - flushing file</t>
  </si>
  <si>
    <t>2015-1-20 18:34:29.337: TransitionLogger - openTransitionFile - opening file C:\temp\transitionlog_2015-01-20_153021</t>
  </si>
  <si>
    <t>2015-1-20 18:34:51.164: DirectionIndicator - notify - price/longMA/ShortMA/prevDirection are 1.5143/1.51437281903274/1.51435887796336/1</t>
  </si>
  <si>
    <t>2015-1-20 18:34:51.165: Algorithm - handleTransition - currentHedgeShortfall is NOT ZERO and AUTOHEDGE IS NOT ENABLED!</t>
  </si>
  <si>
    <t>2015-1-20 18:35:1.105: DirectionIndicator - notify - price/longMA/ShortMA/prevDirection are 1.51435/1.51436867011769/1.51435591864224/1</t>
  </si>
  <si>
    <t>2015-1-20 18:35:1.106: Algorithm - handleTransition - currentHedgeShortfall is NOT ZERO and AUTOHEDGE IS NOT ENABLED!</t>
  </si>
  <si>
    <t>2015-1-20 18:35:8.276: TransitionLogger - flushFile - flushing file</t>
  </si>
  <si>
    <t>2015-1-20 18:35:8.277: TransitionLogger - openTransitionFile - opening file C:\temp\transitionlog_2015-01-20_153021</t>
  </si>
  <si>
    <t>2015-1-20 18:35:17.0: DirectionIndicator - notify - price/longMA/ShortMA/prevDirection are 1.5144/1.51437436645993/1.51437061242816/1</t>
  </si>
  <si>
    <t>2015-1-20 18:35:17.1: Algorithm - handleTransition - currentHedgeShortfall is NOT ZERO and AUTOHEDGE IS NOT ENABLED!</t>
  </si>
  <si>
    <t>2015-1-20 18:35:17.52: DirectionIndicator - notify - price/longMA/ShortMA/prevDirection are 1.51445/1.51438811801267/1.51439707495211/1</t>
  </si>
  <si>
    <t>2015-1-20 18:35:17.53: Algorithm - handleTransition - currentHedgeShortfall is NOT ZERO and AUTOHEDGE IS NOT ENABLED!</t>
  </si>
  <si>
    <t>2015-1-20 18:35:29.242: TransitionLogger - flushFile - flushing file</t>
  </si>
  <si>
    <t>2015-1-20 18:35:29.243: TransitionLogger - openTransitionFile - opening file C:\temp\transitionlog_2015-01-20_153021</t>
  </si>
  <si>
    <t>2015-1-20 18:35:45.387: DirectionIndicator - notify - price/longMA/ShortMA/prevDirection are 1.5145/1.51440846019219/1.5144313833014/1</t>
  </si>
  <si>
    <t>2015-1-20 18:35:45.388: Algorithm - handleTransition - currentHedgeShortfall is NOT ZERO and AUTOHEDGE IS NOT ENABLED!</t>
  </si>
  <si>
    <t>2015-1-20 18:35:47.336: DirectionIndicator - notify - price/longMA/ShortMA/prevDirection are 1.51455/1.5144341947027/1.51447092220094/1</t>
  </si>
  <si>
    <t>2015-1-20 18:35:47.336: Algorithm - handleTransition - currentHedgeShortfall is NOT ZERO and AUTOHEDGE IS NOT ENABLED!</t>
  </si>
  <si>
    <t>2015-1-20 18:36:8.185: TransitionLogger - flushFile - flushing file</t>
  </si>
  <si>
    <t>2015-1-20 18:36:8.186: TransitionLogger - openTransitionFile - opening file C:\temp\transitionlog_2015-01-20_153021</t>
  </si>
  <si>
    <t>2015-1-20 18:36:14.882: DirectionIndicator - notify - price/longMA/ShortMA/prevDirection are 1.5145/1.51444615930221/1.51448061480062/1</t>
  </si>
  <si>
    <t>2015-1-20 18:36:14.884: Algorithm - handleTransition - currentHedgeShortfall is NOT ZERO and AUTOHEDGE IS NOT ENABLED!</t>
  </si>
  <si>
    <t>2015-1-20 18:36:14.977: DirectionIndicator - notify - price/longMA/ShortMA/prevDirection are 1.51445/1.5144468576109/1.51447040986708/1</t>
  </si>
  <si>
    <t>2015-1-20 18:36:14.978: Algorithm - handleTransition - currentHedgeShortfall is NOT ZERO and AUTOHEDGE IS NOT ENABLED!</t>
  </si>
  <si>
    <t>2015-1-20 18:36:17.927: Algorithm - FindNextStrikes - price is 1.51445 nextStrikeUp/Down 1.515/0</t>
  </si>
  <si>
    <t>2015-1-20 18:36:17.927: Algorithm - getPortfolioForwardDelta - required deltas is -200 currentHedgePosition is 101</t>
  </si>
  <si>
    <t>2015-1-20 18:36:17.928: Algorithm - getHedgeShortfall - required deltas is -200 price is 1.51455 currentHedgePositionDeltas is 101</t>
  </si>
  <si>
    <t>2015-1-20 18:36:17.928: Algorithm - processTransitionPoint - nextUpper/LowerStrikes are 1.515/0 requiredDeltas/currentPosition/currentHedgeShortfall/direction/transitionPrice are -200/101/-301/1/1.51455</t>
  </si>
  <si>
    <t>2015-1-20 18:36:17.929: TransitionLogger - processTransitionpoint - checking transition - currentHedgeShortfall is -301</t>
  </si>
  <si>
    <t>2015-1-20 18:36:17.929: Algorithm - handleTransition - currentHedgeShortfall is NOT ZERO and AUTOHEDGE IS NOT ENABLED!</t>
  </si>
  <si>
    <t>2015-1-20 18:36:17.930: Algorithm - updatePortfolio - haveAllDetails is True</t>
  </si>
  <si>
    <t>2015-1-20 18:36:17.931: RTWSControl - updatePortfolioEx - An Error Occured Object variable or With block variable not set</t>
  </si>
  <si>
    <t>2015-1-20 18:36:17.973: Algorithm - FindNextStrikes - price is 1.51445 nextStrikeUp/Down 1.515/0</t>
  </si>
  <si>
    <t>2015-1-20 18:36:17.974: Algorithm - getPortfolioForwardDelta - required deltas is -200 currentHedgePosition is 101</t>
  </si>
  <si>
    <t>2015-1-20 18:36:17.974: Algorithm - getHedgeShortfall - required deltas is -200 price is 1.51455 currentHedgePositionDeltas is 101</t>
  </si>
  <si>
    <t>2015-1-20 18:36:17.975: Algorithm - processTransitionPoint - nextUpper/LowerStrikes are 1.515/0 requiredDeltas/currentPosition/currentHedgeShortfall/direction/transitionPrice are -200/101/-301/1/1.51455</t>
  </si>
  <si>
    <t>2015-1-20 18:36:17.975: TransitionLogger - processTransitionpoint - checking transition - currentHedgeShortfall is -301</t>
  </si>
  <si>
    <t>2015-1-20 18:36:17.976: Algorithm - handleTransition - currentHedgeShortfall is NOT ZERO and AUTOHEDGE IS NOT ENABLED!</t>
  </si>
  <si>
    <t>2015-1-20 18:36:17.977: Algorithm - updatePortfolio - haveAllDetails is True</t>
  </si>
  <si>
    <t>2015-1-20 18:36:17.978: RTWSControl - updatePortfolioEx - An Error Occured Object variable or With block variable not set</t>
  </si>
  <si>
    <t>2015-1-20 18:36:18.21: Algorithm - FindNextStrikes - price is 1.51445 nextStrikeUp/Down 1.515/0</t>
  </si>
  <si>
    <t>2015-1-20 18:36:18.22: Algorithm - getPortfolioForwardDelta - required deltas is -200 currentHedgePosition is 101</t>
  </si>
  <si>
    <t>2015-1-20 18:36:18.22: Algorithm - getHedgeShortfall - required deltas is -200 price is 1.51455 currentHedgePositionDeltas is 101</t>
  </si>
  <si>
    <t>2015-1-20 18:36:18.23: Algorithm - processTransitionPoint - nextUpper/LowerStrikes are 1.515/0 requiredDeltas/currentPosition/currentHedgeShortfall/direction/transitionPrice are -200/101/-301/1/1.51455</t>
  </si>
  <si>
    <t>2015-1-20 18:36:18.23: TransitionLogger - processTransitionpoint - checking transition - currentHedgeShortfall is -301</t>
  </si>
  <si>
    <t>2015-1-20 18:36:18.23: Algorithm - handleTransition - currentHedgeShortfall is NOT ZERO and AUTOHEDGE IS NOT ENABLED!</t>
  </si>
  <si>
    <t>2015-1-20 18:36:18.24: Algorithm - updatePortfolio - haveAllDetails is True</t>
  </si>
  <si>
    <t>2015-1-20 18:36:18.25: RTWSControl - updatePortfolioEx - An Error Occured Object variable or With block variable not set</t>
  </si>
  <si>
    <t>2015-1-20 18:36:18.98: Algorithm - FindNextStrikes - price is 1.51445 nextStrikeUp/Down 1.515/0</t>
  </si>
  <si>
    <t>2015-1-20 18:36:18.99: Algorithm - getPortfolioForwardDelta - required deltas is -200 currentHedgePosition is 101</t>
  </si>
  <si>
    <t>2015-1-20 18:36:18.99: Algorithm - getHedgeShortfall - required deltas is -200 price is 1.51455 currentHedgePositionDeltas is 101</t>
  </si>
  <si>
    <t>2015-1-20 18:36:18.99: Algorithm - processTransitionPoint - nextUpper/LowerStrikes are 1.515/0 requiredDeltas/currentPosition/currentHedgeShortfall/direction/transitionPrice are -200/101/-301/1/1.51455</t>
  </si>
  <si>
    <t>2015-1-20 18:36:18.100: TransitionLogger - processTransitionpoint - checking transition - currentHedgeShortfall is -301</t>
  </si>
  <si>
    <t>2015-1-20 18:36:18.100: Algorithm - handleTransition - currentHedgeShortfall is NOT ZERO and AUTOHEDGE IS NOT ENABLED!</t>
  </si>
  <si>
    <t>2015-1-20 18:36:18.101: Algorithm - updatePortfolio - haveAllDetails is True</t>
  </si>
  <si>
    <t>2015-1-20 18:36:18.102: RTWSControl - updatePortfolioEx - An Error Occured Object variable or With block variable not set</t>
  </si>
  <si>
    <t>2015-1-20 18:36:18.157: Algorithm - FindNextStrikes - price is 1.51445 nextStrikeUp/Down 1.515/0</t>
  </si>
  <si>
    <t>2015-1-20 18:36:18.157: Algorithm - getPortfolioForwardDelta - required deltas is -200 currentHedgePosition is 101</t>
  </si>
  <si>
    <t>2015-1-20 18:36:18.158: Algorithm - getHedgeShortfall - required deltas is -200 price is 1.51455 currentHedgePositionDeltas is 101</t>
  </si>
  <si>
    <t>2015-1-20 18:36:18.158: Algorithm - processTransitionPoint - nextUpper/LowerStrikes are 1.515/0 requiredDeltas/currentPosition/currentHedgeShortfall/direction/transitionPrice are -200/101/-301/1/1.51455</t>
  </si>
  <si>
    <t>2015-1-20 18:36:18.158: TransitionLogger - processTransitionpoint - checking transition - currentHedgeShortfall is -301</t>
  </si>
  <si>
    <t>2015-1-20 18:36:18.159: Algorithm - handleTransition - currentHedgeShortfall is NOT ZERO and AUTOHEDGE IS NOT ENABLED!</t>
  </si>
  <si>
    <t>2015-1-20 18:36:18.159: Algorithm - updatePortfolio - haveAllDetails is True</t>
  </si>
  <si>
    <t>2015-1-20 18:36:18.160: RTWSControl - updatePortfolioEx - An Error Occured Object variable or With block variable not set</t>
  </si>
  <si>
    <t>2015-1-20 18:36:18.224: Algorithm - FindNextStrikes - price is 1.51445 nextStrikeUp/Down 1.515/0</t>
  </si>
  <si>
    <t>2015-1-20 18:36:18.224: Algorithm - getPortfolioForwardDelta - required deltas is -200 currentHedgePosition is 101</t>
  </si>
  <si>
    <t>2015-1-20 18:36:18.225: Algorithm - getHedgeShortfall - required deltas is -200 price is 1.51455 currentHedgePositionDeltas is 101</t>
  </si>
  <si>
    <t>2015-1-20 18:36:18.225: Algorithm - processTransitionPoint - nextUpper/LowerStrikes are 1.515/0 requiredDeltas/currentPosition/currentHedgeShortfall/direction/transitionPrice are -200/101/-301/1/1.51455</t>
  </si>
  <si>
    <t>2015-1-20 18:36:18.225: TransitionLogger - processTransitionpoint - checking transition - currentHedgeShortfall is -301</t>
  </si>
  <si>
    <t>2015-1-20 18:36:18.226: Algorithm - handleTransition - currentHedgeShortfall is NOT ZERO and AUTOHEDGE IS NOT ENABLED!</t>
  </si>
  <si>
    <t>2015-1-20 18:36:18.227: Algorithm - updatePortfolio - haveAllDetails is True</t>
  </si>
  <si>
    <t>2015-1-20 18:36:18.228: RTWSControl - updatePortfolioEx - An Error Occured Object variable or With block variable not set</t>
  </si>
  <si>
    <t>2015-1-20 18:36:29.142: TransitionLogger - flushFile - flushing file</t>
  </si>
  <si>
    <t>2015-1-20 18:36:29.142: TransitionLogger - openTransitionFile - opening file C:\temp\transitionlog_2015-01-20_153021</t>
  </si>
  <si>
    <t>2015-1-20 18:37:8.89: TransitionLogger - flushFile - flushing file</t>
  </si>
  <si>
    <t>2015-1-20 18:37:8.89: TransitionLogger - openTransitionFile - opening file C:\temp\transitionlog_2015-01-20_153021</t>
  </si>
  <si>
    <t>2015-1-20 18:37:29.51: TransitionLogger - flushFile - flushing file</t>
  </si>
  <si>
    <t>2015-1-20 18:37:29.52: TransitionLogger - openTransitionFile - opening file C:\temp\transitionlog_2015-01-20_153021</t>
  </si>
  <si>
    <t>2015-1-20 18:37:54.278: DirectionIndicator - notify - price/longMA/ShortMA/prevDirection are 1.5145/1.51445651986346/1.51448027324472/1</t>
  </si>
  <si>
    <t>2015-1-20 18:37:54.279: Algorithm - handleTransition - currentHedgeShortfall is NOT ZERO and AUTOHEDGE IS NOT ENABLED!</t>
  </si>
  <si>
    <t>2015-1-20 18:37:54.343: DirectionIndicator - notify - price/longMA/ShortMA/prevDirection are 1.51455/1.51447351625192/1.51450351549648/1</t>
  </si>
  <si>
    <t>2015-1-20 18:37:54.344: Algorithm - handleTransition - currentHedgeShortfall is NOT ZERO and AUTOHEDGE IS NOT ENABLED!</t>
  </si>
  <si>
    <t>2015-1-20 18:38:8.141: TransitionLogger - flushFile - flushing file</t>
  </si>
  <si>
    <t>2015-1-20 18:38:8.143: TransitionLogger - openTransitionFile - opening file C:\temp\transitionlog_2015-01-20_153021</t>
  </si>
  <si>
    <t>2015-1-20 18:38:8.429: DirectionIndicator - notify - price/longMA/ShortMA/prevDirection are 1.5145/1.51447833147885/1.51450234366432/1</t>
  </si>
  <si>
    <t>2015-1-20 18:38:8.429: Algorithm - handleTransition - currentHedgeShortfall is NOT ZERO and AUTOHEDGE IS NOT ENABLED!</t>
  </si>
  <si>
    <t>2015-1-20 18:38:19.718: DirectionIndicator - notify - price/longMA/ShortMA/prevDirection are 1.51455/1.51449136211906/1.51451822910955/1</t>
  </si>
  <si>
    <t>2015-1-20 18:38:19.719: Algorithm - handleTransition - currentHedgeShortfall is NOT ZERO and AUTOHEDGE IS NOT ENABLED!</t>
  </si>
  <si>
    <t>2015-1-20 18:38:29.62: TransitionLogger - flushFile - flushing file</t>
  </si>
  <si>
    <t>2015-1-20 18:38:29.62: TransitionLogger - openTransitionFile - opening file C:\temp\transitionlog_2015-01-20_153021</t>
  </si>
  <si>
    <t>2015-1-20 18:38:42.309: DirectionIndicator - notify - price/longMA/ShortMA/prevDirection are 1.5146/1.51451111446105/1.51454548607303/1</t>
  </si>
  <si>
    <t>2015-1-20 18:38:42.310: Algorithm - handleTransition - currentHedgeShortfall is NOT ZERO and AUTOHEDGE IS NOT ENABLED!</t>
  </si>
  <si>
    <t>2015-1-20 18:38:42.357: DirectionIndicator - notify - price/longMA/ShortMA/prevDirection are 1.51465/1.51453636637722/1.51458032404869/1</t>
  </si>
  <si>
    <t>2015-1-20 18:38:42.357: Algorithm - handleTransition - currentHedgeShortfall is NOT ZERO and AUTOHEDGE IS NOT ENABLED!</t>
  </si>
  <si>
    <t>2015-1-20 18:38:47.844: DirectionIndicator - notify - price/longMA/ShortMA/prevDirection are 1.5147/1.514566117945/1.51462021603246/1</t>
  </si>
  <si>
    <t>2015-1-20 18:38:47.845: Algorithm - handleTransition - currentHedgeShortfall is NOT ZERO and AUTOHEDGE IS NOT ENABLED!</t>
  </si>
  <si>
    <t>2015-1-20 18:38:47.932: DirectionIndicator - notify - price/longMA/ShortMA/prevDirection are 1.51475/1.51459955104591/1.51466347735497/1</t>
  </si>
  <si>
    <t>2015-1-20 18:38:47.932: Algorithm - handleTransition - currentHedgeShortfall is NOT ZERO and AUTOHEDGE IS NOT ENABLED!</t>
  </si>
  <si>
    <t>2015-1-20 18:38:52.639: DirectionIndicator - notify - price/longMA/ShortMA/prevDirection are 1.5148/1.51463599631029/1.51470898490331/1</t>
  </si>
  <si>
    <t>2015-1-20 18:38:52.640: Algorithm - handleTransition - currentHedgeShortfall is NOT ZERO and AUTOHEDGE IS NOT ENABLED!</t>
  </si>
  <si>
    <t>2015-1-20 18:38:52.690: DirectionIndicator - notify - price/longMA/ShortMA/prevDirection are 1.51485/1.51467490607205/1.51475598993554/1</t>
  </si>
  <si>
    <t>2015-1-20 18:38:52.691: Algorithm - handleTransition - currentHedgeShortfall is NOT ZERO and AUTOHEDGE IS NOT ENABLED!</t>
  </si>
  <si>
    <t>2015-1-20 18:38:53.63: DirectionIndicator - notify - price/longMA/ShortMA/prevDirection are 1.5148/1.51469765042259/1.51477065995703/1</t>
  </si>
  <si>
    <t>2015-1-20 18:38:53.64: Algorithm - handleTransition - currentHedgeShortfall is NOT ZERO and AUTOHEDGE IS NOT ENABLED!</t>
  </si>
  <si>
    <t>2015-1-20 18:38:53.314: DirectionIndicator - notify - price/longMA/ShortMA/prevDirection are 1.51485/1.51472535034575/1.51479710663802/1</t>
  </si>
  <si>
    <t>2015-1-20 18:38:53.315: Algorithm - handleTransition - currentHedgeShortfall is NOT ZERO and AUTOHEDGE IS NOT ENABLED!</t>
  </si>
  <si>
    <t>2015-1-20 18:38:54.266: DirectionIndicator - notify - price/longMA/ShortMA/prevDirection are 1.5148/1.51473892301016/1.51479807109201/1</t>
  </si>
  <si>
    <t>2015-1-20 18:38:54.267: Algorithm - handleTransition - currentHedgeShortfall is NOT ZERO and AUTOHEDGE IS NOT ENABLED!</t>
  </si>
  <si>
    <t>2015-1-20 18:38:55.149: DirectionIndicator - notify - price/longMA/ShortMA/prevDirection are 1.51475/1.51474093700832/1.51478204739468/1</t>
  </si>
  <si>
    <t>2015-1-20 18:38:55.150: Algorithm - handleTransition - currentHedgeShortfall is NOT ZERO and AUTOHEDGE IS NOT ENABLED!</t>
  </si>
  <si>
    <t>2015-1-20 18:38:57.140: DirectionIndicator - notify - price/longMA/ShortMA/prevDirection are 1.5147/1.51473349391589/1.51475469826312/1</t>
  </si>
  <si>
    <t>2015-1-20 18:38:57.141: Algorithm - handleTransition - currentHedgeShortfall is NOT ZERO and AUTOHEDGE IS NOT ENABLED!</t>
  </si>
  <si>
    <t>2015-1-20 18:39:3.885: DirectionIndicator - notify - price/longMA/ShortMA/prevDirection are 1.51475/1.5147364950221/1.51475313217541/1</t>
  </si>
  <si>
    <t>2015-1-20 18:39:3.887: Algorithm - handleTransition - currentHedgeShortfall is NOT ZERO and AUTOHEDGE IS NOT ENABLED!</t>
  </si>
  <si>
    <t>2015-1-20 18:39:8.224: TransitionLogger - flushFile - flushing file</t>
  </si>
  <si>
    <t>2015-1-20 18:39:8.225: TransitionLogger - openTransitionFile - opening file C:\temp\transitionlog_2015-01-20_153021</t>
  </si>
  <si>
    <t>2015-1-20 18:39:12.832: DirectionIndicator - notify - price/longMA/ShortMA/prevDirection are 1.5147/1.51472985956353/1.51473542145027/1</t>
  </si>
  <si>
    <t>2015-1-20 18:39:12.833: Algorithm - handleTransition - currentHedgeShortfall is NOT ZERO and AUTOHEDGE IS NOT ENABLED!</t>
  </si>
  <si>
    <t>2015-1-20 18:39:12.945: DirectionIndicator - notify - price/longMA/ShortMA/prevDirection are 1.51465/1.51471533964289/1.51470694763352/1</t>
  </si>
  <si>
    <t>2015-1-20 18:39:12.946: Algorithm - handleTransition - currentHedgeShortfall is NOT ZERO and AUTOHEDGE IS NOT ENABLED!</t>
  </si>
  <si>
    <t>2015-1-20 18:39:17.431: Algorithm - FindNextStrikes - price is 1.51465 nextStrikeUp/Down 1.515/0</t>
  </si>
  <si>
    <t>2015-1-20 18:39:17.432: Algorithm - getPortfolioForwardDelta - required deltas is -200 currentHedgePosition is 101</t>
  </si>
  <si>
    <t>2015-1-20 18:39:17.432: Algorithm - getHedgeShortfall - required deltas is -200 price is 1.51475 currentHedgePositionDeltas is 101</t>
  </si>
  <si>
    <t>2015-1-20 18:39:17.433: Algorithm - processTransitionPoint - nextUpper/LowerStrikes are 1.515/0 requiredDeltas/currentPosition/currentHedgeShortfall/direction/transitionPrice are -200/101/-301/1/1.51475</t>
  </si>
  <si>
    <t>2015-1-20 18:39:17.433: TransitionLogger - processTransitionpoint - checking transition - currentHedgeShortfall is -301</t>
  </si>
  <si>
    <t>2015-1-20 18:39:17.434: Algorithm - handleTransition - currentHedgeShortfall is NOT ZERO and AUTOHEDGE IS NOT ENABLED!</t>
  </si>
  <si>
    <t>2015-1-20 18:39:17.434: Algorithm - updatePortfolio - haveAllDetails is True</t>
  </si>
  <si>
    <t>2015-1-20 18:39:17.436: RTWSControl - updatePortfolioEx - An Error Occured Object variable or With block variable not set</t>
  </si>
  <si>
    <t>2015-1-20 18:39:17.476: Algorithm - FindNextStrikes - price is 1.51465 nextStrikeUp/Down 1.515/0</t>
  </si>
  <si>
    <t>2015-1-20 18:39:17.476: Algorithm - getPortfolioForwardDelta - required deltas is -200 currentHedgePosition is 101</t>
  </si>
  <si>
    <t>2015-1-20 18:39:17.477: Algorithm - getHedgeShortfall - required deltas is -200 price is 1.51475 currentHedgePositionDeltas is 101</t>
  </si>
  <si>
    <t>2015-1-20 18:39:17.477: Algorithm - processTransitionPoint - nextUpper/LowerStrikes are 1.515/0 requiredDeltas/currentPosition/currentHedgeShortfall/direction/transitionPrice are -200/101/-301/1/1.51475</t>
  </si>
  <si>
    <t>2015-1-20 18:39:17.478: TransitionLogger - processTransitionpoint - checking transition - currentHedgeShortfall is -301</t>
  </si>
  <si>
    <t>2015-1-20 18:39:17.478: Algorithm - handleTransition - currentHedgeShortfall is NOT ZERO and AUTOHEDGE IS NOT ENABLED!</t>
  </si>
  <si>
    <t>2015-1-20 18:39:17.479: Algorithm - updatePortfolio - haveAllDetails is True</t>
  </si>
  <si>
    <t>2015-1-20 18:39:17.480: RTWSControl - updatePortfolioEx - An Error Occured Object variable or With block variable not set</t>
  </si>
  <si>
    <t>2015-1-20 18:39:17.529: Algorithm - FindNextStrikes - price is 1.51465 nextStrikeUp/Down 1.515/0</t>
  </si>
  <si>
    <t>2015-1-20 18:39:17.529: Algorithm - getPortfolioForwardDelta - required deltas is -200 currentHedgePosition is 101</t>
  </si>
  <si>
    <t>2015-1-20 18:39:17.529: Algorithm - getHedgeShortfall - required deltas is -200 price is 1.51475 currentHedgePositionDeltas is 101</t>
  </si>
  <si>
    <t>2015-1-20 18:39:17.530: Algorithm - processTransitionPoint - nextUpper/LowerStrikes are 1.515/0 requiredDeltas/currentPosition/currentHedgeShortfall/direction/transitionPrice are -200/101/-301/1/1.51475</t>
  </si>
  <si>
    <t>2015-1-20 18:39:17.530: TransitionLogger - processTransitionpoint - checking transition - currentHedgeShortfall is -301</t>
  </si>
  <si>
    <t>2015-1-20 18:39:17.530: Algorithm - handleTransition - currentHedgeShortfall is NOT ZERO and AUTOHEDGE IS NOT ENABLED!</t>
  </si>
  <si>
    <t>2015-1-20 18:39:17.531: Algorithm - updatePortfolio - haveAllDetails is True</t>
  </si>
  <si>
    <t>2015-1-20 18:39:17.532: RTWSControl - updatePortfolioEx - An Error Occured Object variable or With block variable not set</t>
  </si>
  <si>
    <t>2015-1-20 18:39:17.582: Algorithm - FindNextStrikes - price is 1.51465 nextStrikeUp/Down 1.515/0</t>
  </si>
  <si>
    <t>2015-1-20 18:39:17.582: Algorithm - getPortfolioForwardDelta - required deltas is -200 currentHedgePosition is 101</t>
  </si>
  <si>
    <t>2015-1-20 18:39:17.582: Algorithm - getHedgeShortfall - required deltas is -200 price is 1.51475 currentHedgePositionDeltas is 101</t>
  </si>
  <si>
    <t>2015-1-20 18:39:17.583: Algorithm - processTransitionPoint - nextUpper/LowerStrikes are 1.515/0 requiredDeltas/currentPosition/currentHedgeShortfall/direction/transitionPrice are -200/101/-301/1/1.51475</t>
  </si>
  <si>
    <t>2015-1-20 18:39:17.583: TransitionLogger - processTransitionpoint - checking transition - currentHedgeShortfall is -301</t>
  </si>
  <si>
    <t>2015-1-20 18:39:17.584: Algorithm - handleTransition - currentHedgeShortfall is NOT ZERO and AUTOHEDGE IS NOT ENABLED!</t>
  </si>
  <si>
    <t>2015-1-20 18:39:17.584: Algorithm - updatePortfolio - haveAllDetails is True</t>
  </si>
  <si>
    <t>2015-1-20 18:39:17.585: RTWSControl - updatePortfolioEx - An Error Occured Object variable or With block variable not set</t>
  </si>
  <si>
    <t>2015-1-20 18:39:17.648: Algorithm - FindNextStrikes - price is 1.51465 nextStrikeUp/Down 1.515/0</t>
  </si>
  <si>
    <t>2015-1-20 18:39:17.648: Algorithm - getPortfolioForwardDelta - required deltas is -200 currentHedgePosition is 101</t>
  </si>
  <si>
    <t>2015-1-20 18:39:17.649: Algorithm - getHedgeShortfall - required deltas is -200 price is 1.51475 currentHedgePositionDeltas is 101</t>
  </si>
  <si>
    <t>2015-1-20 18:39:17.649: Algorithm - processTransitionPoint - nextUpper/LowerStrikes are 1.515/0 requiredDeltas/currentPosition/currentHedgeShortfall/direction/transitionPrice are -200/101/-301/1/1.51475</t>
  </si>
  <si>
    <t>2015-1-20 18:39:17.649: TransitionLogger - processTransitionpoint - checking transition - currentHedgeShortfall is -301</t>
  </si>
  <si>
    <t>2015-1-20 18:39:17.650: Algorithm - handleTransition - currentHedgeShortfall is NOT ZERO and AUTOHEDGE IS NOT ENABLED!</t>
  </si>
  <si>
    <t>2015-1-20 18:39:17.650: Algorithm - updatePortfolio - haveAllDetails is True</t>
  </si>
  <si>
    <t>2015-1-20 18:39:17.652: RTWSControl - updatePortfolioEx - An Error Occured Object variable or With block variable not set</t>
  </si>
  <si>
    <t>2015-1-20 18:39:17.710: Algorithm - FindNextStrikes - price is 1.51465 nextStrikeUp/Down 1.515/0</t>
  </si>
  <si>
    <t>2015-1-20 18:39:17.710: Algorithm - getPortfolioForwardDelta - required deltas is -200 currentHedgePosition is 101</t>
  </si>
  <si>
    <t>2015-1-20 18:39:17.711: Algorithm - getHedgeShortfall - required deltas is -200 price is 1.51475 currentHedgePositionDeltas is 101</t>
  </si>
  <si>
    <t>2015-1-20 18:39:17.711: Algorithm - processTransitionPoint - nextUpper/LowerStrikes are 1.515/0 requiredDeltas/currentPosition/currentHedgeShortfall/direction/transitionPrice are -200/101/-301/1/1.51475</t>
  </si>
  <si>
    <t>2015-1-20 18:39:17.711: TransitionLogger - processTransitionpoint - checking transition - currentHedgeShortfall is -301</t>
  </si>
  <si>
    <t>2015-1-20 18:39:17.712: Algorithm - handleTransition - currentHedgeShortfall is NOT ZERO and AUTOHEDGE IS NOT ENABLED!</t>
  </si>
  <si>
    <t>2015-1-20 18:39:17.712: Algorithm - updatePortfolio - haveAllDetails is True</t>
  </si>
  <si>
    <t>2015-1-20 18:39:17.714: RTWSControl - updatePortfolioEx - An Error Occured Object variable or With block variable not set</t>
  </si>
  <si>
    <t>2015-1-20 18:39:29.721: TransitionLogger - flushFile - flushing file</t>
  </si>
  <si>
    <t>2015-1-20 18:39:29.722: TransitionLogger - openTransitionFile - opening file C:\temp\transitionlog_2015-01-20_153021</t>
  </si>
  <si>
    <t>2015-1-20 18:40:8.797: TransitionLogger - flushFile - flushing file</t>
  </si>
  <si>
    <t>2015-1-20 18:40:8.798: TransitionLogger - openTransitionFile - opening file C:\temp\transitionlog_2015-01-20_153021</t>
  </si>
  <si>
    <t>2015-1-20 18:40:12.545: DirectionIndicator - notify - price/longMA/ShortMA/prevDirection are 1.5147/1.51471255061691/1.51470463175568/1</t>
  </si>
  <si>
    <t>2015-1-20 18:40:12.546: Algorithm - handleTransition - currentHedgeShortfall is NOT ZERO and AUTOHEDGE IS NOT ENABLED!</t>
  </si>
  <si>
    <t>2015-1-20 18:40:12.620: DirectionIndicator - notify - price/longMA/ShortMA/prevDirection are 1.51475/1.51471935959565/1.51471975450378/1</t>
  </si>
  <si>
    <t>2015-1-20 18:40:12.621: Algorithm - handleTransition - currentHedgeShortfall is NOT ZERO and AUTOHEDGE IS NOT ENABLED!</t>
  </si>
  <si>
    <t>2015-1-20 18:40:13.689: DirectionIndicator - notify - price/longMA/ShortMA/prevDirection are 1.5148/1.51473402148735/1.51474650300252/1</t>
  </si>
  <si>
    <t>2015-1-20 18:40:13.689: Algorithm - handleTransition - currentHedgeShortfall is NOT ZERO and AUTOHEDGE IS NOT ENABLED!</t>
  </si>
  <si>
    <t>2015-1-20 18:40:13.767: DirectionIndicator - notify - price/longMA/ShortMA/prevDirection are 1.51485/1.51475510848965/1.51478100200168/1</t>
  </si>
  <si>
    <t>2015-1-20 18:40:13.768: Algorithm - handleTransition - currentHedgeShortfall is NOT ZERO and AUTOHEDGE IS NOT ENABLED!</t>
  </si>
  <si>
    <t>2015-1-20 18:40:16.809: DirectionIndicator - notify - price/longMA/ShortMA/prevDirection are 1.5148/1.51476327058244/1.51478733466779/1</t>
  </si>
  <si>
    <t>2015-1-20 18:40:16.810: Algorithm - handleTransition - currentHedgeShortfall is NOT ZERO and AUTOHEDGE IS NOT ENABLED!</t>
  </si>
  <si>
    <t>2015-1-20 18:40:29.657: TransitionLogger - flushFile - flushing file</t>
  </si>
  <si>
    <t>2015-1-20 18:40:29.658: TransitionLogger - openTransitionFile - opening file C:\temp\transitionlog_2015-01-20_153021</t>
  </si>
  <si>
    <t>2015-1-20 18:40:34.188: DirectionIndicator - notify - price/longMA/ShortMA/prevDirection are 1.51475/1.51476085774927/1.51477488977853/1</t>
  </si>
  <si>
    <t>2015-1-20 18:40:34.188: Algorithm - handleTransition - currentHedgeShortfall is NOT ZERO and AUTOHEDGE IS NOT ENABLED!</t>
  </si>
  <si>
    <t>2015-1-20 18:40:53.226: DirectionIndicator - notify - price/longMA/ShortMA/prevDirection are 1.5148/1.51476797452213/1.51478325985235/1</t>
  </si>
  <si>
    <t>2015-1-20 18:40:53.227: Algorithm - handleTransition - currentHedgeShortfall is NOT ZERO and AUTOHEDGE IS NOT ENABLED!</t>
  </si>
  <si>
    <t>2015-1-20 18:40:54.62: DirectionIndicator - notify - price/longMA/ShortMA/prevDirection are 1.51485/1.51478288824538/1.51480550656823/1</t>
  </si>
  <si>
    <t>2015-1-20 18:40:54.63: Algorithm - handleTransition - currentHedgeShortfall is NOT ZERO and AUTOHEDGE IS NOT ENABLED!</t>
  </si>
  <si>
    <t>2015-1-20 18:40:59.854: DirectionIndicator - notify - price/longMA/ShortMA/prevDirection are 1.5149/1.51480418129167/1.51483700437882/1</t>
  </si>
  <si>
    <t>2015-1-20 18:40:59.855: Algorithm - handleTransition - currentHedgeShortfall is NOT ZERO and AUTOHEDGE IS NOT ENABLED!</t>
  </si>
  <si>
    <t>2015-1-20 18:41:8.219: TransitionLogger - flushFile - flushing file</t>
  </si>
  <si>
    <t>2015-1-20 18:41:8.220: TransitionLogger - openTransitionFile - opening file C:\temp\transitionlog_2015-01-20_153021</t>
  </si>
  <si>
    <t>2015-1-20 18:41:18.907: DirectionIndicator - notify - price/longMA/ShortMA/prevDirection are 1.51495/1.5148306937841/1.51487466958588/1</t>
  </si>
  <si>
    <t>2015-1-20 18:41:18.908: Algorithm - handleTransition - currentHedgeShortfall is NOT ZERO and AUTOHEDGE IS NOT ENABLED!</t>
  </si>
  <si>
    <t>2015-1-20 18:41:20.983: DirectionIndicator - notify - price/longMA/ShortMA/prevDirection are 1.5149/1.51484329491426/1.51488311305725/1</t>
  </si>
  <si>
    <t>2015-1-20 18:41:20.984: Algorithm - handleTransition - currentHedgeShortfall is NOT ZERO and AUTOHEDGE IS NOT ENABLED!</t>
  </si>
  <si>
    <t>2015-1-20 18:41:24.191: DirectionIndicator - notify - price/longMA/ShortMA/prevDirection are 1.51485/1.51484451402076/1.5148720753715/1</t>
  </si>
  <si>
    <t>2015-1-20 18:41:24.194: Algorithm - handleTransition - currentHedgeShortfall is NOT ZERO and AUTOHEDGE IS NOT ENABLED!</t>
  </si>
  <si>
    <t>2015-1-20 18:41:29.666: TransitionLogger - flushFile - flushing file</t>
  </si>
  <si>
    <t>2015-1-20 18:41:29.667: TransitionLogger - openTransitionFile - opening file C:\temp\transitionlog_2015-01-20_153021</t>
  </si>
  <si>
    <t>2015-1-20 18:42:8.607: TransitionLogger - flushFile - flushing file</t>
  </si>
  <si>
    <t>2015-1-20 18:42:8.608: TransitionLogger - openTransitionFile - opening file C:\temp\transitionlog_2015-01-20_153021</t>
  </si>
  <si>
    <t>2015-1-20 18:42:16.995: Algorithm - FindNextStrikes - price is 1.51485 nextStrikeUp/Down 1.515/0</t>
  </si>
  <si>
    <t>2015-1-20 18:42:16.995: Algorithm - getPortfolioForwardDelta - required deltas is -200 currentHedgePosition is 101</t>
  </si>
  <si>
    <t>2015-1-20 18:42:16.996: Algorithm - getHedgeShortfall - required deltas is -200 price is 1.51495 currentHedgePositionDeltas is 101</t>
  </si>
  <si>
    <t>2015-1-20 18:42:16.996: Algorithm - processTransitionPoint - nextUpper/LowerStrikes are 1.515/0 requiredDeltas/currentPosition/currentHedgeShortfall/direction/transitionPrice are -200/101/-301/1/1.51495</t>
  </si>
  <si>
    <t>2015-1-20 18:42:16.997: TransitionLogger - processTransitionpoint - checking transition - currentHedgeShortfall is -301</t>
  </si>
  <si>
    <t>2015-1-20 18:42:16.997: Algorithm - handleTransition - currentHedgeShortfall is NOT ZERO and AUTOHEDGE IS NOT ENABLED!</t>
  </si>
  <si>
    <t>2015-1-20 18:42:16.998: Algorithm - updatePortfolio - haveAllDetails is True</t>
  </si>
  <si>
    <t>2015-1-20 18:42:16.999: RTWSControl - updatePortfolioEx - An Error Occured Object variable or With block variable not set</t>
  </si>
  <si>
    <t>2015-1-20 18:42:17.41: Algorithm - FindNextStrikes - price is 1.51485 nextStrikeUp/Down 1.515/0</t>
  </si>
  <si>
    <t>2015-1-20 18:42:17.41: Algorithm - getPortfolioForwardDelta - required deltas is -200 currentHedgePosition is 101</t>
  </si>
  <si>
    <t>2015-1-20 18:42:17.42: Algorithm - getHedgeShortfall - required deltas is -200 price is 1.51495 currentHedgePositionDeltas is 101</t>
  </si>
  <si>
    <t>2015-1-20 18:42:17.42: Algorithm - processTransitionPoint - nextUpper/LowerStrikes are 1.515/0 requiredDeltas/currentPosition/currentHedgeShortfall/direction/transitionPrice are -200/101/-301/1/1.51495</t>
  </si>
  <si>
    <t>2015-1-20 18:42:17.42: TransitionLogger - processTransitionpoint - checking transition - currentHedgeShortfall is -301</t>
  </si>
  <si>
    <t>2015-1-20 18:42:17.43: Algorithm - handleTransition - currentHedgeShortfall is NOT ZERO and AUTOHEDGE IS NOT ENABLED!</t>
  </si>
  <si>
    <t>2015-1-20 18:42:17.44: Algorithm - updatePortfolio - haveAllDetails is True</t>
  </si>
  <si>
    <t>2015-1-20 18:42:17.45: RTWSControl - updatePortfolioEx - An Error Occured Object variable or With block variable not set</t>
  </si>
  <si>
    <t>2015-1-20 18:42:17.112: Algorithm - FindNextStrikes - price is 1.51485 nextStrikeUp/Down 1.515/0</t>
  </si>
  <si>
    <t>2015-1-20 18:42:17.112: Algorithm - getPortfolioForwardDelta - required deltas is -200 currentHedgePosition is 101</t>
  </si>
  <si>
    <t>2015-1-20 18:42:17.113: Algorithm - getHedgeShortfall - required deltas is -200 price is 1.51495 currentHedgePositionDeltas is 101</t>
  </si>
  <si>
    <t>2015-1-20 18:42:17.113: Algorithm - processTransitionPoint - nextUpper/LowerStrikes are 1.515/0 requiredDeltas/currentPosition/currentHedgeShortfall/direction/transitionPrice are -200/101/-301/1/1.51495</t>
  </si>
  <si>
    <t>2015-1-20 18:42:17.113: TransitionLogger - processTransitionpoint - checking transition - currentHedgeShortfall is -301</t>
  </si>
  <si>
    <t>2015-1-20 18:42:17.114: Algorithm - handleTransition - currentHedgeShortfall is NOT ZERO and AUTOHEDGE IS NOT ENABLED!</t>
  </si>
  <si>
    <t>2015-1-20 18:42:17.114: Algorithm - updatePortfolio - haveAllDetails is True</t>
  </si>
  <si>
    <t>2015-1-20 18:42:17.116: RTWSControl - updatePortfolioEx - An Error Occured Object variable or With block variable not set</t>
  </si>
  <si>
    <t>2015-1-20 18:42:17.172: Algorithm - FindNextStrikes - price is 1.51485 nextStrikeUp/Down 1.515/0</t>
  </si>
  <si>
    <t>2015-1-20 18:42:17.173: Algorithm - getPortfolioForwardDelta - required deltas is -200 currentHedgePosition is 101</t>
  </si>
  <si>
    <t>2015-1-20 18:42:17.173: Algorithm - getHedgeShortfall - required deltas is -200 price is 1.51495 currentHedgePositionDeltas is 101</t>
  </si>
  <si>
    <t>2015-1-20 18:42:17.173: Algorithm - processTransitionPoint - nextUpper/LowerStrikes are 1.515/0 requiredDeltas/currentPosition/currentHedgeShortfall/direction/transitionPrice are -200/101/-301/1/1.51495</t>
  </si>
  <si>
    <t>2015-1-20 18:42:17.174: TransitionLogger - processTransitionpoint - checking transition - currentHedgeShortfall is -301</t>
  </si>
  <si>
    <t>2015-1-20 18:42:17.174: Algorithm - handleTransition - currentHedgeShortfall is NOT ZERO and AUTOHEDGE IS NOT ENABLED!</t>
  </si>
  <si>
    <t>2015-1-20 18:42:17.175: Algorithm - updatePortfolio - haveAllDetails is True</t>
  </si>
  <si>
    <t>2015-1-20 18:42:17.176: RTWSControl - updatePortfolioEx - An Error Occured Object variable or With block variable not set</t>
  </si>
  <si>
    <t>2015-1-20 18:42:17.219: Algorithm - FindNextStrikes - price is 1.51485 nextStrikeUp/Down 1.515/0</t>
  </si>
  <si>
    <t>2015-1-20 18:42:17.219: Algorithm - getPortfolioForwardDelta - required deltas is -200 currentHedgePosition is 101</t>
  </si>
  <si>
    <t>2015-1-20 18:42:17.220: Algorithm - getHedgeShortfall - required deltas is -200 price is 1.51495 currentHedgePositionDeltas is 101</t>
  </si>
  <si>
    <t>2015-1-20 18:42:17.220: Algorithm - processTransitionPoint - nextUpper/LowerStrikes are 1.515/0 requiredDeltas/currentPosition/currentHedgeShortfall/direction/transitionPrice are -200/101/-301/1/1.51495</t>
  </si>
  <si>
    <t>2015-1-20 18:42:17.221: TransitionLogger - processTransitionpoint - checking transition - currentHedgeShortfall is -301</t>
  </si>
  <si>
    <t>2015-1-20 18:42:17.221: Algorithm - handleTransition - currentHedgeShortfall is NOT ZERO and AUTOHEDGE IS NOT ENABLED!</t>
  </si>
  <si>
    <t>2015-1-20 18:42:17.222: Algorithm - updatePortfolio - haveAllDetails is True</t>
  </si>
  <si>
    <t>2015-1-20 18:42:17.223: RTWSControl - updatePortfolioEx - An Error Occured Object variable or With block variable not set</t>
  </si>
  <si>
    <t>2015-1-20 18:42:17.286: Algorithm - FindNextStrikes - price is 1.51485 nextStrikeUp/Down 1.515/0</t>
  </si>
  <si>
    <t>2015-1-20 18:42:17.287: Algorithm - getPortfolioForwardDelta - required deltas is -200 currentHedgePosition is 101</t>
  </si>
  <si>
    <t>2015-1-20 18:42:17.287: Algorithm - getHedgeShortfall - required deltas is -200 price is 1.51495 currentHedgePositionDeltas is 101</t>
  </si>
  <si>
    <t>2015-1-20 18:42:17.287: Algorithm - processTransitionPoint - nextUpper/LowerStrikes are 1.515/0 requiredDeltas/currentPosition/currentHedgeShortfall/direction/transitionPrice are -200/101/-301/1/1.51495</t>
  </si>
  <si>
    <t>2015-1-20 18:42:17.288: TransitionLogger - processTransitionpoint - checking transition - currentHedgeShortfall is -301</t>
  </si>
  <si>
    <t>2015-1-20 18:42:17.288: Algorithm - handleTransition - currentHedgeShortfall is NOT ZERO and AUTOHEDGE IS NOT ENABLED!</t>
  </si>
  <si>
    <t>2015-1-20 18:42:17.289: Algorithm - updatePortfolio - haveAllDetails is True</t>
  </si>
  <si>
    <t>2015-1-20 18:42:17.290: RTWSControl - updatePortfolioEx - An Error Occured Object variable or With block variable not set</t>
  </si>
  <si>
    <t>2015-1-20 18:42:22.864: DirectionIndicator - notify - price/longMA/ShortMA/prevDirection are 1.5148/1.51483642056244/1.51484805024767/1</t>
  </si>
  <si>
    <t>2015-1-20 18:42:22.865: Algorithm - handleTransition - currentHedgeShortfall is NOT ZERO and AUTOHEDGE IS NOT ENABLED!</t>
  </si>
  <si>
    <t>2015-1-20 18:42:22.917: DirectionIndicator - notify - price/longMA/ShortMA/prevDirection are 1.51475/1.51482070773291/1.51481536683178/1</t>
  </si>
  <si>
    <t>2015-1-20 18:42:22.918: Algorithm - handleTransition - currentHedgeShortfall is NOT ZERO and AUTOHEDGE IS NOT ENABLED!</t>
  </si>
  <si>
    <t>2015-1-20 18:42:23.120: DirectionIndicator - notify - price/longMA/ShortMA/prevDirection are 1.5148/1.51481694269056/1.51481024455452/1</t>
  </si>
  <si>
    <t>2015-1-20 18:42:23.121: Algorithm - handleTransition - currentHedgeShortfall is NOT ZERO and AUTOHEDGE IS NOT ENABLED!</t>
  </si>
  <si>
    <t>2015-1-20 18:42:26.64: DirectionIndicator - notify - price/longMA/ShortMA/prevDirection are 1.51485/1.51482295311046/1.51482349636968/1</t>
  </si>
  <si>
    <t>2015-1-20 18:42:26.66: Algorithm - handleTransition - currentHedgeShortfall is NOT ZERO and AUTOHEDGE IS NOT ENABLED!</t>
  </si>
  <si>
    <t>2015-1-20 18:42:27.698: DirectionIndicator - notify - price/longMA/ShortMA/prevDirection are 1.5148/1.51481877981765/1.51481566424645/1</t>
  </si>
  <si>
    <t>2015-1-20 18:42:27.699: Algorithm - handleTransition - currentHedgeShortfall is NOT ZERO and AUTOHEDGE IS NOT ENABLED!</t>
  </si>
  <si>
    <t>2015-1-20 18:42:27.747: DirectionIndicator - notify - price/longMA/ShortMA/prevDirection are 1.51475/1.51480627439626/1.5147937761643/1</t>
  </si>
  <si>
    <t>2015-1-20 18:42:27.747: Algorithm - handleTransition - currentHedgeShortfall is NOT ZERO and AUTOHEDGE IS NOT ENABLED!</t>
  </si>
  <si>
    <t>2015-1-20 18:42:29.44: TransitionLogger - flushFile - flushing file</t>
  </si>
  <si>
    <t>2015-1-20 18:42:29.45: TransitionLogger - openTransitionFile - opening file C:\temp\transitionlog_2015-01-20_153021</t>
  </si>
  <si>
    <t>2015-1-20 18:42:44.887: DirectionIndicator - notify - price/longMA/ShortMA/prevDirection are 1.5148/1.51480513359694/1.5147958507762/1</t>
  </si>
  <si>
    <t>2015-1-20 18:42:44.888: Algorithm - handleTransition - currentHedgeShortfall is NOT ZERO and AUTOHEDGE IS NOT ENABLED!</t>
  </si>
  <si>
    <t>2015-1-20 18:42:44.957: DirectionIndicator - notify - price/longMA/ShortMA/prevDirection are 1.51485/1.51481329112477/1.51481390051747/1</t>
  </si>
  <si>
    <t>2015-1-20 18:42:44.958: Algorithm - handleTransition - currentHedgeShortfall is NOT ZERO and AUTOHEDGE IS NOT ENABLED!</t>
  </si>
  <si>
    <t>2015-1-20 18:43:8.506: TransitionLogger - flushFile - flushing file</t>
  </si>
  <si>
    <t>2015-1-20 18:43:8.507: TransitionLogger - openTransitionFile - opening file C:\temp\transitionlog_2015-01-20_153021</t>
  </si>
  <si>
    <t>2015-1-20 18:43:29.477: TransitionLogger - flushFile - flushing file</t>
  </si>
  <si>
    <t>2015-1-20 18:43:29.478: TransitionLogger - openTransitionFile - opening file C:\temp\transitionlog_2015-01-20_153021</t>
  </si>
  <si>
    <t>2015-1-20 18:43:33.909: DirectionIndicator - notify - price/longMA/ShortMA/prevDirection are 1.5149/1.51482905637481/1.51484260034498/1</t>
  </si>
  <si>
    <t>2015-1-20 18:43:33.910: Algorithm - handleTransition - currentHedgeShortfall is NOT ZERO and AUTOHEDGE IS NOT ENABLED!</t>
  </si>
  <si>
    <t>2015-1-20 18:43:33.955: DirectionIndicator - notify - price/longMA/ShortMA/prevDirection are 1.51495/1.51485104612484/1.51487840022999/1</t>
  </si>
  <si>
    <t>2015-1-20 18:43:33.956: Algorithm - handleTransition - currentHedgeShortfall is NOT ZERO and AUTOHEDGE IS NOT ENABLED!</t>
  </si>
  <si>
    <t>2015-1-20 18:43:39.195: DirectionIndicator - notify - price/longMA/ShortMA/prevDirection are 1.5149/1.51485994682942/1.51488560015332/1</t>
  </si>
  <si>
    <t>2015-1-20 18:43:39.196: Algorithm - handleTransition - currentHedgeShortfall is NOT ZERO and AUTOHEDGE IS NOT ENABLED!</t>
  </si>
  <si>
    <t>2015-1-20 18:43:40.915: DirectionIndicator - notify - price/longMA/ShortMA/prevDirection are 1.51495/1.51487632013316/1.51490706676888/1</t>
  </si>
  <si>
    <t>2015-1-20 18:43:40.917: Algorithm - handleTransition - currentHedgeShortfall is NOT ZERO and AUTOHEDGE IS NOT ENABLED!</t>
  </si>
  <si>
    <t>2015-1-20 18:43:42.915: DirectionIndicator - notify - price/longMA/ShortMA/prevDirection are 1.5149/1.51488062556349/1.51490471117925/1</t>
  </si>
  <si>
    <t>2015-1-20 18:43:42.916: Algorithm - handleTransition - currentHedgeShortfall is NOT ZERO and AUTOHEDGE IS NOT ENABLED!</t>
  </si>
  <si>
    <t>2015-1-20 18:43:48.934: DirectionIndicator - notify - price/longMA/ShortMA/prevDirection are 1.51485/1.51487505727922/1.5148864741195/1</t>
  </si>
  <si>
    <t>2015-1-20 18:43:48.936: Algorithm - handleTransition - currentHedgeShortfall is NOT ZERO and AUTOHEDGE IS NOT ENABLED!</t>
  </si>
  <si>
    <t>2015-1-20 18:44:8.215: TransitionLogger - flushFile - flushing file</t>
  </si>
  <si>
    <t>2015-1-20 18:44:8.216: TransitionLogger - openTransitionFile - opening file C:\temp\transitionlog_2015-01-20_153021</t>
  </si>
  <si>
    <t>2015-1-20 18:44:8.578: DirectionIndicator - notify - price/longMA/ShortMA/prevDirection are 1.5149/1.51487959231936/1.51489098274634/1</t>
  </si>
  <si>
    <t>2015-1-20 18:44:8.579: Algorithm - handleTransition - currentHedgeShortfall is NOT ZERO and AUTOHEDGE IS NOT ENABLED!</t>
  </si>
  <si>
    <t>2015-1-20 18:44:8.632: DirectionIndicator - notify - price/longMA/ShortMA/prevDirection are 1.51495/1.51489239371584/1.51491065516422/1</t>
  </si>
  <si>
    <t>2015-1-20 18:44:8.633: Algorithm - handleTransition - currentHedgeShortfall is NOT ZERO and AUTOHEDGE IS NOT ENABLED!</t>
  </si>
  <si>
    <t>2015-1-20 18:44:29.227: TransitionLogger - flushFile - flushing file</t>
  </si>
  <si>
    <t>2015-1-20 18:44:29.228: TransitionLogger - openTransitionFile - opening file C:\temp\transitionlog_2015-01-20_153021</t>
  </si>
  <si>
    <t>2015-1-20 18:44:55.586: Algorithm - FindNextStrikes - price is 1.51495 nextStrikeUp/Down 1.515/0</t>
  </si>
  <si>
    <t>2015-1-20 18:44:55.587: Algorithm - getPortfolioForwardDelta - required deltas is 100 currentHedgePosition is 101</t>
  </si>
  <si>
    <t>2015-1-20 18:44:55.587: Algorithm - getHedgeShortfall - required deltas is 100 price is 1.51505 currentHedgePositionDeltas is 101</t>
  </si>
  <si>
    <t>2015-1-20 18:44:55.588: Algorithm - processTransitionPoint - nextUpper/LowerStrikes are 1.515/0 requiredDeltas/currentPosition/currentHedgeShortfall/direction/transitionPrice are 100/101/-1/1/1.51505</t>
  </si>
  <si>
    <t>2015-1-20 18:44:55.588: TransitionLogger - processTransitionpoint - checking transition - currentHedgeShortfall is -1</t>
  </si>
  <si>
    <t>2015-1-20 18:44:55.589: Algorithm - handleTransition - currentHedgeShortfall is NOT ZERO and AUTOHEDGE IS NOT ENABLED!</t>
  </si>
  <si>
    <t>2015-1-20 18:44:55.589: Algorithm - updatePortfolio - haveAllDetails is True</t>
  </si>
  <si>
    <t>2015-1-20 18:44:55.591: RTWSControl - updatePortfolioEx - An Error Occured Object variable or With block variable not set</t>
  </si>
  <si>
    <t>2015-1-20 18:44:55.631: Algorithm - FindNextStrikes - price is 1.51495 nextStrikeUp/Down 1.515/0</t>
  </si>
  <si>
    <t>2015-1-20 18:44:55.633: Algorithm - getPortfolioForwardDelta - required deltas is 100 currentHedgePosition is 101</t>
  </si>
  <si>
    <t>2015-1-20 18:44:55.633: Algorithm - getHedgeShortfall - required deltas is 100 price is 1.51505 currentHedgePositionDeltas is 101</t>
  </si>
  <si>
    <t>2015-1-20 18:44:55.633: Algorithm - processTransitionPoint - nextUpper/LowerStrikes are 1.515/0 requiredDeltas/currentPosition/currentHedgeShortfall/direction/transitionPrice are 100/101/-1/1/1.51505</t>
  </si>
  <si>
    <t>2015-1-20 18:44:55.634: TransitionLogger - processTransitionpoint - checking transition - currentHedgeShortfall is -1</t>
  </si>
  <si>
    <t>2015-1-20 18:44:55.634: Algorithm - handleTransition - currentHedgeShortfall is NOT ZERO and AUTOHEDGE IS NOT ENABLED!</t>
  </si>
  <si>
    <t>2015-1-20 18:44:55.635: Algorithm - updatePortfolio - haveAllDetails is True</t>
  </si>
  <si>
    <t>2015-1-20 18:44:55.636: RTWSControl - updatePortfolioEx - An Error Occured Object variable or With block variable not set</t>
  </si>
  <si>
    <t>2015-1-20 18:44:55.704: Algorithm - FindNextStrikes - price is 1.51495 nextStrikeUp/Down 1.515/0</t>
  </si>
  <si>
    <t>2015-1-20 18:44:55.704: Algorithm - getPortfolioForwardDelta - required deltas is 100 currentHedgePosition is 101</t>
  </si>
  <si>
    <t>2015-1-20 18:44:55.705: Algorithm - getHedgeShortfall - required deltas is 100 price is 1.51505 currentHedgePositionDeltas is 101</t>
  </si>
  <si>
    <t>2015-1-20 18:44:55.705: Algorithm - processTransitionPoint - nextUpper/LowerStrikes are 1.515/0 requiredDeltas/currentPosition/currentHedgeShortfall/direction/transitionPrice are 100/101/-1/1/1.51505</t>
  </si>
  <si>
    <t>2015-1-20 18:44:55.705: TransitionLogger - processTransitionpoint - checking transition - currentHedgeShortfall is -1</t>
  </si>
  <si>
    <t>2015-1-20 18:44:55.706: Algorithm - handleTransition - currentHedgeShortfall is NOT ZERO and AUTOHEDGE IS NOT ENABLED!</t>
  </si>
  <si>
    <t>2015-1-20 18:44:55.707: Algorithm - updatePortfolio - haveAllDetails is True</t>
  </si>
  <si>
    <t>2015-1-20 18:44:55.708: RTWSControl - updatePortfolioEx - An Error Occured Object variable or With block variable not set</t>
  </si>
  <si>
    <t>2015-1-20 18:44:55.764: Algorithm - FindNextStrikes - price is 1.51495 nextStrikeUp/Down 1.515/0</t>
  </si>
  <si>
    <t>2015-1-20 18:44:55.765: Algorithm - getPortfolioForwardDelta - required deltas is 100 currentHedgePosition is 101</t>
  </si>
  <si>
    <t>2015-1-20 18:44:55.765: Algorithm - getHedgeShortfall - required deltas is 100 price is 1.51505 currentHedgePositionDeltas is 101</t>
  </si>
  <si>
    <t>2015-1-20 18:44:55.766: Algorithm - processTransitionPoint - nextUpper/LowerStrikes are 1.515/0 requiredDeltas/currentPosition/currentHedgeShortfall/direction/transitionPrice are 100/101/-1/1/1.51505</t>
  </si>
  <si>
    <t>2015-1-20 18:44:55.766: TransitionLogger - processTransitionpoint - checking transition - currentHedgeShortfall is -1</t>
  </si>
  <si>
    <t>2015-1-20 18:44:55.766: Algorithm - handleTransition - currentHedgeShortfall is NOT ZERO and AUTOHEDGE IS NOT ENABLED!</t>
  </si>
  <si>
    <t>2015-1-20 18:44:55.767: Algorithm - updatePortfolio - haveAllDetails is True</t>
  </si>
  <si>
    <t>2015-1-20 18:44:55.768: RTWSControl - updatePortfolioEx - An Error Occured Object variable or With block variable not set</t>
  </si>
  <si>
    <t>2015-1-20 18:44:55.810: Algorithm - FindNextStrikes - price is 1.51495 nextStrikeUp/Down 1.515/0</t>
  </si>
  <si>
    <t>2015-1-20 18:44:55.811: Algorithm - getPortfolioForwardDelta - required deltas is 100 currentHedgePosition is 101</t>
  </si>
  <si>
    <t>2015-1-20 18:44:55.811: Algorithm - getHedgeShortfall - required deltas is 100 price is 1.51505 currentHedgePositionDeltas is 101</t>
  </si>
  <si>
    <t>2015-1-20 18:44:55.811: Algorithm - processTransitionPoint - nextUpper/LowerStrikes are 1.515/0 requiredDeltas/currentPosition/currentHedgeShortfall/direction/transitionPrice are 100/101/-1/1/1.51505</t>
  </si>
  <si>
    <t>2015-1-20 18:44:55.812: TransitionLogger - processTransitionpoint - checking transition - currentHedgeShortfall is -1</t>
  </si>
  <si>
    <t>2015-1-20 18:44:55.812: Algorithm - handleTransition - currentHedgeShortfall is NOT ZERO and AUTOHEDGE IS NOT ENABLED!</t>
  </si>
  <si>
    <t>2015-1-20 18:44:55.813: Algorithm - updatePortfolio - haveAllDetails is True</t>
  </si>
  <si>
    <t>2015-1-20 18:44:55.814: RTWSControl - updatePortfolioEx - An Error Occured Object variable or With block variable not set</t>
  </si>
  <si>
    <t>2015-1-20 18:44:55.877: Algorithm - FindNextStrikes - price is 1.51495 nextStrikeUp/Down 1.515/0</t>
  </si>
  <si>
    <t>2015-1-20 18:44:55.878: Algorithm - getPortfolioForwardDelta - required deltas is 100 currentHedgePosition is 101</t>
  </si>
  <si>
    <t>2015-1-20 18:44:55.878: Algorithm - getHedgeShortfall - required deltas is 100 price is 1.51505 currentHedgePositionDeltas is 101</t>
  </si>
  <si>
    <t>2015-1-20 18:44:55.878: Algorithm - processTransitionPoint - nextUpper/LowerStrikes are 1.515/0 requiredDeltas/currentPosition/currentHedgeShortfall/direction/transitionPrice are 100/101/-1/1/1.51505</t>
  </si>
  <si>
    <t>2015-1-20 18:44:55.879: TransitionLogger - processTransitionpoint - checking transition - currentHedgeShortfall is -1</t>
  </si>
  <si>
    <t>2015-1-20 18:44:55.879: Algorithm - handleTransition - currentHedgeShortfall is NOT ZERO and AUTOHEDGE IS NOT ENABLED!</t>
  </si>
  <si>
    <t>2015-1-20 18:44:55.880: Algorithm - updatePortfolio - haveAllDetails is True</t>
  </si>
  <si>
    <t>2015-1-20 18:44:55.881: RTWSControl - updatePortfolioEx - An Error Occured Object variable or With block variable not set</t>
  </si>
  <si>
    <t>2015-1-20 18:45:8.217: TransitionLogger - flushFile - flushing file</t>
  </si>
  <si>
    <t>2015-1-20 18:45:8.218: TransitionLogger - openTransitionFile - opening file C:\temp\transitionlog_2015-01-20_153021</t>
  </si>
  <si>
    <t>2015-1-20 18:45:29.289: TransitionLogger - flushFile - flushing file</t>
  </si>
  <si>
    <t>2015-1-20 18:45:29.290: TransitionLogger - openTransitionFile - opening file C:\temp\transitionlog_2015-01-20_153021</t>
  </si>
  <si>
    <t>2015-1-20 18:45:57.422: DirectionIndicator - notify - price/longMA/ShortMA/prevDirection are 1.5149/1.5148937766766/1.51490710344282/1</t>
  </si>
  <si>
    <t>2015-1-20 18:45:57.423: Algorithm - handleTransition - currentHedgeShortfall is NOT ZERO and AUTOHEDGE IS NOT ENABLED!</t>
  </si>
  <si>
    <t>2015-1-20 18:45:57.471: DirectionIndicator - notify - price/longMA/ShortMA/prevDirection are 1.51485/1.51488581728085/1.51488806896188/1</t>
  </si>
  <si>
    <t>2015-1-20 18:45:57.473: Algorithm - handleTransition - currentHedgeShortfall is NOT ZERO and AUTOHEDGE IS NOT ENABLED!</t>
  </si>
  <si>
    <t>2015-1-20 18:45:58.227: DirectionIndicator - notify - price/longMA/ShortMA/prevDirection are 1.5149/1.51488839595706/1.51489204597458/1</t>
  </si>
  <si>
    <t>2015-1-20 18:45:58.229: Algorithm - handleTransition - currentHedgeShortfall is NOT ZERO and AUTOHEDGE IS NOT ENABLED!</t>
  </si>
  <si>
    <t>2015-1-20 18:46:0.533: DirectionIndicator - notify - price/longMA/ShortMA/prevDirection are 1.51485/1.51488141487396/1.51487803064972/1</t>
  </si>
  <si>
    <t>2015-1-20 18:46:0.535: Algorithm - handleTransition - currentHedgeShortfall is NOT ZERO and AUTOHEDGE IS NOT ENABLED!</t>
  </si>
  <si>
    <t>2015-1-20 18:46:8.211: TransitionLogger - flushFile - flushing file</t>
  </si>
  <si>
    <t>2015-1-20 18:46:8.213: TransitionLogger - openTransitionFile - opening file C:\temp\transitionlog_2015-01-20_153021</t>
  </si>
  <si>
    <t>2015-1-20 18:46:8.864: DirectionIndicator - notify - price/longMA/ShortMA/prevDirection are 1.5149/1.51488479398779/1.51488535376648/1</t>
  </si>
  <si>
    <t>2015-1-20 18:46:8.866: Algorithm - handleTransition - currentHedgeShortfall is NOT ZERO and AUTOHEDGE IS NOT ENABLED!</t>
  </si>
  <si>
    <t>2015-1-20 18:46:8.962: DirectionIndicator - notify - price/longMA/ShortMA/prevDirection are 1.51495/1.51489664962637/1.51490690251099/1</t>
  </si>
  <si>
    <t>2015-1-20 18:46:8.963: Algorithm - handleTransition - currentHedgeShortfall is NOT ZERO and AUTOHEDGE IS NOT ENABLED!</t>
  </si>
  <si>
    <t>2015-1-20 18:46:13.978: DirectionIndicator - notify - price/longMA/ShortMA/prevDirection are 1.5149/1.51489725878521/1.51490460167399/1</t>
  </si>
  <si>
    <t>2015-1-20 18:46:13.981: Algorithm - handleTransition - currentHedgeShortfall is NOT ZERO and AUTOHEDGE IS NOT ENABLED!</t>
  </si>
  <si>
    <t>2015-1-20 18:46:14.86: DirectionIndicator - notify - price/longMA/ShortMA/prevDirection are 1.51485/1.51488866627881/1.51488640111599/1</t>
  </si>
  <si>
    <t>2015-1-20 18:46:14.87: Algorithm - handleTransition - currentHedgeShortfall is NOT ZERO and AUTOHEDGE IS NOT ENABLED!</t>
  </si>
  <si>
    <t>2015-1-20 18:46:25.256: DirectionIndicator - notify - price/longMA/ShortMA/prevDirection are 1.5149/1.51489072695539/1.51489093407733/1</t>
  </si>
  <si>
    <t>2015-1-20 18:46:25.257: Algorithm - handleTransition - currentHedgeShortfall is NOT ZERO and AUTOHEDGE IS NOT ENABLED!</t>
  </si>
  <si>
    <t>2015-1-20 18:46:25.593: DirectionIndicator - notify - price/longMA/ShortMA/prevDirection are 1.51495/1.51490150387259/1.51491062271822/1</t>
  </si>
  <si>
    <t>2015-1-20 18:46:25.595: Algorithm - handleTransition - currentHedgeShortfall is NOT ZERO and AUTOHEDGE IS NOT ENABLED!</t>
  </si>
  <si>
    <t>2015-1-20 18:46:28.253: DirectionIndicator - notify - price/longMA/ShortMA/prevDirection are 1.5149/1.51490123044121/1.51490708181215/1</t>
  </si>
  <si>
    <t>2015-1-20 18:46:28.254: Algorithm - handleTransition - currentHedgeShortfall is NOT ZERO and AUTOHEDGE IS NOT ENABLED!</t>
  </si>
  <si>
    <t>2015-1-20 18:46:28.331: DirectionIndicator - notify - price/longMA/ShortMA/prevDirection are 1.51485/1.51489191581554/1.51488805454143/1</t>
  </si>
  <si>
    <t>2015-1-20 18:46:28.331: Algorithm - handleTransition - currentHedgeShortfall is NOT ZERO and AUTOHEDGE IS NOT ENABLED!</t>
  </si>
  <si>
    <t>2015-1-20 18:46:28.894: DirectionIndicator - notify - price/longMA/ShortMA/prevDirection are 1.5149/1.51489338566726/1.51489203636095/1</t>
  </si>
  <si>
    <t>2015-1-20 18:46:28.896: Algorithm - handleTransition - currentHedgeShortfall is NOT ZERO and AUTOHEDGE IS NOT ENABLED!</t>
  </si>
  <si>
    <t>2015-1-20 18:46:29.0: TransitionLogger - flushFile - flushing file</t>
  </si>
  <si>
    <t>2015-1-20 18:46:29.1: TransitionLogger - openTransitionFile - opening file C:\temp\transitionlog_2015-01-20_153021</t>
  </si>
  <si>
    <t>2015-1-20 18:46:29.471: DirectionIndicator - notify - price/longMA/ShortMA/prevDirection are 1.51495/1.5149036791823/1.51491135757397/1</t>
  </si>
  <si>
    <t>2015-1-20 18:46:29.472: Algorithm - handleTransition - currentHedgeShortfall is NOT ZERO and AUTOHEDGE IS NOT ENABLED!</t>
  </si>
  <si>
    <t>2015-1-20 18:47:8.124: TransitionLogger - flushFile - flushing file</t>
  </si>
  <si>
    <t>2015-1-20 18:47:8.125: TransitionLogger - openTransitionFile - opening file C:\temp\transitionlog_2015-01-20_153021</t>
  </si>
  <si>
    <t>2015-1-20 18:47:29.96: TransitionLogger - flushFile - flushing file</t>
  </si>
  <si>
    <t>2015-1-20 18:47:29.97: TransitionLogger - openTransitionFile - opening file C:\temp\transitionlog_2015-01-20_153021</t>
  </si>
  <si>
    <t>2015-1-20 18:48:8.34: TransitionLogger - flushFile - flushing file</t>
  </si>
  <si>
    <t>2015-1-20 18:48:8.35: TransitionLogger - openTransitionFile - opening file C:\temp\transitionlog_2015-01-20_153021</t>
  </si>
  <si>
    <t>2015-1-20 18:48:29.271: TransitionLogger - flushFile - flushing file</t>
  </si>
  <si>
    <t>2015-1-20 18:48:29.272: TransitionLogger - openTransitionFile - opening file C:\temp\transitionlog_2015-01-20_153021</t>
  </si>
  <si>
    <t>2015-1-20 18:48:52.174: Algorithm - FindNextStrikes - price is 1.51495 nextStrikeUp/Down 1.515/0</t>
  </si>
  <si>
    <t>2015-1-20 18:48:52.175: Algorithm - getPortfolioForwardDelta - required deltas is 100 currentHedgePosition is 101</t>
  </si>
  <si>
    <t>2015-1-20 18:48:52.175: Algorithm - getHedgeShortfall - required deltas is 100 price is 1.51505 currentHedgePositionDeltas is 101</t>
  </si>
  <si>
    <t>2015-1-20 18:48:52.175: Algorithm - processTransitionPoint - nextUpper/LowerStrikes are 1.515/0 requiredDeltas/currentPosition/currentHedgeShortfall/direction/transitionPrice are 100/101/-1/1/1.51505</t>
  </si>
  <si>
    <t>2015-1-20 18:48:52.176: TransitionLogger - processTransitionpoint - checking transition - currentHedgeShortfall is -1</t>
  </si>
  <si>
    <t>2015-1-20 18:48:52.176: Algorithm - handleTransition - currentHedgeShortfall is NOT ZERO and AUTOHEDGE IS NOT ENABLED!</t>
  </si>
  <si>
    <t>2015-1-20 18:48:52.177: Algorithm - updatePortfolio - haveAllDetails is True</t>
  </si>
  <si>
    <t>2015-1-20 18:48:52.178: RTWSControl - updatePortfolioEx - An Error Occured Object variable or With block variable not set</t>
  </si>
  <si>
    <t>2015-1-20 18:48:52.224: Algorithm - FindNextStrikes - price is 1.51495 nextStrikeUp/Down 1.515/0</t>
  </si>
  <si>
    <t>2015-1-20 18:48:52.224: Algorithm - getPortfolioForwardDelta - required deltas is 100 currentHedgePosition is 101</t>
  </si>
  <si>
    <t>2015-1-20 18:48:52.225: Algorithm - getHedgeShortfall - required deltas is 100 price is 1.51505 currentHedgePositionDeltas is 101</t>
  </si>
  <si>
    <t>2015-1-20 18:48:52.225: Algorithm - processTransitionPoint - nextUpper/LowerStrikes are 1.515/0 requiredDeltas/currentPosition/currentHedgeShortfall/direction/transitionPrice are 100/101/-1/1/1.51505</t>
  </si>
  <si>
    <t>2015-1-20 18:48:52.226: TransitionLogger - processTransitionpoint - checking transition - currentHedgeShortfall is -1</t>
  </si>
  <si>
    <t>2015-1-20 18:48:52.226: Algorithm - handleTransition - currentHedgeShortfall is NOT ZERO and AUTOHEDGE IS NOT ENABLED!</t>
  </si>
  <si>
    <t>2015-1-20 18:48:52.227: Algorithm - updatePortfolio - haveAllDetails is True</t>
  </si>
  <si>
    <t>2015-1-20 18:48:52.228: RTWSControl - updatePortfolioEx - An Error Occured Object variable or With block variable not set</t>
  </si>
  <si>
    <t>2015-1-20 18:48:56.948: DirectionIndicator - notify - price/longMA/ShortMA/prevDirection are 1.515/1.51492119205825/1.51494090504931/1</t>
  </si>
  <si>
    <t>2015-1-20 18:48:56.950: Algorithm - FindNextStrikes - price is 1.515 nextStrikeUp/Down 1.52/0</t>
  </si>
  <si>
    <t>2015-1-20 18:48:56.951: Algorithm - getPortfolioForwardDelta - required deltas is 100 currentHedgePosition is 101</t>
  </si>
  <si>
    <t>2015-1-20 18:48:56.952: Algorithm - getHedgeShortfall - required deltas is 100 price is 1.5151 currentHedgePositionDeltas is 101</t>
  </si>
  <si>
    <t>2015-1-20 18:48:56.954: Algorithm - processTransitionPoint - nextUpper/LowerStrikes are 1.52/0 requiredDeltas/currentPosition/currentHedgeShortfall/direction/transitionPrice are 100/101/-1/1/1.5151</t>
  </si>
  <si>
    <t>2015-1-20 18:48:56.956: TransitionLogger - processTransitionpoint - checking transition - currentHedgeShortfall is -1</t>
  </si>
  <si>
    <t>2015-1-20 18:48:56.958: Algorithm - handleTransition - currentHedgeShortfall is NOT ZERO and AUTOHEDGE IS NOT ENABLED!</t>
  </si>
  <si>
    <t>2015-1-20 18:48:57.897: DirectionIndicator - notify - price/longMA/ShortMA/prevDirection are 1.51495/1.51492642986584/1.51494393669954/1</t>
  </si>
  <si>
    <t>2015-1-20 18:48:57.897: Algorithm - handleTransition - currentHedgeShortfall is NOT ZERO and AUTOHEDGE IS NOT ENABLED!</t>
  </si>
  <si>
    <t>2015-1-20 18:48:58.216: DirectionIndicator - notify - price/longMA/ShortMA/prevDirection are 1.515/1.51493980625387/1.51496262446636/1</t>
  </si>
  <si>
    <t>2015-1-20 18:48:58.217: Algorithm - handleTransition - currentHedgeShortfall is NOT ZERO and AUTOHEDGE IS NOT ENABLED!</t>
  </si>
  <si>
    <t>2015-1-20 18:48:58.268: DirectionIndicator - notify - price/longMA/ShortMA/prevDirection are 1.51505/1.51495984148044/1.51499174964424/1</t>
  </si>
  <si>
    <t>2015-1-20 18:48:58.269: Algorithm - handleTransition - currentHedgeShortfall is NOT ZERO and AUTOHEDGE IS NOT ENABLED!</t>
  </si>
  <si>
    <t>2015-1-20 18:49:8.209: TransitionLogger - flushFile - flushing file</t>
  </si>
  <si>
    <t>2015-1-20 18:49:8.210: TransitionLogger - openTransitionFile - opening file C:\temp\transitionlog_2015-01-20_153021</t>
  </si>
  <si>
    <t>2015-1-20 18:49:21.17: DirectionIndicator - notify - price/longMA/ShortMA/prevDirection are 1.515/1.51496714302945/1.51499449976283/1</t>
  </si>
  <si>
    <t>2015-1-20 18:49:21.19: Algorithm - handleTransition - currentHedgeShortfall is NOT ZERO and AUTOHEDGE IS NOT ENABLED!</t>
  </si>
  <si>
    <t>2015-1-20 18:49:22.304: DirectionIndicator - notify - price/longMA/ShortMA/prevDirection are 1.51495/1.514964026115/1.51497966650855/1</t>
  </si>
  <si>
    <t>2015-1-20 18:49:22.306: Algorithm - handleTransition - currentHedgeShortfall is NOT ZERO and AUTOHEDGE IS NOT ENABLED!</t>
  </si>
  <si>
    <t>2015-1-20 18:49:22.810: DirectionIndicator - notify - price/longMA/ShortMA/prevDirection are 1.515/1.51497056682137/1.51498644433903/1</t>
  </si>
  <si>
    <t>2015-1-20 18:49:22.811: Algorithm - handleTransition - currentHedgeShortfall is NOT ZERO and AUTOHEDGE IS NOT ENABLED!</t>
  </si>
  <si>
    <t>2015-1-20 18:49:25.263: DirectionIndicator - notify - price/longMA/ShortMA/prevDirection are 1.51495/1.5149668273993/1.51497429622602/1</t>
  </si>
  <si>
    <t>2015-1-20 18:49:25.264: Algorithm - handleTransition - currentHedgeShortfall is NOT ZERO and AUTOHEDGE IS NOT ENABLED!</t>
  </si>
  <si>
    <t>2015-1-20 18:49:26.49: DirectionIndicator - notify - price/longMA/ShortMA/prevDirection are 1.515/1.51497285878124/1.51498286415068/1</t>
  </si>
  <si>
    <t>2015-1-20 18:49:26.49: Algorithm - handleTransition - currentHedgeShortfall is NOT ZERO and AUTOHEDGE IS NOT ENABLED!</t>
  </si>
  <si>
    <t>2015-1-20 18:49:29.116: TransitionLogger - flushFile - flushing file</t>
  </si>
  <si>
    <t>2015-1-20 18:49:29.117: TransitionLogger - openTransitionFile - opening file C:\temp\transitionlog_2015-01-20_153021</t>
  </si>
  <si>
    <t>2015-1-20 18:49:39.643: DirectionIndicator - notify - price/longMA/ShortMA/prevDirection are 1.51505/1.51498688445738/1.51500524276712/1</t>
  </si>
  <si>
    <t>2015-1-20 18:49:39.645: Algorithm - handleTransition - currentHedgeShortfall is NOT ZERO and AUTOHEDGE IS NOT ENABLED!</t>
  </si>
  <si>
    <t>2015-1-20 18:49:45.804: DirectionIndicator - notify - price/longMA/ShortMA/prevDirection are 1.5151/1.51500745091968/1.51503682851141/1</t>
  </si>
  <si>
    <t>2015-1-20 18:49:45.805: Algorithm - handleTransition - currentHedgeShortfall is NOT ZERO and AUTOHEDGE IS NOT ENABLED!</t>
  </si>
  <si>
    <t>2015-1-20 18:49:45.927: DirectionIndicator - notify - price/longMA/ShortMA/prevDirection are 1.51515/1.51503336893428/1.51507455234094/1</t>
  </si>
  <si>
    <t>2015-1-20 18:49:45.928: Algorithm - handleTransition - currentHedgeShortfall is NOT ZERO and AUTOHEDGE IS NOT ENABLED!</t>
  </si>
  <si>
    <t>2015-1-20 18:49:59.19: DirectionIndicator - notify - price/longMA/ShortMA/prevDirection are 1.5151/1.5150454836735/1.51508303489396/1</t>
  </si>
  <si>
    <t>2015-1-20 18:49:59.20: Algorithm - handleTransition - currentHedgeShortfall is NOT ZERO and AUTOHEDGE IS NOT ENABLED!</t>
  </si>
  <si>
    <t>2015-1-20 18:49:59.71: DirectionIndicator - notify - price/longMA/ShortMA/prevDirection are 1.51505/1.51504630482377/1.51507202326264/1</t>
  </si>
  <si>
    <t>2015-1-20 18:49:59.72: Algorithm - handleTransition - currentHedgeShortfall is NOT ZERO and AUTOHEDGE IS NOT ENABLED!</t>
  </si>
  <si>
    <t>2015-1-20 18:50:2.856: DirectionIndicator - notify - price/longMA/ShortMA/prevDirection are 1.5151/1.51505606758309/1.51508134884176/1</t>
  </si>
  <si>
    <t>2015-1-20 18:50:2.857: Algorithm - handleTransition - currentHedgeShortfall is NOT ZERO and AUTOHEDGE IS NOT ENABLED!</t>
  </si>
  <si>
    <t>2015-1-20 18:50:3.766: DirectionIndicator - notify - price/longMA/ShortMA/prevDirection are 1.51515/1.51507314620434/1.51510423256117/1</t>
  </si>
  <si>
    <t>2015-1-20 18:50:3.767: Algorithm - handleTransition - currentHedgeShortfall is NOT ZERO and AUTOHEDGE IS NOT ENABLED!</t>
  </si>
  <si>
    <t>2015-1-20 18:50:8.204: TransitionLogger - flushFile - flushing file</t>
  </si>
  <si>
    <t>2015-1-20 18:50:8.206: TransitionLogger - openTransitionFile - opening file C:\temp\transitionlog_2015-01-20_153021</t>
  </si>
  <si>
    <t>2015-1-20 18:50:23.472: DirectionIndicator - notify - price/longMA/ShortMA/prevDirection are 1.5151/1.51507802871265/1.51510282170745/1</t>
  </si>
  <si>
    <t>2015-1-20 18:50:23.473: Algorithm - handleTransition - currentHedgeShortfall is NOT ZERO and AUTOHEDGE IS NOT ENABLED!</t>
  </si>
  <si>
    <t>2015-1-20 18:50:29.77: TransitionLogger - flushFile - flushing file</t>
  </si>
  <si>
    <t>2015-1-20 18:50:29.78: TransitionLogger - openTransitionFile - opening file C:\temp\transitionlog_2015-01-20_153021</t>
  </si>
  <si>
    <t>2015-1-20 18:50:36.72: DirectionIndicator - notify - price/longMA/ShortMA/prevDirection are 1.51505/1.51507293258307/1.51508521447163/1</t>
  </si>
  <si>
    <t>2015-1-20 18:50:36.73: Algorithm - handleTransition - currentHedgeShortfall is NOT ZERO and AUTOHEDGE IS NOT ENABLED!</t>
  </si>
  <si>
    <t>2015-1-20 18:50:41.842: DirectionIndicator - notify - price/longMA/ShortMA/prevDirection are 1.515/1.51505967211342/1.51505680964776/1</t>
  </si>
  <si>
    <t>2015-1-20 18:50:41.843: Algorithm - handleTransition - currentHedgeShortfall is NOT ZERO and AUTOHEDGE IS NOT ENABLED!</t>
  </si>
  <si>
    <t>2015-1-20 18:50:41.929: DirectionIndicator - notify - price/longMA/ShortMA/prevDirection are 1.51495/1.51503973172917/1.51502120643184/1</t>
  </si>
  <si>
    <t>2015-1-20 18:50:41.930: Algorithm - handleTransition - currentHedgeShortfall is NOT ZERO and AUTOHEDGE IS NOT ENABLED!</t>
  </si>
  <si>
    <t>2015-1-20 18:50:42.685: DirectionIndicator - notify - price/longMA/ShortMA/prevDirection are 1.515/1.51503250777841/1.51501413762122/1</t>
  </si>
  <si>
    <t>2015-1-20 18:50:42.686: Algorithm - handleTransition - currentHedgeShortfall is NOT ZERO and AUTOHEDGE IS NOT ENABLED!</t>
  </si>
  <si>
    <t>2015-1-20 18:50:43.819: DirectionIndicator - notify - price/longMA/ShortMA/prevDirection are 1.51505/1.51503568818233/1.51502609174748/1</t>
  </si>
  <si>
    <t>2015-1-20 18:50:43.820: Algorithm - handleTransition - currentHedgeShortfall is NOT ZERO and AUTOHEDGE IS NOT ENABLED!</t>
  </si>
  <si>
    <t>2015-1-20 18:50:44.430: DirectionIndicator - notify - price/longMA/ShortMA/prevDirection are 1.5151/1.51504738124009/1.51505072783166/1</t>
  </si>
  <si>
    <t>2015-1-20 18:50:44.431: Algorithm - handleTransition - currentHedgeShortfall is NOT ZERO and AUTOHEDGE IS NOT ENABLED!</t>
  </si>
  <si>
    <t>2015-1-20 18:50:51.510: DirectionIndicator - notify - price/longMA/ShortMA/prevDirection are 1.51505/1.51504785737826/1.5150504852211/1</t>
  </si>
  <si>
    <t>2015-1-20 18:50:51.512: Algorithm - handleTransition - currentHedgeShortfall is NOT ZERO and AUTOHEDGE IS NOT ENABLED!</t>
  </si>
  <si>
    <t>2015-1-20 18:50:51.946: DirectionIndicator - notify - price/longMA/ShortMA/prevDirection are 1.5151/1.51505733785494/1.5150669901474/1</t>
  </si>
  <si>
    <t>2015-1-20 18:50:51.947: Algorithm - handleTransition - currentHedgeShortfall is NOT ZERO and AUTOHEDGE IS NOT ENABLED!</t>
  </si>
  <si>
    <t>2015-1-20 18:51:1.329: DirectionIndicator - notify - price/longMA/ShortMA/prevDirection are 1.51505/1.51505600369949/1.51506132676493/1</t>
  </si>
  <si>
    <t>2015-1-20 18:51:1.332: Algorithm - handleTransition - currentHedgeShortfall is NOT ZERO and AUTOHEDGE IS NOT ENABLED!</t>
  </si>
  <si>
    <t>2015-1-20 18:51:2.50: DirectionIndicator - notify - price/longMA/ShortMA/prevDirection are 1.5151/1.51506400302686/1.51507421784329/1</t>
  </si>
  <si>
    <t>2015-1-20 18:51:2.51: Algorithm - handleTransition - currentHedgeShortfall is NOT ZERO and AUTOHEDGE IS NOT ENABLED!</t>
  </si>
  <si>
    <t>2015-1-20 18:51:2.145: DirectionIndicator - notify - price/longMA/ShortMA/prevDirection are 1.51515/1.51507963884016/1.51509947856219/1</t>
  </si>
  <si>
    <t>2015-1-20 18:51:2.146: Algorithm - handleTransition - currentHedgeShortfall is NOT ZERO and AUTOHEDGE IS NOT ENABLED!</t>
  </si>
  <si>
    <t>2015-1-20 18:51:2.561: DirectionIndicator - notify - price/longMA/ShortMA/prevDirection are 1.5151/1.51508334086922/1.5150996523748/1</t>
  </si>
  <si>
    <t>2015-1-20 18:51:2.562: Algorithm - handleTransition - currentHedgeShortfall is NOT ZERO and AUTOHEDGE IS NOT ENABLED!</t>
  </si>
  <si>
    <t>2015-1-20 18:51:2.811: DirectionIndicator - notify - price/longMA/ShortMA/prevDirection are 1.51505/1.515077278893/1.5150831015832/1</t>
  </si>
  <si>
    <t>2015-1-20 18:51:2.812: Algorithm - handleTransition - currentHedgeShortfall is NOT ZERO and AUTOHEDGE IS NOT ENABLED!</t>
  </si>
  <si>
    <t>2015-1-20 18:51:3.870: DirectionIndicator - notify - price/longMA/ShortMA/prevDirection are 1.5151/1.51508141000336/1.5150887343888/1</t>
  </si>
  <si>
    <t>2015-1-20 18:51:3.872: Algorithm - handleTransition - currentHedgeShortfall is NOT ZERO and AUTOHEDGE IS NOT ENABLED!</t>
  </si>
  <si>
    <t>2015-1-20 18:51:8.205: TransitionLogger - flushFile - flushing file</t>
  </si>
  <si>
    <t>2015-1-20 18:51:8.206: TransitionLogger - openTransitionFile - opening file C:\temp\transitionlog_2015-01-20_153021</t>
  </si>
  <si>
    <t>2015-1-20 18:51:9.46: DirectionIndicator - notify - price/longMA/ShortMA/prevDirection are 1.51515/1.51509388091184/1.5151091562592/1</t>
  </si>
  <si>
    <t>2015-1-20 18:51:9.48: Algorithm - handleTransition - currentHedgeShortfall is NOT ZERO and AUTOHEDGE IS NOT ENABLED!</t>
  </si>
  <si>
    <t>2015-1-20 18:51:10.42: DirectionIndicator - notify - price/longMA/ShortMA/prevDirection are 1.5152/1.51511317529151/1.51513943750613/1</t>
  </si>
  <si>
    <t>2015-1-20 18:51:10.43: Algorithm - handleTransition - currentHedgeShortfall is NOT ZERO and AUTOHEDGE IS NOT ENABLED!</t>
  </si>
  <si>
    <t>2015-1-20 18:51:11.364: DirectionIndicator - notify - price/longMA/ShortMA/prevDirection are 1.51525/1.51513805251123/1.51517629167075/1</t>
  </si>
  <si>
    <t>2015-1-20 18:51:11.365: Algorithm - handleTransition - currentHedgeShortfall is NOT ZERO and AUTOHEDGE IS NOT ENABLED!</t>
  </si>
  <si>
    <t>2015-1-20 18:51:18.272: DirectionIndicator - notify - price/longMA/ShortMA/prevDirection are 1.5152/1.51514931569101/1.51518419444717/1</t>
  </si>
  <si>
    <t>2015-1-20 18:51:18.273: Algorithm - handleTransition - currentHedgeShortfall is NOT ZERO and AUTOHEDGE IS NOT ENABLED!</t>
  </si>
  <si>
    <t>2015-1-20 18:51:18.354: DirectionIndicator - notify - price/longMA/ShortMA/prevDirection are 1.51515/1.51514944011083/1.51517279629811/1</t>
  </si>
  <si>
    <t>2015-1-20 18:51:18.355: Algorithm - handleTransition - currentHedgeShortfall is NOT ZERO and AUTOHEDGE IS NOT ENABLED!</t>
  </si>
  <si>
    <t>2015-1-20 18:51:29.711: TransitionLogger - flushFile - flushing file</t>
  </si>
  <si>
    <t>2015-1-20 18:51:29.712: TransitionLogger - openTransitionFile - opening file C:\temp\transitionlog_2015-01-20_153021</t>
  </si>
  <si>
    <t>2015-1-20 18:51:43.952: DirectionIndicator - notify - price/longMA/ShortMA/prevDirection are 1.5151/1.51514045099977/1.51514853086541/1</t>
  </si>
  <si>
    <t>2015-1-20 18:51:43.953: Algorithm - handleTransition - currentHedgeShortfall is NOT ZERO and AUTOHEDGE IS NOT ENABLED!</t>
  </si>
  <si>
    <t>2015-1-20 18:51:52.440: Algorithm - FindNextStrikes - price is 1.5151 nextStrikeUp/Down 1.52/1.515</t>
  </si>
  <si>
    <t>2015-1-20 18:51:52.441: Algorithm - getPortfolioForwardDelta - required deltas is 100 currentHedgePosition is 101</t>
  </si>
  <si>
    <t>2015-1-20 18:51:52.441: Algorithm - getHedgeShortfall - required deltas is 100 price is 1.5152 currentHedgePositionDeltas is 101</t>
  </si>
  <si>
    <t>2015-1-20 18:51:52.442: Algorithm - processTransitionPoint - nextUpper/LowerStrikes are 1.52/1.515 requiredDeltas/currentPosition/currentHedgeShortfall/direction/transitionPrice are 100/101/-1/1/1.5152</t>
  </si>
  <si>
    <t>2015-1-20 18:51:52.442: TransitionLogger - processTransitionpoint - checking transition - currentHedgeShortfall is -1</t>
  </si>
  <si>
    <t>2015-1-20 18:51:52.442: Algorithm - handleTransition - currentHedgeShortfall is NOT ZERO and AUTOHEDGE IS NOT ENABLED!</t>
  </si>
  <si>
    <t>2015-1-20 18:51:52.443: Algorithm - updatePortfolio - haveAllDetails is True</t>
  </si>
  <si>
    <t>2015-1-20 18:51:52.444: RTWSControl - updatePortfolioEx - An Error Occured Object variable or With block variable not set</t>
  </si>
  <si>
    <t>2015-1-20 18:51:52.488: Algorithm - FindNextStrikes - price is 1.5151 nextStrikeUp/Down 1.52/1.515</t>
  </si>
  <si>
    <t>2015-1-20 18:51:52.488: Algorithm - getPortfolioForwardDelta - required deltas is 100 currentHedgePosition is 101</t>
  </si>
  <si>
    <t>2015-1-20 18:51:52.489: Algorithm - getHedgeShortfall - required deltas is 100 price is 1.5152 currentHedgePositionDeltas is 101</t>
  </si>
  <si>
    <t>2015-1-20 18:51:52.489: Algorithm - processTransitionPoint - nextUpper/LowerStrikes are 1.52/1.515 requiredDeltas/currentPosition/currentHedgeShortfall/direction/transitionPrice are 100/101/-1/1/1.5152</t>
  </si>
  <si>
    <t>2015-1-20 18:51:52.489: TransitionLogger - processTransitionpoint - checking transition - currentHedgeShortfall is -1</t>
  </si>
  <si>
    <t>2015-1-20 18:51:52.490: Algorithm - handleTransition - currentHedgeShortfall is NOT ZERO and AUTOHEDGE IS NOT ENABLED!</t>
  </si>
  <si>
    <t>2015-1-20 18:51:52.491: Algorithm - updatePortfolio - haveAllDetails is True</t>
  </si>
  <si>
    <t>2015-1-20 18:51:52.492: RTWSControl - updatePortfolioEx - An Error Occured Object variable or With block variable not set</t>
  </si>
  <si>
    <t>2015-1-20 18:51:52.535: Algorithm - FindNextStrikes - price is 1.5151 nextStrikeUp/Down 1.52/1.515</t>
  </si>
  <si>
    <t>2015-1-20 18:51:52.535: Algorithm - getPortfolioForwardDelta - required deltas is 100 currentHedgePosition is 101</t>
  </si>
  <si>
    <t>2015-1-20 18:51:52.535: Algorithm - getHedgeShortfall - required deltas is 100 price is 1.5152 currentHedgePositionDeltas is 101</t>
  </si>
  <si>
    <t>2015-1-20 18:51:52.536: Algorithm - processTransitionPoint - nextUpper/LowerStrikes are 1.52/1.515 requiredDeltas/currentPosition/currentHedgeShortfall/direction/transitionPrice are 100/101/-1/1/1.5152</t>
  </si>
  <si>
    <t>2015-1-20 18:51:52.536: TransitionLogger - processTransitionpoint - checking transition - currentHedgeShortfall is -1</t>
  </si>
  <si>
    <t>2015-1-20 18:51:52.536: Algorithm - handleTransition - currentHedgeShortfall is NOT ZERO and AUTOHEDGE IS NOT ENABLED!</t>
  </si>
  <si>
    <t>2015-1-20 18:51:52.537: Algorithm - updatePortfolio - haveAllDetails is True</t>
  </si>
  <si>
    <t>2015-1-20 18:51:52.538: RTWSControl - updatePortfolioEx - An Error Occured Object variable or With block variable not set</t>
  </si>
  <si>
    <t>2015-1-20 18:51:52.611: Algorithm - FindNextStrikes - price is 1.5151 nextStrikeUp/Down 1.52/1.515</t>
  </si>
  <si>
    <t>2015-1-20 18:51:52.611: Algorithm - getPortfolioForwardDelta - required deltas is 100 currentHedgePosition is 101</t>
  </si>
  <si>
    <t>2015-1-20 18:51:52.611: Algorithm - getHedgeShortfall - required deltas is 100 price is 1.5152 currentHedgePositionDeltas is 101</t>
  </si>
  <si>
    <t>2015-1-20 18:51:52.612: Algorithm - processTransitionPoint - nextUpper/LowerStrikes are 1.52/1.515 requiredDeltas/currentPosition/currentHedgeShortfall/direction/transitionPrice are 100/101/-1/1/1.5152</t>
  </si>
  <si>
    <t>2015-1-20 18:51:52.612: TransitionLogger - processTransitionpoint - checking transition - currentHedgeShortfall is -1</t>
  </si>
  <si>
    <t>2015-1-20 18:51:52.612: Algorithm - handleTransition - currentHedgeShortfall is NOT ZERO and AUTOHEDGE IS NOT ENABLED!</t>
  </si>
  <si>
    <t>2015-1-20 18:51:52.613: Algorithm - updatePortfolio - haveAllDetails is True</t>
  </si>
  <si>
    <t>2015-1-20 18:51:52.614: RTWSControl - updatePortfolioEx - An Error Occured Object variable or With block variable not set</t>
  </si>
  <si>
    <t>2015-1-20 18:51:52.668: Algorithm - FindNextStrikes - price is 1.5151 nextStrikeUp/Down 1.52/1.515</t>
  </si>
  <si>
    <t>2015-1-20 18:51:52.669: Algorithm - getPortfolioForwardDelta - required deltas is 100 currentHedgePosition is 101</t>
  </si>
  <si>
    <t>2015-1-20 18:51:52.669: Algorithm - getHedgeShortfall - required deltas is 100 price is 1.5152 currentHedgePositionDeltas is 101</t>
  </si>
  <si>
    <t>2015-1-20 18:51:52.670: Algorithm - processTransitionPoint - nextUpper/LowerStrikes are 1.52/1.515 requiredDeltas/currentPosition/currentHedgeShortfall/direction/transitionPrice are 100/101/-1/1/1.5152</t>
  </si>
  <si>
    <t>2015-1-20 18:51:52.670: TransitionLogger - processTransitionpoint - checking transition - currentHedgeShortfall is -1</t>
  </si>
  <si>
    <t>2015-1-20 18:51:52.670: Algorithm - handleTransition - currentHedgeShortfall is NOT ZERO and AUTOHEDGE IS NOT ENABLED!</t>
  </si>
  <si>
    <t>2015-1-20 18:51:52.671: Algorithm - updatePortfolio - haveAllDetails is True</t>
  </si>
  <si>
    <t>2015-1-20 18:51:52.672: RTWSControl - updatePortfolioEx - An Error Occured Object variable or With block variable not set</t>
  </si>
  <si>
    <t>2015-1-20 18:51:52.736: Algorithm - FindNextStrikes - price is 1.5151 nextStrikeUp/Down 1.52/1.515</t>
  </si>
  <si>
    <t>2015-1-20 18:51:52.736: Algorithm - getPortfolioForwardDelta - required deltas is 100 currentHedgePosition is 101</t>
  </si>
  <si>
    <t>2015-1-20 18:51:52.736: Algorithm - getHedgeShortfall - required deltas is 100 price is 1.5152 currentHedgePositionDeltas is 101</t>
  </si>
  <si>
    <t>2015-1-20 18:51:52.737: Algorithm - processTransitionPoint - nextUpper/LowerStrikes are 1.52/1.515 requiredDeltas/currentPosition/currentHedgeShortfall/direction/transitionPrice are 100/101/-1/1/1.5152</t>
  </si>
  <si>
    <t>2015-1-20 18:51:52.737: TransitionLogger - processTransitionpoint - checking transition - currentHedgeShortfall is -1</t>
  </si>
  <si>
    <t>2015-1-20 18:51:52.737: Algorithm - handleTransition - currentHedgeShortfall is NOT ZERO and AUTOHEDGE IS NOT ENABLED!</t>
  </si>
  <si>
    <t>2015-1-20 18:51:52.738: Algorithm - updatePortfolio - haveAllDetails is True</t>
  </si>
  <si>
    <t>2015-1-20 18:51:52.739: RTWSControl - updatePortfolioEx - An Error Occured Object variable or With block variable not set</t>
  </si>
  <si>
    <t>2015-1-20 18:51:53.225: DirectionIndicator - notify - price/longMA/ShortMA/prevDirection are 1.51505/1.51512400536344/1.51511568724361/1</t>
  </si>
  <si>
    <t>2015-1-20 18:51:53.226: Algorithm - handleTransition - currentHedgeShortfall is NOT ZERO and AUTOHEDGE IS NOT ENABLED!</t>
  </si>
  <si>
    <t>2015-1-20 18:52:8.3: TransitionLogger - flushFile - flushing file</t>
  </si>
  <si>
    <t>2015-1-20 18:52:8.3: TransitionLogger - openTransitionFile - opening file C:\temp\transitionlog_2015-01-20_153021</t>
  </si>
  <si>
    <t>2015-1-20 18:52:12.985: DirectionIndicator - notify - price/longMA/ShortMA/prevDirection are 1.515/1.51510145893373/1.51507712482907/1</t>
  </si>
  <si>
    <t>2015-1-20 18:52:12.986: Algorithm - FindNextStrikes - price is 1.515 nextStrikeUp/Down 1.52/0</t>
  </si>
  <si>
    <t>2015-1-20 18:52:12.986: Algorithm - getPortfolioForwardDelta - required deltas is -200 currentHedgePosition is 101</t>
  </si>
  <si>
    <t>2015-1-20 18:52:12.987: Algorithm - getHedgeShortfall - required deltas is -200 price is 1.5149 currentHedgePositionDeltas is 101</t>
  </si>
  <si>
    <t>2015-1-20 18:52:12.987: Algorithm - processTransitionPoint - nextUpper/LowerStrikes are 1.52/0 requiredDeltas/currentPosition/currentHedgeShortfall/direction/transitionPrice are -200/101/-301/-1/1.5149</t>
  </si>
  <si>
    <t>2015-1-20 18:52:12.988: TransitionLogger - processTransitionpoint - checking transition - currentHedgeShortfall is -301</t>
  </si>
  <si>
    <t>2015-1-20 18:52:12.988: Algorithm - handleTransition - currentHedgeShortfall is NOT ZERO and AUTOHEDGE IS NOT ENABLED!</t>
  </si>
  <si>
    <t>2015-1-20 18:52:24.945: DirectionIndicator - notify - price/longMA/ShortMA/prevDirection are 1.51505/1.51509210276396/1.51506808321938/-1</t>
  </si>
  <si>
    <t>2015-1-20 18:52:24.945: Algorithm - handleTransition - currentHedgeShortfall is NOT ZERO and AUTOHEDGE IS NOT ENABLED!</t>
  </si>
  <si>
    <t>2015-1-20 18:52:25.357: DirectionIndicator - notify - price/longMA/ShortMA/prevDirection are 1.5151/1.51509353862506/1.51507872214625/-1</t>
  </si>
  <si>
    <t>2015-1-20 18:52:25.357: Algorithm - handleTransition - currentHedgeShortfall is NOT ZERO and AUTOHEDGE IS NOT ENABLED!</t>
  </si>
  <si>
    <t>2015-1-20 18:52:25.436: DirectionIndicator - notify - price/longMA/ShortMA/prevDirection are 1.5152/1.51511289523868/1.5151191480975/-1</t>
  </si>
  <si>
    <t>2015-1-20 18:52:25.437: Algorithm - handleTransition - currentHedgeShortfall is NOT ZERO and AUTOHEDGE IS NOT ENABLED!</t>
  </si>
  <si>
    <t>2015-1-20 18:52:26.192: DirectionIndicator - notify - price/longMA/ShortMA/prevDirection are 1.51525/1.5151378233771/1.51516276539833/-1</t>
  </si>
  <si>
    <t>2015-1-20 18:52:26.193: Algorithm - handleTransition - currentHedgeShortfall is NOT ZERO and AUTOHEDGE IS NOT ENABLED!</t>
  </si>
  <si>
    <t>2015-1-20 18:52:29.90: TransitionLogger - flushFile - flushing file</t>
  </si>
  <si>
    <t>2015-1-20 18:52:29.92: TransitionLogger - openTransitionFile - opening file C:\temp\transitionlog_2015-01-20_153021</t>
  </si>
  <si>
    <t>2015-1-20 18:52:33.849: DirectionIndicator - notify - price/longMA/ShortMA/prevDirection are 1.5152/1.51514912821763/1.51517517693222/1</t>
  </si>
  <si>
    <t>2015-1-20 18:52:33.850: Algorithm - handleTransition - currentHedgeShortfall is NOT ZERO and AUTOHEDGE IS NOT ENABLED!</t>
  </si>
  <si>
    <t>2015-1-20 18:52:34.110: DirectionIndicator - notify - price/longMA/ShortMA/prevDirection are 1.51515/1.51514928672352/1.51516678462148/1</t>
  </si>
  <si>
    <t>2015-1-20 18:52:34.111: Algorithm - handleTransition - currentHedgeShortfall is NOT ZERO and AUTOHEDGE IS NOT ENABLED!</t>
  </si>
  <si>
    <t>2015-1-20 18:53:8.199: TransitionLogger - flushFile - flushing file</t>
  </si>
  <si>
    <t>2015-1-20 18:53:8.201: TransitionLogger - openTransitionFile - opening file C:\temp\transitionlog_2015-01-20_153021</t>
  </si>
  <si>
    <t>2015-1-20 18:53:19.78: DirectionIndicator - notify - price/longMA/ShortMA/prevDirection are 1.5151/1.51514032550106/1.51514452308099/1</t>
  </si>
  <si>
    <t>2015-1-20 18:53:19.79: Algorithm - handleTransition - currentHedgeShortfall is NOT ZERO and AUTOHEDGE IS NOT ENABLED!</t>
  </si>
  <si>
    <t>2015-1-20 18:53:29.521: TransitionLogger - flushFile - flushing file</t>
  </si>
  <si>
    <t>2015-1-20 18:53:29.522: TransitionLogger - openTransitionFile - opening file C:\temp\transitionlog_2015-01-20_153021</t>
  </si>
  <si>
    <t>2015-1-20 18:53:31.944: DirectionIndicator - notify - price/longMA/ShortMA/prevDirection are 1.51515/1.51514208450087/1.51514634872066/1</t>
  </si>
  <si>
    <t>2015-1-20 18:53:31.945: Algorithm - handleTransition - currentHedgeShortfall is NOT ZERO and AUTOHEDGE IS NOT ENABLED!</t>
  </si>
  <si>
    <t>2015-1-20 18:53:33.6: DirectionIndicator - notify - price/longMA/ShortMA/prevDirection are 1.5151/1.51513443277344/1.51513089914711/1</t>
  </si>
  <si>
    <t>2015-1-20 18:53:33.7: Algorithm - handleTransition - currentHedgeShortfall is NOT ZERO and AUTOHEDGE IS NOT ENABLED!</t>
  </si>
  <si>
    <t>2015-1-20 18:53:35.587: DirectionIndicator - notify - price/longMA/ShortMA/prevDirection are 1.51505/1.51511908136008/1.51510393276474/1</t>
  </si>
  <si>
    <t>2015-1-20 18:53:35.589: Algorithm - handleTransition - currentHedgeShortfall is NOT ZERO and AUTOHEDGE IS NOT ENABLED!</t>
  </si>
  <si>
    <t>2015-1-20 18:54:8.457: TransitionLogger - flushFile - flushing file</t>
  </si>
  <si>
    <t>2015-1-20 18:54:8.459: TransitionLogger - openTransitionFile - opening file C:\temp\transitionlog_2015-01-20_153021</t>
  </si>
  <si>
    <t>2015-1-20 18:54:12.281: DirectionIndicator - notify - price/longMA/ShortMA/prevDirection are 1.515/1.51509743020371/1.51506928850982/1</t>
  </si>
  <si>
    <t>2015-1-20 18:54:12.281: Algorithm - handleTransition - currentHedgeShortfall is NOT ZERO and AUTOHEDGE IS NOT ENABLED!</t>
  </si>
  <si>
    <t>2015-1-20 18:54:12.329: DirectionIndicator - notify - price/longMA/ShortMA/prevDirection are 1.51495/1.51507062471212/1.51502952567322/-1</t>
  </si>
  <si>
    <t>2015-1-20 18:54:12.329: Algorithm - handleTransition - currentHedgeShortfall is NOT ZERO and AUTOHEDGE IS NOT ENABLED!</t>
  </si>
  <si>
    <t>2015-1-20 18:54:12.535: DirectionIndicator - notify - price/longMA/ShortMA/prevDirection are 1.515/1.51505778385537/1.51501968378214/-1</t>
  </si>
  <si>
    <t>2015-1-20 18:54:12.536: Algorithm - handleTransition - currentHedgeShortfall is NOT ZERO and AUTOHEDGE IS NOT ENABLED!</t>
  </si>
  <si>
    <t>2015-1-20 18:54:21.299: DirectionIndicator - notify - price/longMA/ShortMA/prevDirection are 1.51495/1.51503818679076/1.51499645585476/-1</t>
  </si>
  <si>
    <t>2015-1-20 18:54:21.301: Algorithm - handleTransition - currentHedgeShortfall is NOT ZERO and AUTOHEDGE IS NOT ENABLED!</t>
  </si>
  <si>
    <t>2015-1-20 18:54:29.314: TransitionLogger - flushFile - flushing file</t>
  </si>
  <si>
    <t>2015-1-20 18:54:29.315: TransitionLogger - openTransitionFile - opening file C:\temp\transitionlog_2015-01-20_153021</t>
  </si>
  <si>
    <t>2015-1-20 18:54:38.186: DirectionIndicator - notify - price/longMA/ShortMA/prevDirection are 1.515/1.51503124373789/1.51499763723651/-1</t>
  </si>
  <si>
    <t>2015-1-20 18:54:38.187: Algorithm - handleTransition - currentHedgeShortfall is NOT ZERO and AUTOHEDGE IS NOT ENABLED!</t>
  </si>
  <si>
    <t>2015-1-20 18:54:38.359: DirectionIndicator - notify - price/longMA/ShortMA/prevDirection are 1.51505/1.51503465396737/1.51501509149101/-1</t>
  </si>
  <si>
    <t>2015-1-20 18:54:38.360: Algorithm - handleTransition - currentHedgeShortfall is NOT ZERO and AUTOHEDGE IS NOT ENABLED!</t>
  </si>
  <si>
    <t>2015-1-20 18:54:40.695: DirectionIndicator - notify - price/longMA/ShortMA/prevDirection are 1.515/1.51502835324603/1.515010060994/-1</t>
  </si>
  <si>
    <t>2015-1-20 18:54:40.696: Algorithm - handleTransition - currentHedgeShortfall is NOT ZERO and AUTOHEDGE IS NOT ENABLED!</t>
  </si>
  <si>
    <t>2015-1-20 18:54:43.953: DirectionIndicator - notify - price/longMA/ShortMA/prevDirection are 1.51495/1.5150141072013/1.51499004066267/-1</t>
  </si>
  <si>
    <t>2015-1-20 18:54:43.955: Algorithm - handleTransition - currentHedgeShortfall is NOT ZERO and AUTOHEDGE IS NOT ENABLED!</t>
  </si>
  <si>
    <t>2015-1-20 18:54:44.199: DirectionIndicator - notify - price/longMA/ShortMA/prevDirection are 1.515/1.51501154225561/1.51499336044178/-1</t>
  </si>
  <si>
    <t>2015-1-20 18:54:44.199: Algorithm - handleTransition - currentHedgeShortfall is NOT ZERO and AUTOHEDGE IS NOT ENABLED!</t>
  </si>
  <si>
    <t>2015-1-20 18:54:44.653: DirectionIndicator - notify - price/longMA/ShortMA/prevDirection are 1.51495/1.51500035275459/1.51497890696119/-1</t>
  </si>
  <si>
    <t>2015-1-20 18:54:44.654: Algorithm - handleTransition - currentHedgeShortfall is NOT ZERO and AUTOHEDGE IS NOT ENABLED!</t>
  </si>
  <si>
    <t>2015-1-20 18:54:52.404: Algorithm - FindNextStrikes - price is 1.51495 nextStrikeUp/Down 1.515/0</t>
  </si>
  <si>
    <t>2015-1-20 18:54:52.405: Algorithm - getPortfolioForwardDelta - required deltas is -200 currentHedgePosition is 101</t>
  </si>
  <si>
    <t>2015-1-20 18:54:52.405: Algorithm - getHedgeShortfall - required deltas is -200 price is 1.51485 currentHedgePositionDeltas is 101</t>
  </si>
  <si>
    <t>2015-1-20 18:54:52.406: Algorithm - processTransitionPoint - nextUpper/LowerStrikes are 1.515/0 requiredDeltas/currentPosition/currentHedgeShortfall/direction/transitionPrice are -200/101/-301/-1/1.51485</t>
  </si>
  <si>
    <t>2015-1-20 18:54:52.406: TransitionLogger - processTransitionpoint - checking transition - currentHedgeShortfall is -301</t>
  </si>
  <si>
    <t>2015-1-20 18:54:52.406: Algorithm - handleTransition - currentHedgeShortfall is NOT ZERO and AUTOHEDGE IS NOT ENABLED!</t>
  </si>
  <si>
    <t>2015-1-20 18:54:52.407: Algorithm - updatePortfolio - haveAllDetails is True</t>
  </si>
  <si>
    <t>2015-1-20 18:54:52.408: RTWSControl - updatePortfolioEx - An Error Occured Object variable or With block variable not set</t>
  </si>
  <si>
    <t>2015-1-20 18:54:52.448: Algorithm - FindNextStrikes - price is 1.51495 nextStrikeUp/Down 1.515/0</t>
  </si>
  <si>
    <t>2015-1-20 18:54:52.449: Algorithm - getPortfolioForwardDelta - required deltas is -200 currentHedgePosition is 101</t>
  </si>
  <si>
    <t>2015-1-20 18:54:52.449: Algorithm - getHedgeShortfall - required deltas is -200 price is 1.51485 currentHedgePositionDeltas is 101</t>
  </si>
  <si>
    <t>2015-1-20 18:54:52.450: Algorithm - processTransitionPoint - nextUpper/LowerStrikes are 1.515/0 requiredDeltas/currentPosition/currentHedgeShortfall/direction/transitionPrice are -200/101/-301/-1/1.51485</t>
  </si>
  <si>
    <t>2015-1-20 18:54:52.450: TransitionLogger - processTransitionpoint - checking transition - currentHedgeShortfall is -301</t>
  </si>
  <si>
    <t>2015-1-20 18:54:52.450: Algorithm - handleTransition - currentHedgeShortfall is NOT ZERO and AUTOHEDGE IS NOT ENABLED!</t>
  </si>
  <si>
    <t>2015-1-20 18:54:52.451: Algorithm - updatePortfolio - haveAllDetails is True</t>
  </si>
  <si>
    <t>2015-1-20 18:54:52.452: RTWSControl - updatePortfolioEx - An Error Occured Object variable or With block variable not set</t>
  </si>
  <si>
    <t>2015-1-20 18:54:52.499: Algorithm - FindNextStrikes - price is 1.51495 nextStrikeUp/Down 1.515/0</t>
  </si>
  <si>
    <t>2015-1-20 18:54:52.499: Algorithm - getPortfolioForwardDelta - required deltas is -200 currentHedgePosition is 101</t>
  </si>
  <si>
    <t>2015-1-20 18:54:52.500: Algorithm - getHedgeShortfall - required deltas is -200 price is 1.51485 currentHedgePositionDeltas is 101</t>
  </si>
  <si>
    <t>2015-1-20 18:54:52.500: Algorithm - processTransitionPoint - nextUpper/LowerStrikes are 1.515/0 requiredDeltas/currentPosition/currentHedgeShortfall/direction/transitionPrice are -200/101/-301/-1/1.51485</t>
  </si>
  <si>
    <t>2015-1-20 18:54:52.500: TransitionLogger - processTransitionpoint - checking transition - currentHedgeShortfall is -301</t>
  </si>
  <si>
    <t>2015-1-20 18:54:52.501: Algorithm - handleTransition - currentHedgeShortfall is NOT ZERO and AUTOHEDGE IS NOT ENABLED!</t>
  </si>
  <si>
    <t>2015-1-20 18:54:52.502: Algorithm - updatePortfolio - haveAllDetails is True</t>
  </si>
  <si>
    <t>2015-1-20 18:54:52.503: RTWSControl - updatePortfolioEx - An Error Occured Object variable or With block variable not set</t>
  </si>
  <si>
    <t>2015-1-20 18:54:52.556: Algorithm - FindNextStrikes - price is 1.51495 nextStrikeUp/Down 1.515/0</t>
  </si>
  <si>
    <t>2015-1-20 18:54:52.556: Algorithm - getPortfolioForwardDelta - required deltas is -200 currentHedgePosition is 101</t>
  </si>
  <si>
    <t>2015-1-20 18:54:52.556: Algorithm - getHedgeShortfall - required deltas is -200 price is 1.51485 currentHedgePositionDeltas is 101</t>
  </si>
  <si>
    <t>2015-1-20 18:54:52.557: Algorithm - processTransitionPoint - nextUpper/LowerStrikes are 1.515/0 requiredDeltas/currentPosition/currentHedgeShortfall/direction/transitionPrice are -200/101/-301/-1/1.51485</t>
  </si>
  <si>
    <t>2015-1-20 18:54:52.557: TransitionLogger - processTransitionpoint - checking transition - currentHedgeShortfall is -301</t>
  </si>
  <si>
    <t>2015-1-20 18:54:52.558: Algorithm - handleTransition - currentHedgeShortfall is NOT ZERO and AUTOHEDGE IS NOT ENABLED!</t>
  </si>
  <si>
    <t>2015-1-20 18:54:52.558: Algorithm - updatePortfolio - haveAllDetails is True</t>
  </si>
  <si>
    <t>2015-1-20 18:54:52.559: RTWSControl - updatePortfolioEx - An Error Occured Object variable or With block variable not set</t>
  </si>
  <si>
    <t>2015-1-20 18:54:52.622: Algorithm - FindNextStrikes - price is 1.51495 nextStrikeUp/Down 1.515/0</t>
  </si>
  <si>
    <t>2015-1-20 18:54:52.623: Algorithm - getPortfolioForwardDelta - required deltas is -200 currentHedgePosition is 101</t>
  </si>
  <si>
    <t>2015-1-20 18:54:52.623: Algorithm - getHedgeShortfall - required deltas is -200 price is 1.51485 currentHedgePositionDeltas is 101</t>
  </si>
  <si>
    <t>2015-1-20 18:54:52.623: Algorithm - processTransitionPoint - nextUpper/LowerStrikes are 1.515/0 requiredDeltas/currentPosition/currentHedgeShortfall/direction/transitionPrice are -200/101/-301/-1/1.51485</t>
  </si>
  <si>
    <t>2015-1-20 18:54:52.624: TransitionLogger - processTransitionpoint - checking transition - currentHedgeShortfall is -301</t>
  </si>
  <si>
    <t>2015-1-20 18:54:52.624: Algorithm - handleTransition - currentHedgeShortfall is NOT ZERO and AUTOHEDGE IS NOT ENABLED!</t>
  </si>
  <si>
    <t>2015-1-20 18:54:52.625: Algorithm - updatePortfolio - haveAllDetails is True</t>
  </si>
  <si>
    <t>2015-1-20 18:54:52.626: RTWSControl - updatePortfolioEx - An Error Occured Object variable or With block variable not set</t>
  </si>
  <si>
    <t>2015-1-20 18:54:52.681: Algorithm - FindNextStrikes - price is 1.51495 nextStrikeUp/Down 1.515/0</t>
  </si>
  <si>
    <t>2015-1-20 18:54:52.681: Algorithm - getPortfolioForwardDelta - required deltas is -200 currentHedgePosition is 101</t>
  </si>
  <si>
    <t>2015-1-20 18:54:52.681: Algorithm - getHedgeShortfall - required deltas is -200 price is 1.51485 currentHedgePositionDeltas is 101</t>
  </si>
  <si>
    <t>2015-1-20 18:54:52.682: Algorithm - processTransitionPoint - nextUpper/LowerStrikes are 1.515/0 requiredDeltas/currentPosition/currentHedgeShortfall/direction/transitionPrice are -200/101/-301/-1/1.51485</t>
  </si>
  <si>
    <t>2015-1-20 18:54:52.682: TransitionLogger - processTransitionpoint - checking transition - currentHedgeShortfall is -301</t>
  </si>
  <si>
    <t>2015-1-20 18:54:52.683: Algorithm - handleTransition - currentHedgeShortfall is NOT ZERO and AUTOHEDGE IS NOT ENABLED!</t>
  </si>
  <si>
    <t>2015-1-20 18:54:52.683: Algorithm - updatePortfolio - haveAllDetails is True</t>
  </si>
  <si>
    <t>2015-1-20 18:54:52.684: RTWSControl - updatePortfolioEx - An Error Occured Object variable or With block variable not set</t>
  </si>
  <si>
    <t>2015-1-20 18:55:8.364: TransitionLogger - flushFile - flushing file</t>
  </si>
  <si>
    <t>2015-1-20 18:55:8.365: TransitionLogger - openTransitionFile - opening file C:\temp\transitionlog_2015-01-20_153021</t>
  </si>
  <si>
    <t>2015-1-20 18:55:29.329: TransitionLogger - flushFile - flushing file</t>
  </si>
  <si>
    <t>2015-1-20 18:55:29.330: TransitionLogger - openTransitionFile - opening file C:\temp\transitionlog_2015-01-20_153021</t>
  </si>
  <si>
    <t>2015-1-20 18:55:33.913: DirectionIndicator - notify - price/longMA/ShortMA/prevDirection are 1.515/1.51500028861739/1.51498593797412/-1</t>
  </si>
  <si>
    <t>2015-1-20 18:55:33.913: Algorithm - FindNextStrikes - price is 1.515 nextStrikeUp/Down 1.52/0</t>
  </si>
  <si>
    <t>2015-1-20 18:55:33.914: Algorithm - getPortfolioForwardDelta - required deltas is -200 currentHedgePosition is 101</t>
  </si>
  <si>
    <t>2015-1-20 18:55:33.914: Algorithm - getHedgeShortfall - required deltas is -200 price is 1.5149 currentHedgePositionDeltas is 101</t>
  </si>
  <si>
    <t>2015-1-20 18:55:33.914: Algorithm - processTransitionPoint - nextUpper/LowerStrikes are 1.52/0 requiredDeltas/currentPosition/currentHedgeShortfall/direction/transitionPrice are -200/101/-301/-1/1.5149</t>
  </si>
  <si>
    <t>2015-1-20 18:55:33.915: TransitionLogger - processTransitionpoint - checking transition - currentHedgeShortfall is -301</t>
  </si>
  <si>
    <t>2015-1-20 18:55:33.915: Algorithm - handleTransition - currentHedgeShortfall is NOT ZERO and AUTOHEDGE IS NOT ENABLED!</t>
  </si>
  <si>
    <t>2015-1-20 18:55:33.959: DirectionIndicator - notify - price/longMA/ShortMA/prevDirection are 1.51505/1.51500932705059/1.51500729198275/-1</t>
  </si>
  <si>
    <t>2015-1-20 18:55:33.959: Algorithm - handleTransition - currentHedgeShortfall is NOT ZERO and AUTOHEDGE IS NOT ENABLED!</t>
  </si>
  <si>
    <t>2015-1-20 18:55:48.296: DirectionIndicator - notify - price/longMA/ShortMA/prevDirection are 1.515/1.51500763122321/1.51500486132183/-1</t>
  </si>
  <si>
    <t>2015-1-20 18:55:48.297: Algorithm - handleTransition - currentHedgeShortfall is NOT ZERO and AUTOHEDGE IS NOT ENABLED!</t>
  </si>
  <si>
    <t>2015-1-20 18:55:48.621: DirectionIndicator - notify - price/longMA/ShortMA/prevDirection are 1.51495/1.51499715281899/1.51498657421456/-1</t>
  </si>
  <si>
    <t>2015-1-20 18:55:48.621: Algorithm - handleTransition - currentHedgeShortfall is NOT ZERO and AUTOHEDGE IS NOT ENABLED!</t>
  </si>
  <si>
    <t>2015-1-20 18:55:55.30: DirectionIndicator - notify - price/longMA/ShortMA/prevDirection are 1.515/1.51499767048827/1.51499104947637/-1</t>
  </si>
  <si>
    <t>2015-1-20 18:55:55.30: Algorithm - handleTransition - currentHedgeShortfall is NOT ZERO and AUTOHEDGE IS NOT ENABLED!</t>
  </si>
  <si>
    <t>2015-1-20 18:55:55.145: DirectionIndicator - notify - price/longMA/ShortMA/prevDirection are 1.51505/1.51500718494494/1.51501069965091/-1</t>
  </si>
  <si>
    <t>2015-1-20 18:55:55.146: Algorithm - handleTransition - currentHedgeShortfall is NOT ZERO and AUTOHEDGE IS NOT ENABLED!</t>
  </si>
  <si>
    <t>2015-1-20 18:56:8.146: TransitionLogger - flushFile - flushing file</t>
  </si>
  <si>
    <t>2015-1-20 18:56:8.148: TransitionLogger - openTransitionFile - opening file C:\temp\transitionlog_2015-01-20_153021</t>
  </si>
  <si>
    <t>2015-1-20 18:56:29.213: TransitionLogger - flushFile - flushing file</t>
  </si>
  <si>
    <t>2015-1-20 18:56:29.214: TransitionLogger - openTransitionFile - opening file C:\temp\transitionlog_2015-01-20_153021</t>
  </si>
  <si>
    <t>2015-1-20 18:57:8.171: TransitionLogger - flushFile - flushing file</t>
  </si>
  <si>
    <t>2015-1-20 18:57:8.172: TransitionLogger - openTransitionFile - opening file C:\temp\transitionlog_2015-01-20_153021</t>
  </si>
  <si>
    <t>2015-1-20 18:57:24.970: DirectionIndicator - notify - price/longMA/ShortMA/prevDirection are 1.515/1.51500587859132/1.51500713310061/-1</t>
  </si>
  <si>
    <t>2015-1-20 18:57:24.971: Algorithm - handleTransition - currentHedgeShortfall is NOT ZERO and AUTOHEDGE IS NOT ENABLED!</t>
  </si>
  <si>
    <t>2015-1-20 18:57:25.37: DirectionIndicator - notify - price/longMA/ShortMA/prevDirection are 1.51495/1.51499571884744/1.51498808873374/-1</t>
  </si>
  <si>
    <t>2015-1-20 18:57:25.37: Algorithm - handleTransition - currentHedgeShortfall is NOT ZERO and AUTOHEDGE IS NOT ENABLED!</t>
  </si>
  <si>
    <t>2015-1-20 18:57:29.11: TransitionLogger - flushFile - flushing file</t>
  </si>
  <si>
    <t>2015-1-20 18:57:29.12: TransitionLogger - openTransitionFile - opening file C:\temp\transitionlog_2015-01-20_153021</t>
  </si>
  <si>
    <t>2015-1-20 18:57:52.343: Algorithm - FindNextStrikes - price is 1.51495 nextStrikeUp/Down 1.515/0</t>
  </si>
  <si>
    <t>2015-1-20 18:57:52.343: Algorithm - getPortfolioForwardDelta - required deltas is -200 currentHedgePosition is 101</t>
  </si>
  <si>
    <t>2015-1-20 18:57:52.344: Algorithm - getHedgeShortfall - required deltas is -200 price is 1.51485 currentHedgePositionDeltas is 101</t>
  </si>
  <si>
    <t>2015-1-20 18:57:52.344: Algorithm - processTransitionPoint - nextUpper/LowerStrikes are 1.515/0 requiredDeltas/currentPosition/currentHedgeShortfall/direction/transitionPrice are -200/101/-301/-1/1.51485</t>
  </si>
  <si>
    <t>2015-1-20 18:57:52.344: TransitionLogger - processTransitionpoint - checking transition - currentHedgeShortfall is -301</t>
  </si>
  <si>
    <t>2015-1-20 18:57:52.345: Algorithm - handleTransition - currentHedgeShortfall is NOT ZERO and AUTOHEDGE IS NOT ENABLED!</t>
  </si>
  <si>
    <t>2015-1-20 18:57:52.346: Algorithm - updatePortfolio - haveAllDetails is True</t>
  </si>
  <si>
    <t>2015-1-20 18:57:52.347: RTWSControl - updatePortfolioEx - An Error Occured Object variable or With block variable not set</t>
  </si>
  <si>
    <t>2015-1-20 18:57:52.393: Algorithm - FindNextStrikes - price is 1.51495 nextStrikeUp/Down 1.515/0</t>
  </si>
  <si>
    <t>2015-1-20 18:57:52.393: Algorithm - getPortfolioForwardDelta - required deltas is -200 currentHedgePosition is 101</t>
  </si>
  <si>
    <t>2015-1-20 18:57:52.393: Algorithm - getHedgeShortfall - required deltas is -200 price is 1.51485 currentHedgePositionDeltas is 101</t>
  </si>
  <si>
    <t>2015-1-20 18:57:52.394: Algorithm - processTransitionPoint - nextUpper/LowerStrikes are 1.515/0 requiredDeltas/currentPosition/currentHedgeShortfall/direction/transitionPrice are -200/101/-301/-1/1.51485</t>
  </si>
  <si>
    <t>2015-1-20 18:57:52.394: TransitionLogger - processTransitionpoint - checking transition - currentHedgeShortfall is -301</t>
  </si>
  <si>
    <t>2015-1-20 18:57:52.395: Algorithm - handleTransition - currentHedgeShortfall is NOT ZERO and AUTOHEDGE IS NOT ENABLED!</t>
  </si>
  <si>
    <t>2015-1-20 18:57:52.395: Algorithm - updatePortfolio - haveAllDetails is True</t>
  </si>
  <si>
    <t>2015-1-20 18:57:52.396: RTWSControl - updatePortfolioEx - An Error Occured Object variable or With block variable not set</t>
  </si>
  <si>
    <t>2015-1-20 18:58:8.76: TransitionLogger - flushFile - flushing file</t>
  </si>
  <si>
    <t>2015-1-20 18:58:8.77: TransitionLogger - openTransitionFile - opening file C:\temp\transitionlog_2015-01-20_153021</t>
  </si>
  <si>
    <t>2015-1-20 18:58:15.820: DirectionIndicator - notify - price/longMA/ShortMA/prevDirection are 1.5149/1.51497831542063/1.51495872582249/-1</t>
  </si>
  <si>
    <t>2015-1-20 18:58:15.823: Algorithm - handleTransition - currentHedgeShortfall is NOT ZERO and AUTOHEDGE IS NOT ENABLED!</t>
  </si>
  <si>
    <t>2015-1-20 18:58:15.979: DirectionIndicator - notify - price/longMA/ShortMA/prevDirection are 1.51485/1.51495498534416/1.51492248388166/-1</t>
  </si>
  <si>
    <t>2015-1-20 18:58:15.979: Algorithm - handleTransition - currentHedgeShortfall is NOT ZERO and AUTOHEDGE IS NOT ENABLED!</t>
  </si>
  <si>
    <t>2015-1-20 18:58:17.799: DirectionIndicator - notify - price/longMA/ShortMA/prevDirection are 1.5148/1.51492680619067/1.51488165592111/-1</t>
  </si>
  <si>
    <t>2015-1-20 18:58:17.799: Algorithm - handleTransition - currentHedgeShortfall is NOT ZERO and AUTOHEDGE IS NOT ENABLED!</t>
  </si>
  <si>
    <t>2015-1-20 18:58:19.672: DirectionIndicator - notify - price/longMA/ShortMA/prevDirection are 1.51485/1.51491284142873/1.51487110394741/-1</t>
  </si>
  <si>
    <t>2015-1-20 18:58:19.674: Algorithm - handleTransition - currentHedgeShortfall is NOT ZERO and AUTOHEDGE IS NOT ENABLED!</t>
  </si>
  <si>
    <t>2015-1-20 18:58:27.131: DirectionIndicator - notify - price/longMA/ShortMA/prevDirection are 1.5149/1.51491050662351/1.51488073596494/-1</t>
  </si>
  <si>
    <t>2015-1-20 18:58:27.132: Algorithm - handleTransition - currentHedgeShortfall is NOT ZERO and AUTOHEDGE IS NOT ENABLED!</t>
  </si>
  <si>
    <t>2015-1-20 18:58:27.208: DirectionIndicator - notify - price/longMA/ShortMA/prevDirection are 1.51495/1.51491768723742/1.51490382397662/-1</t>
  </si>
  <si>
    <t>2015-1-20 18:58:27.208: Algorithm - handleTransition - currentHedgeShortfall is NOT ZERO and AUTOHEDGE IS NOT ENABLED!</t>
  </si>
  <si>
    <t>2015-1-20 18:58:28.45: DirectionIndicator - notify - price/longMA/ShortMA/prevDirection are 1.5149/1.51491447137607/1.51490254931775/-1</t>
  </si>
  <si>
    <t>2015-1-20 18:58:28.45: Algorithm - handleTransition - currentHedgeShortfall is NOT ZERO and AUTOHEDGE IS NOT ENABLED!</t>
  </si>
  <si>
    <t>2015-1-20 18:58:29.9: TransitionLogger - flushFile - flushing file</t>
  </si>
  <si>
    <t>2015-1-20 18:58:29.11: TransitionLogger - openTransitionFile - opening file C:\temp\transitionlog_2015-01-20_153021</t>
  </si>
  <si>
    <t>2015-1-20 18:58:30.337: DirectionIndicator - notify - price/longMA/ShortMA/prevDirection are 1.51485/1.51490274930769/1.5148850328785/-1</t>
  </si>
  <si>
    <t>2015-1-20 18:58:30.338: Algorithm - handleTransition - currentHedgeShortfall is NOT ZERO and AUTOHEDGE IS NOT ENABLED!</t>
  </si>
  <si>
    <t>2015-1-20 18:58:30.936: DirectionIndicator - notify - price/longMA/ShortMA/prevDirection are 1.5149/1.51490224943357/1.514890021919/-1</t>
  </si>
  <si>
    <t>2015-1-20 18:58:30.938: Algorithm - handleTransition - currentHedgeShortfall is NOT ZERO and AUTOHEDGE IS NOT ENABLED!</t>
  </si>
  <si>
    <t>2015-1-20 18:58:31.49: DirectionIndicator - notify - price/longMA/ShortMA/prevDirection are 1.51495/1.51491093135474/1.51491001461267/-1</t>
  </si>
  <si>
    <t>2015-1-20 18:58:31.50: Algorithm - handleTransition - currentHedgeShortfall is NOT ZERO and AUTOHEDGE IS NOT ENABLED!</t>
  </si>
  <si>
    <t>2015-1-20 18:58:33.502: DirectionIndicator - notify - price/longMA/ShortMA/prevDirection are 1.515/1.51492712565387/1.51494000974178/-1</t>
  </si>
  <si>
    <t>2015-1-20 18:58:33.503: Algorithm - FindNextStrikes - price is 1.515 nextStrikeUp/Down 1.52/0</t>
  </si>
  <si>
    <t>2015-1-20 18:58:33.504: Algorithm - getPortfolioForwardDelta - required deltas is -200 currentHedgePosition is 101</t>
  </si>
  <si>
    <t>2015-1-20 18:58:33.504: Algorithm - getHedgeShortfall - required deltas is -200 price is 1.5149 currentHedgePositionDeltas is 101</t>
  </si>
  <si>
    <t>2015-1-20 18:58:33.505: Algorithm - processTransitionPoint - nextUpper/LowerStrikes are 1.52/0 requiredDeltas/currentPosition/currentHedgeShortfall/direction/transitionPrice are -200/101/-301/-1/1.5149</t>
  </si>
  <si>
    <t>2015-1-20 18:58:33.505: TransitionLogger - processTransitionpoint - checking transition - currentHedgeShortfall is -301</t>
  </si>
  <si>
    <t>2015-1-20 18:58:33.506: Algorithm - handleTransition - currentHedgeShortfall is NOT ZERO and AUTOHEDGE IS NOT ENABLED!</t>
  </si>
  <si>
    <t>2015-1-20 18:58:33.845: DirectionIndicator - notify - price/longMA/ShortMA/prevDirection are 1.51505/1.51494946644408/1.51497667316119/-1</t>
  </si>
  <si>
    <t>2015-1-20 18:58:33.847: Algorithm - handleTransition - currentHedgeShortfall is NOT ZERO and AUTOHEDGE IS NOT ENABLED!</t>
  </si>
  <si>
    <t>2015-1-20 18:58:42.177: DirectionIndicator - notify - price/longMA/ShortMA/prevDirection are 1.5152/1.5149950179997/1.51505111544079/1</t>
  </si>
  <si>
    <t>2015-1-20 18:58:42.177: Algorithm - handleTransition - currentHedgeShortfall is NOT ZERO and AUTOHEDGE IS NOT ENABLED!</t>
  </si>
  <si>
    <t>2015-1-20 18:58:42.252: DirectionIndicator - notify - price/longMA/ShortMA/prevDirection are 1.51535/1.51505956018157/1.51515074362719/1</t>
  </si>
  <si>
    <t>2015-1-20 18:58:42.253: Algorithm - handleTransition - currentHedgeShortfall is NOT ZERO and AUTOHEDGE IS NOT ENABLED!</t>
  </si>
  <si>
    <t>2015-1-20 18:58:43.125: DirectionIndicator - notify - price/longMA/ShortMA/prevDirection are 1.5154/1.51512145833038/1.5152338290848/1</t>
  </si>
  <si>
    <t>2015-1-20 18:58:43.126: Algorithm - handleTransition - currentHedgeShortfall is NOT ZERO and AUTOHEDGE IS NOT ENABLED!</t>
  </si>
  <si>
    <t>2015-1-20 18:58:43.177: DirectionIndicator - notify - price/longMA/ShortMA/prevDirection are 1.51545/1.5151811931794/1.51530588605653/1</t>
  </si>
  <si>
    <t>2015-1-20 18:58:43.178: Algorithm - handleTransition - currentHedgeShortfall is NOT ZERO and AUTOHEDGE IS NOT ENABLED!</t>
  </si>
  <si>
    <t>2015-1-20 18:58:46.543: DirectionIndicator - notify - price/longMA/ShortMA/prevDirection are 1.5154/1.51522097623769/1.51533725737102/1</t>
  </si>
  <si>
    <t>2015-1-20 18:58:46.543: Algorithm - handleTransition - currentHedgeShortfall is NOT ZERO and AUTOHEDGE IS NOT ENABLED!</t>
  </si>
  <si>
    <t>2015-1-20 18:58:46.594: DirectionIndicator - notify - price/longMA/ShortMA/prevDirection are 1.51535/1.51524443510357/1.51534150491401/1</t>
  </si>
  <si>
    <t>2015-1-20 18:58:46.595: Algorithm - handleTransition - currentHedgeShortfall is NOT ZERO and AUTOHEDGE IS NOT ENABLED!</t>
  </si>
  <si>
    <t>2015-1-20 18:58:47.133: DirectionIndicator - notify - price/longMA/ShortMA/prevDirection are 1.5154/1.51527271963019/1.51536100327601/1</t>
  </si>
  <si>
    <t>2015-1-20 18:58:47.134: Algorithm - handleTransition - currentHedgeShortfall is NOT ZERO and AUTOHEDGE IS NOT ENABLED!</t>
  </si>
  <si>
    <t>2015-1-20 18:58:47.209: DirectionIndicator - notify - price/longMA/ShortMA/prevDirection are 1.51545/1.5153049524247/1.51539066885067/1</t>
  </si>
  <si>
    <t>2015-1-20 18:58:47.210: Algorithm - handleTransition - currentHedgeShortfall is NOT ZERO and AUTOHEDGE IS NOT ENABLED!</t>
  </si>
  <si>
    <t>2015-1-20 18:58:57.596: DirectionIndicator - notify - price/longMA/ShortMA/prevDirection are 1.5154/1.51532223380203/1.51539377923378/1</t>
  </si>
  <si>
    <t>2015-1-20 18:58:57.598: Algorithm - handleTransition - currentHedgeShortfall is NOT ZERO and AUTOHEDGE IS NOT ENABLED!</t>
  </si>
  <si>
    <t>2015-1-20 18:59:0.738: DirectionIndicator - notify - price/longMA/ShortMA/prevDirection are 1.51545/1.51534546401984/1.51541251948919/1</t>
  </si>
  <si>
    <t>2015-1-20 18:59:0.739: Algorithm - handleTransition - currentHedgeShortfall is NOT ZERO and AUTOHEDGE IS NOT ENABLED!</t>
  </si>
  <si>
    <t>2015-1-20 18:59:2.461: DirectionIndicator - notify - price/longMA/ShortMA/prevDirection are 1.5154/1.5153553796526/1.51540834632613/1</t>
  </si>
  <si>
    <t>2015-1-20 18:59:2.461: Algorithm - handleTransition - currentHedgeShortfall is NOT ZERO and AUTOHEDGE IS NOT ENABLED!</t>
  </si>
  <si>
    <t>2015-1-20 18:59:4.712: DirectionIndicator - notify - price/longMA/ShortMA/prevDirection are 1.51535/1.51535440153394/1.51538889755075/1</t>
  </si>
  <si>
    <t>2015-1-20 18:59:4.712: Algorithm - handleTransition - currentHedgeShortfall is NOT ZERO and AUTOHEDGE IS NOT ENABLED!</t>
  </si>
  <si>
    <t>2015-1-20 18:59:4.793: DirectionIndicator - notify - price/longMA/ShortMA/prevDirection are 1.51525/1.51533541943686/1.51534259836717/1</t>
  </si>
  <si>
    <t>2015-1-20 18:59:4.793: Algorithm - handleTransition - currentHedgeShortfall is NOT ZERO and AUTOHEDGE IS NOT ENABLED!</t>
  </si>
  <si>
    <t>2015-1-20 18:59:8.191: TransitionLogger - flushFile - flushing file</t>
  </si>
  <si>
    <t>2015-1-20 18:59:8.192: TransitionLogger - openTransitionFile - opening file C:\temp\transitionlog_2015-01-20_153021</t>
  </si>
  <si>
    <t>2015-1-20 18:59:25.17: DirectionIndicator - notify - price/longMA/ShortMA/prevDirection are 1.5153/1.51532897953925/1.51532839891144/1</t>
  </si>
  <si>
    <t>2015-1-20 18:59:25.18: Algorithm - handleTransition - currentHedgeShortfall is NOT ZERO and AUTOHEDGE IS NOT ENABLED!</t>
  </si>
  <si>
    <t>2015-1-20 18:59:27.594: DirectionIndicator - notify - price/longMA/ShortMA/prevDirection are 1.51535/1.51533280144121/1.5153355992743/1</t>
  </si>
  <si>
    <t>2015-1-20 18:59:27.597: Algorithm - handleTransition - currentHedgeShortfall is NOT ZERO and AUTOHEDGE IS NOT ENABLED!</t>
  </si>
  <si>
    <t>2015-1-20 18:59:28.896: DirectionIndicator - notify - price/longMA/ShortMA/prevDirection are 1.5153/1.5153268375428/1.51532373284953/1</t>
  </si>
  <si>
    <t>2015-1-20 18:59:28.897: Algorithm - handleTransition - currentHedgeShortfall is NOT ZERO and AUTOHEDGE IS NOT ENABLED!</t>
  </si>
  <si>
    <t>2015-1-20 18:59:29.0: TransitionLogger - flushFile - flushing file</t>
  </si>
  <si>
    <t>2015-1-20 18:59:29.1: TransitionLogger - openTransitionFile - opening file C:\temp\transitionlog_2015-01-20_153021</t>
  </si>
  <si>
    <t>2015-1-20 18:59:30.459: DirectionIndicator - notify - price/longMA/ShortMA/prevDirection are 1.51525/1.51531286708048/1.51529915523302/1</t>
  </si>
  <si>
    <t>2015-1-20 18:59:30.461: Algorithm - handleTransition - currentHedgeShortfall is NOT ZERO and AUTOHEDGE IS NOT ENABLED!</t>
  </si>
  <si>
    <t>2015-1-20 18:59:30.881: DirectionIndicator - notify - price/longMA/ShortMA/prevDirection are 1.51535/1.51531961852039/1.51531610348868/1</t>
  </si>
  <si>
    <t>2015-1-20 18:59:30.882: Algorithm - handleTransition - currentHedgeShortfall is NOT ZERO and AUTOHEDGE IS NOT ENABLED!</t>
  </si>
  <si>
    <t>2015-1-20 18:59:30.959: DirectionIndicator - notify - price/longMA/ShortMA/prevDirection are 1.51545/1.51534332424396/1.51536073565912/1</t>
  </si>
  <si>
    <t>2015-1-20 18:59:30.960: Algorithm - handleTransition - currentHedgeShortfall is NOT ZERO and AUTOHEDGE IS NOT ENABLED!</t>
  </si>
  <si>
    <t>2015-1-20 18:59:33.728: DirectionIndicator - notify - price/longMA/ShortMA/prevDirection are 1.5155/1.51537181074505/1.51540715710608/1</t>
  </si>
  <si>
    <t>2015-1-20 18:59:33.728: Algorithm - handleTransition - currentHedgeShortfall is NOT ZERO and AUTOHEDGE IS NOT ENABLED!</t>
  </si>
  <si>
    <t>2015-1-20 18:59:33.799: DirectionIndicator - notify - price/longMA/ShortMA/prevDirection are 1.51555/1.51540420879141/1.51545477140405/1</t>
  </si>
  <si>
    <t>2015-1-20 18:59:33.800: Algorithm - handleTransition - currentHedgeShortfall is NOT ZERO and AUTOHEDGE IS NOT ENABLED!</t>
  </si>
  <si>
    <t>2015-1-20 18:59:34.503: DirectionIndicator - notify - price/longMA/ShortMA/prevDirection are 1.5156/1.51543980719297/1.51550318093604/1</t>
  </si>
  <si>
    <t>2015-1-20 18:59:34.504: Algorithm - handleTransition - currentHedgeShortfall is NOT ZERO and AUTOHEDGE IS NOT ENABLED!</t>
  </si>
  <si>
    <t>2015-1-20 18:59:34.556: DirectionIndicator - notify - price/longMA/ShortMA/prevDirection are 1.51565/1.51547802406698/1.51555212062402/1</t>
  </si>
  <si>
    <t>2015-1-20 18:59:34.556: Algorithm - handleTransition - currentHedgeShortfall is NOT ZERO and AUTOHEDGE IS NOT ENABLED!</t>
  </si>
  <si>
    <t>2015-1-20 18:59:35.628: DirectionIndicator - notify - price/longMA/ShortMA/prevDirection are 1.5156/1.51550020150934/1.51556808041602/1</t>
  </si>
  <si>
    <t>2015-1-20 18:59:35.628: Algorithm - handleTransition - currentHedgeShortfall is NOT ZERO and AUTOHEDGE IS NOT ENABLED!</t>
  </si>
  <si>
    <t>2015-1-20 18:59:35.680: DirectionIndicator - notify - price/longMA/ShortMA/prevDirection are 1.51555/1.51550925578037/1.51556205361068/1</t>
  </si>
  <si>
    <t>2015-1-20 18:59:35.681: Algorithm - handleTransition - currentHedgeShortfall is NOT ZERO and AUTOHEDGE IS NOT ENABLED!</t>
  </si>
  <si>
    <t>2015-1-20 18:59:37.799: DirectionIndicator - notify - price/longMA/ShortMA/prevDirection are 1.5155/1.51550757291121/1.51554136907378/1</t>
  </si>
  <si>
    <t>2015-1-20 18:59:37.800: Algorithm - handleTransition - currentHedgeShortfall is NOT ZERO and AUTOHEDGE IS NOT ENABLED!</t>
  </si>
  <si>
    <t>2015-1-20 18:59:37.879: DirectionIndicator - notify - price/longMA/ShortMA/prevDirection are 1.51545/1.51549710510917/1.51551091271586/1</t>
  </si>
  <si>
    <t>2015-1-20 18:59:37.880: Algorithm - handleTransition - currentHedgeShortfall is NOT ZERO and AUTOHEDGE IS NOT ENABLED!</t>
  </si>
  <si>
    <t>2015-1-20 18:59:40.836: DirectionIndicator - notify - price/longMA/ShortMA/prevDirection are 1.5154/1.51547944963478/1.51547394181057/1</t>
  </si>
  <si>
    <t>2015-1-20 18:59:40.837: Algorithm - handleTransition - currentHedgeShortfall is NOT ZERO and AUTOHEDGE IS NOT ENABLED!</t>
  </si>
  <si>
    <t>2015-1-20 18:59:40.889: DirectionIndicator - notify - price/longMA/ShortMA/prevDirection are 1.51535/1.51545591333755/1.51543262787371/1</t>
  </si>
  <si>
    <t>2015-1-20 18:59:40.889: Algorithm - handleTransition - currentHedgeShortfall is NOT ZERO and AUTOHEDGE IS NOT ENABLED!</t>
  </si>
  <si>
    <t>2015-1-20 18:59:41.545: DirectionIndicator - notify - price/longMA/ShortMA/prevDirection are 1.5154/1.51544574727617/1.51542175191581/-1</t>
  </si>
  <si>
    <t>2015-1-20 18:59:41.546: Algorithm - handleTransition - currentHedgeShortfall is NOT ZERO and AUTOHEDGE IS NOT ENABLED!</t>
  </si>
  <si>
    <t>2015-1-20 18:59:42.301: DirectionIndicator - notify - price/longMA/ShortMA/prevDirection are 1.51545/1.51544652049869/1.51543116794387/-1</t>
  </si>
  <si>
    <t>2015-1-20 18:59:42.301: Algorithm - handleTransition - currentHedgeShortfall is NOT ZERO and AUTOHEDGE IS NOT ENABLED!</t>
  </si>
  <si>
    <t>2015-1-20 18:59:47.342: DirectionIndicator - notify - price/longMA/ShortMA/prevDirection are 1.5154/1.5154380622262/1.51542077862925/-1</t>
  </si>
  <si>
    <t>2015-1-20 18:59:47.343: Algorithm - handleTransition - currentHedgeShortfall is NOT ZERO and AUTOHEDGE IS NOT ENABLED!</t>
  </si>
  <si>
    <t>2015-1-20 18:59:47.389: DirectionIndicator - notify - price/longMA/ShortMA/prevDirection are 1.51535/1.51542205091235/1.51539718575283/-1</t>
  </si>
  <si>
    <t>2015-1-20 18:59:47.390: Algorithm - handleTransition - currentHedgeShortfall is NOT ZERO and AUTOHEDGE IS NOT ENABLED!</t>
  </si>
  <si>
    <t>2015-1-20 18:59:47.585: DirectionIndicator - notify - price/longMA/ShortMA/prevDirection are 1.5154/1.51541804165556/1.51539812383522/-1</t>
  </si>
  <si>
    <t>2015-1-20 18:59:47.586: Algorithm - handleTransition - currentHedgeShortfall is NOT ZERO and AUTOHEDGE IS NOT ENABLED!</t>
  </si>
  <si>
    <t>2015-1-20 18:59:47.798: DirectionIndicator - notify - price/longMA/ShortMA/prevDirection are 1.51545/1.51542385226364/1.51541541589015/-1</t>
  </si>
  <si>
    <t>2015-1-20 18:59:47.799: Algorithm - handleTransition - currentHedgeShortfall is NOT ZERO and AUTOHEDGE IS NOT ENABLED!</t>
  </si>
  <si>
    <t>2015-1-20 18:59:47.878: DirectionIndicator - notify - price/longMA/ShortMA/prevDirection are 1.5155/1.51543769730661/1.51544361059343/-1</t>
  </si>
  <si>
    <t>2015-1-20 18:59:47.879: Algorithm - handleTransition - currentHedgeShortfall is NOT ZERO and AUTOHEDGE IS NOT ENABLED!</t>
  </si>
  <si>
    <t>2015-1-20 18:59:50.558: DirectionIndicator - notify - price/longMA/ShortMA/prevDirection are 1.51555/1.51545811597814/1.51547907372895/-1</t>
  </si>
  <si>
    <t>2015-1-20 18:59:50.558: Algorithm - handleTransition - currentHedgeShortfall is NOT ZERO and AUTOHEDGE IS NOT ENABLED!</t>
  </si>
  <si>
    <t>2015-1-20 18:59:51.639: DirectionIndicator - notify - price/longMA/ShortMA/prevDirection are 1.5156/1.51548391307302/1.51551938248597/1</t>
  </si>
  <si>
    <t>2015-1-20 18:59:51.640: Algorithm - handleTransition - currentHedgeShortfall is NOT ZERO and AUTOHEDGE IS NOT ENABLED!</t>
  </si>
  <si>
    <t>2015-1-20 18:59:51.759: DirectionIndicator - notify - price/longMA/ShortMA/prevDirection are 1.51555/1.51549592887793/1.51552958832398/1</t>
  </si>
  <si>
    <t>2015-1-20 18:59:51.759: Algorithm - handleTransition - currentHedgeShortfall is NOT ZERO and AUTOHEDGE IS NOT ENABLED!</t>
  </si>
  <si>
    <t>2015-1-20 18:59:56.598: DirectionIndicator - notify - price/longMA/ShortMA/prevDirection are 1.5156/1.51551485090012/1.51555305888265/1</t>
  </si>
  <si>
    <t>2015-1-20 18:59:56.599: Algorithm - handleTransition - currentHedgeShortfall is NOT ZERO and AUTOHEDGE IS NOT ENABLED!</t>
  </si>
  <si>
    <t>2015-1-20 18:59:57.259: DirectionIndicator - notify - price/longMA/ShortMA/prevDirection are 1.51555/1.51552124164555/1.5155520392551/1</t>
  </si>
  <si>
    <t>2015-1-20 18:59:57.260: Algorithm - handleTransition - currentHedgeShortfall is NOT ZERO and AUTOHEDGE IS NOT ENABLED!</t>
  </si>
  <si>
    <t>2015-1-20 19:0:1.680: DirectionIndicator - notify - price/longMA/ShortMA/prevDirection are 1.5155/1.51551737952818/1.51553469283673/1</t>
  </si>
  <si>
    <t>2015-1-20 19:0:1.681: Algorithm - handleTransition - currentHedgeShortfall is NOT ZERO and AUTOHEDGE IS NOT ENABLED!</t>
  </si>
  <si>
    <t>2015-1-20 19:0:1.755: DirectionIndicator - notify - price/longMA/ShortMA/prevDirection are 1.51545/1.51550512870487/1.51550646189116/1</t>
  </si>
  <si>
    <t>2015-1-20 19:0:1.756: Algorithm - handleTransition - currentHedgeShortfall is NOT ZERO and AUTOHEDGE IS NOT ENABLED!</t>
  </si>
  <si>
    <t>2015-1-20 19:0:2.217: DirectionIndicator - notify - price/longMA/ShortMA/prevDirection are 1.5155/1.51550419621308/1.51550430792744/1</t>
  </si>
  <si>
    <t>2015-1-20 19:0:2.218: Algorithm - handleTransition - currentHedgeShortfall is NOT ZERO and AUTOHEDGE IS NOT ENABLED!</t>
  </si>
  <si>
    <t>2015-1-20 19:0:4.213: DirectionIndicator - notify - price/longMA/ShortMA/prevDirection are 1.51555/1.51551252417434/1.51551953861829/1</t>
  </si>
  <si>
    <t>2015-1-20 19:0:4.213: Algorithm - handleTransition - currentHedgeShortfall is NOT ZERO and AUTOHEDGE IS NOT ENABLED!</t>
  </si>
  <si>
    <t>2015-1-20 19:0:4.264: DirectionIndicator - notify - price/longMA/ShortMA/prevDirection are 1.5156/1.51552842886991/1.51554635907886/1</t>
  </si>
  <si>
    <t>2015-1-20 19:0:4.265: Algorithm - handleTransition - currentHedgeShortfall is NOT ZERO and AUTOHEDGE IS NOT ENABLED!</t>
  </si>
  <si>
    <t>2015-1-20 19:0:8.187: TransitionLogger - flushFile - flushing file</t>
  </si>
  <si>
    <t>2015-1-20 19:0:8.188: TransitionLogger - openTransitionFile - opening file C:\temp\transitionlog_2015-01-20_153021</t>
  </si>
  <si>
    <t>2015-1-20 19:0:9.349: DirectionIndicator - notify - price/longMA/ShortMA/prevDirection are 1.51555/1.51553235089357/1.51554757271924/1</t>
  </si>
  <si>
    <t>2015-1-20 19:0:9.351: Algorithm - handleTransition - currentHedgeShortfall is NOT ZERO and AUTOHEDGE IS NOT ENABLED!</t>
  </si>
  <si>
    <t>2015-1-20 19:0:10.384: DirectionIndicator - notify - price/longMA/ShortMA/prevDirection are 1.5155/1.51552646891292/1.51553171514616/1</t>
  </si>
  <si>
    <t>2015-1-20 19:0:10.385: Algorithm - handleTransition - currentHedgeShortfall is NOT ZERO and AUTOHEDGE IS NOT ENABLED!</t>
  </si>
  <si>
    <t>2015-1-20 19:0:10.723: DirectionIndicator - notify - price/longMA/ShortMA/prevDirection are 1.51555/1.51553074729239/1.51553781009744/1</t>
  </si>
  <si>
    <t>2015-1-20 19:0:10.724: Algorithm - handleTransition - currentHedgeShortfall is NOT ZERO and AUTOHEDGE IS NOT ENABLED!</t>
  </si>
  <si>
    <t>2015-1-20 19:0:10.842: DirectionIndicator - notify - price/longMA/ShortMA/prevDirection are 1.5155/1.51552515687559/1.51552520673163/1</t>
  </si>
  <si>
    <t>2015-1-20 19:0:10.843: Algorithm - handleTransition - currentHedgeShortfall is NOT ZERO and AUTOHEDGE IS NOT ENABLED!</t>
  </si>
  <si>
    <t>2015-1-20 19:0:10.924: DirectionIndicator - notify - price/longMA/ShortMA/prevDirection are 1.51545/1.51551149198912/1.51550013782108/1</t>
  </si>
  <si>
    <t>2015-1-20 19:0:10.925: Algorithm - handleTransition - currentHedgeShortfall is NOT ZERO and AUTOHEDGE IS NOT ENABLED!</t>
  </si>
  <si>
    <t>2015-1-20 19:0:11.177: DirectionIndicator - notify - price/longMA/ShortMA/prevDirection are 1.5155/1.51550940253655/1.51550009188072/1</t>
  </si>
  <si>
    <t>2015-1-20 19:0:11.177: Algorithm - handleTransition - currentHedgeShortfall is NOT ZERO and AUTOHEDGE IS NOT ENABLED!</t>
  </si>
  <si>
    <t>2015-1-20 19:0:11.264: DirectionIndicator - notify - price/longMA/ShortMA/prevDirection are 1.51545/1.51549860207536/1.51548339458715/1</t>
  </si>
  <si>
    <t>2015-1-20 19:0:11.265: Algorithm - handleTransition - currentHedgeShortfall is NOT ZERO and AUTOHEDGE IS NOT ENABLED!</t>
  </si>
  <si>
    <t>2015-1-20 19:0:14.46: DirectionIndicator - notify - price/longMA/ShortMA/prevDirection are 1.5155/1.51549885624348/1.51548892972477/1</t>
  </si>
  <si>
    <t>2015-1-20 19:0:14.47: Algorithm - handleTransition - currentHedgeShortfall is NOT ZERO and AUTOHEDGE IS NOT ENABLED!</t>
  </si>
  <si>
    <t>2015-1-20 19:0:14.302: DirectionIndicator - notify - price/longMA/ShortMA/prevDirection are 1.51555/1.5155081551083/1.51550928648318/1</t>
  </si>
  <si>
    <t>2015-1-20 19:0:14.303: Algorithm - handleTransition - currentHedgeShortfall is NOT ZERO and AUTOHEDGE IS NOT ENABLED!</t>
  </si>
  <si>
    <t>2015-1-20 19:0:14.468: DirectionIndicator - notify - price/longMA/ShortMA/prevDirection are 1.5155/1.51550667236134/1.51550619098879/1</t>
  </si>
  <si>
    <t>2015-1-20 19:0:14.468: Algorithm - handleTransition - currentHedgeShortfall is NOT ZERO and AUTOHEDGE IS NOT ENABLED!</t>
  </si>
  <si>
    <t>2015-1-20 19:0:15.386: DirectionIndicator - notify - price/longMA/ShortMA/prevDirection are 1.51545/1.51549636829564/1.51548746065919/1</t>
  </si>
  <si>
    <t>2015-1-20 19:0:15.388: Algorithm - handleTransition - currentHedgeShortfall is NOT ZERO and AUTOHEDGE IS NOT ENABLED!</t>
  </si>
  <si>
    <t>2015-1-20 19:0:18.882: DirectionIndicator - notify - price/longMA/ShortMA/prevDirection are 1.5154/1.51547884678734/1.51545830710613/1</t>
  </si>
  <si>
    <t>2015-1-20 19:0:18.884: Algorithm - handleTransition - currentHedgeShortfall is NOT ZERO and AUTOHEDGE IS NOT ENABLED!</t>
  </si>
  <si>
    <t>2015-1-20 19:0:24.761: DirectionIndicator - notify - price/longMA/ShortMA/prevDirection are 1.51535/1.51545542009873/1.51542220473742/-1</t>
  </si>
  <si>
    <t>2015-1-20 19:0:24.762: Algorithm - handleTransition - currentHedgeShortfall is NOT ZERO and AUTOHEDGE IS NOT ENABLED!</t>
  </si>
  <si>
    <t>2015-1-20 19:0:25.886: DirectionIndicator - notify - price/longMA/ShortMA/prevDirection are 1.5153/1.51542716189896/1.51538146982495/-1</t>
  </si>
  <si>
    <t>2015-1-20 19:0:25.887: Algorithm - handleTransition - currentHedgeShortfall is NOT ZERO and AUTOHEDGE IS NOT ENABLED!</t>
  </si>
  <si>
    <t>2015-1-20 19:0:29.188: TransitionLogger - flushFile - flushing file</t>
  </si>
  <si>
    <t>2015-1-20 19:0:29.189: TransitionLogger - openTransitionFile - opening file C:\temp\transitionlog_2015-01-20_153021</t>
  </si>
  <si>
    <t>2015-1-20 19:0:29.808: DirectionIndicator - notify - price/longMA/ShortMA/prevDirection are 1.51525/1.51539495064461/1.51533764654996/-1</t>
  </si>
  <si>
    <t>2015-1-20 19:0:29.810: Algorithm - handleTransition - currentHedgeShortfall is NOT ZERO and AUTOHEDGE IS NOT ENABLED!</t>
  </si>
  <si>
    <t>2015-1-20 19:0:31.729: DirectionIndicator - notify - price/longMA/ShortMA/prevDirection are 1.5153/1.51537768689104/1.51532509769998/-1</t>
  </si>
  <si>
    <t>2015-1-20 19:0:31.730: Algorithm - handleTransition - currentHedgeShortfall is NOT ZERO and AUTOHEDGE IS NOT ENABLED!</t>
  </si>
  <si>
    <t>2015-1-20 19:0:33.804: DirectionIndicator - notify - price/longMA/ShortMA/prevDirection are 1.51525/1.51535447109267/1.51530006513332/-1</t>
  </si>
  <si>
    <t>2015-1-20 19:0:33.806: Algorithm - handleTransition - currentHedgeShortfall is NOT ZERO and AUTOHEDGE IS NOT ENABLED!</t>
  </si>
  <si>
    <t>2015-1-20 19:0:48.196: DirectionIndicator - notify - price/longMA/ShortMA/prevDirection are 1.5152/1.51532638543946/1.51526671008888/-1</t>
  </si>
  <si>
    <t>2015-1-20 19:0:48.197: Algorithm - handleTransition - currentHedgeShortfall is NOT ZERO and AUTOHEDGE IS NOT ENABLED!</t>
  </si>
  <si>
    <t>2015-1-20 19:0:48.721: DirectionIndicator - notify - price/longMA/ShortMA/prevDirection are 1.51525/1.51531249717774/1.51526114005925/-1</t>
  </si>
  <si>
    <t>2015-1-20 19:0:48.721: Algorithm - handleTransition - currentHedgeShortfall is NOT ZERO and AUTOHEDGE IS NOT ENABLED!</t>
  </si>
  <si>
    <t>2015-1-20 19:0:52.423: Algorithm - FindNextStrikes - price is 1.51525 nextStrikeUp/Down 1.52/1.515</t>
  </si>
  <si>
    <t>2015-1-20 19:0:52.424: Algorithm - getPortfolioForwardDelta - required deltas is 100 currentHedgePosition is 101</t>
  </si>
  <si>
    <t>2015-1-20 19:0:52.424: Algorithm - getHedgeShortfall - required deltas is 100 price is 1.51515 currentHedgePositionDeltas is 101</t>
  </si>
  <si>
    <t>2015-1-20 19:0:52.425: Algorithm - processTransitionPoint - nextUpper/LowerStrikes are 1.52/1.515 requiredDeltas/currentPosition/currentHedgeShortfall/direction/transitionPrice are 100/101/-1/-1/1.51515</t>
  </si>
  <si>
    <t>2015-1-20 19:0:52.425: TransitionLogger - processTransitionpoint - checking transition - currentHedgeShortfall is -1</t>
  </si>
  <si>
    <t>2015-1-20 19:0:52.425: Algorithm - handleTransition - currentHedgeShortfall is NOT ZERO and AUTOHEDGE IS NOT ENABLED!</t>
  </si>
  <si>
    <t>2015-1-20 19:0:52.426: Algorithm - updatePortfolio - haveAllDetails is True</t>
  </si>
  <si>
    <t>2015-1-20 19:0:52.427: RTWSControl - updatePortfolioEx - An Error Occured Object variable or With block variable not set</t>
  </si>
  <si>
    <t>2015-1-20 19:0:52.468: Algorithm - FindNextStrikes - price is 1.51525 nextStrikeUp/Down 1.52/1.515</t>
  </si>
  <si>
    <t>2015-1-20 19:0:52.468: Algorithm - getPortfolioForwardDelta - required deltas is 100 currentHedgePosition is 101</t>
  </si>
  <si>
    <t>2015-1-20 19:0:52.469: Algorithm - getHedgeShortfall - required deltas is 100 price is 1.51515 currentHedgePositionDeltas is 101</t>
  </si>
  <si>
    <t>2015-1-20 19:0:52.469: Algorithm - processTransitionPoint - nextUpper/LowerStrikes are 1.52/1.515 requiredDeltas/currentPosition/currentHedgeShortfall/direction/transitionPrice are 100/101/-1/-1/1.51515</t>
  </si>
  <si>
    <t>2015-1-20 19:0:52.470: TransitionLogger - processTransitionpoint - checking transition - currentHedgeShortfall is -1</t>
  </si>
  <si>
    <t>2015-1-20 19:0:52.470: Algorithm - handleTransition - currentHedgeShortfall is NOT ZERO and AUTOHEDGE IS NOT ENABLED!</t>
  </si>
  <si>
    <t>2015-1-20 19:0:52.471: Algorithm - updatePortfolio - haveAllDetails is True</t>
  </si>
  <si>
    <t>2015-1-20 19:0:52.472: RTWSControl - updatePortfolioEx - An Error Occured Object variable or With block variable not set</t>
  </si>
  <si>
    <t>2015-1-20 19:0:52.521: Algorithm - FindNextStrikes - price is 1.51525 nextStrikeUp/Down 1.52/1.515</t>
  </si>
  <si>
    <t>2015-1-20 19:0:52.521: Algorithm - getPortfolioForwardDelta - required deltas is 100 currentHedgePosition is 101</t>
  </si>
  <si>
    <t>2015-1-20 19:0:52.521: Algorithm - getHedgeShortfall - required deltas is 100 price is 1.51515 currentHedgePositionDeltas is 101</t>
  </si>
  <si>
    <t>2015-1-20 19:0:52.522: Algorithm - processTransitionPoint - nextUpper/LowerStrikes are 1.52/1.515 requiredDeltas/currentPosition/currentHedgeShortfall/direction/transitionPrice are 100/101/-1/-1/1.51515</t>
  </si>
  <si>
    <t>2015-1-20 19:0:52.522: TransitionLogger - processTransitionpoint - checking transition - currentHedgeShortfall is -1</t>
  </si>
  <si>
    <t>2015-1-20 19:0:52.523: Algorithm - handleTransition - currentHedgeShortfall is NOT ZERO and AUTOHEDGE IS NOT ENABLED!</t>
  </si>
  <si>
    <t>2015-1-20 19:0:52.523: Algorithm - updatePortfolio - haveAllDetails is True</t>
  </si>
  <si>
    <t>2015-1-20 19:0:52.524: RTWSControl - updatePortfolioEx - An Error Occured Object variable or With block variable not set</t>
  </si>
  <si>
    <t>2015-1-20 19:0:52.574: Algorithm - FindNextStrikes - price is 1.51525 nextStrikeUp/Down 1.52/1.515</t>
  </si>
  <si>
    <t>2015-1-20 19:0:52.575: Algorithm - getPortfolioForwardDelta - required deltas is 100 currentHedgePosition is 101</t>
  </si>
  <si>
    <t>2015-1-20 19:0:52.575: Algorithm - getHedgeShortfall - required deltas is 100 price is 1.51515 currentHedgePositionDeltas is 101</t>
  </si>
  <si>
    <t>2015-1-20 19:0:52.575: Algorithm - processTransitionPoint - nextUpper/LowerStrikes are 1.52/1.515 requiredDeltas/currentPosition/currentHedgeShortfall/direction/transitionPrice are 100/101/-1/-1/1.51515</t>
  </si>
  <si>
    <t>2015-1-20 19:0:52.576: TransitionLogger - processTransitionpoint - checking transition - currentHedgeShortfall is -1</t>
  </si>
  <si>
    <t>2015-1-20 19:0:52.576: Algorithm - handleTransition - currentHedgeShortfall is NOT ZERO and AUTOHEDGE IS NOT ENABLED!</t>
  </si>
  <si>
    <t>2015-1-20 19:0:52.577: Algorithm - updatePortfolio - haveAllDetails is True</t>
  </si>
  <si>
    <t>2015-1-20 19:0:52.578: RTWSControl - updatePortfolioEx - An Error Occured Object variable or With block variable not set</t>
  </si>
  <si>
    <t>2015-1-20 19:0:52.642: Algorithm - FindNextStrikes - price is 1.51525 nextStrikeUp/Down 1.52/1.515</t>
  </si>
  <si>
    <t>2015-1-20 19:0:52.643: Algorithm - getPortfolioForwardDelta - required deltas is 100 currentHedgePosition is 101</t>
  </si>
  <si>
    <t>2015-1-20 19:0:52.643: Algorithm - getHedgeShortfall - required deltas is 100 price is 1.51515 currentHedgePositionDeltas is 101</t>
  </si>
  <si>
    <t>2015-1-20 19:0:52.644: Algorithm - processTransitionPoint - nextUpper/LowerStrikes are 1.52/1.515 requiredDeltas/currentPosition/currentHedgeShortfall/direction/transitionPrice are 100/101/-1/-1/1.51515</t>
  </si>
  <si>
    <t>2015-1-20 19:0:52.644: TransitionLogger - processTransitionpoint - checking transition - currentHedgeShortfall is -1</t>
  </si>
  <si>
    <t>2015-1-20 19:0:52.644: Algorithm - handleTransition - currentHedgeShortfall is NOT ZERO and AUTOHEDGE IS NOT ENABLED!</t>
  </si>
  <si>
    <t>2015-1-20 19:0:52.645: Algorithm - updatePortfolio - haveAllDetails is True</t>
  </si>
  <si>
    <t>2015-1-20 19:0:52.646: RTWSControl - updatePortfolioEx - An Error Occured Object variable or With block variable not set</t>
  </si>
  <si>
    <t>2015-1-20 19:0:52.710: Algorithm - FindNextStrikes - price is 1.51525 nextStrikeUp/Down 1.52/1.515</t>
  </si>
  <si>
    <t>2015-1-20 19:0:52.710: Algorithm - getPortfolioForwardDelta - required deltas is 100 currentHedgePosition is 101</t>
  </si>
  <si>
    <t>2015-1-20 19:0:52.711: Algorithm - getHedgeShortfall - required deltas is 100 price is 1.51515 currentHedgePositionDeltas is 101</t>
  </si>
  <si>
    <t>2015-1-20 19:0:52.711: Algorithm - processTransitionPoint - nextUpper/LowerStrikes are 1.52/1.515 requiredDeltas/currentPosition/currentHedgeShortfall/direction/transitionPrice are 100/101/-1/-1/1.51515</t>
  </si>
  <si>
    <t>2015-1-20 19:0:52.712: TransitionLogger - processTransitionpoint - checking transition - currentHedgeShortfall is -1</t>
  </si>
  <si>
    <t>2015-1-20 19:0:52.712: Algorithm - handleTransition - currentHedgeShortfall is NOT ZERO and AUTOHEDGE IS NOT ENABLED!</t>
  </si>
  <si>
    <t>2015-1-20 19:0:52.713: Algorithm - updatePortfolio - haveAllDetails is True</t>
  </si>
  <si>
    <t>2015-1-20 19:0:52.714: RTWSControl - updatePortfolioEx - An Error Occured Object variable or With block variable not set</t>
  </si>
  <si>
    <t>2015-1-20 19:1:0.602: DirectionIndicator - notify - price/longMA/ShortMA/prevDirection are 1.5152/1.51529204314542/1.5152407600395/-1</t>
  </si>
  <si>
    <t>2015-1-20 19:1:0.602: Algorithm - handleTransition - currentHedgeShortfall is NOT ZERO and AUTOHEDGE IS NOT ENABLED!</t>
  </si>
  <si>
    <t>2015-1-20 19:1:8.663: TransitionLogger - flushFile - flushing file</t>
  </si>
  <si>
    <t>2015-1-20 19:1:8.664: TransitionLogger - openTransitionFile - opening file C:\temp\transitionlog_2015-01-20_153021</t>
  </si>
  <si>
    <t>2015-1-20 19:1:8.699: DirectionIndicator - notify - price/longMA/ShortMA/prevDirection are 1.51515/1.51526621711898/1.515210506693/-1</t>
  </si>
  <si>
    <t>2015-1-20 19:1:8.701: Algorithm - handleTransition - currentHedgeShortfall is NOT ZERO and AUTOHEDGE IS NOT ENABLED!</t>
  </si>
  <si>
    <t>2015-1-20 19:1:11.528: DirectionIndicator - notify - price/longMA/ShortMA/prevDirection are 1.5152/1.5152541776428/1.515207004462/-1</t>
  </si>
  <si>
    <t>2015-1-20 19:1:11.529: Algorithm - handleTransition - currentHedgeShortfall is NOT ZERO and AUTOHEDGE IS NOT ENABLED!</t>
  </si>
  <si>
    <t>2015-1-20 19:1:11.592: DirectionIndicator - notify - price/longMA/ShortMA/prevDirection are 1.51525/1.51525341807138/1.515221336308/-1</t>
  </si>
  <si>
    <t>2015-1-20 19:1:11.593: Algorithm - handleTransition - currentHedgeShortfall is NOT ZERO and AUTOHEDGE IS NOT ENABLED!</t>
  </si>
  <si>
    <t>2015-1-20 19:1:12.22: DirectionIndicator - notify - price/longMA/ShortMA/prevDirection are 1.5153/1.51526188751295/1.51524755753867/-1</t>
  </si>
  <si>
    <t>2015-1-20 19:1:12.24: Algorithm - handleTransition - currentHedgeShortfall is NOT ZERO and AUTOHEDGE IS NOT ENABLED!</t>
  </si>
  <si>
    <t>2015-1-20 19:1:24.443: DirectionIndicator - notify - price/longMA/ShortMA/prevDirection are 1.51525/1.51525972614696/1.51524837169244/-1</t>
  </si>
  <si>
    <t>2015-1-20 19:1:24.443: Algorithm - handleTransition - currentHedgeShortfall is NOT ZERO and AUTOHEDGE IS NOT ENABLED!</t>
  </si>
  <si>
    <t>2015-1-20 19:1:24.961: DirectionIndicator - notify - price/longMA/ShortMA/prevDirection are 1.5153/1.51526704866569/1.5152655811283/-1</t>
  </si>
  <si>
    <t>2015-1-20 19:1:24.962: Algorithm - handleTransition - currentHedgeShortfall is NOT ZERO and AUTOHEDGE IS NOT ENABLED!</t>
  </si>
  <si>
    <t>2015-1-20 19:1:29.114: TransitionLogger - flushFile - flushing file</t>
  </si>
  <si>
    <t>2015-1-20 19:1:29.116: TransitionLogger - openTransitionFile - opening file C:\temp\transitionlog_2015-01-20_153021</t>
  </si>
  <si>
    <t>2015-1-20 19:1:32.425: DirectionIndicator - notify - price/longMA/ShortMA/prevDirection are 1.51525/1.5152639489083/1.51526038741886/-1</t>
  </si>
  <si>
    <t>2015-1-20 19:1:32.427: Algorithm - handleTransition - currentHedgeShortfall is NOT ZERO and AUTOHEDGE IS NOT ENABLED!</t>
  </si>
  <si>
    <t>2015-1-20 19:1:36.584: DirectionIndicator - notify - price/longMA/ShortMA/prevDirection are 1.5153/1.51527050365224/1.51527359161258/-1</t>
  </si>
  <si>
    <t>2015-1-20 19:1:36.585: Algorithm - handleTransition - currentHedgeShortfall is NOT ZERO and AUTOHEDGE IS NOT ENABLED!</t>
  </si>
  <si>
    <t>2015-1-20 19:1:57.785: DirectionIndicator - notify - price/longMA/ShortMA/prevDirection are 1.51525/1.51526677571547/1.51526572774172/-1</t>
  </si>
  <si>
    <t>2015-1-20 19:1:57.787: Algorithm - handleTransition - currentHedgeShortfall is NOT ZERO and AUTOHEDGE IS NOT ENABLED!</t>
  </si>
  <si>
    <t>2015-1-20 19:1:58.912: DirectionIndicator - notify - price/longMA/ShortMA/prevDirection are 1.5152/1.51525463467629/1.51524381849448/-1</t>
  </si>
  <si>
    <t>2015-1-20 19:1:58.913: Algorithm - handleTransition - currentHedgeShortfall is NOT ZERO and AUTOHEDGE IS NOT ENABLED!</t>
  </si>
  <si>
    <t>2015-1-20 19:2:8.94: TransitionLogger - flushFile - flushing file</t>
  </si>
  <si>
    <t>2015-1-20 19:2:8.95: TransitionLogger - openTransitionFile - opening file C:\temp\transitionlog_2015-01-20_153021</t>
  </si>
  <si>
    <t>2015-1-20 19:2:9.914: DirectionIndicator - notify - price/longMA/ShortMA/prevDirection are 1.51525/1.51525379200788/1.51524587899632/-1</t>
  </si>
  <si>
    <t>2015-1-20 19:2:9.916: Algorithm - handleTransition - currentHedgeShortfall is NOT ZERO and AUTOHEDGE IS NOT ENABLED!</t>
  </si>
  <si>
    <t>2015-1-20 19:2:11.186: DirectionIndicator - notify - price/longMA/ShortMA/prevDirection are 1.5152/1.51524401164281/1.51523058599755/-1</t>
  </si>
  <si>
    <t>2015-1-20 19:2:11.187: Algorithm - handleTransition - currentHedgeShortfall is NOT ZERO and AUTOHEDGE IS NOT ENABLED!</t>
  </si>
  <si>
    <t>2015-1-20 19:2:11.396: DirectionIndicator - notify - price/longMA/ShortMA/prevDirection are 1.51515/1.51522691861684/1.51520372399836/-1</t>
  </si>
  <si>
    <t>2015-1-20 19:2:11.397: Algorithm - handleTransition - currentHedgeShortfall is NOT ZERO and AUTOHEDGE IS NOT ENABLED!</t>
  </si>
  <si>
    <t>2015-1-20 19:2:11.643: DirectionIndicator - notify - price/longMA/ShortMA/prevDirection are 1.5152/1.51522202432287/1.51520248266558/-1</t>
  </si>
  <si>
    <t>2015-1-20 19:2:11.643: Algorithm - handleTransition - currentHedgeShortfall is NOT ZERO and AUTOHEDGE IS NOT ENABLED!</t>
  </si>
  <si>
    <t>2015-1-20 19:2:13.712: DirectionIndicator - notify - price/longMA/ShortMA/prevDirection are 1.51515/1.51520892899144/1.51518498844372/-1</t>
  </si>
  <si>
    <t>2015-1-20 19:2:13.714: Algorithm - handleTransition - currentHedgeShortfall is NOT ZERO and AUTOHEDGE IS NOT ENABLED!</t>
  </si>
  <si>
    <t>2015-1-20 19:2:29.144: TransitionLogger - flushFile - flushing file</t>
  </si>
  <si>
    <t>2015-1-20 19:2:29.145: TransitionLogger - openTransitionFile - opening file C:\temp\transitionlog_2015-01-20_153021</t>
  </si>
  <si>
    <t>2015-1-20 19:2:37.320: DirectionIndicator - notify - price/longMA/ShortMA/prevDirection are 1.5152/1.51520730553845/1.51518999229581/-1</t>
  </si>
  <si>
    <t>2015-1-20 19:2:37.321: Algorithm - handleTransition - currentHedgeShortfall is NOT ZERO and AUTOHEDGE IS NOT ENABLED!</t>
  </si>
  <si>
    <t>2015-1-20 19:2:37.392: DirectionIndicator - notify - price/longMA/ShortMA/prevDirection are 1.51525/1.51521506816782/1.51520999486387/-1</t>
  </si>
  <si>
    <t>2015-1-20 19:2:37.392: Algorithm - handleTransition - currentHedgeShortfall is NOT ZERO and AUTOHEDGE IS NOT ENABLED!</t>
  </si>
  <si>
    <t>2015-1-20 19:2:42.988: DirectionIndicator - notify - price/longMA/ShortMA/prevDirection are 1.5153/1.51523051031913/1.51523999657592/-1</t>
  </si>
  <si>
    <t>2015-1-20 19:2:42.989: Algorithm - handleTransition - currentHedgeShortfall is NOT ZERO and AUTOHEDGE IS NOT ENABLED!</t>
  </si>
  <si>
    <t>2015-1-20 19:2:43.100: DirectionIndicator - notify - price/longMA/ShortMA/prevDirection are 1.51535/1.51525223571565/1.51527666438394/-1</t>
  </si>
  <si>
    <t>2015-1-20 19:2:43.100: Algorithm - handleTransition - currentHedgeShortfall is NOT ZERO and AUTOHEDGE IS NOT ENABLED!</t>
  </si>
  <si>
    <t>2015-1-20 19:2:46.486: DirectionIndicator - notify - price/longMA/ShortMA/prevDirection are 1.5154/1.51527910194917/1.51531777625596/1</t>
  </si>
  <si>
    <t>2015-1-20 19:2:46.487: Algorithm - handleTransition - currentHedgeShortfall is NOT ZERO and AUTOHEDGE IS NOT ENABLED!</t>
  </si>
  <si>
    <t>2015-1-20 19:2:47.21: DirectionIndicator - notify - price/longMA/ShortMA/prevDirection are 1.51545/1.51531017432205/1.51536185083731/1</t>
  </si>
  <si>
    <t>2015-1-20 19:2:47.21: Algorithm - handleTransition - currentHedgeShortfall is NOT ZERO and AUTOHEDGE IS NOT ENABLED!</t>
  </si>
  <si>
    <t>2015-1-20 19:2:52.959: DirectionIndicator - notify - price/longMA/ShortMA/prevDirection are 1.5154/1.51532650626349/1.51537456722487/1</t>
  </si>
  <si>
    <t>2015-1-20 19:2:52.960: Algorithm - handleTransition - currentHedgeShortfall is NOT ZERO and AUTOHEDGE IS NOT ENABLED!</t>
  </si>
  <si>
    <t>2015-1-20 19:3:4.479: DirectionIndicator - notify - price/longMA/ShortMA/prevDirection are 1.51535/1.51533077785195/1.51536637814991/1</t>
  </si>
  <si>
    <t>2015-1-20 19:3:4.480: Algorithm - handleTransition - currentHedgeShortfall is NOT ZERO and AUTOHEDGE IS NOT ENABLED!</t>
  </si>
  <si>
    <t>2015-1-20 19:3:8.141: TransitionLogger - flushFile - flushing file</t>
  </si>
  <si>
    <t>2015-1-20 19:3:8.143: TransitionLogger - openTransitionFile - opening file C:\temp\transitionlog_2015-01-20_153021</t>
  </si>
  <si>
    <t>2015-1-20 19:3:9.655: DirectionIndicator - notify - price/longMA/ShortMA/prevDirection are 1.5153/1.51532518187887/1.51534425209994/1</t>
  </si>
  <si>
    <t>2015-1-20 19:3:9.655: Algorithm - handleTransition - currentHedgeShortfall is NOT ZERO and AUTOHEDGE IS NOT ENABLED!</t>
  </si>
  <si>
    <t>2015-1-20 19:3:9.722: DirectionIndicator - notify - price/longMA/ShortMA/prevDirection are 1.51525/1.51531151244635/1.5153128347333/1</t>
  </si>
  <si>
    <t>2015-1-20 19:3:9.723: Algorithm - handleTransition - currentHedgeShortfall is NOT ZERO and AUTOHEDGE IS NOT ENABLED!</t>
  </si>
  <si>
    <t>2015-1-20 19:3:16.188: DirectionIndicator - notify - price/longMA/ShortMA/prevDirection are 1.5152/1.5152912374561/1.51527522315553/1</t>
  </si>
  <si>
    <t>2015-1-20 19:3:16.189: Algorithm - handleTransition - currentHedgeShortfall is NOT ZERO and AUTOHEDGE IS NOT ENABLED!</t>
  </si>
  <si>
    <t>2015-1-20 19:3:16.266: DirectionIndicator - notify - price/longMA/ShortMA/prevDirection are 1.51515/1.51526555791863/1.51523348210369/1</t>
  </si>
  <si>
    <t>2015-1-20 19:3:16.267: Algorithm - handleTransition - currentHedgeShortfall is NOT ZERO and AUTOHEDGE IS NOT ENABLED!</t>
  </si>
  <si>
    <t>2015-1-20 19:3:29.296: TransitionLogger - flushFile - flushing file</t>
  </si>
  <si>
    <t>2015-1-20 19:3:29.297: TransitionLogger - openTransitionFile - opening file C:\temp\transitionlog_2015-01-20_153021</t>
  </si>
  <si>
    <t>2015-1-20 19:3:53.150: Algorithm - FindNextStrikes - price is 1.51515 nextStrikeUp/Down 1.52/1.515</t>
  </si>
  <si>
    <t>2015-1-20 19:3:53.150: Algorithm - getPortfolioForwardDelta - required deltas is 100 currentHedgePosition is 101</t>
  </si>
  <si>
    <t>2015-1-20 19:3:53.151: Algorithm - getHedgeShortfall - required deltas is 100 price is 1.51505 currentHedgePositionDeltas is 101</t>
  </si>
  <si>
    <t>2015-1-20 19:3:53.152: Algorithm - processTransitionPoint - nextUpper/LowerStrikes are 1.52/1.515 requiredDeltas/currentPosition/currentHedgeShortfall/direction/transitionPrice are 100/101/-1/-1/1.51505</t>
  </si>
  <si>
    <t>2015-1-20 19:3:53.152: TransitionLogger - processTransitionpoint - checking transition - currentHedgeShortfall is -1</t>
  </si>
  <si>
    <t>2015-1-20 19:3:53.152: Algorithm - handleTransition - currentHedgeShortfall is NOT ZERO and AUTOHEDGE IS NOT ENABLED!</t>
  </si>
  <si>
    <t>2015-1-20 19:3:53.153: Algorithm - updatePortfolio - haveAllDetails is True</t>
  </si>
  <si>
    <t>2015-1-20 19:3:53.154: RTWSControl - updatePortfolioEx - An Error Occured Object variable or With block variable not set</t>
  </si>
  <si>
    <t>2015-1-20 19:3:53.196: Algorithm - FindNextStrikes - price is 1.51515 nextStrikeUp/Down 1.52/1.515</t>
  </si>
  <si>
    <t>2015-1-20 19:3:53.196: Algorithm - getPortfolioForwardDelta - required deltas is 100 currentHedgePosition is 101</t>
  </si>
  <si>
    <t>2015-1-20 19:3:53.196: Algorithm - getHedgeShortfall - required deltas is 100 price is 1.51505 currentHedgePositionDeltas is 101</t>
  </si>
  <si>
    <t>2015-1-20 19:3:53.197: Algorithm - processTransitionPoint - nextUpper/LowerStrikes are 1.52/1.515 requiredDeltas/currentPosition/currentHedgeShortfall/direction/transitionPrice are 100/101/-1/-1/1.51505</t>
  </si>
  <si>
    <t>2015-1-20 19:3:53.197: TransitionLogger - processTransitionpoint - checking transition - currentHedgeShortfall is -1</t>
  </si>
  <si>
    <t>2015-1-20 19:3:53.198: Algorithm - handleTransition - currentHedgeShortfall is NOT ZERO and AUTOHEDGE IS NOT ENABLED!</t>
  </si>
  <si>
    <t>2015-1-20 19:3:53.199: Algorithm - updatePortfolio - haveAllDetails is True</t>
  </si>
  <si>
    <t>2015-1-20 19:3:53.200: RTWSControl - updatePortfolioEx - An Error Occured Object variable or With block variable not set</t>
  </si>
  <si>
    <t>2015-1-20 19:3:53.242: Algorithm - FindNextStrikes - price is 1.51515 nextStrikeUp/Down 1.52/1.515</t>
  </si>
  <si>
    <t>2015-1-20 19:3:53.243: Algorithm - getPortfolioForwardDelta - required deltas is 100 currentHedgePosition is 101</t>
  </si>
  <si>
    <t>2015-1-20 19:3:53.243: Algorithm - getHedgeShortfall - required deltas is 100 price is 1.51505 currentHedgePositionDeltas is 101</t>
  </si>
  <si>
    <t>2015-1-20 19:3:53.244: Algorithm - processTransitionPoint - nextUpper/LowerStrikes are 1.52/1.515 requiredDeltas/currentPosition/currentHedgeShortfall/direction/transitionPrice are 100/101/-1/-1/1.51505</t>
  </si>
  <si>
    <t>2015-1-20 19:3:53.244: TransitionLogger - processTransitionpoint - checking transition - currentHedgeShortfall is -1</t>
  </si>
  <si>
    <t>2015-1-20 19:3:53.244: Algorithm - handleTransition - currentHedgeShortfall is NOT ZERO and AUTOHEDGE IS NOT ENABLED!</t>
  </si>
  <si>
    <t>2015-1-20 19:3:53.245: Algorithm - updatePortfolio - haveAllDetails is True</t>
  </si>
  <si>
    <t>2015-1-20 19:3:53.246: RTWSControl - updatePortfolioEx - An Error Occured Object variable or With block variable not set</t>
  </si>
  <si>
    <t>2015-1-20 19:3:53.317: Algorithm - FindNextStrikes - price is 1.51515 nextStrikeUp/Down 1.52/1.515</t>
  </si>
  <si>
    <t>2015-1-20 19:3:53.317: Algorithm - getPortfolioForwardDelta - required deltas is 100 currentHedgePosition is 101</t>
  </si>
  <si>
    <t>2015-1-20 19:3:53.318: Algorithm - getHedgeShortfall - required deltas is 100 price is 1.51505 currentHedgePositionDeltas is 101</t>
  </si>
  <si>
    <t>2015-1-20 19:3:53.318: Algorithm - processTransitionPoint - nextUpper/LowerStrikes are 1.52/1.515 requiredDeltas/currentPosition/currentHedgeShortfall/direction/transitionPrice are 100/101/-1/-1/1.51505</t>
  </si>
  <si>
    <t>2015-1-20 19:3:53.318: TransitionLogger - processTransitionpoint - checking transition - currentHedgeShortfall is -1</t>
  </si>
  <si>
    <t>2015-1-20 19:3:53.319: Algorithm - handleTransition - currentHedgeShortfall is NOT ZERO and AUTOHEDGE IS NOT ENABLED!</t>
  </si>
  <si>
    <t>2015-1-20 19:3:53.320: Algorithm - updatePortfolio - haveAllDetails is True</t>
  </si>
  <si>
    <t>2015-1-20 19:3:53.321: RTWSControl - updatePortfolioEx - An Error Occured Object variable or With block variable not set</t>
  </si>
  <si>
    <t>2015-1-20 19:3:53.376: Algorithm - FindNextStrikes - price is 1.51515 nextStrikeUp/Down 1.52/1.515</t>
  </si>
  <si>
    <t>2015-1-20 19:3:53.376: Algorithm - getPortfolioForwardDelta - required deltas is 100 currentHedgePosition is 101</t>
  </si>
  <si>
    <t>2015-1-20 19:3:53.377: Algorithm - getHedgeShortfall - required deltas is 100 price is 1.51505 currentHedgePositionDeltas is 101</t>
  </si>
  <si>
    <t>2015-1-20 19:3:53.377: Algorithm - processTransitionPoint - nextUpper/LowerStrikes are 1.52/1.515 requiredDeltas/currentPosition/currentHedgeShortfall/direction/transitionPrice are 100/101/-1/-1/1.51505</t>
  </si>
  <si>
    <t>2015-1-20 19:3:53.377: TransitionLogger - processTransitionpoint - checking transition - currentHedgeShortfall is -1</t>
  </si>
  <si>
    <t>2015-1-20 19:3:53.378: Algorithm - handleTransition - currentHedgeShortfall is NOT ZERO and AUTOHEDGE IS NOT ENABLED!</t>
  </si>
  <si>
    <t>2015-1-20 19:3:53.378: Algorithm - updatePortfolio - haveAllDetails is True</t>
  </si>
  <si>
    <t>2015-1-20 19:3:53.380: RTWSControl - updatePortfolioEx - An Error Occured Object variable or With block variable not set</t>
  </si>
  <si>
    <t>2015-1-20 19:3:53.444: Algorithm - FindNextStrikes - price is 1.51515 nextStrikeUp/Down 1.52/1.515</t>
  </si>
  <si>
    <t>2015-1-20 19:3:53.445: Algorithm - getPortfolioForwardDelta - required deltas is 100 currentHedgePosition is 101</t>
  </si>
  <si>
    <t>2015-1-20 19:3:53.445: Algorithm - getHedgeShortfall - required deltas is 100 price is 1.51505 currentHedgePositionDeltas is 101</t>
  </si>
  <si>
    <t>2015-1-20 19:3:53.446: Algorithm - processTransitionPoint - nextUpper/LowerStrikes are 1.52/1.515 requiredDeltas/currentPosition/currentHedgeShortfall/direction/transitionPrice are 100/101/-1/-1/1.51505</t>
  </si>
  <si>
    <t>2015-1-20 19:3:53.446: TransitionLogger - processTransitionpoint - checking transition - currentHedgeShortfall is -1</t>
  </si>
  <si>
    <t>2015-1-20 19:3:53.446: Algorithm - handleTransition - currentHedgeShortfall is NOT ZERO and AUTOHEDGE IS NOT ENABLED!</t>
  </si>
  <si>
    <t>2015-1-20 19:3:53.447: Algorithm - updatePortfolio - haveAllDetails is True</t>
  </si>
  <si>
    <t>2015-1-20 19:3:53.448: RTWSControl - updatePortfolioEx - An Error Occured Object variable or With block variable not set</t>
  </si>
  <si>
    <t>2015-1-20 19:4:8.177: TransitionLogger - flushFile - flushing file</t>
  </si>
  <si>
    <t>2015-1-20 19:4:8.178: TransitionLogger - openTransitionFile - opening file C:\temp\transitionlog_2015-01-20_153021</t>
  </si>
  <si>
    <t>2015-1-20 19:4:9.357: DirectionIndicator - notify - price/longMA/ShortMA/prevDirection are 1.5151/1.51523545647888/1.51518898806912/-1</t>
  </si>
  <si>
    <t>2015-1-20 19:4:9.357: Algorithm - handleTransition - currentHedgeShortfall is NOT ZERO and AUTOHEDGE IS NOT ENABLED!</t>
  </si>
  <si>
    <t>2015-1-20 19:4:19.670: DirectionIndicator - notify - price/longMA/ShortMA/prevDirection are 1.51505/1.51520173711908/1.51514265871275/-1</t>
  </si>
  <si>
    <t>2015-1-20 19:4:19.672: Algorithm - handleTransition - currentHedgeShortfall is NOT ZERO and AUTOHEDGE IS NOT ENABLED!</t>
  </si>
  <si>
    <t>2015-1-20 19:4:22.317: DirectionIndicator - notify - price/longMA/ShortMA/prevDirection are 1.515/1.51516505764289/1.5150951058085/-1</t>
  </si>
  <si>
    <t>2015-1-20 19:4:22.317: Algorithm - FindNextStrikes - price is 1.515 nextStrikeUp/Down 1.52/0</t>
  </si>
  <si>
    <t>2015-1-20 19:4:22.318: Algorithm - getPortfolioForwardDelta - required deltas is -200 currentHedgePosition is 101</t>
  </si>
  <si>
    <t>2015-1-20 19:4:22.318: Algorithm - getHedgeShortfall - required deltas is -200 price is 1.5149 currentHedgePositionDeltas is 101</t>
  </si>
  <si>
    <t>2015-1-20 19:4:22.318: Algorithm - processTransitionPoint - nextUpper/LowerStrikes are 1.52/0 requiredDeltas/currentPosition/currentHedgeShortfall/direction/transitionPrice are -200/101/-301/-1/1.5149</t>
  </si>
  <si>
    <t>2015-1-20 19:4:22.319: TransitionLogger - processTransitionpoint - checking transition - currentHedgeShortfall is -301</t>
  </si>
  <si>
    <t>2015-1-20 19:4:22.319: Algorithm - handleTransition - currentHedgeShortfall is NOT ZERO and AUTOHEDGE IS NOT ENABLED!</t>
  </si>
  <si>
    <t>2015-1-20 19:4:22.364: DirectionIndicator - notify - price/longMA/ShortMA/prevDirection are 1.51495/1.51512595625327/1.51504673720567/-1</t>
  </si>
  <si>
    <t>2015-1-20 19:4:22.365: Algorithm - handleTransition - currentHedgeShortfall is NOT ZERO and AUTOHEDGE IS NOT ENABLED!</t>
  </si>
  <si>
    <t>2015-1-20 19:4:23.112: DirectionIndicator - notify - price/longMA/ShortMA/prevDirection are 1.515/1.51510305511631/1.51503115813711/-1</t>
  </si>
  <si>
    <t>2015-1-20 19:4:23.112: Algorithm - handleTransition - currentHedgeShortfall is NOT ZERO and AUTOHEDGE IS NOT ENABLED!</t>
  </si>
  <si>
    <t>2015-1-20 19:4:23.484: DirectionIndicator - notify - price/longMA/ShortMA/prevDirection are 1.51505/1.51509340873153/1.51503743875807/-1</t>
  </si>
  <si>
    <t>2015-1-20 19:4:23.484: Algorithm - handleTransition - currentHedgeShortfall is NOT ZERO and AUTOHEDGE IS NOT ENABLED!</t>
  </si>
  <si>
    <t>2015-1-20 19:4:25.659: DirectionIndicator - notify - price/longMA/ShortMA/prevDirection are 1.515/1.5150764253258/1.51502495917205/-1</t>
  </si>
  <si>
    <t>2015-1-20 19:4:25.660: Algorithm - handleTransition - currentHedgeShortfall is NOT ZERO and AUTOHEDGE IS NOT ENABLED!</t>
  </si>
  <si>
    <t>2015-1-20 19:4:29.448: TransitionLogger - flushFile - flushing file</t>
  </si>
  <si>
    <t>2015-1-20 19:4:29.449: TransitionLogger - openTransitionFile - opening file C:\temp\transitionlog_2015-01-20_153021</t>
  </si>
  <si>
    <t>2015-1-20 19:4:29.608: DirectionIndicator - notify - price/longMA/ShortMA/prevDirection are 1.51505/1.51507162072111/1.5150333061147/-1</t>
  </si>
  <si>
    <t>2015-1-20 19:4:29.608: Algorithm - handleTransition - currentHedgeShortfall is NOT ZERO and AUTOHEDGE IS NOT ENABLED!</t>
  </si>
  <si>
    <t>2015-1-20 19:4:30.63: DirectionIndicator - notify - price/longMA/ShortMA/prevDirection are 1.515/1.51505859877181/1.51502220407647/-1</t>
  </si>
  <si>
    <t>2015-1-20 19:4:30.64: Algorithm - handleTransition - currentHedgeShortfall is NOT ZERO and AUTOHEDGE IS NOT ENABLED!</t>
  </si>
  <si>
    <t>2015-1-20 19:4:30.116: DirectionIndicator - notify - price/longMA/ShortMA/prevDirection are 1.51495/1.51503885354057/1.51499813605098/-1</t>
  </si>
  <si>
    <t>2015-1-20 19:4:30.116: Algorithm - handleTransition - currentHedgeShortfall is NOT ZERO and AUTOHEDGE IS NOT ENABLED!</t>
  </si>
  <si>
    <t>2015-1-20 19:4:35.729: DirectionIndicator - notify - price/longMA/ShortMA/prevDirection are 1.515/1.51503178926047/1.51499875736732/-1</t>
  </si>
  <si>
    <t>2015-1-20 19:4:35.729: Algorithm - handleTransition - currentHedgeShortfall is NOT ZERO and AUTOHEDGE IS NOT ENABLED!</t>
  </si>
  <si>
    <t>2015-1-20 19:4:35.781: DirectionIndicator - notify - price/longMA/ShortMA/prevDirection are 1.51505/1.51503510030402/1.51501583824488/-1</t>
  </si>
  <si>
    <t>2015-1-20 19:4:35.782: Algorithm - handleTransition - currentHedgeShortfall is NOT ZERO and AUTOHEDGE IS NOT ENABLED!</t>
  </si>
  <si>
    <t>2015-1-20 19:5:1.936: DirectionIndicator - notify - price/longMA/ShortMA/prevDirection are 1.515/1.51502871843056/1.51501055882992/-1</t>
  </si>
  <si>
    <t>2015-1-20 19:5:1.937: Algorithm - handleTransition - currentHedgeShortfall is NOT ZERO and AUTOHEDGE IS NOT ENABLED!</t>
  </si>
  <si>
    <t>2015-1-20 19:5:2.20: DirectionIndicator - notify - price/longMA/ShortMA/prevDirection are 1.51495/1.51501440598864/1.51499037255328/-1</t>
  </si>
  <si>
    <t>2015-1-20 19:5:2.20: Algorithm - handleTransition - currentHedgeShortfall is NOT ZERO and AUTOHEDGE IS NOT ENABLED!</t>
  </si>
  <si>
    <t>2015-1-20 19:5:8.243: TransitionLogger - flushFile - flushing file</t>
  </si>
  <si>
    <t>2015-1-20 19:5:8.244: TransitionLogger - openTransitionFile - opening file C:\temp\transitionlog_2015-01-20_153021</t>
  </si>
  <si>
    <t>2015-1-20 19:5:29.373: TransitionLogger - flushFile - flushing file</t>
  </si>
  <si>
    <t>2015-1-20 19:5:29.374: TransitionLogger - openTransitionFile - opening file C:\temp\transitionlog_2015-01-20_153021</t>
  </si>
  <si>
    <t>2015-1-20 19:6:8.178: TransitionLogger - flushFile - flushing file</t>
  </si>
  <si>
    <t>2015-1-20 19:6:8.179: TransitionLogger - openTransitionFile - opening file C:\temp\transitionlog_2015-01-20_153021</t>
  </si>
  <si>
    <t>2015-1-20 19:6:29.273: TransitionLogger - flushFile - flushing file</t>
  </si>
  <si>
    <t>2015-1-20 19:6:29.274: TransitionLogger - openTransitionFile - opening file C:\temp\transitionlog_2015-01-20_153021</t>
  </si>
  <si>
    <t>2015-1-20 19:6:46.414: DirectionIndicator - notify - price/longMA/ShortMA/prevDirection are 1.515/1.51501178671798/1.51499358170219/-1</t>
  </si>
  <si>
    <t>2015-1-20 19:6:46.415: Algorithm - handleTransition - currentHedgeShortfall is NOT ZERO and AUTOHEDGE IS NOT ENABLED!</t>
  </si>
  <si>
    <t>2015-1-20 19:6:46.485: DirectionIndicator - notify - price/longMA/ShortMA/prevDirection are 1.51505/1.51501873458744/1.51501238780146/-1</t>
  </si>
  <si>
    <t>2015-1-20 19:6:46.486: Algorithm - handleTransition - currentHedgeShortfall is NOT ZERO and AUTOHEDGE IS NOT ENABLED!</t>
  </si>
  <si>
    <t>2015-1-20 19:6:52.956: Algorithm - FindNextStrikes - price is 1.51505 nextStrikeUp/Down 1.52/1.515</t>
  </si>
  <si>
    <t>2015-1-20 19:6:52.957: Algorithm - getPortfolioForwardDelta - required deltas is -200 currentHedgePosition is 101</t>
  </si>
  <si>
    <t>2015-1-20 19:6:52.957: Algorithm - getHedgeShortfall - required deltas is -200 price is 1.51495 currentHedgePositionDeltas is 101</t>
  </si>
  <si>
    <t>2015-1-20 19:6:52.958: Algorithm - processTransitionPoint - nextUpper/LowerStrikes are 1.52/1.515 requiredDeltas/currentPosition/currentHedgeShortfall/direction/transitionPrice are -200/101/-301/-1/1.51495</t>
  </si>
  <si>
    <t>2015-1-20 19:6:52.958: TransitionLogger - processTransitionpoint - checking transition - currentHedgeShortfall is -301</t>
  </si>
  <si>
    <t>2015-1-20 19:6:52.958: Algorithm - handleTransition - currentHedgeShortfall is NOT ZERO and AUTOHEDGE IS NOT ENABLED!</t>
  </si>
  <si>
    <t>2015-1-20 19:6:52.959: Algorithm - updatePortfolio - haveAllDetails is True</t>
  </si>
  <si>
    <t>2015-1-20 19:6:52.960: RTWSControl - updatePortfolioEx - An Error Occured Object variable or With block variable not set</t>
  </si>
  <si>
    <t>2015-1-20 19:6:53.1: Algorithm - FindNextStrikes - price is 1.51505 nextStrikeUp/Down 1.52/1.515</t>
  </si>
  <si>
    <t>2015-1-20 19:6:53.2: Algorithm - getPortfolioForwardDelta - required deltas is -200 currentHedgePosition is 101</t>
  </si>
  <si>
    <t>2015-1-20 19:6:53.2: Algorithm - getHedgeShortfall - required deltas is -200 price is 1.51495 currentHedgePositionDeltas is 101</t>
  </si>
  <si>
    <t>2015-1-20 19:6:53.3: Algorithm - processTransitionPoint - nextUpper/LowerStrikes are 1.52/1.515 requiredDeltas/currentPosition/currentHedgeShortfall/direction/transitionPrice are -200/101/-301/-1/1.51495</t>
  </si>
  <si>
    <t>2015-1-20 19:6:53.3: TransitionLogger - processTransitionpoint - checking transition - currentHedgeShortfall is -301</t>
  </si>
  <si>
    <t>2015-1-20 19:6:53.3: Algorithm - handleTransition - currentHedgeShortfall is NOT ZERO and AUTOHEDGE IS NOT ENABLED!</t>
  </si>
  <si>
    <t>2015-1-20 19:6:53.4: Algorithm - updatePortfolio - haveAllDetails is True</t>
  </si>
  <si>
    <t>2015-1-20 19:6:53.5: RTWSControl - updatePortfolioEx - An Error Occured Object variable or With block variable not set</t>
  </si>
  <si>
    <t>2015-1-20 19:6:53.75: Algorithm - FindNextStrikes - price is 1.51505 nextStrikeUp/Down 1.52/1.515</t>
  </si>
  <si>
    <t>2015-1-20 19:6:53.75: Algorithm - getPortfolioForwardDelta - required deltas is -200 currentHedgePosition is 101</t>
  </si>
  <si>
    <t>2015-1-20 19:6:53.76: Algorithm - getHedgeShortfall - required deltas is -200 price is 1.51495 currentHedgePositionDeltas is 101</t>
  </si>
  <si>
    <t>2015-1-20 19:6:53.76: Algorithm - processTransitionPoint - nextUpper/LowerStrikes are 1.52/1.515 requiredDeltas/currentPosition/currentHedgeShortfall/direction/transitionPrice are -200/101/-301/-1/1.51495</t>
  </si>
  <si>
    <t>2015-1-20 19:6:53.76: TransitionLogger - processTransitionpoint - checking transition - currentHedgeShortfall is -301</t>
  </si>
  <si>
    <t>2015-1-20 19:6:53.77: Algorithm - handleTransition - currentHedgeShortfall is NOT ZERO and AUTOHEDGE IS NOT ENABLED!</t>
  </si>
  <si>
    <t>2015-1-20 19:6:53.78: Algorithm - updatePortfolio - haveAllDetails is True</t>
  </si>
  <si>
    <t>2015-1-20 19:6:53.79: RTWSControl - updatePortfolioEx - An Error Occured Object variable or With block variable not set</t>
  </si>
  <si>
    <t>2015-1-20 19:6:53.134: Algorithm - FindNextStrikes - price is 1.51505 nextStrikeUp/Down 1.52/1.515</t>
  </si>
  <si>
    <t>2015-1-20 19:6:53.135: Algorithm - getPortfolioForwardDelta - required deltas is -200 currentHedgePosition is 101</t>
  </si>
  <si>
    <t>2015-1-20 19:6:53.135: Algorithm - getHedgeShortfall - required deltas is -200 price is 1.51495 currentHedgePositionDeltas is 101</t>
  </si>
  <si>
    <t>2015-1-20 19:6:53.136: Algorithm - processTransitionPoint - nextUpper/LowerStrikes are 1.52/1.515 requiredDeltas/currentPosition/currentHedgeShortfall/direction/transitionPrice are -200/101/-301/-1/1.51495</t>
  </si>
  <si>
    <t>2015-1-20 19:6:53.136: TransitionLogger - processTransitionpoint - checking transition - currentHedgeShortfall is -301</t>
  </si>
  <si>
    <t>2015-1-20 19:6:53.137: Algorithm - handleTransition - currentHedgeShortfall is NOT ZERO and AUTOHEDGE IS NOT ENABLED!</t>
  </si>
  <si>
    <t>2015-1-20 19:6:53.137: Algorithm - updatePortfolio - haveAllDetails is True</t>
  </si>
  <si>
    <t>2015-1-20 19:6:53.138: RTWSControl - updatePortfolioEx - An Error Occured Object variable or With block variable not set</t>
  </si>
  <si>
    <t>2015-1-20 19:6:53.181: Algorithm - FindNextStrikes - price is 1.51505 nextStrikeUp/Down 1.52/1.515</t>
  </si>
  <si>
    <t>2015-1-20 19:6:53.181: Algorithm - getPortfolioForwardDelta - required deltas is -200 currentHedgePosition is 101</t>
  </si>
  <si>
    <t>2015-1-20 19:6:53.182: Algorithm - getHedgeShortfall - required deltas is -200 price is 1.51495 currentHedgePositionDeltas is 101</t>
  </si>
  <si>
    <t>2015-1-20 19:6:53.182: Algorithm - processTransitionPoint - nextUpper/LowerStrikes are 1.52/1.515 requiredDeltas/currentPosition/currentHedgeShortfall/direction/transitionPrice are -200/101/-301/-1/1.51495</t>
  </si>
  <si>
    <t>2015-1-20 19:6:53.183: TransitionLogger - processTransitionpoint - checking transition - currentHedgeShortfall is -301</t>
  </si>
  <si>
    <t>2015-1-20 19:6:53.183: Algorithm - handleTransition - currentHedgeShortfall is NOT ZERO and AUTOHEDGE IS NOT ENABLED!</t>
  </si>
  <si>
    <t>2015-1-20 19:6:53.184: Algorithm - updatePortfolio - haveAllDetails is True</t>
  </si>
  <si>
    <t>2015-1-20 19:6:53.185: RTWSControl - updatePortfolioEx - An Error Occured Object variable or With block variable not set</t>
  </si>
  <si>
    <t>2015-1-20 19:6:53.248: Algorithm - FindNextStrikes - price is 1.51505 nextStrikeUp/Down 1.52/1.515</t>
  </si>
  <si>
    <t>2015-1-20 19:6:53.248: Algorithm - getPortfolioForwardDelta - required deltas is -200 currentHedgePosition is 101</t>
  </si>
  <si>
    <t>2015-1-20 19:6:53.248: Algorithm - getHedgeShortfall - required deltas is -200 price is 1.51495 currentHedgePositionDeltas is 101</t>
  </si>
  <si>
    <t>2015-1-20 19:6:53.249: Algorithm - processTransitionPoint - nextUpper/LowerStrikes are 1.52/1.515 requiredDeltas/currentPosition/currentHedgeShortfall/direction/transitionPrice are -200/101/-301/-1/1.51495</t>
  </si>
  <si>
    <t>2015-1-20 19:6:53.249: TransitionLogger - processTransitionpoint - checking transition - currentHedgeShortfall is -301</t>
  </si>
  <si>
    <t>2015-1-20 19:6:53.249: Algorithm - handleTransition - currentHedgeShortfall is NOT ZERO and AUTOHEDGE IS NOT ENABLED!</t>
  </si>
  <si>
    <t>2015-1-20 19:6:53.250: Algorithm - updatePortfolio - haveAllDetails is True</t>
  </si>
  <si>
    <t>2015-1-20 19:6:53.251: RTWSControl - updatePortfolioEx - An Error Occured Object variable or With block variable not set</t>
  </si>
  <si>
    <t>2015-1-20 19:7:8.175: TransitionLogger - flushFile - flushing file</t>
  </si>
  <si>
    <t>2015-1-20 19:7:8.177: TransitionLogger - openTransitionFile - opening file C:\temp\transitionlog_2015-01-20_153021</t>
  </si>
  <si>
    <t>2015-1-20 19:7:29.178: TransitionLogger - flushFile - flushing file</t>
  </si>
  <si>
    <t>2015-1-20 19:7:29.179: TransitionLogger - openTransitionFile - opening file C:\temp\transitionlog_2015-01-20_153021</t>
  </si>
  <si>
    <t>2015-1-20 19:8:2.679: DirectionIndicator - notify - price/longMA/ShortMA/prevDirection are 1.515/1.51501532829881/1.5150082585343/-1</t>
  </si>
  <si>
    <t>2015-1-20 19:8:2.680: Algorithm - FindNextStrikes - price is 1.515 nextStrikeUp/Down 1.52/0</t>
  </si>
  <si>
    <t>2015-1-20 19:8:2.681: Algorithm - getPortfolioForwardDelta - required deltas is -200 currentHedgePosition is 101</t>
  </si>
  <si>
    <t>2015-1-20 19:8:2.681: Algorithm - getHedgeShortfall - required deltas is -200 price is 1.5149 currentHedgePositionDeltas is 101</t>
  </si>
  <si>
    <t>2015-1-20 19:8:2.682: Algorithm - processTransitionPoint - nextUpper/LowerStrikes are 1.52/0 requiredDeltas/currentPosition/currentHedgeShortfall/direction/transitionPrice are -200/101/-301/-1/1.5149</t>
  </si>
  <si>
    <t>2015-1-20 19:8:2.683: TransitionLogger - processTransitionpoint - checking transition - currentHedgeShortfall is -301</t>
  </si>
  <si>
    <t>2015-1-20 19:8:2.683: Algorithm - handleTransition - currentHedgeShortfall is NOT ZERO and AUTOHEDGE IS NOT ENABLED!</t>
  </si>
  <si>
    <t>2015-1-20 19:8:3.162: DirectionIndicator - notify - price/longMA/ShortMA/prevDirection are 1.51495/1.5150034504263/1.51498883902287/-1</t>
  </si>
  <si>
    <t>2015-1-20 19:8:3.163: Algorithm - handleTransition - currentHedgeShortfall is NOT ZERO and AUTOHEDGE IS NOT ENABLED!</t>
  </si>
  <si>
    <t>2015-1-20 19:8:8.117: TransitionLogger - flushFile - flushing file</t>
  </si>
  <si>
    <t>2015-1-20 19:8:8.118: TransitionLogger - openTransitionFile - opening file C:\temp\transitionlog_2015-01-20_153021</t>
  </si>
  <si>
    <t>2015-1-20 19:8:29.7: TransitionLogger - flushFile - flushing file</t>
  </si>
  <si>
    <t>2015-1-20 19:8:29.7: TransitionLogger - openTransitionFile - opening file C:\temp\transitionlog_2015-01-20_153021</t>
  </si>
  <si>
    <t>2015-1-20 19:8:29.610: DirectionIndicator - notify - price/longMA/ShortMA/prevDirection are 1.515/1.51500282307606/1.51499255934858/-1</t>
  </si>
  <si>
    <t>2015-1-20 19:8:29.611: Algorithm - handleTransition - currentHedgeShortfall is NOT ZERO and AUTOHEDGE IS NOT ENABLED!</t>
  </si>
  <si>
    <t>2015-1-20 19:8:29.709: DirectionIndicator - notify - price/longMA/ShortMA/prevDirection are 1.51505/1.5150114006986/1.51501170623239/-1</t>
  </si>
  <si>
    <t>2015-1-20 19:8:29.710: Algorithm - handleTransition - currentHedgeShortfall is NOT ZERO and AUTOHEDGE IS NOT ENABLED!</t>
  </si>
  <si>
    <t>2015-1-20 19:8:37.707: DirectionIndicator - notify - price/longMA/ShortMA/prevDirection are 1.515/1.51500932784431/1.51500780415492/-1</t>
  </si>
  <si>
    <t>2015-1-20 19:8:37.707: Algorithm - handleTransition - currentHedgeShortfall is NOT ZERO and AUTOHEDGE IS NOT ENABLED!</t>
  </si>
  <si>
    <t>2015-1-20 19:8:37.960: DirectionIndicator - notify - price/longMA/ShortMA/prevDirection are 1.51505/1.51501672278171/1.51502186943662/-1</t>
  </si>
  <si>
    <t>2015-1-20 19:8:37.961: Algorithm - handleTransition - currentHedgeShortfall is NOT ZERO and AUTOHEDGE IS NOT ENABLED!</t>
  </si>
  <si>
    <t>2015-1-20 19:8:55.62: DirectionIndicator - notify - price/longMA/ShortMA/prevDirection are 1.515/1.51501368227594/1.51501457962441/-1</t>
  </si>
  <si>
    <t>2015-1-20 19:8:55.63: Algorithm - handleTransition - currentHedgeShortfall is NOT ZERO and AUTOHEDGE IS NOT ENABLED!</t>
  </si>
  <si>
    <t>2015-1-20 19:8:55.336: DirectionIndicator - notify - price/longMA/ShortMA/prevDirection are 1.51495/1.51500210368032/1.51499305308294/-1</t>
  </si>
  <si>
    <t>2015-1-20 19:8:55.337: Algorithm - handleTransition - currentHedgeShortfall is NOT ZERO and AUTOHEDGE IS NOT ENABLED!</t>
  </si>
  <si>
    <t>2015-1-20 19:9:6.464: DirectionIndicator - notify - price/longMA/ShortMA/prevDirection are 1.5149/1.5149835393748/1.51496203538863/-1</t>
  </si>
  <si>
    <t>2015-1-20 19:9:6.465: Algorithm - handleTransition - currentHedgeShortfall is NOT ZERO and AUTOHEDGE IS NOT ENABLED!</t>
  </si>
  <si>
    <t>2015-1-20 19:9:6.536: DirectionIndicator - notify - price/longMA/ShortMA/prevDirection are 1.51485/1.51495925948848/1.51492469025908/-1</t>
  </si>
  <si>
    <t>2015-1-20 19:9:6.537: Algorithm - handleTransition - currentHedgeShortfall is NOT ZERO and AUTOHEDGE IS NOT ENABLED!</t>
  </si>
  <si>
    <t>2015-1-20 19:9:8.1: TransitionLogger - flushFile - flushing file</t>
  </si>
  <si>
    <t>2015-1-20 19:9:8.1: TransitionLogger - openTransitionFile - opening file C:\temp\transitionlog_2015-01-20_153021</t>
  </si>
  <si>
    <t>2015-1-20 19:9:19.911: DirectionIndicator - notify - price/longMA/ShortMA/prevDirection are 1.5148/1.51493030321784/1.51488312683939/-1</t>
  </si>
  <si>
    <t>2015-1-20 19:9:19.912: Algorithm - handleTransition - currentHedgeShortfall is NOT ZERO and AUTOHEDGE IS NOT ENABLED!</t>
  </si>
  <si>
    <t>2015-1-20 19:9:21.746: DirectionIndicator - notify - price/longMA/ShortMA/prevDirection are 1.51475/1.5148975208146/1.51483875122626/-1</t>
  </si>
  <si>
    <t>2015-1-20 19:9:21.749: Algorithm - handleTransition - currentHedgeShortfall is NOT ZERO and AUTOHEDGE IS NOT ENABLED!</t>
  </si>
  <si>
    <t>2015-1-20 19:9:22.365: DirectionIndicator - notify - price/longMA/ShortMA/prevDirection are 1.5148/1.5148797897574/1.51482583415084/-1</t>
  </si>
  <si>
    <t>2015-1-20 19:9:22.367: Algorithm - handleTransition - currentHedgeShortfall is NOT ZERO and AUTOHEDGE IS NOT ENABLED!</t>
  </si>
  <si>
    <t>2015-1-20 19:9:22.494: DirectionIndicator - notify - price/longMA/ShortMA/prevDirection are 1.51485/1.51487437343787/1.51483388943389/-1</t>
  </si>
  <si>
    <t>2015-1-20 19:9:22.495: Algorithm - handleTransition - currentHedgeShortfall is NOT ZERO and AUTOHEDGE IS NOT ENABLED!</t>
  </si>
  <si>
    <t>2015-1-20 19:9:29.463: TransitionLogger - flushFile - flushing file</t>
  </si>
  <si>
    <t>2015-1-20 19:9:29.464: TransitionLogger - openTransitionFile - opening file C:\temp\transitionlog_2015-01-20_153021</t>
  </si>
  <si>
    <t>2015-1-20 19:9:42.496: DirectionIndicator - notify - price/longMA/ShortMA/prevDirection are 1.5148/1.51486085099462/1.51482259295593/-1</t>
  </si>
  <si>
    <t>2015-1-20 19:9:42.496: Algorithm - handleTransition - currentHedgeShortfall is NOT ZERO and AUTOHEDGE IS NOT ENABLED!</t>
  </si>
  <si>
    <t>2015-1-20 19:9:47.227: DirectionIndicator - notify - price/longMA/ShortMA/prevDirection are 1.51485/1.51485887808651/1.51483172863729/-1</t>
  </si>
  <si>
    <t>2015-1-20 19:9:47.228: Algorithm - handleTransition - currentHedgeShortfall is NOT ZERO and AUTOHEDGE IS NOT ENABLED!</t>
  </si>
  <si>
    <t>2015-1-20 19:9:53.0: Algorithm - FindNextStrikes - price is 1.51485 nextStrikeUp/Down 1.515/0</t>
  </si>
  <si>
    <t>2015-1-20 19:9:53.1: Algorithm - getPortfolioForwardDelta - required deltas is -200 currentHedgePosition is 101</t>
  </si>
  <si>
    <t>2015-1-20 19:9:53.1: Algorithm - getHedgeShortfall - required deltas is -200 price is 1.51475 currentHedgePositionDeltas is 101</t>
  </si>
  <si>
    <t>2015-1-20 19:9:53.1: Algorithm - processTransitionPoint - nextUpper/LowerStrikes are 1.515/0 requiredDeltas/currentPosition/currentHedgeShortfall/direction/transitionPrice are -200/101/-301/-1/1.51475</t>
  </si>
  <si>
    <t>2015-1-20 19:9:53.2: TransitionLogger - processTransitionpoint - checking transition - currentHedgeShortfall is -301</t>
  </si>
  <si>
    <t>2015-1-20 19:9:53.2: Algorithm - handleTransition - currentHedgeShortfall is NOT ZERO and AUTOHEDGE IS NOT ENABLED!</t>
  </si>
  <si>
    <t>2015-1-20 19:9:53.3: Algorithm - updatePortfolio - haveAllDetails is True</t>
  </si>
  <si>
    <t>2015-1-20 19:9:53.4: RTWSControl - updatePortfolioEx - An Error Occured Object variable or With block variable not set</t>
  </si>
  <si>
    <t>2015-1-20 19:9:53.46: Algorithm - FindNextStrikes - price is 1.51485 nextStrikeUp/Down 1.515/0</t>
  </si>
  <si>
    <t>2015-1-20 19:9:53.46: Algorithm - getPortfolioForwardDelta - required deltas is -200 currentHedgePosition is 101</t>
  </si>
  <si>
    <t>2015-1-20 19:9:53.47: Algorithm - getHedgeShortfall - required deltas is -200 price is 1.51475 currentHedgePositionDeltas is 101</t>
  </si>
  <si>
    <t>2015-1-20 19:9:53.47: Algorithm - processTransitionPoint - nextUpper/LowerStrikes are 1.515/0 requiredDeltas/currentPosition/currentHedgeShortfall/direction/transitionPrice are -200/101/-301/-1/1.51475</t>
  </si>
  <si>
    <t>2015-1-20 19:9:53.47: TransitionLogger - processTransitionpoint - checking transition - currentHedgeShortfall is -301</t>
  </si>
  <si>
    <t>2015-1-20 19:9:53.48: Algorithm - handleTransition - currentHedgeShortfall is NOT ZERO and AUTOHEDGE IS NOT ENABLED!</t>
  </si>
  <si>
    <t>2015-1-20 19:9:53.49: Algorithm - updatePortfolio - haveAllDetails is True</t>
  </si>
  <si>
    <t>2015-1-20 19:9:53.50: RTWSControl - updatePortfolioEx - An Error Occured Object variable or With block variable not set</t>
  </si>
  <si>
    <t>2015-1-20 19:9:53.90: Algorithm - FindNextStrikes - price is 1.51485 nextStrikeUp/Down 1.515/0</t>
  </si>
  <si>
    <t>2015-1-20 19:9:53.90: Algorithm - getPortfolioForwardDelta - required deltas is -200 currentHedgePosition is 101</t>
  </si>
  <si>
    <t>2015-1-20 19:9:53.91: Algorithm - getHedgeShortfall - required deltas is -200 price is 1.51475 currentHedgePositionDeltas is 101</t>
  </si>
  <si>
    <t>2015-1-20 19:9:53.91: Algorithm - processTransitionPoint - nextUpper/LowerStrikes are 1.515/0 requiredDeltas/currentPosition/currentHedgeShortfall/direction/transitionPrice are -200/101/-301/-1/1.51475</t>
  </si>
  <si>
    <t>2015-1-20 19:9:53.91: TransitionLogger - processTransitionpoint - checking transition - currentHedgeShortfall is -301</t>
  </si>
  <si>
    <t>2015-1-20 19:9:53.92: Algorithm - handleTransition - currentHedgeShortfall is NOT ZERO and AUTOHEDGE IS NOT ENABLED!</t>
  </si>
  <si>
    <t>2015-1-20 19:9:53.93: Algorithm - updatePortfolio - haveAllDetails is True</t>
  </si>
  <si>
    <t>2015-1-20 19:9:53.94: RTWSControl - updatePortfolioEx - An Error Occured Object variable or With block variable not set</t>
  </si>
  <si>
    <t>2015-1-20 19:9:53.147: Algorithm - FindNextStrikes - price is 1.51485 nextStrikeUp/Down 1.515/0</t>
  </si>
  <si>
    <t>2015-1-20 19:9:53.148: Algorithm - getPortfolioForwardDelta - required deltas is -200 currentHedgePosition is 101</t>
  </si>
  <si>
    <t>2015-1-20 19:9:53.148: Algorithm - getHedgeShortfall - required deltas is -200 price is 1.51475 currentHedgePositionDeltas is 101</t>
  </si>
  <si>
    <t>2015-1-20 19:9:53.148: Algorithm - processTransitionPoint - nextUpper/LowerStrikes are 1.515/0 requiredDeltas/currentPosition/currentHedgeShortfall/direction/transitionPrice are -200/101/-301/-1/1.51475</t>
  </si>
  <si>
    <t>2015-1-20 19:9:53.149: TransitionLogger - processTransitionpoint - checking transition - currentHedgeShortfall is -301</t>
  </si>
  <si>
    <t>2015-1-20 19:9:53.149: Algorithm - handleTransition - currentHedgeShortfall is NOT ZERO and AUTOHEDGE IS NOT ENABLED!</t>
  </si>
  <si>
    <t>2015-1-20 19:9:53.150: Algorithm - updatePortfolio - haveAllDetails is True</t>
  </si>
  <si>
    <t>2015-1-20 19:9:53.151: RTWSControl - updatePortfolioEx - An Error Occured Object variable or With block variable not set</t>
  </si>
  <si>
    <t>2015-1-20 19:9:53.214: Algorithm - FindNextStrikes - price is 1.51485 nextStrikeUp/Down 1.515/0</t>
  </si>
  <si>
    <t>2015-1-20 19:9:53.214: Algorithm - getPortfolioForwardDelta - required deltas is -200 currentHedgePosition is 101</t>
  </si>
  <si>
    <t>2015-1-20 19:9:53.214: Algorithm - getHedgeShortfall - required deltas is -200 price is 1.51475 currentHedgePositionDeltas is 101</t>
  </si>
  <si>
    <t>2015-1-20 19:9:53.215: Algorithm - processTransitionPoint - nextUpper/LowerStrikes are 1.515/0 requiredDeltas/currentPosition/currentHedgeShortfall/direction/transitionPrice are -200/101/-301/-1/1.51475</t>
  </si>
  <si>
    <t>2015-1-20 19:9:53.215: TransitionLogger - processTransitionpoint - checking transition - currentHedgeShortfall is -301</t>
  </si>
  <si>
    <t>2015-1-20 19:9:53.216: Algorithm - handleTransition - currentHedgeShortfall is NOT ZERO and AUTOHEDGE IS NOT ENABLED!</t>
  </si>
  <si>
    <t>2015-1-20 19:9:53.216: Algorithm - updatePortfolio - haveAllDetails is True</t>
  </si>
  <si>
    <t>2015-1-20 19:9:53.217: RTWSControl - updatePortfolioEx - An Error Occured Object variable or With block variable not set</t>
  </si>
  <si>
    <t>2015-1-20 19:9:53.273: Algorithm - FindNextStrikes - price is 1.51485 nextStrikeUp/Down 1.515/0</t>
  </si>
  <si>
    <t>2015-1-20 19:9:53.273: Algorithm - getPortfolioForwardDelta - required deltas is -200 currentHedgePosition is 101</t>
  </si>
  <si>
    <t>2015-1-20 19:9:53.273: Algorithm - getHedgeShortfall - required deltas is -200 price is 1.51475 currentHedgePositionDeltas is 101</t>
  </si>
  <si>
    <t>2015-1-20 19:9:53.274: Algorithm - processTransitionPoint - nextUpper/LowerStrikes are 1.515/0 requiredDeltas/currentPosition/currentHedgeShortfall/direction/transitionPrice are -200/101/-301/-1/1.51475</t>
  </si>
  <si>
    <t>2015-1-20 19:9:53.274: TransitionLogger - processTransitionpoint - checking transition - currentHedgeShortfall is -301</t>
  </si>
  <si>
    <t>2015-1-20 19:9:53.275: Algorithm - handleTransition - currentHedgeShortfall is NOT ZERO and AUTOHEDGE IS NOT ENABLED!</t>
  </si>
  <si>
    <t>2015-1-20 19:9:53.276: Algorithm - updatePortfolio - haveAllDetails is True</t>
  </si>
  <si>
    <t>2015-1-20 19:9:53.277: RTWSControl - updatePortfolioEx - An Error Occured Object variable or With block variable not set</t>
  </si>
  <si>
    <t>2015-1-20 19:10:8.166: TransitionLogger - flushFile - flushing file</t>
  </si>
  <si>
    <t>2015-1-20 19:10:8.168: TransitionLogger - openTransitionFile - opening file C:\temp\transitionlog_2015-01-20_153021</t>
  </si>
  <si>
    <t>2015-1-20 19:10:29.895: TransitionLogger - flushFile - flushing file</t>
  </si>
  <si>
    <t>2015-1-20 19:10:29.896: TransitionLogger - openTransitionFile - opening file C:\temp\transitionlog_2015-01-20_153021</t>
  </si>
  <si>
    <t>2015-1-20 19:11:4.986: DirectionIndicator - notify - price/longMA/ShortMA/prevDirection are 1.5149/1.51486635479805/1.51485448575819/-1</t>
  </si>
  <si>
    <t>2015-1-20 19:11:4.987: Algorithm - handleTransition - currentHedgeShortfall is NOT ZERO and AUTOHEDGE IS NOT ENABLED!</t>
  </si>
  <si>
    <t>2015-1-20 19:11:7.858: DirectionIndicator - notify - price/longMA/ShortMA/prevDirection are 1.51485/1.51486338119841/1.51485299050546/-1</t>
  </si>
  <si>
    <t>2015-1-20 19:11:7.860: Algorithm - handleTransition - currentHedgeShortfall is NOT ZERO and AUTOHEDGE IS NOT ENABLED!</t>
  </si>
  <si>
    <t>2015-1-20 19:11:8.0: TransitionLogger - flushFile - flushing file</t>
  </si>
  <si>
    <t>2015-1-20 19:11:8.1: TransitionLogger - openTransitionFile - opening file C:\temp\transitionlog_2015-01-20_153021</t>
  </si>
  <si>
    <t>2015-1-20 19:11:8.66: DirectionIndicator - notify - price/longMA/ShortMA/prevDirection are 1.5149/1.51487003916233/1.51486866033697/-1</t>
  </si>
  <si>
    <t>2015-1-20 19:11:8.67: Algorithm - handleTransition - currentHedgeShortfall is NOT ZERO and AUTOHEDGE IS NOT ENABLED!</t>
  </si>
  <si>
    <t>2015-1-20 19:11:14.878: DirectionIndicator - notify - price/longMA/ShortMA/prevDirection are 1.51495/1.51488457749645/1.51489577355798/-1</t>
  </si>
  <si>
    <t>2015-1-20 19:11:14.880: Algorithm - handleTransition - currentHedgeShortfall is NOT ZERO and AUTOHEDGE IS NOT ENABLED!</t>
  </si>
  <si>
    <t>2015-1-20 19:11:20.175: DirectionIndicator - notify - price/longMA/ShortMA/prevDirection are 1.5149/1.51488738158801/1.51489718237199/-1</t>
  </si>
  <si>
    <t>2015-1-20 19:11:20.176: Algorithm - handleTransition - currentHedgeShortfall is NOT ZERO and AUTOHEDGE IS NOT ENABLED!</t>
  </si>
  <si>
    <t>2015-1-20 19:11:20.253: DirectionIndicator - notify - price/longMA/ShortMA/prevDirection are 1.51485/1.51488058493564/1.51488145491466/-1</t>
  </si>
  <si>
    <t>2015-1-20 19:11:20.254: Algorithm - handleTransition - currentHedgeShortfall is NOT ZERO and AUTOHEDGE IS NOT ENABLED!</t>
  </si>
  <si>
    <t>2015-1-20 19:11:29.167: TransitionLogger - flushFile - flushing file</t>
  </si>
  <si>
    <t>2015-1-20 19:11:29.168: TransitionLogger - openTransitionFile - opening file C:\temp\transitionlog_2015-01-20_153021</t>
  </si>
  <si>
    <t>2015-1-20 19:11:48.506: DirectionIndicator - notify - price/longMA/ShortMA/prevDirection are 1.5148/1.51486593312916/1.51485430327644/-1</t>
  </si>
  <si>
    <t>2015-1-20 19:11:48.507: Algorithm - handleTransition - currentHedgeShortfall is NOT ZERO and AUTOHEDGE IS NOT ENABLED!</t>
  </si>
  <si>
    <t>2015-1-20 19:11:48.926: DirectionIndicator - notify - price/longMA/ShortMA/prevDirection are 1.51475/1.51484485437841/1.51481953551763/-1</t>
  </si>
  <si>
    <t>2015-1-20 19:11:48.926: Algorithm - handleTransition - currentHedgeShortfall is NOT ZERO and AUTOHEDGE IS NOT ENABLED!</t>
  </si>
  <si>
    <t>2015-1-20 19:11:49.129: DirectionIndicator - notify - price/longMA/ShortMA/prevDirection are 1.5148/1.51483669903688/1.51481302367842/-1</t>
  </si>
  <si>
    <t>2015-1-20 19:11:49.130: Algorithm - handleTransition - currentHedgeShortfall is NOT ZERO and AUTOHEDGE IS NOT ENABLED!</t>
  </si>
  <si>
    <t>2015-1-20 19:11:49.182: DirectionIndicator - notify - price/longMA/ShortMA/prevDirection are 1.51485/1.51483911739381/1.51482534911894/-1</t>
  </si>
  <si>
    <t>2015-1-20 19:11:49.183: Algorithm - handleTransition - currentHedgeShortfall is NOT ZERO and AUTOHEDGE IS NOT ENABLED!</t>
  </si>
  <si>
    <t>2015-1-20 19:11:57.538: DirectionIndicator - notify - price/longMA/ShortMA/prevDirection are 1.5148/1.51483200514039/1.51481689941263/-1</t>
  </si>
  <si>
    <t>2015-1-20 19:11:57.539: Algorithm - handleTransition - currentHedgeShortfall is NOT ZERO and AUTOHEDGE IS NOT ENABLED!</t>
  </si>
  <si>
    <t>2015-1-20 19:11:58.375: DirectionIndicator - notify - price/longMA/ShortMA/prevDirection are 1.51485/1.51483527693305/1.51482793294175/-1</t>
  </si>
  <si>
    <t>2015-1-20 19:11:58.377: Algorithm - handleTransition - currentHedgeShortfall is NOT ZERO and AUTOHEDGE IS NOT ENABLED!</t>
  </si>
  <si>
    <t>2015-1-20 19:12:8.256: TransitionLogger - flushFile - flushing file</t>
  </si>
  <si>
    <t>2015-1-20 19:12:8.258: TransitionLogger - openTransitionFile - opening file C:\temp\transitionlog_2015-01-20_153021</t>
  </si>
  <si>
    <t>2015-1-20 19:12:8.877: DirectionIndicator - notify - price/longMA/ShortMA/prevDirection are 1.5148/1.51482886294522/1.51481862196117/-1</t>
  </si>
  <si>
    <t>2015-1-20 19:12:8.878: Algorithm - handleTransition - currentHedgeShortfall is NOT ZERO and AUTOHEDGE IS NOT ENABLED!</t>
  </si>
  <si>
    <t>2015-1-20 19:12:12.93: Algorithm - FindNextStrikes - price is 1.5148 nextStrikeUp/Down 1.515/0</t>
  </si>
  <si>
    <t>2015-1-20 19:12:12.94: Algorithm - getPortfolioForwardDelta - required deltas is -200 currentHedgePosition is 101</t>
  </si>
  <si>
    <t>2015-1-20 19:12:12.94: Algorithm - getHedgeShortfall - required deltas is -200 price is 1.5147 currentHedgePositionDeltas is 101</t>
  </si>
  <si>
    <t>2015-1-20 19:12:12.95: Algorithm - processTransitionPoint - nextUpper/LowerStrikes are 1.515/0 requiredDeltas/currentPosition/currentHedgeShortfall/direction/transitionPrice are -200/101/-301/-1/1.5147</t>
  </si>
  <si>
    <t>2015-1-20 19:12:12.95: TransitionLogger - processTransitionpoint - checking transition - currentHedgeShortfall is -301</t>
  </si>
  <si>
    <t>2015-1-20 19:12:12.96: Algorithm - handleTransition - currentHedgeShortfall is NOT ZERO and AUTOHEDGE IS NOT ENABLED!</t>
  </si>
  <si>
    <t>2015-1-20 19:12:12.96: Algorithm - updatePortfolio - haveAllDetails is True</t>
  </si>
  <si>
    <t>2015-1-20 19:12:12.97: RTWSControl - updatePortfolioEx - An Error Occured Object variable or With block variable not set</t>
  </si>
  <si>
    <t>2015-1-20 19:12:12.148: Algorithm - FindNextStrikes - price is 1.5148 nextStrikeUp/Down 1.515/0</t>
  </si>
  <si>
    <t>2015-1-20 19:12:12.149: Algorithm - getPortfolioForwardDelta - required deltas is -200 currentHedgePosition is 101</t>
  </si>
  <si>
    <t>2015-1-20 19:12:12.149: Algorithm - getHedgeShortfall - required deltas is -200 price is 1.5147 currentHedgePositionDeltas is 101</t>
  </si>
  <si>
    <t>2015-1-20 19:12:12.149: Algorithm - processTransitionPoint - nextUpper/LowerStrikes are 1.515/0 requiredDeltas/currentPosition/currentHedgeShortfall/direction/transitionPrice are -200/101/-301/-1/1.5147</t>
  </si>
  <si>
    <t>2015-1-20 19:12:12.150: TransitionLogger - processTransitionpoint - checking transition - currentHedgeShortfall is -301</t>
  </si>
  <si>
    <t>2015-1-20 19:12:12.150: Algorithm - handleTransition - currentHedgeShortfall is NOT ZERO and AUTOHEDGE IS NOT ENABLED!</t>
  </si>
  <si>
    <t>2015-1-20 19:12:12.151: Algorithm - updatePortfolio - haveAllDetails is True</t>
  </si>
  <si>
    <t>2015-1-20 19:12:12.152: RTWSControl - updatePortfolioEx - An Error Occured Object variable or With block variable not set</t>
  </si>
  <si>
    <t>2015-1-20 19:12:12.197: Algorithm - FindNextStrikes - price is 1.5148 nextStrikeUp/Down 1.515/0</t>
  </si>
  <si>
    <t>2015-1-20 19:12:12.197: Algorithm - getPortfolioForwardDelta - required deltas is -200 currentHedgePosition is 101</t>
  </si>
  <si>
    <t>2015-1-20 19:12:12.198: Algorithm - getHedgeShortfall - required deltas is -200 price is 1.5147 currentHedgePositionDeltas is 101</t>
  </si>
  <si>
    <t>2015-1-20 19:12:12.198: Algorithm - processTransitionPoint - nextUpper/LowerStrikes are 1.515/0 requiredDeltas/currentPosition/currentHedgeShortfall/direction/transitionPrice are -200/101/-301/-1/1.5147</t>
  </si>
  <si>
    <t>2015-1-20 19:12:12.199: TransitionLogger - processTransitionpoint - checking transition - currentHedgeShortfall is -301</t>
  </si>
  <si>
    <t>2015-1-20 19:12:12.199: Algorithm - handleTransition - currentHedgeShortfall is NOT ZERO and AUTOHEDGE IS NOT ENABLED!</t>
  </si>
  <si>
    <t>2015-1-20 19:12:12.200: Algorithm - updatePortfolio - haveAllDetails is True</t>
  </si>
  <si>
    <t>2015-1-20 19:12:12.201: RTWSControl - updatePortfolioEx - An Error Occured Object variable or With block variable not set</t>
  </si>
  <si>
    <t>2015-1-20 19:12:12.265: Algorithm - FindNextStrikes - price is 1.5148 nextStrikeUp/Down 1.515/0</t>
  </si>
  <si>
    <t>2015-1-20 19:12:12.266: Algorithm - getPortfolioForwardDelta - required deltas is -200 currentHedgePosition is 101</t>
  </si>
  <si>
    <t>2015-1-20 19:12:12.266: Algorithm - getHedgeShortfall - required deltas is -200 price is 1.5147 currentHedgePositionDeltas is 101</t>
  </si>
  <si>
    <t>2015-1-20 19:12:12.266: Algorithm - processTransitionPoint - nextUpper/LowerStrikes are 1.515/0 requiredDeltas/currentPosition/currentHedgeShortfall/direction/transitionPrice are -200/101/-301/-1/1.5147</t>
  </si>
  <si>
    <t>2015-1-20 19:12:12.267: TransitionLogger - processTransitionpoint - checking transition - currentHedgeShortfall is -301</t>
  </si>
  <si>
    <t>2015-1-20 19:12:12.267: Algorithm - handleTransition - currentHedgeShortfall is NOT ZERO and AUTOHEDGE IS NOT ENABLED!</t>
  </si>
  <si>
    <t>2015-1-20 19:12:12.268: Algorithm - updatePortfolio - haveAllDetails is True</t>
  </si>
  <si>
    <t>2015-1-20 19:12:12.269: RTWSControl - updatePortfolioEx - An Error Occured Object variable or With block variable not set</t>
  </si>
  <si>
    <t>2015-1-20 19:12:12.315: DirectionIndicator - notify - price/longMA/ShortMA/prevDirection are 1.51485/1.51483270604609/1.51482908130745/-1</t>
  </si>
  <si>
    <t>2015-1-20 19:12:12.316: Algorithm - handleTransition - currentHedgeShortfall is NOT ZERO and AUTOHEDGE IS NOT ENABLED!</t>
  </si>
  <si>
    <t>2015-1-20 19:12:14.158: DirectionIndicator - notify - price/longMA/ShortMA/prevDirection are 1.5148/1.51482675949225/1.5148193875383/-1</t>
  </si>
  <si>
    <t>2015-1-20 19:12:14.159: Algorithm - handleTransition - currentHedgeShortfall is NOT ZERO and AUTOHEDGE IS NOT ENABLED!</t>
  </si>
  <si>
    <t>2015-1-20 19:12:14.256: DirectionIndicator - notify - price/longMA/ShortMA/prevDirection are 1.51475/1.51481280322094/1.51479625835886/-1</t>
  </si>
  <si>
    <t>2015-1-20 19:12:14.257: Algorithm - handleTransition - currentHedgeShortfall is NOT ZERO and AUTOHEDGE IS NOT ENABLED!</t>
  </si>
  <si>
    <t>2015-1-20 19:12:27.263: Algorithm - FindNextStrikes - price is 1.51475 nextStrikeUp/Down 1.515/0</t>
  </si>
  <si>
    <t>2015-1-20 19:12:27.263: Algorithm - getPortfolioForwardDelta - required deltas is -200 currentHedgePosition is 101</t>
  </si>
  <si>
    <t>2015-1-20 19:12:27.264: Algorithm - getHedgeShortfall - required deltas is -200 price is 1.51465 currentHedgePositionDeltas is 101</t>
  </si>
  <si>
    <t>2015-1-20 19:12:27.264: Algorithm - processTransitionPoint - nextUpper/LowerStrikes are 1.515/0 requiredDeltas/currentPosition/currentHedgeShortfall/direction/transitionPrice are -200/101/-301/-1/1.51465</t>
  </si>
  <si>
    <t>2015-1-20 19:12:27.265: TransitionLogger - processTransitionpoint - checking transition - currentHedgeShortfall is -301</t>
  </si>
  <si>
    <t>2015-1-20 19:12:27.265: Algorithm - handleTransition - currentHedgeShortfall is NOT ZERO and AUTOHEDGE IS NOT ENABLED!</t>
  </si>
  <si>
    <t>2015-1-20 19:12:27.266: Algorithm - updatePortfolio - haveAllDetails is True</t>
  </si>
  <si>
    <t>2015-1-20 19:12:27.267: RTWSControl - updatePortfolioEx - An Error Occured Object variable or With block variable not set</t>
  </si>
  <si>
    <t>2015-1-20 19:12:27.309: Algorithm - FindNextStrikes - price is 1.51475 nextStrikeUp/Down 1.515/0</t>
  </si>
  <si>
    <t>2015-1-20 19:12:27.309: Algorithm - getPortfolioForwardDelta - required deltas is -200 currentHedgePosition is 101</t>
  </si>
  <si>
    <t>2015-1-20 19:12:27.310: Algorithm - getHedgeShortfall - required deltas is -200 price is 1.51465 currentHedgePositionDeltas is 101</t>
  </si>
  <si>
    <t>2015-1-20 19:12:27.310: Algorithm - processTransitionPoint - nextUpper/LowerStrikes are 1.515/0 requiredDeltas/currentPosition/currentHedgeShortfall/direction/transitionPrice are -200/101/-301/-1/1.51465</t>
  </si>
  <si>
    <t>2015-1-20 19:12:27.311: TransitionLogger - processTransitionpoint - checking transition - currentHedgeShortfall is -301</t>
  </si>
  <si>
    <t>2015-1-20 19:12:27.311: Algorithm - handleTransition - currentHedgeShortfall is NOT ZERO and AUTOHEDGE IS NOT ENABLED!</t>
  </si>
  <si>
    <t>2015-1-20 19:12:27.312: Algorithm - updatePortfolio - haveAllDetails is True</t>
  </si>
  <si>
    <t>2015-1-20 19:12:27.313: RTWSControl - updatePortfolioEx - An Error Occured Object variable or With block variable not set</t>
  </si>
  <si>
    <t>2015-1-20 19:12:27.356: Algorithm - FindNextStrikes - price is 1.51475 nextStrikeUp/Down 1.515/0</t>
  </si>
  <si>
    <t>2015-1-20 19:12:27.357: Algorithm - getPortfolioForwardDelta - required deltas is -200 currentHedgePosition is 101</t>
  </si>
  <si>
    <t>2015-1-20 19:12:27.357: Algorithm - getHedgeShortfall - required deltas is -200 price is 1.51465 currentHedgePositionDeltas is 101</t>
  </si>
  <si>
    <t>2015-1-20 19:12:27.357: Algorithm - processTransitionPoint - nextUpper/LowerStrikes are 1.515/0 requiredDeltas/currentPosition/currentHedgeShortfall/direction/transitionPrice are -200/101/-301/-1/1.51465</t>
  </si>
  <si>
    <t>2015-1-20 19:12:27.358: TransitionLogger - processTransitionpoint - checking transition - currentHedgeShortfall is -301</t>
  </si>
  <si>
    <t>2015-1-20 19:12:27.358: Algorithm - handleTransition - currentHedgeShortfall is NOT ZERO and AUTOHEDGE IS NOT ENABLED!</t>
  </si>
  <si>
    <t>2015-1-20 19:12:27.359: Algorithm - updatePortfolio - haveAllDetails is True</t>
  </si>
  <si>
    <t>2015-1-20 19:12:27.360: RTWSControl - updatePortfolioEx - An Error Occured Object variable or With block variable not set</t>
  </si>
  <si>
    <t>2015-1-20 19:12:27.431: Algorithm - FindNextStrikes - price is 1.51475 nextStrikeUp/Down 1.515/0</t>
  </si>
  <si>
    <t>2015-1-20 19:12:27.432: Algorithm - getPortfolioForwardDelta - required deltas is -200 currentHedgePosition is 101</t>
  </si>
  <si>
    <t>2015-1-20 19:12:27.432: Algorithm - getHedgeShortfall - required deltas is -200 price is 1.51465 currentHedgePositionDeltas is 101</t>
  </si>
  <si>
    <t>2015-1-20 19:12:27.433: Algorithm - processTransitionPoint - nextUpper/LowerStrikes are 1.515/0 requiredDeltas/currentPosition/currentHedgeShortfall/direction/transitionPrice are -200/101/-301/-1/1.51465</t>
  </si>
  <si>
    <t>2015-1-20 19:12:27.433: TransitionLogger - processTransitionpoint - checking transition - currentHedgeShortfall is -301</t>
  </si>
  <si>
    <t>2015-1-20 19:12:27.433: Algorithm - handleTransition - currentHedgeShortfall is NOT ZERO and AUTOHEDGE IS NOT ENABLED!</t>
  </si>
  <si>
    <t>2015-1-20 19:12:27.434: Algorithm - updatePortfolio - haveAllDetails is True</t>
  </si>
  <si>
    <t>2015-1-20 19:12:27.435: RTWSControl - updatePortfolioEx - An Error Occured Object variable or With block variable not set</t>
  </si>
  <si>
    <t>2015-1-20 19:12:27.490: Algorithm - FindNextStrikes - price is 1.51475 nextStrikeUp/Down 1.515/0</t>
  </si>
  <si>
    <t>2015-1-20 19:12:27.490: Algorithm - getPortfolioForwardDelta - required deltas is -200 currentHedgePosition is 101</t>
  </si>
  <si>
    <t>2015-1-20 19:12:27.491: Algorithm - getHedgeShortfall - required deltas is -200 price is 1.51465 currentHedgePositionDeltas is 101</t>
  </si>
  <si>
    <t>2015-1-20 19:12:27.491: Algorithm - processTransitionPoint - nextUpper/LowerStrikes are 1.515/0 requiredDeltas/currentPosition/currentHedgeShortfall/direction/transitionPrice are -200/101/-301/-1/1.51465</t>
  </si>
  <si>
    <t>2015-1-20 19:12:27.491: TransitionLogger - processTransitionpoint - checking transition - currentHedgeShortfall is -301</t>
  </si>
  <si>
    <t>2015-1-20 19:12:27.492: Algorithm - handleTransition - currentHedgeShortfall is NOT ZERO and AUTOHEDGE IS NOT ENABLED!</t>
  </si>
  <si>
    <t>2015-1-20 19:12:27.493: Algorithm - updatePortfolio - haveAllDetails is True</t>
  </si>
  <si>
    <t>2015-1-20 19:12:27.494: RTWSControl - updatePortfolioEx - An Error Occured Object variable or With block variable not set</t>
  </si>
  <si>
    <t>2015-1-20 19:12:27.556: Algorithm - FindNextStrikes - price is 1.51475 nextStrikeUp/Down 1.515/0</t>
  </si>
  <si>
    <t>2015-1-20 19:12:27.556: Algorithm - getPortfolioForwardDelta - required deltas is -200 currentHedgePosition is 101</t>
  </si>
  <si>
    <t>2015-1-20 19:12:27.557: Algorithm - getHedgeShortfall - required deltas is -200 price is 1.51465 currentHedgePositionDeltas is 101</t>
  </si>
  <si>
    <t>2015-1-20 19:12:27.557: Algorithm - processTransitionPoint - nextUpper/LowerStrikes are 1.515/0 requiredDeltas/currentPosition/currentHedgeShortfall/direction/transitionPrice are -200/101/-301/-1/1.51465</t>
  </si>
  <si>
    <t>2015-1-20 19:12:27.557: TransitionLogger - processTransitionpoint - checking transition - currentHedgeShortfall is -301</t>
  </si>
  <si>
    <t>2015-1-20 19:12:27.558: Algorithm - handleTransition - currentHedgeShortfall is NOT ZERO and AUTOHEDGE IS NOT ENABLED!</t>
  </si>
  <si>
    <t>2015-1-20 19:12:27.559: Algorithm - updatePortfolio - haveAllDetails is True</t>
  </si>
  <si>
    <t>2015-1-20 19:12:27.560: RTWSControl - updatePortfolioEx - An Error Occured Object variable or With block variable not set</t>
  </si>
  <si>
    <t>2015-1-20 19:12:29.249: TransitionLogger - flushFile - flushing file</t>
  </si>
  <si>
    <t>2015-1-20 19:12:29.250: TransitionLogger - openTransitionFile - opening file C:\temp\transitionlog_2015-01-20_153021</t>
  </si>
  <si>
    <t>2015-1-20 19:13:2.399: DirectionIndicator - notify - price/longMA/ShortMA/prevDirection are 1.5148/1.51481047536258/1.51479750557258/-1</t>
  </si>
  <si>
    <t>2015-1-20 19:13:2.400: Algorithm - handleTransition - currentHedgeShortfall is NOT ZERO and AUTOHEDGE IS NOT ENABLED!</t>
  </si>
  <si>
    <t>2015-1-20 19:13:2.471: DirectionIndicator - notify - price/longMA/ShortMA/prevDirection are 1.51485/1.5148176616603/1.51481500371505/-1</t>
  </si>
  <si>
    <t>2015-1-20 19:13:2.471: Algorithm - handleTransition - currentHedgeShortfall is NOT ZERO and AUTOHEDGE IS NOT ENABLED!</t>
  </si>
  <si>
    <t>2015-1-20 19:13:8.12: TransitionLogger - flushFile - flushing file</t>
  </si>
  <si>
    <t>2015-1-20 19:13:8.12: TransitionLogger - openTransitionFile - opening file C:\temp\transitionlog_2015-01-20_153021</t>
  </si>
  <si>
    <t>2015-1-20 19:13:11.948: DirectionIndicator - notify - price/longMA/ShortMA/prevDirection are 1.5149/1.51483263226751/1.51484333581003/-1</t>
  </si>
  <si>
    <t>2015-1-20 19:13:11.949: Algorithm - handleTransition - currentHedgeShortfall is NOT ZERO and AUTOHEDGE IS NOT ENABLED!</t>
  </si>
  <si>
    <t>2015-1-20 19:13:12.86: DirectionIndicator - notify - price/longMA/ShortMA/prevDirection are 1.51495/1.51485397185524/1.51487889054002/-1</t>
  </si>
  <si>
    <t>2015-1-20 19:13:12.88: Algorithm - handleTransition - currentHedgeShortfall is NOT ZERO and AUTOHEDGE IS NOT ENABLED!</t>
  </si>
  <si>
    <t>2015-1-20 19:13:29.305: TransitionLogger - flushFile - flushing file</t>
  </si>
  <si>
    <t>2015-1-20 19:13:29.306: TransitionLogger - openTransitionFile - opening file C:\temp\transitionlog_2015-01-20_153021</t>
  </si>
  <si>
    <t>2015-1-20 19:13:45.61: DirectionIndicator - notify - price/longMA/ShortMA/prevDirection are 1.5149/1.51486234060883/1.51488592702668/1</t>
  </si>
  <si>
    <t>2015-1-20 19:13:45.62: Algorithm - handleTransition - currentHedgeShortfall is NOT ZERO and AUTOHEDGE IS NOT ENABLED!</t>
  </si>
  <si>
    <t>2015-1-20 19:13:45.188: DirectionIndicator - notify - price/longMA/ShortMA/prevDirection are 1.51485/1.51486009686177/1.51487395135112/1</t>
  </si>
  <si>
    <t>2015-1-20 19:13:45.189: Algorithm - handleTransition - currentHedgeShortfall is NOT ZERO and AUTOHEDGE IS NOT ENABLED!</t>
  </si>
  <si>
    <t>2015-1-20 19:14:8.541: TransitionLogger - flushFile - flushing file</t>
  </si>
  <si>
    <t>2015-1-20 19:14:8.542: TransitionLogger - openTransitionFile - opening file C:\temp\transitionlog_2015-01-20_153021</t>
  </si>
  <si>
    <t>2015-1-20 19:14:29.508: TransitionLogger - flushFile - flushing file</t>
  </si>
  <si>
    <t>2015-1-20 19:14:29.509: TransitionLogger - openTransitionFile - opening file C:\temp\transitionlog_2015-01-20_153021</t>
  </si>
  <si>
    <t>2015-1-20 19:15:8.443: TransitionLogger - flushFile - flushing file</t>
  </si>
  <si>
    <t>2015-1-20 19:15:8.444: TransitionLogger - openTransitionFile - opening file C:\temp\transitionlog_2015-01-20_153021</t>
  </si>
  <si>
    <t>2015-1-20 19:15:27.232: Algorithm - FindNextStrikes - price is 1.51485 nextStrikeUp/Down 1.515/0</t>
  </si>
  <si>
    <t>2015-1-20 19:15:27.232: Algorithm - getPortfolioForwardDelta - required deltas is -200 currentHedgePosition is 101</t>
  </si>
  <si>
    <t>2015-1-20 19:15:27.233: Algorithm - getHedgeShortfall - required deltas is -200 price is 1.51495 currentHedgePositionDeltas is 101</t>
  </si>
  <si>
    <t>2015-1-20 19:15:27.233: Algorithm - processTransitionPoint - nextUpper/LowerStrikes are 1.515/0 requiredDeltas/currentPosition/currentHedgeShortfall/direction/transitionPrice are -200/101/-301/1/1.51495</t>
  </si>
  <si>
    <t>2015-1-20 19:15:27.234: TransitionLogger - processTransitionpoint - checking transition - currentHedgeShortfall is -301</t>
  </si>
  <si>
    <t>2015-1-20 19:15:27.234: Algorithm - handleTransition - currentHedgeShortfall is NOT ZERO and AUTOHEDGE IS NOT ENABLED!</t>
  </si>
  <si>
    <t>2015-1-20 19:15:27.235: Algorithm - updatePortfolio - haveAllDetails is True</t>
  </si>
  <si>
    <t>2015-1-20 19:15:27.236: RTWSControl - updatePortfolioEx - An Error Occured Object variable or With block variable not set</t>
  </si>
  <si>
    <t>2015-1-20 19:15:27.277: Algorithm - FindNextStrikes - price is 1.51485 nextStrikeUp/Down 1.515/0</t>
  </si>
  <si>
    <t>2015-1-20 19:15:27.278: Algorithm - getPortfolioForwardDelta - required deltas is -200 currentHedgePosition is 101</t>
  </si>
  <si>
    <t>2015-1-20 19:15:27.278: Algorithm - getHedgeShortfall - required deltas is -200 price is 1.51495 currentHedgePositionDeltas is 101</t>
  </si>
  <si>
    <t>2015-1-20 19:15:27.278: Algorithm - processTransitionPoint - nextUpper/LowerStrikes are 1.515/0 requiredDeltas/currentPosition/currentHedgeShortfall/direction/transitionPrice are -200/101/-301/1/1.51495</t>
  </si>
  <si>
    <t>2015-1-20 19:15:27.279: TransitionLogger - processTransitionpoint - checking transition - currentHedgeShortfall is -301</t>
  </si>
  <si>
    <t>2015-1-20 19:15:27.279: Algorithm - handleTransition - currentHedgeShortfall is NOT ZERO and AUTOHEDGE IS NOT ENABLED!</t>
  </si>
  <si>
    <t>2015-1-20 19:15:27.280: Algorithm - updatePortfolio - haveAllDetails is True</t>
  </si>
  <si>
    <t>2015-1-20 19:15:27.281: RTWSControl - updatePortfolioEx - An Error Occured Object variable or With block variable not set</t>
  </si>
  <si>
    <t>2015-1-20 19:15:27.325: Algorithm - FindNextStrikes - price is 1.51485 nextStrikeUp/Down 1.515/0</t>
  </si>
  <si>
    <t>2015-1-20 19:15:27.326: Algorithm - getPortfolioForwardDelta - required deltas is -200 currentHedgePosition is 101</t>
  </si>
  <si>
    <t>2015-1-20 19:15:27.326: Algorithm - getHedgeShortfall - required deltas is -200 price is 1.51495 currentHedgePositionDeltas is 101</t>
  </si>
  <si>
    <t>2015-1-20 19:15:27.326: Algorithm - processTransitionPoint - nextUpper/LowerStrikes are 1.515/0 requiredDeltas/currentPosition/currentHedgeShortfall/direction/transitionPrice are -200/101/-301/1/1.51495</t>
  </si>
  <si>
    <t>2015-1-20 19:15:27.327: TransitionLogger - processTransitionpoint - checking transition - currentHedgeShortfall is -301</t>
  </si>
  <si>
    <t>2015-1-20 19:15:27.327: Algorithm - handleTransition - currentHedgeShortfall is NOT ZERO and AUTOHEDGE IS NOT ENABLED!</t>
  </si>
  <si>
    <t>2015-1-20 19:15:27.328: Algorithm - updatePortfolio - haveAllDetails is True</t>
  </si>
  <si>
    <t>2015-1-20 19:15:27.329: RTWSControl - updatePortfolioEx - An Error Occured Object variable or With block variable not set</t>
  </si>
  <si>
    <t>2015-1-20 19:15:27.403: Algorithm - FindNextStrikes - price is 1.51485 nextStrikeUp/Down 1.515/0</t>
  </si>
  <si>
    <t>2015-1-20 19:15:27.403: Algorithm - getPortfolioForwardDelta - required deltas is -200 currentHedgePosition is 101</t>
  </si>
  <si>
    <t>2015-1-20 19:15:27.404: Algorithm - getHedgeShortfall - required deltas is -200 price is 1.51495 currentHedgePositionDeltas is 101</t>
  </si>
  <si>
    <t>2015-1-20 19:15:27.404: Algorithm - processTransitionPoint - nextUpper/LowerStrikes are 1.515/0 requiredDeltas/currentPosition/currentHedgeShortfall/direction/transitionPrice are -200/101/-301/1/1.51495</t>
  </si>
  <si>
    <t>2015-1-20 19:15:27.404: TransitionLogger - processTransitionpoint - checking transition - currentHedgeShortfall is -301</t>
  </si>
  <si>
    <t>2015-1-20 19:15:27.405: Algorithm - handleTransition - currentHedgeShortfall is NOT ZERO and AUTOHEDGE IS NOT ENABLED!</t>
  </si>
  <si>
    <t>2015-1-20 19:15:27.405: Algorithm - updatePortfolio - haveAllDetails is True</t>
  </si>
  <si>
    <t>2015-1-20 19:15:27.406: RTWSControl - updatePortfolioEx - An Error Occured Object variable or With block variable not set</t>
  </si>
  <si>
    <t>2015-1-20 19:15:27.459: Algorithm - FindNextStrikes - price is 1.51485 nextStrikeUp/Down 1.515/0</t>
  </si>
  <si>
    <t>2015-1-20 19:15:27.459: Algorithm - getPortfolioForwardDelta - required deltas is -200 currentHedgePosition is 101</t>
  </si>
  <si>
    <t>2015-1-20 19:15:27.459: Algorithm - getHedgeShortfall - required deltas is -200 price is 1.51495 currentHedgePositionDeltas is 101</t>
  </si>
  <si>
    <t>2015-1-20 19:15:27.460: Algorithm - processTransitionPoint - nextUpper/LowerStrikes are 1.515/0 requiredDeltas/currentPosition/currentHedgeShortfall/direction/transitionPrice are -200/101/-301/1/1.51495</t>
  </si>
  <si>
    <t>2015-1-20 19:15:27.460: TransitionLogger - processTransitionpoint - checking transition - currentHedgeShortfall is -301</t>
  </si>
  <si>
    <t>2015-1-20 19:15:27.461: Algorithm - handleTransition - currentHedgeShortfall is NOT ZERO and AUTOHEDGE IS NOT ENABLED!</t>
  </si>
  <si>
    <t>2015-1-20 19:15:27.461: Algorithm - updatePortfolio - haveAllDetails is True</t>
  </si>
  <si>
    <t>2015-1-20 19:15:27.462: RTWSControl - updatePortfolioEx - An Error Occured Object variable or With block variable not set</t>
  </si>
  <si>
    <t>2015-1-20 19:15:27.528: Algorithm - FindNextStrikes - price is 1.51485 nextStrikeUp/Down 1.515/0</t>
  </si>
  <si>
    <t>2015-1-20 19:15:27.528: Algorithm - getPortfolioForwardDelta - required deltas is -200 currentHedgePosition is 101</t>
  </si>
  <si>
    <t>2015-1-20 19:15:27.528: Algorithm - getHedgeShortfall - required deltas is -200 price is 1.51495 currentHedgePositionDeltas is 101</t>
  </si>
  <si>
    <t>2015-1-20 19:15:27.529: Algorithm - processTransitionPoint - nextUpper/LowerStrikes are 1.515/0 requiredDeltas/currentPosition/currentHedgeShortfall/direction/transitionPrice are -200/101/-301/1/1.51495</t>
  </si>
  <si>
    <t>2015-1-20 19:15:27.529: TransitionLogger - processTransitionpoint - checking transition - currentHedgeShortfall is -301</t>
  </si>
  <si>
    <t>2015-1-20 19:15:27.529: Algorithm - handleTransition - currentHedgeShortfall is NOT ZERO and AUTOHEDGE IS NOT ENABLED!</t>
  </si>
  <si>
    <t>2015-1-20 19:15:27.530: Algorithm - updatePortfolio - haveAllDetails is True</t>
  </si>
  <si>
    <t>2015-1-20 19:15:27.531: RTWSControl - updatePortfolioEx - An Error Occured Object variable or With block variable not set</t>
  </si>
  <si>
    <t>2015-1-20 19:15:28.646: DirectionIndicator - notify - price/longMA/ShortMA/prevDirection are 1.5148/1.51484917015963/1.51484930090075/1</t>
  </si>
  <si>
    <t>2015-1-20 19:15:28.647: Algorithm - handleTransition - currentHedgeShortfall is NOT ZERO and AUTOHEDGE IS NOT ENABLED!</t>
  </si>
  <si>
    <t>2015-1-20 19:15:28.981: DirectionIndicator - notify - price/longMA/ShortMA/prevDirection are 1.51475/1.51483113922152/1.5148162006005/1</t>
  </si>
  <si>
    <t>2015-1-20 19:15:28.981: Algorithm - handleTransition - currentHedgeShortfall is NOT ZERO and AUTOHEDGE IS NOT ENABLED!</t>
  </si>
  <si>
    <t>2015-1-20 19:15:29.23: TransitionLogger - flushFile - flushing file</t>
  </si>
  <si>
    <t>2015-1-20 19:15:29.24: TransitionLogger - openTransitionFile - opening file C:\temp\transitionlog_2015-01-20_153021</t>
  </si>
  <si>
    <t>2015-1-20 19:16:8.56: TransitionLogger - flushFile - flushing file</t>
  </si>
  <si>
    <t>2015-1-20 19:16:8.57: TransitionLogger - openTransitionFile - opening file C:\temp\transitionlog_2015-01-20_153021</t>
  </si>
  <si>
    <t>2015-1-20 19:16:29.55: TransitionLogger - flushFile - flushing file</t>
  </si>
  <si>
    <t>2015-1-20 19:16:29.56: TransitionLogger - openTransitionFile - opening file C:\temp\transitionlog_2015-01-20_153021</t>
  </si>
  <si>
    <t>2015-1-20 19:16:35.71: DirectionIndicator - notify - price/longMA/ShortMA/prevDirection are 1.5147/1.5148072957267/1.514777467067/1</t>
  </si>
  <si>
    <t>2015-1-20 19:16:35.72: Algorithm - handleTransition - currentHedgeShortfall is NOT ZERO and AUTOHEDGE IS NOT ENABLED!</t>
  </si>
  <si>
    <t>2015-1-20 19:16:35.146: DirectionIndicator - notify - price/longMA/ShortMA/prevDirection are 1.51465/1.51477869650366/1.51473497804467/-1</t>
  </si>
  <si>
    <t>2015-1-20 19:16:35.146: Algorithm - handleTransition - currentHedgeShortfall is NOT ZERO and AUTOHEDGE IS NOT ENABLED!</t>
  </si>
  <si>
    <t>2015-1-20 19:16:52.445: DirectionIndicator - notify - price/longMA/ShortMA/prevDirection are 1.5146/1.51474620623027/1.51468998536311/-1</t>
  </si>
  <si>
    <t>2015-1-20 19:16:52.446: Algorithm - handleTransition - currentHedgeShortfall is NOT ZERO and AUTOHEDGE IS NOT ENABLED!</t>
  </si>
  <si>
    <t>2015-1-20 19:16:52.527: DirectionIndicator - notify - price/longMA/ShortMA/prevDirection are 1.51455/1.51471053237022/1.51464332357541/-1</t>
  </si>
  <si>
    <t>2015-1-20 19:16:52.527: Algorithm - handleTransition - currentHedgeShortfall is NOT ZERO and AUTOHEDGE IS NOT ENABLED!</t>
  </si>
  <si>
    <t>2015-1-20 19:16:53.646: DirectionIndicator - notify - price/longMA/ShortMA/prevDirection are 1.5146/1.51469043557563/1.5146288823836/-1</t>
  </si>
  <si>
    <t>2015-1-20 19:16:53.647: Algorithm - handleTransition - currentHedgeShortfall is NOT ZERO and AUTOHEDGE IS NOT ENABLED!</t>
  </si>
  <si>
    <t>2015-1-20 19:16:53.699: DirectionIndicator - notify - price/longMA/ShortMA/prevDirection are 1.51465/1.51468308365279/1.51463592158907/-1</t>
  </si>
  <si>
    <t>2015-1-20 19:16:53.700: Algorithm - handleTransition - currentHedgeShortfall is NOT ZERO and AUTOHEDGE IS NOT ENABLED!</t>
  </si>
  <si>
    <t>2015-1-20 19:16:54.32: DirectionIndicator - notify - price/longMA/ShortMA/prevDirection are 1.5146/1.5146679775341/1.51462394772605/-1</t>
  </si>
  <si>
    <t>2015-1-20 19:16:54.32: Algorithm - handleTransition - currentHedgeShortfall is NOT ZERO and AUTOHEDGE IS NOT ENABLED!</t>
  </si>
  <si>
    <t>2015-1-20 19:16:54.105: DirectionIndicator - notify - price/longMA/ShortMA/prevDirection are 1.51455/1.51464652707336/1.51459929848403/-1</t>
  </si>
  <si>
    <t>2015-1-20 19:16:54.105: Algorithm - handleTransition - currentHedgeShortfall is NOT ZERO and AUTOHEDGE IS NOT ENABLED!</t>
  </si>
  <si>
    <t>2015-1-20 19:17:1.222: DirectionIndicator - notify - price/longMA/ShortMA/prevDirection are 1.5146/1.51463806760547/1.51459953232269/-1</t>
  </si>
  <si>
    <t>2015-1-20 19:17:1.223: Algorithm - handleTransition - currentHedgeShortfall is NOT ZERO and AUTOHEDGE IS NOT ENABLED!</t>
  </si>
  <si>
    <t>2015-1-20 19:17:1.290: DirectionIndicator - notify - price/longMA/ShortMA/prevDirection are 1.51465/1.51464023713175/1.51461635488179/-1</t>
  </si>
  <si>
    <t>2015-1-20 19:17:1.291: Algorithm - handleTransition - currentHedgeShortfall is NOT ZERO and AUTOHEDGE IS NOT ENABLED!</t>
  </si>
  <si>
    <t>2015-1-20 19:17:8.257: TransitionLogger - flushFile - flushing file</t>
  </si>
  <si>
    <t>2015-1-20 19:17:8.258: TransitionLogger - openTransitionFile - opening file C:\temp\transitionlog_2015-01-20_153021</t>
  </si>
  <si>
    <t>2015-1-20 19:17:15.123: DirectionIndicator - notify - price/longMA/ShortMA/prevDirection are 1.5147/1.5146511031078/1.51464423658786/-1</t>
  </si>
  <si>
    <t>2015-1-20 19:17:15.124: Algorithm - handleTransition - currentHedgeShortfall is NOT ZERO and AUTOHEDGE IS NOT ENABLED!</t>
  </si>
  <si>
    <t>2015-1-20 19:17:15.190: DirectionIndicator - notify - price/longMA/ShortMA/prevDirection are 1.51475/1.51466908436092/1.51467949105857/-1</t>
  </si>
  <si>
    <t>2015-1-20 19:17:15.191: Algorithm - handleTransition - currentHedgeShortfall is NOT ZERO and AUTOHEDGE IS NOT ENABLED!</t>
  </si>
  <si>
    <t>2015-1-20 19:17:18.412: DirectionIndicator - notify - price/longMA/ShortMA/prevDirection are 1.5147/1.51467470538621/1.51468632737238/-1</t>
  </si>
  <si>
    <t>2015-1-20 19:17:18.413: Algorithm - handleTransition - currentHedgeShortfall is NOT ZERO and AUTOHEDGE IS NOT ENABLED!</t>
  </si>
  <si>
    <t>2015-1-20 19:17:18.835: DirectionIndicator - notify - price/longMA/ShortMA/prevDirection are 1.51475/1.51468839531599/1.51470755158159/-1</t>
  </si>
  <si>
    <t>2015-1-20 19:17:18.835: Algorithm - handleTransition - currentHedgeShortfall is NOT ZERO and AUTOHEDGE IS NOT ENABLED!</t>
  </si>
  <si>
    <t>2015-1-20 19:17:29.222: TransitionLogger - flushFile - flushing file</t>
  </si>
  <si>
    <t>2015-1-20 19:17:29.223: TransitionLogger - openTransitionFile - opening file C:\temp\transitionlog_2015-01-20_153021</t>
  </si>
  <si>
    <t>2015-1-20 19:17:44.617: DirectionIndicator - notify - price/longMA/ShortMA/prevDirection are 1.5147/1.51469050525854/1.51470503438773/-1</t>
  </si>
  <si>
    <t>2015-1-20 19:17:44.619: Algorithm - handleTransition - currentHedgeShortfall is NOT ZERO and AUTOHEDGE IS NOT ENABLED!</t>
  </si>
  <si>
    <t>2015-1-20 19:17:44.700: DirectionIndicator - notify - price/longMA/ShortMA/prevDirection are 1.51465/1.51468314066608/1.51468668959182/-1</t>
  </si>
  <si>
    <t>2015-1-20 19:17:44.701: Algorithm - handleTransition - currentHedgeShortfall is NOT ZERO and AUTOHEDGE IS NOT ENABLED!</t>
  </si>
  <si>
    <t>2015-1-20 19:17:54.747: DirectionIndicator - notify - price/longMA/ShortMA/prevDirection are 1.5147/1.51468620599952/1.51469112639454/-1</t>
  </si>
  <si>
    <t>2015-1-20 19:17:54.747: Algorithm - handleTransition - currentHedgeShortfall is NOT ZERO and AUTOHEDGE IS NOT ENABLED!</t>
  </si>
  <si>
    <t>2015-1-20 19:17:54.820: DirectionIndicator - notify - price/longMA/ShortMA/prevDirection are 1.51475/1.5146978049087/1.5147107509297/-1</t>
  </si>
  <si>
    <t>2015-1-20 19:17:54.820: Algorithm - handleTransition - currentHedgeShortfall is NOT ZERO and AUTOHEDGE IS NOT ENABLED!</t>
  </si>
  <si>
    <t>2015-1-20 19:17:56.82: DirectionIndicator - notify - price/longMA/ShortMA/prevDirection are 1.5148/1.51471638583439/1.5147405006198/-1</t>
  </si>
  <si>
    <t>2015-1-20 19:17:56.83: Algorithm - handleTransition - currentHedgeShortfall is NOT ZERO and AUTOHEDGE IS NOT ENABLED!</t>
  </si>
  <si>
    <t>2015-1-20 19:17:56.449: DirectionIndicator - notify - price/longMA/ShortMA/prevDirection are 1.51485/1.51474067931904/1.5147770004132/1</t>
  </si>
  <si>
    <t>2015-1-20 19:17:56.449: Algorithm - handleTransition - currentHedgeShortfall is NOT ZERO and AUTOHEDGE IS NOT ENABLED!</t>
  </si>
  <si>
    <t>2015-1-20 19:17:58.903: DirectionIndicator - notify - price/longMA/ShortMA/prevDirection are 1.5149/1.51476964671558/1.51481800027547/1</t>
  </si>
  <si>
    <t>2015-1-20 19:17:58.903: Algorithm - handleTransition - currentHedgeShortfall is NOT ZERO and AUTOHEDGE IS NOT ENABLED!</t>
  </si>
  <si>
    <t>2015-1-20 19:18:0.414: Algorithm - FindNextStrikes - price is 1.5149 nextStrikeUp/Down 1.515/0</t>
  </si>
  <si>
    <t>2015-1-20 19:18:0.414: Algorithm - getPortfolioForwardDelta - required deltas is 0 currentHedgePosition is 101</t>
  </si>
  <si>
    <t>2015-1-20 19:18:0.414: Algorithm - getHedgeShortfall - required deltas is 0 price is 1.515 currentHedgePositionDeltas is 101</t>
  </si>
  <si>
    <t>2015-1-20 19:18:0.415: Algorithm - processTransitionPoint - nextUpper/LowerStrikes are 1.515/0 requiredDeltas/currentPosition/currentHedgeShortfall/direction/transitionPrice are 0/101/-101/1/1.515</t>
  </si>
  <si>
    <t>2015-1-20 19:18:0.415: TransitionLogger - processTransitionpoint - checking transition - currentHedgeShortfall is -101</t>
  </si>
  <si>
    <t>2015-1-20 19:18:0.416: Algorithm - handleTransition - currentHedgeShortfall is NOT ZERO and AUTOHEDGE IS NOT ENABLED!</t>
  </si>
  <si>
    <t>2015-1-20 19:18:0.417: Algorithm - updatePortfolio - haveAllDetails is True</t>
  </si>
  <si>
    <t>2015-1-20 19:18:0.418: RTWSControl - updatePortfolioEx - An Error Occured Object variable or With block variable not set</t>
  </si>
  <si>
    <t>2015-1-20 19:18:0.457: Algorithm - FindNextStrikes - price is 1.5149 nextStrikeUp/Down 1.515/0</t>
  </si>
  <si>
    <t>2015-1-20 19:18:0.457: Algorithm - getPortfolioForwardDelta - required deltas is 0 currentHedgePosition is 101</t>
  </si>
  <si>
    <t>2015-1-20 19:18:0.457: Algorithm - getHedgeShortfall - required deltas is 0 price is 1.515 currentHedgePositionDeltas is 101</t>
  </si>
  <si>
    <t>2015-1-20 19:18:0.458: Algorithm - processTransitionPoint - nextUpper/LowerStrikes are 1.515/0 requiredDeltas/currentPosition/currentHedgeShortfall/direction/transitionPrice are 0/101/-101/1/1.515</t>
  </si>
  <si>
    <t>2015-1-20 19:18:0.458: TransitionLogger - processTransitionpoint - checking transition - currentHedgeShortfall is -101</t>
  </si>
  <si>
    <t>2015-1-20 19:18:0.459: Algorithm - handleTransition - currentHedgeShortfall is NOT ZERO and AUTOHEDGE IS NOT ENABLED!</t>
  </si>
  <si>
    <t>2015-1-20 19:18:0.459: Algorithm - updatePortfolio - haveAllDetails is True</t>
  </si>
  <si>
    <t>2015-1-20 19:18:0.460: RTWSControl - updatePortfolioEx - An Error Occured Object variable or With block variable not set</t>
  </si>
  <si>
    <t>2015-1-20 19:18:0.531: Algorithm - FindNextStrikes - price is 1.5149 nextStrikeUp/Down 1.515/0</t>
  </si>
  <si>
    <t>2015-1-20 19:18:0.532: Algorithm - getPortfolioForwardDelta - required deltas is 0 currentHedgePosition is 101</t>
  </si>
  <si>
    <t>2015-1-20 19:18:0.532: Algorithm - getHedgeShortfall - required deltas is 0 price is 1.515 currentHedgePositionDeltas is 101</t>
  </si>
  <si>
    <t>2015-1-20 19:18:0.532: Algorithm - processTransitionPoint - nextUpper/LowerStrikes are 1.515/0 requiredDeltas/currentPosition/currentHedgeShortfall/direction/transitionPrice are 0/101/-101/1/1.515</t>
  </si>
  <si>
    <t>2015-1-20 19:18:0.533: TransitionLogger - processTransitionpoint - checking transition - currentHedgeShortfall is -101</t>
  </si>
  <si>
    <t>2015-1-20 19:18:0.533: Algorithm - handleTransition - currentHedgeShortfall is NOT ZERO and AUTOHEDGE IS NOT ENABLED!</t>
  </si>
  <si>
    <t>2015-1-20 19:18:0.534: Algorithm - updatePortfolio - haveAllDetails is True</t>
  </si>
  <si>
    <t>2015-1-20 19:18:0.535: RTWSControl - updatePortfolioEx - An Error Occured Object variable or With block variable not set</t>
  </si>
  <si>
    <t>2015-1-20 19:18:0.589: Algorithm - FindNextStrikes - price is 1.5149 nextStrikeUp/Down 1.515/0</t>
  </si>
  <si>
    <t>2015-1-20 19:18:0.590: Algorithm - getPortfolioForwardDelta - required deltas is 0 currentHedgePosition is 101</t>
  </si>
  <si>
    <t>2015-1-20 19:18:0.590: Algorithm - getHedgeShortfall - required deltas is 0 price is 1.515 currentHedgePositionDeltas is 101</t>
  </si>
  <si>
    <t>2015-1-20 19:18:0.590: Algorithm - processTransitionPoint - nextUpper/LowerStrikes are 1.515/0 requiredDeltas/currentPosition/currentHedgeShortfall/direction/transitionPrice are 0/101/-101/1/1.515</t>
  </si>
  <si>
    <t>2015-1-20 19:18:0.591: TransitionLogger - processTransitionpoint - checking transition - currentHedgeShortfall is -101</t>
  </si>
  <si>
    <t>2015-1-20 19:18:0.591: Algorithm - handleTransition - currentHedgeShortfall is NOT ZERO and AUTOHEDGE IS NOT ENABLED!</t>
  </si>
  <si>
    <t>2015-1-20 19:18:0.592: Algorithm - updatePortfolio - haveAllDetails is True</t>
  </si>
  <si>
    <t>2015-1-20 19:18:0.593: RTWSControl - updatePortfolioEx - An Error Occured Object variable or With block variable not set</t>
  </si>
  <si>
    <t>2015-1-20 19:18:0.637: Algorithm - FindNextStrikes - price is 1.5149 nextStrikeUp/Down 1.515/0</t>
  </si>
  <si>
    <t>2015-1-20 19:18:0.637: Algorithm - getPortfolioForwardDelta - required deltas is 0 currentHedgePosition is 101</t>
  </si>
  <si>
    <t>2015-1-20 19:18:0.637: Algorithm - getHedgeShortfall - required deltas is 0 price is 1.515 currentHedgePositionDeltas is 101</t>
  </si>
  <si>
    <t>2015-1-20 19:18:0.638: Algorithm - processTransitionPoint - nextUpper/LowerStrikes are 1.515/0 requiredDeltas/currentPosition/currentHedgeShortfall/direction/transitionPrice are 0/101/-101/1/1.515</t>
  </si>
  <si>
    <t>2015-1-20 19:18:0.638: TransitionLogger - processTransitionpoint - checking transition - currentHedgeShortfall is -101</t>
  </si>
  <si>
    <t>2015-1-20 19:18:0.638: Algorithm - handleTransition - currentHedgeShortfall is NOT ZERO and AUTOHEDGE IS NOT ENABLED!</t>
  </si>
  <si>
    <t>2015-1-20 19:18:0.639: Algorithm - updatePortfolio - haveAllDetails is True</t>
  </si>
  <si>
    <t>2015-1-20 19:18:0.640: RTWSControl - updatePortfolioEx - An Error Occured Object variable or With block variable not set</t>
  </si>
  <si>
    <t>2015-1-20 19:18:0.702: Algorithm - FindNextStrikes - price is 1.5149 nextStrikeUp/Down 1.515/0</t>
  </si>
  <si>
    <t>2015-1-20 19:18:0.703: Algorithm - getPortfolioForwardDelta - required deltas is 0 currentHedgePosition is 101</t>
  </si>
  <si>
    <t>2015-1-20 19:18:0.703: Algorithm - getHedgeShortfall - required deltas is 0 price is 1.515 currentHedgePositionDeltas is 101</t>
  </si>
  <si>
    <t>2015-1-20 19:18:0.703: Algorithm - processTransitionPoint - nextUpper/LowerStrikes are 1.515/0 requiredDeltas/currentPosition/currentHedgeShortfall/direction/transitionPrice are 0/101/-101/1/1.515</t>
  </si>
  <si>
    <t>2015-1-20 19:18:0.704: TransitionLogger - processTransitionpoint - checking transition - currentHedgeShortfall is -101</t>
  </si>
  <si>
    <t>2015-1-20 19:18:0.704: Algorithm - handleTransition - currentHedgeShortfall is NOT ZERO and AUTOHEDGE IS NOT ENABLED!</t>
  </si>
  <si>
    <t>2015-1-20 19:18:0.705: Algorithm - updatePortfolio - haveAllDetails is True</t>
  </si>
  <si>
    <t>2015-1-20 19:18:0.706: RTWSControl - updatePortfolioEx - An Error Occured Object variable or With block variable not set</t>
  </si>
  <si>
    <t>2015-1-20 19:18:1.831: DirectionIndicator - notify - price/longMA/ShortMA/prevDirection are 1.51495/1.51480243822184/1.51486200018364/1</t>
  </si>
  <si>
    <t>2015-1-20 19:18:1.831: Algorithm - handleTransition - currentHedgeShortfall is NOT ZERO and AUTOHEDGE IS NOT ENABLED!</t>
  </si>
  <si>
    <t>2015-1-20 19:18:8.157: TransitionLogger - flushFile - flushing file</t>
  </si>
  <si>
    <t>2015-1-20 19:18:8.158: TransitionLogger - openTransitionFile - opening file C:\temp\transitionlog_2015-01-20_153021</t>
  </si>
  <si>
    <t>2015-1-20 19:18:10.489: DirectionIndicator - notify - price/longMA/ShortMA/prevDirection are 1.5149/1.51482017672696/1.5148746667891/1</t>
  </si>
  <si>
    <t>2015-1-20 19:18:10.490: Algorithm - handleTransition - currentHedgeShortfall is NOT ZERO and AUTOHEDGE IS NOT ENABLED!</t>
  </si>
  <si>
    <t>2015-1-20 19:18:11.2: DirectionIndicator - notify - price/longMA/ShortMA/prevDirection are 1.51485/1.51482559914024/1.51486644452606/1</t>
  </si>
  <si>
    <t>2015-1-20 19:18:11.3: Algorithm - handleTransition - currentHedgeShortfall is NOT ZERO and AUTOHEDGE IS NOT ENABLED!</t>
  </si>
  <si>
    <t>2015-1-20 19:18:12.863: DirectionIndicator - notify - price/longMA/ShortMA/prevDirection are 1.5149/1.51483912656929/1.51487762968404/1</t>
  </si>
  <si>
    <t>2015-1-20 19:18:12.864: Algorithm - handleTransition - currentHedgeShortfall is NOT ZERO and AUTOHEDGE IS NOT ENABLED!</t>
  </si>
  <si>
    <t>2015-1-20 19:18:13.119: DirectionIndicator - notify - price/longMA/ShortMA/prevDirection are 1.51495/1.51485928537487/1.51490175312269/1</t>
  </si>
  <si>
    <t>2015-1-20 19:18:13.120: Algorithm - handleTransition - currentHedgeShortfall is NOT ZERO and AUTOHEDGE IS NOT ENABLED!</t>
  </si>
  <si>
    <t>2015-1-20 19:18:27.325: Algorithm - FindNextStrikes - price is 1.51495 nextStrikeUp/Down 1.515/0</t>
  </si>
  <si>
    <t>2015-1-20 19:18:27.325: Algorithm - getPortfolioForwardDelta - required deltas is 100 currentHedgePosition is 101</t>
  </si>
  <si>
    <t>2015-1-20 19:18:27.326: Algorithm - getHedgeShortfall - required deltas is 100 price is 1.51505 currentHedgePositionDeltas is 101</t>
  </si>
  <si>
    <t>2015-1-20 19:18:27.326: Algorithm - processTransitionPoint - nextUpper/LowerStrikes are 1.515/0 requiredDeltas/currentPosition/currentHedgeShortfall/direction/transitionPrice are 100/101/-1/1/1.51505</t>
  </si>
  <si>
    <t>2015-1-20 19:18:27.326: TransitionLogger - processTransitionpoint - checking transition - currentHedgeShortfall is -1</t>
  </si>
  <si>
    <t>2015-1-20 19:18:27.327: Algorithm - handleTransition - currentHedgeShortfall is NOT ZERO and AUTOHEDGE IS NOT ENABLED!</t>
  </si>
  <si>
    <t>2015-1-20 19:18:27.328: Algorithm - updatePortfolio - haveAllDetails is True</t>
  </si>
  <si>
    <t>2015-1-20 19:18:27.329: RTWSControl - updatePortfolioEx - An Error Occured Object variable or With block variable not set</t>
  </si>
  <si>
    <t>2015-1-20 19:18:27.371: Algorithm - FindNextStrikes - price is 1.51495 nextStrikeUp/Down 1.515/0</t>
  </si>
  <si>
    <t>2015-1-20 19:18:27.371: Algorithm - getPortfolioForwardDelta - required deltas is 100 currentHedgePosition is 101</t>
  </si>
  <si>
    <t>2015-1-20 19:18:27.371: Algorithm - getHedgeShortfall - required deltas is 100 price is 1.51505 currentHedgePositionDeltas is 101</t>
  </si>
  <si>
    <t>2015-1-20 19:18:27.372: Algorithm - processTransitionPoint - nextUpper/LowerStrikes are 1.515/0 requiredDeltas/currentPosition/currentHedgeShortfall/direction/transitionPrice are 100/101/-1/1/1.51505</t>
  </si>
  <si>
    <t>2015-1-20 19:18:27.372: TransitionLogger - processTransitionpoint - checking transition - currentHedgeShortfall is -1</t>
  </si>
  <si>
    <t>2015-1-20 19:18:27.372: Algorithm - handleTransition - currentHedgeShortfall is NOT ZERO and AUTOHEDGE IS NOT ENABLED!</t>
  </si>
  <si>
    <t>2015-1-20 19:18:27.373: Algorithm - updatePortfolio - haveAllDetails is True</t>
  </si>
  <si>
    <t>2015-1-20 19:18:27.374: RTWSControl - updatePortfolioEx - An Error Occured Object variable or With block variable not set</t>
  </si>
  <si>
    <t>2015-1-20 19:18:27.420: Algorithm - FindNextStrikes - price is 1.51495 nextStrikeUp/Down 1.515/0</t>
  </si>
  <si>
    <t>2015-1-20 19:18:27.421: Algorithm - getPortfolioForwardDelta - required deltas is 100 currentHedgePosition is 101</t>
  </si>
  <si>
    <t>2015-1-20 19:18:27.421: Algorithm - getHedgeShortfall - required deltas is 100 price is 1.51505 currentHedgePositionDeltas is 101</t>
  </si>
  <si>
    <t>2015-1-20 19:18:27.421: Algorithm - processTransitionPoint - nextUpper/LowerStrikes are 1.515/0 requiredDeltas/currentPosition/currentHedgeShortfall/direction/transitionPrice are 100/101/-1/1/1.51505</t>
  </si>
  <si>
    <t>2015-1-20 19:18:27.422: TransitionLogger - processTransitionpoint - checking transition - currentHedgeShortfall is -1</t>
  </si>
  <si>
    <t>2015-1-20 19:18:27.422: Algorithm - handleTransition - currentHedgeShortfall is NOT ZERO and AUTOHEDGE IS NOT ENABLED!</t>
  </si>
  <si>
    <t>2015-1-20 19:18:27.423: Algorithm - updatePortfolio - haveAllDetails is True</t>
  </si>
  <si>
    <t>2015-1-20 19:18:27.424: RTWSControl - updatePortfolioEx - An Error Occured Object variable or With block variable not set</t>
  </si>
  <si>
    <t>2015-1-20 19:18:27.494: Algorithm - FindNextStrikes - price is 1.51495 nextStrikeUp/Down 1.515/0</t>
  </si>
  <si>
    <t>2015-1-20 19:18:27.495: Algorithm - getPortfolioForwardDelta - required deltas is 100 currentHedgePosition is 101</t>
  </si>
  <si>
    <t>2015-1-20 19:18:27.495: Algorithm - getHedgeShortfall - required deltas is 100 price is 1.51505 currentHedgePositionDeltas is 101</t>
  </si>
  <si>
    <t>2015-1-20 19:18:27.495: Algorithm - processTransitionPoint - nextUpper/LowerStrikes are 1.515/0 requiredDeltas/currentPosition/currentHedgeShortfall/direction/transitionPrice are 100/101/-1/1/1.51505</t>
  </si>
  <si>
    <t>2015-1-20 19:18:27.496: TransitionLogger - processTransitionpoint - checking transition - currentHedgeShortfall is -1</t>
  </si>
  <si>
    <t>2015-1-20 19:18:27.496: Algorithm - handleTransition - currentHedgeShortfall is NOT ZERO and AUTOHEDGE IS NOT ENABLED!</t>
  </si>
  <si>
    <t>2015-1-20 19:18:27.497: Algorithm - updatePortfolio - haveAllDetails is True</t>
  </si>
  <si>
    <t>2015-1-20 19:18:27.498: RTWSControl - updatePortfolioEx - An Error Occured Object variable or With block variable not set</t>
  </si>
  <si>
    <t>2015-1-20 19:18:27.550: Algorithm - FindNextStrikes - price is 1.51495 nextStrikeUp/Down 1.515/0</t>
  </si>
  <si>
    <t>2015-1-20 19:18:27.550: Algorithm - getPortfolioForwardDelta - required deltas is 100 currentHedgePosition is 101</t>
  </si>
  <si>
    <t>2015-1-20 19:18:27.550: Algorithm - getHedgeShortfall - required deltas is 100 price is 1.51505 currentHedgePositionDeltas is 101</t>
  </si>
  <si>
    <t>2015-1-20 19:18:27.551: Algorithm - processTransitionPoint - nextUpper/LowerStrikes are 1.515/0 requiredDeltas/currentPosition/currentHedgeShortfall/direction/transitionPrice are 100/101/-1/1/1.51505</t>
  </si>
  <si>
    <t>2015-1-20 19:18:27.551: TransitionLogger - processTransitionpoint - checking transition - currentHedgeShortfall is -1</t>
  </si>
  <si>
    <t>2015-1-20 19:18:27.552: Algorithm - handleTransition - currentHedgeShortfall is NOT ZERO and AUTOHEDGE IS NOT ENABLED!</t>
  </si>
  <si>
    <t>2015-1-20 19:18:27.552: Algorithm - updatePortfolio - haveAllDetails is True</t>
  </si>
  <si>
    <t>2015-1-20 19:18:27.554: RTWSControl - updatePortfolioEx - An Error Occured Object variable or With block variable not set</t>
  </si>
  <si>
    <t>2015-1-20 19:18:27.618: Algorithm - FindNextStrikes - price is 1.51495 nextStrikeUp/Down 1.515/0</t>
  </si>
  <si>
    <t>2015-1-20 19:18:27.618: Algorithm - getPortfolioForwardDelta - required deltas is 100 currentHedgePosition is 101</t>
  </si>
  <si>
    <t>2015-1-20 19:18:27.619: Algorithm - getHedgeShortfall - required deltas is 100 price is 1.51505 currentHedgePositionDeltas is 101</t>
  </si>
  <si>
    <t>2015-1-20 19:18:27.619: Algorithm - processTransitionPoint - nextUpper/LowerStrikes are 1.515/0 requiredDeltas/currentPosition/currentHedgeShortfall/direction/transitionPrice are 100/101/-1/1/1.51505</t>
  </si>
  <si>
    <t>2015-1-20 19:18:27.619: TransitionLogger - processTransitionpoint - checking transition - currentHedgeShortfall is -1</t>
  </si>
  <si>
    <t>2015-1-20 19:18:27.620: Algorithm - handleTransition - currentHedgeShortfall is NOT ZERO and AUTOHEDGE IS NOT ENABLED!</t>
  </si>
  <si>
    <t>2015-1-20 19:18:27.621: Algorithm - updatePortfolio - haveAllDetails is True</t>
  </si>
  <si>
    <t>2015-1-20 19:18:27.622: RTWSControl - updatePortfolioEx - An Error Occured Object variable or With block variable not set</t>
  </si>
  <si>
    <t>2015-1-20 19:18:29.129: TransitionLogger - flushFile - flushing file</t>
  </si>
  <si>
    <t>2015-1-20 19:18:29.130: TransitionLogger - openTransitionFile - opening file C:\temp\transitionlog_2015-01-20_153021</t>
  </si>
  <si>
    <t>2015-1-20 19:19:8.35: TransitionLogger - flushFile - flushing file</t>
  </si>
  <si>
    <t>2015-1-20 19:19:8.36: TransitionLogger - openTransitionFile - opening file C:\temp\transitionlog_2015-01-20_153021</t>
  </si>
  <si>
    <t>2015-1-20 19:19:8.164: DirectionIndicator - notify - price/longMA/ShortMA/prevDirection are 1.515/1.51488486985217/1.5149345020818/1</t>
  </si>
  <si>
    <t>2015-1-20 19:19:8.165: Algorithm - FindNextStrikes - price is 1.515 nextStrikeUp/Down 1.52/0</t>
  </si>
  <si>
    <t>2015-1-20 19:19:8.166: Algorithm - getPortfolioForwardDelta - required deltas is 100 currentHedgePosition is 101</t>
  </si>
  <si>
    <t>2015-1-20 19:19:8.166: Algorithm - getHedgeShortfall - required deltas is 100 price is 1.5151 currentHedgePositionDeltas is 101</t>
  </si>
  <si>
    <t>2015-1-20 19:19:8.167: Algorithm - processTransitionPoint - nextUpper/LowerStrikes are 1.52/0 requiredDeltas/currentPosition/currentHedgeShortfall/direction/transitionPrice are 100/101/-1/1/1.5151</t>
  </si>
  <si>
    <t>2015-1-20 19:19:8.167: TransitionLogger - processTransitionpoint - checking transition - currentHedgeShortfall is -1</t>
  </si>
  <si>
    <t>2015-1-20 19:19:8.168: Algorithm - handleTransition - currentHedgeShortfall is NOT ZERO and AUTOHEDGE IS NOT ENABLED!</t>
  </si>
  <si>
    <t>2015-1-20 19:19:8.239: DirectionIndicator - notify - price/longMA/ShortMA/prevDirection are 1.51505/1.51491489351541/1.51497300138786/1</t>
  </si>
  <si>
    <t>2015-1-20 19:19:8.240: Algorithm - handleTransition - currentHedgeShortfall is NOT ZERO and AUTOHEDGE IS NOT ENABLED!</t>
  </si>
  <si>
    <t>2015-1-20 19:19:12.199: DirectionIndicator - notify - price/longMA/ShortMA/prevDirection are 1.515/1.5149303674217/1.51498200092524/1</t>
  </si>
  <si>
    <t>2015-1-20 19:19:12.200: Algorithm - handleTransition - currentHedgeShortfall is NOT ZERO and AUTOHEDGE IS NOT ENABLED!</t>
  </si>
  <si>
    <t>2015-1-20 19:19:12.283: DirectionIndicator - notify - price/longMA/ShortMA/prevDirection are 1.51495/1.51493393698139/1.51497133395016/1</t>
  </si>
  <si>
    <t>2015-1-20 19:19:12.284: Algorithm - handleTransition - currentHedgeShortfall is NOT ZERO and AUTOHEDGE IS NOT ENABLED!</t>
  </si>
  <si>
    <t>2015-1-20 19:19:29.31: TransitionLogger - flushFile - flushing file</t>
  </si>
  <si>
    <t>2015-1-20 19:19:29.32: TransitionLogger - openTransitionFile - opening file C:\temp\transitionlog_2015-01-20_153021</t>
  </si>
  <si>
    <t>2015-1-20 19:20:0.73: DirectionIndicator - notify - price/longMA/ShortMA/prevDirection are 1.5149/1.51492776662114/1.51494755596677/1</t>
  </si>
  <si>
    <t>2015-1-20 19:20:0.76: Algorithm - handleTransition - currentHedgeShortfall is NOT ZERO and AUTOHEDGE IS NOT ENABLED!</t>
  </si>
  <si>
    <t>2015-1-20 19:20:0.177: DirectionIndicator - notify - price/longMA/ShortMA/prevDirection are 1.51485/1.51491362723548/1.51491503731118/1</t>
  </si>
  <si>
    <t>2015-1-20 19:20:0.178: Algorithm - handleTransition - currentHedgeShortfall is NOT ZERO and AUTOHEDGE IS NOT ENABLED!</t>
  </si>
  <si>
    <t>2015-1-20 19:20:0.714: DirectionIndicator - notify - price/longMA/ShortMA/prevDirection are 1.5149/1.5149111495563/1.51491002487412/1</t>
  </si>
  <si>
    <t>2015-1-20 19:20:0.714: Algorithm - handleTransition - currentHedgeShortfall is NOT ZERO and AUTOHEDGE IS NOT ENABLED!</t>
  </si>
  <si>
    <t>2015-1-20 19:20:0.828: DirectionIndicator - notify - price/longMA/ShortMA/prevDirection are 1.51495/1.51491821327334/1.51492334991608/1</t>
  </si>
  <si>
    <t>2015-1-20 19:20:0.828: Algorithm - handleTransition - currentHedgeShortfall is NOT ZERO and AUTOHEDGE IS NOT ENABLED!</t>
  </si>
  <si>
    <t>2015-1-20 19:20:8.147: TransitionLogger - flushFile - flushing file</t>
  </si>
  <si>
    <t>2015-1-20 19:20:8.148: TransitionLogger - openTransitionFile - opening file C:\temp\transitionlog_2015-01-20_153021</t>
  </si>
  <si>
    <t>2015-1-20 19:20:11.940: DirectionIndicator - notify - price/longMA/ShortMA/prevDirection are 1.5149/1.51491490176909/1.51491556661072/1</t>
  </si>
  <si>
    <t>2015-1-20 19:20:11.942: Algorithm - handleTransition - currentHedgeShortfall is NOT ZERO and AUTOHEDGE IS NOT ENABLED!</t>
  </si>
  <si>
    <t>2015-1-20 19:20:12.207: DirectionIndicator - notify - price/longMA/ShortMA/prevDirection are 1.51485/1.51490310144744/1.51489371107381/1</t>
  </si>
  <si>
    <t>2015-1-20 19:20:12.208: Algorithm - handleTransition - currentHedgeShortfall is NOT ZERO and AUTOHEDGE IS NOT ENABLED!</t>
  </si>
  <si>
    <t>2015-1-20 19:20:15.150: DirectionIndicator - notify - price/longMA/ShortMA/prevDirection are 1.5149/1.5149025375479/1.51489580738254/1</t>
  </si>
  <si>
    <t>2015-1-20 19:20:15.151: Algorithm - handleTransition - currentHedgeShortfall is NOT ZERO and AUTOHEDGE IS NOT ENABLED!</t>
  </si>
  <si>
    <t>2015-1-20 19:20:22.111: DirectionIndicator - notify - price/longMA/ShortMA/prevDirection are 1.51495/1.51491116708465/1.51491387158836/1</t>
  </si>
  <si>
    <t>2015-1-20 19:20:22.113: Algorithm - handleTransition - currentHedgeShortfall is NOT ZERO and AUTOHEDGE IS NOT ENABLED!</t>
  </si>
  <si>
    <t>2015-1-20 19:20:29.929: TransitionLogger - flushFile - flushing file</t>
  </si>
  <si>
    <t>2015-1-20 19:20:29.930: TransitionLogger - openTransitionFile - opening file C:\temp\transitionlog_2015-01-20_153021</t>
  </si>
  <si>
    <t>2015-1-20 19:20:35.883: DirectionIndicator - notify - price/longMA/ShortMA/prevDirection are 1.5149/1.51490913670562/1.51490924772557/1</t>
  </si>
  <si>
    <t>2015-1-20 19:20:35.883: Algorithm - handleTransition - currentHedgeShortfall is NOT ZERO and AUTOHEDGE IS NOT ENABLED!</t>
  </si>
  <si>
    <t>2015-1-20 19:20:38.449: DirectionIndicator - notify - price/longMA/ShortMA/prevDirection are 1.51495/1.51491656639551/1.51492283181705/1</t>
  </si>
  <si>
    <t>2015-1-20 19:20:38.451: Algorithm - handleTransition - currentHedgeShortfall is NOT ZERO and AUTOHEDGE IS NOT ENABLED!</t>
  </si>
  <si>
    <t>2015-1-20 19:20:39.84: DirectionIndicator - notify - price/longMA/ShortMA/prevDirection are 1.5149/1.5149135543236/1.51491522121137/1</t>
  </si>
  <si>
    <t>2015-1-20 19:20:39.85: Algorithm - handleTransition - currentHedgeShortfall is NOT ZERO and AUTOHEDGE IS NOT ENABLED!</t>
  </si>
  <si>
    <t>2015-1-20 19:20:47.464: DirectionIndicator - notify - price/longMA/ShortMA/prevDirection are 1.51485/1.51490199899203/1.51489348080758/1</t>
  </si>
  <si>
    <t>2015-1-20 19:20:47.465: Algorithm - handleTransition - currentHedgeShortfall is NOT ZERO and AUTOHEDGE IS NOT ENABLED!</t>
  </si>
  <si>
    <t>2015-1-20 19:21:5.17: DirectionIndicator - notify - price/longMA/ShortMA/prevDirection are 1.5148/1.51488345372076/1.51486232053839/1</t>
  </si>
  <si>
    <t>2015-1-20 19:21:5.18: Algorithm - handleTransition - currentHedgeShortfall is NOT ZERO and AUTOHEDGE IS NOT ENABLED!</t>
  </si>
  <si>
    <t>2015-1-20 19:21:5.926: DirectionIndicator - notify - price/longMA/ShortMA/prevDirection are 1.51485/1.51487737122607/1.51485821369226/-1</t>
  </si>
  <si>
    <t>2015-1-20 19:21:5.927: Algorithm - handleTransition - currentHedgeShortfall is NOT ZERO and AUTOHEDGE IS NOT ENABLED!</t>
  </si>
  <si>
    <t>2015-1-20 19:21:7.963: DirectionIndicator - notify - price/longMA/ShortMA/prevDirection are 1.5149/1.51488148554861/1.5148721424615/-1</t>
  </si>
  <si>
    <t>2015-1-20 19:21:7.964: Algorithm - handleTransition - currentHedgeShortfall is NOT ZERO and AUTOHEDGE IS NOT ENABLED!</t>
  </si>
  <si>
    <t>2015-1-20 19:21:8.0: TransitionLogger - flushFile - flushing file</t>
  </si>
  <si>
    <t>2015-1-20 19:21:8.1: TransitionLogger - openTransitionFile - opening file C:\temp\transitionlog_2015-01-20_153021</t>
  </si>
  <si>
    <t>2015-1-20 19:21:8.47: DirectionIndicator - notify - price/longMA/ShortMA/prevDirection are 1.51495/1.51489394272159/1.51489809497434/-1</t>
  </si>
  <si>
    <t>2015-1-20 19:21:8.47: Algorithm - handleTransition - currentHedgeShortfall is NOT ZERO and AUTOHEDGE IS NOT ENABLED!</t>
  </si>
  <si>
    <t>2015-1-20 19:21:13.411: DirectionIndicator - notify - price/longMA/ShortMA/prevDirection are 1.5149/1.51489504404493/1.51489872998289/-1</t>
  </si>
  <si>
    <t>2015-1-20 19:21:13.412: Algorithm - handleTransition - currentHedgeShortfall is NOT ZERO and AUTOHEDGE IS NOT ENABLED!</t>
  </si>
  <si>
    <t>2015-1-20 19:21:15.677: DirectionIndicator - notify - price/longMA/ShortMA/prevDirection are 1.51485/1.51488685421858/1.51488248665526/-1</t>
  </si>
  <si>
    <t>2015-1-20 19:21:15.678: Algorithm - handleTransition - currentHedgeShortfall is NOT ZERO and AUTOHEDGE IS NOT ENABLED!</t>
  </si>
  <si>
    <t>2015-1-20 19:21:26.914: Algorithm - FindNextStrikes - price is 1.51485 nextStrikeUp/Down 1.515/0</t>
  </si>
  <si>
    <t>2015-1-20 19:21:26.914: Algorithm - getPortfolioForwardDelta - required deltas is -200 currentHedgePosition is 101</t>
  </si>
  <si>
    <t>2015-1-20 19:21:26.915: Algorithm - getHedgeShortfall - required deltas is -200 price is 1.51475 currentHedgePositionDeltas is 101</t>
  </si>
  <si>
    <t>2015-1-20 19:21:26.916: Algorithm - processTransitionPoint - nextUpper/LowerStrikes are 1.515/0 requiredDeltas/currentPosition/currentHedgeShortfall/direction/transitionPrice are -200/101/-301/-1/1.51475</t>
  </si>
  <si>
    <t>2015-1-20 19:21:26.916: TransitionLogger - processTransitionpoint - checking transition - currentHedgeShortfall is -301</t>
  </si>
  <si>
    <t>2015-1-20 19:21:26.916: Algorithm - handleTransition - currentHedgeShortfall is NOT ZERO and AUTOHEDGE IS NOT ENABLED!</t>
  </si>
  <si>
    <t>2015-1-20 19:21:26.917: Algorithm - updatePortfolio - haveAllDetails is True</t>
  </si>
  <si>
    <t>2015-1-20 19:21:26.918: RTWSControl - updatePortfolioEx - An Error Occured Object variable or With block variable not set</t>
  </si>
  <si>
    <t>2015-1-20 19:21:26.958: Algorithm - FindNextStrikes - price is 1.51485 nextStrikeUp/Down 1.515/0</t>
  </si>
  <si>
    <t>2015-1-20 19:21:26.958: Algorithm - getPortfolioForwardDelta - required deltas is -200 currentHedgePosition is 101</t>
  </si>
  <si>
    <t>2015-1-20 19:21:26.959: Algorithm - getHedgeShortfall - required deltas is -200 price is 1.51475 currentHedgePositionDeltas is 101</t>
  </si>
  <si>
    <t>2015-1-20 19:21:26.959: Algorithm - processTransitionPoint - nextUpper/LowerStrikes are 1.515/0 requiredDeltas/currentPosition/currentHedgeShortfall/direction/transitionPrice are -200/101/-301/-1/1.51475</t>
  </si>
  <si>
    <t>2015-1-20 19:21:26.960: TransitionLogger - processTransitionpoint - checking transition - currentHedgeShortfall is -301</t>
  </si>
  <si>
    <t>2015-1-20 19:21:26.960: Algorithm - handleTransition - currentHedgeShortfall is NOT ZERO and AUTOHEDGE IS NOT ENABLED!</t>
  </si>
  <si>
    <t>2015-1-20 19:21:26.961: Algorithm - updatePortfolio - haveAllDetails is True</t>
  </si>
  <si>
    <t>2015-1-20 19:21:26.962: RTWSControl - updatePortfolioEx - An Error Occured Object variable or With block variable not set</t>
  </si>
  <si>
    <t>2015-1-20 19:21:27.10: Algorithm - FindNextStrikes - price is 1.51485 nextStrikeUp/Down 1.515/0</t>
  </si>
  <si>
    <t>2015-1-20 19:21:27.10: Algorithm - getPortfolioForwardDelta - required deltas is -200 currentHedgePosition is 101</t>
  </si>
  <si>
    <t>2015-1-20 19:21:27.10: Algorithm - getHedgeShortfall - required deltas is -200 price is 1.51475 currentHedgePositionDeltas is 101</t>
  </si>
  <si>
    <t>2015-1-20 19:21:27.11: Algorithm - processTransitionPoint - nextUpper/LowerStrikes are 1.515/0 requiredDeltas/currentPosition/currentHedgeShortfall/direction/transitionPrice are -200/101/-301/-1/1.51475</t>
  </si>
  <si>
    <t>2015-1-20 19:21:27.11: TransitionLogger - processTransitionpoint - checking transition - currentHedgeShortfall is -301</t>
  </si>
  <si>
    <t>2015-1-20 19:21:27.12: Algorithm - handleTransition - currentHedgeShortfall is NOT ZERO and AUTOHEDGE IS NOT ENABLED!</t>
  </si>
  <si>
    <t>2015-1-20 19:21:27.12: Algorithm - updatePortfolio - haveAllDetails is True</t>
  </si>
  <si>
    <t>2015-1-20 19:21:27.13: RTWSControl - updatePortfolioEx - An Error Occured Object variable or With block variable not set</t>
  </si>
  <si>
    <t>2015-1-20 19:21:27.64: Algorithm - FindNextStrikes - price is 1.51485 nextStrikeUp/Down 1.515/0</t>
  </si>
  <si>
    <t>2015-1-20 19:21:27.65: Algorithm - getPortfolioForwardDelta - required deltas is -200 currentHedgePosition is 101</t>
  </si>
  <si>
    <t>2015-1-20 19:21:27.65: Algorithm - getHedgeShortfall - required deltas is -200 price is 1.51475 currentHedgePositionDeltas is 101</t>
  </si>
  <si>
    <t>2015-1-20 19:21:27.66: Algorithm - processTransitionPoint - nextUpper/LowerStrikes are 1.515/0 requiredDeltas/currentPosition/currentHedgeShortfall/direction/transitionPrice are -200/101/-301/-1/1.51475</t>
  </si>
  <si>
    <t>2015-1-20 19:21:27.66: TransitionLogger - processTransitionpoint - checking transition - currentHedgeShortfall is -301</t>
  </si>
  <si>
    <t>2015-1-20 19:21:27.66: Algorithm - handleTransition - currentHedgeShortfall is NOT ZERO and AUTOHEDGE IS NOT ENABLED!</t>
  </si>
  <si>
    <t>2015-1-20 19:21:27.67: Algorithm - updatePortfolio - haveAllDetails is True</t>
  </si>
  <si>
    <t>2015-1-20 19:21:27.68: RTWSControl - updatePortfolioEx - An Error Occured Object variable or With block variable not set</t>
  </si>
  <si>
    <t>2015-1-20 19:21:27.132: Algorithm - FindNextStrikes - price is 1.51485 nextStrikeUp/Down 1.515/0</t>
  </si>
  <si>
    <t>2015-1-20 19:21:27.132: Algorithm - getPortfolioForwardDelta - required deltas is -200 currentHedgePosition is 101</t>
  </si>
  <si>
    <t>2015-1-20 19:21:27.133: Algorithm - getHedgeShortfall - required deltas is -200 price is 1.51475 currentHedgePositionDeltas is 101</t>
  </si>
  <si>
    <t>2015-1-20 19:21:27.133: Algorithm - processTransitionPoint - nextUpper/LowerStrikes are 1.515/0 requiredDeltas/currentPosition/currentHedgeShortfall/direction/transitionPrice are -200/101/-301/-1/1.51475</t>
  </si>
  <si>
    <t>2015-1-20 19:21:27.134: TransitionLogger - processTransitionpoint - checking transition - currentHedgeShortfall is -301</t>
  </si>
  <si>
    <t>2015-1-20 19:21:27.134: Algorithm - handleTransition - currentHedgeShortfall is NOT ZERO and AUTOHEDGE IS NOT ENABLED!</t>
  </si>
  <si>
    <t>2015-1-20 19:21:27.135: Algorithm - updatePortfolio - haveAllDetails is True</t>
  </si>
  <si>
    <t>2015-1-20 19:21:27.136: RTWSControl - updatePortfolioEx - An Error Occured Object variable or With block variable not set</t>
  </si>
  <si>
    <t>2015-1-20 19:21:27.190: Algorithm - FindNextStrikes - price is 1.51485 nextStrikeUp/Down 1.515/0</t>
  </si>
  <si>
    <t>2015-1-20 19:21:27.191: Algorithm - getPortfolioForwardDelta - required deltas is -200 currentHedgePosition is 101</t>
  </si>
  <si>
    <t>2015-1-20 19:21:27.191: Algorithm - getHedgeShortfall - required deltas is -200 price is 1.51475 currentHedgePositionDeltas is 101</t>
  </si>
  <si>
    <t>2015-1-20 19:21:27.192: Algorithm - processTransitionPoint - nextUpper/LowerStrikes are 1.515/0 requiredDeltas/currentPosition/currentHedgeShortfall/direction/transitionPrice are -200/101/-301/-1/1.51475</t>
  </si>
  <si>
    <t>2015-1-20 19:21:27.192: TransitionLogger - processTransitionpoint - checking transition - currentHedgeShortfall is -301</t>
  </si>
  <si>
    <t>2015-1-20 19:21:27.193: Algorithm - handleTransition - currentHedgeShortfall is NOT ZERO and AUTOHEDGE IS NOT ENABLED!</t>
  </si>
  <si>
    <t>2015-1-20 19:21:27.193: Algorithm - updatePortfolio - haveAllDetails is True</t>
  </si>
  <si>
    <t>2015-1-20 19:21:27.194: RTWSControl - updatePortfolioEx - An Error Occured Object variable or With block variable not set</t>
  </si>
  <si>
    <t>2015-1-20 19:21:27.846: DirectionIndicator - notify - price/longMA/ShortMA/prevDirection are 1.5149/1.51488924436066/1.51488832443684/-1</t>
  </si>
  <si>
    <t>2015-1-20 19:21:27.846: Algorithm - handleTransition - currentHedgeShortfall is NOT ZERO and AUTOHEDGE IS NOT ENABLED!</t>
  </si>
  <si>
    <t>2015-1-20 19:21:29.70: TransitionLogger - flushFile - flushing file</t>
  </si>
  <si>
    <t>2015-1-20 19:21:29.71: TransitionLogger - openTransitionFile - opening file C:\temp\transitionlog_2015-01-20_153021</t>
  </si>
  <si>
    <t>2015-1-20 19:21:29.112: DirectionIndicator - notify - price/longMA/ShortMA/prevDirection are 1.51485/1.51488210902236/1.51487554962456/-1</t>
  </si>
  <si>
    <t>2015-1-20 19:21:29.115: Algorithm - handleTransition - currentHedgeShortfall is NOT ZERO and AUTOHEDGE IS NOT ENABLED!</t>
  </si>
  <si>
    <t>2015-1-20 19:21:30.585: DirectionIndicator - notify - price/longMA/ShortMA/prevDirection are 1.5149/1.51488536192738/1.51488369974971/-1</t>
  </si>
  <si>
    <t>2015-1-20 19:21:30.587: Algorithm - handleTransition - currentHedgeShortfall is NOT ZERO and AUTOHEDGE IS NOT ENABLED!</t>
  </si>
  <si>
    <t>2015-1-20 19:21:35.296: DirectionIndicator - notify - price/longMA/ShortMA/prevDirection are 1.51485/1.51487893248604/1.5148724664998/-1</t>
  </si>
  <si>
    <t>2015-1-20 19:21:35.298: Algorithm - handleTransition - currentHedgeShortfall is NOT ZERO and AUTOHEDGE IS NOT ENABLED!</t>
  </si>
  <si>
    <t>2015-1-20 19:21:40.4: DirectionIndicator - notify - price/longMA/ShortMA/prevDirection are 1.5148/1.51486458112494/1.51484831099987/-1</t>
  </si>
  <si>
    <t>2015-1-20 19:21:40.5: Algorithm - handleTransition - currentHedgeShortfall is NOT ZERO and AUTOHEDGE IS NOT ENABLED!</t>
  </si>
  <si>
    <t>2015-1-20 19:21:41.597: DirectionIndicator - notify - price/longMA/ShortMA/prevDirection are 1.51485/1.51486193001132/1.51484887399991/-1</t>
  </si>
  <si>
    <t>2015-1-20 19:21:41.599: Algorithm - handleTransition - currentHedgeShortfall is NOT ZERO and AUTOHEDGE IS NOT ENABLED!</t>
  </si>
  <si>
    <t>2015-1-20 19:22:8.53: TransitionLogger - flushFile - flushing file</t>
  </si>
  <si>
    <t>2015-1-20 19:22:8.54: TransitionLogger - openTransitionFile - opening file C:\temp\transitionlog_2015-01-20_153021</t>
  </si>
  <si>
    <t>2015-1-20 19:22:21.381: DirectionIndicator - notify - price/longMA/ShortMA/prevDirection are 1.5148/1.51485067000926/1.51483258266661/-1</t>
  </si>
  <si>
    <t>2015-1-20 19:22:21.382: Algorithm - handleTransition - currentHedgeShortfall is NOT ZERO and AUTOHEDGE IS NOT ENABLED!</t>
  </si>
  <si>
    <t>2015-1-20 19:22:21.788: DirectionIndicator - notify - price/longMA/ShortMA/prevDirection are 1.51475/1.51483236637121/1.51480505511107/-1</t>
  </si>
  <si>
    <t>2015-1-20 19:22:21.790: Algorithm - handleTransition - currentHedgeShortfall is NOT ZERO and AUTOHEDGE IS NOT ENABLED!</t>
  </si>
  <si>
    <t>2015-1-20 19:22:25.560: DirectionIndicator - notify - price/longMA/ShortMA/prevDirection are 1.5148/1.51482648157645/1.51480337007405/-1</t>
  </si>
  <si>
    <t>2015-1-20 19:22:25.561: Algorithm - handleTransition - currentHedgeShortfall is NOT ZERO and AUTOHEDGE IS NOT ENABLED!</t>
  </si>
  <si>
    <t>2015-1-20 19:22:25.629: DirectionIndicator - notify - price/longMA/ShortMA/prevDirection are 1.51485/1.51483075765346/1.5148189133827/-1</t>
  </si>
  <si>
    <t>2015-1-20 19:22:25.630: Algorithm - handleTransition - currentHedgeShortfall is NOT ZERO and AUTOHEDGE IS NOT ENABLED!</t>
  </si>
  <si>
    <t>2015-1-20 19:22:29.745: TransitionLogger - flushFile - flushing file</t>
  </si>
  <si>
    <t>2015-1-20 19:22:29.746: TransitionLogger - openTransitionFile - opening file C:\temp\transitionlog_2015-01-20_153021</t>
  </si>
  <si>
    <t>2015-1-20 19:23:6.181: DirectionIndicator - notify - price/longMA/ShortMA/prevDirection are 1.5149/1.51484334717101/1.51484594225513/-1</t>
  </si>
  <si>
    <t>2015-1-20 19:23:6.182: Algorithm - handleTransition - currentHedgeShortfall is NOT ZERO and AUTOHEDGE IS NOT ENABLED!</t>
  </si>
  <si>
    <t>2015-1-20 19:23:6.261: DirectionIndicator - notify - price/longMA/ShortMA/prevDirection are 1.51495/1.51486273859446/1.51488062817009/-1</t>
  </si>
  <si>
    <t>2015-1-20 19:23:6.262: Algorithm - handleTransition - currentHedgeShortfall is NOT ZERO and AUTOHEDGE IS NOT ENABLED!</t>
  </si>
  <si>
    <t>2015-1-20 19:23:8.142: TransitionLogger - flushFile - flushing file</t>
  </si>
  <si>
    <t>2015-1-20 19:23:8.144: TransitionLogger - openTransitionFile - opening file C:\temp\transitionlog_2015-01-20_153021</t>
  </si>
  <si>
    <t>2015-1-20 19:23:29.650: TransitionLogger - flushFile - flushing file</t>
  </si>
  <si>
    <t>2015-1-20 19:23:29.651: TransitionLogger - openTransitionFile - opening file C:\temp\transitionlog_2015-01-20_153021</t>
  </si>
  <si>
    <t>2015-1-20 19:23:49.182: DirectionIndicator - notify - price/longMA/ShortMA/prevDirection are 1.5149/1.51486951339547/1.51488708544673/-1</t>
  </si>
  <si>
    <t>2015-1-20 19:23:49.183: Algorithm - handleTransition - currentHedgeShortfall is NOT ZERO and AUTOHEDGE IS NOT ENABLED!</t>
  </si>
  <si>
    <t>2015-1-20 19:23:49.252: DirectionIndicator - notify - price/longMA/ShortMA/prevDirection are 1.51485/1.51486596550538/1.51487472363115/-1</t>
  </si>
  <si>
    <t>2015-1-20 19:23:49.253: Algorithm - handleTransition - currentHedgeShortfall is NOT ZERO and AUTOHEDGE IS NOT ENABLED!</t>
  </si>
  <si>
    <t>2015-1-20 19:24:6.157: DirectionIndicator - notify - price/longMA/ShortMA/prevDirection are 1.5149/1.51487215359531/1.51488314908743/-1</t>
  </si>
  <si>
    <t>2015-1-20 19:24:6.159: Algorithm - handleTransition - currentHedgeShortfall is NOT ZERO and AUTOHEDGE IS NOT ENABLED!</t>
  </si>
  <si>
    <t>2015-1-20 19:24:7.494: DirectionIndicator - notify - price/longMA/ShortMA/prevDirection are 1.51495/1.51488630748708/1.51490543272496/-1</t>
  </si>
  <si>
    <t>2015-1-20 19:24:7.496: Algorithm - handleTransition - currentHedgeShortfall is NOT ZERO and AUTOHEDGE IS NOT ENABLED!</t>
  </si>
  <si>
    <t>2015-1-20 19:24:8.107: TransitionLogger - flushFile - flushing file</t>
  </si>
  <si>
    <t>2015-1-20 19:24:8.109: TransitionLogger - openTransitionFile - opening file C:\temp\transitionlog_2015-01-20_153021</t>
  </si>
  <si>
    <t>2015-1-20 19:24:17.895: DirectionIndicator - notify - price/longMA/ShortMA/prevDirection are 1.5149/1.51488879703488/1.51490362181664/-1</t>
  </si>
  <si>
    <t>2015-1-20 19:24:17.896: Algorithm - handleTransition - currentHedgeShortfall is NOT ZERO and AUTOHEDGE IS NOT ENABLED!</t>
  </si>
  <si>
    <t>2015-1-20 19:24:18.12: DirectionIndicator - notify - price/longMA/ShortMA/prevDirection are 1.51485/1.51488174302854/1.51488574787776/-1</t>
  </si>
  <si>
    <t>2015-1-20 19:24:18.12: Algorithm - handleTransition - currentHedgeShortfall is NOT ZERO and AUTOHEDGE IS NOT ENABLED!</t>
  </si>
  <si>
    <t>2015-1-20 19:24:18.512: DirectionIndicator - notify - price/longMA/ShortMA/prevDirection are 1.5149/1.51488506247789/1.51489049858517/-1</t>
  </si>
  <si>
    <t>2015-1-20 19:24:18.513: Algorithm - handleTransition - currentHedgeShortfall is NOT ZERO and AUTOHEDGE IS NOT ENABLED!</t>
  </si>
  <si>
    <t>2015-1-20 19:24:27.174: Algorithm - FindNextStrikes - price is 1.5149 nextStrikeUp/Down 1.515/0</t>
  </si>
  <si>
    <t>2015-1-20 19:24:27.175: Algorithm - getPortfolioForwardDelta - required deltas is -200 currentHedgePosition is 101</t>
  </si>
  <si>
    <t>2015-1-20 19:24:27.175: Algorithm - getHedgeShortfall - required deltas is -200 price is 1.5148 currentHedgePositionDeltas is 101</t>
  </si>
  <si>
    <t>2015-1-20 19:24:27.176: Algorithm - processTransitionPoint - nextUpper/LowerStrikes are 1.515/0 requiredDeltas/currentPosition/currentHedgeShortfall/direction/transitionPrice are -200/101/-301/-1/1.5148</t>
  </si>
  <si>
    <t>2015-1-20 19:24:27.176: TransitionLogger - processTransitionpoint - checking transition - currentHedgeShortfall is -301</t>
  </si>
  <si>
    <t>2015-1-20 19:24:27.177: Algorithm - handleTransition - currentHedgeShortfall is NOT ZERO and AUTOHEDGE IS NOT ENABLED!</t>
  </si>
  <si>
    <t>2015-1-20 19:24:27.177: Algorithm - updatePortfolio - haveAllDetails is True</t>
  </si>
  <si>
    <t>2015-1-20 19:24:27.178: RTWSControl - updatePortfolioEx - An Error Occured Object variable or With block variable not set</t>
  </si>
  <si>
    <t>2015-1-20 19:24:27.224: Algorithm - FindNextStrikes - price is 1.5149 nextStrikeUp/Down 1.515/0</t>
  </si>
  <si>
    <t>2015-1-20 19:24:27.225: Algorithm - getPortfolioForwardDelta - required deltas is -200 currentHedgePosition is 101</t>
  </si>
  <si>
    <t>2015-1-20 19:24:27.225: Algorithm - getHedgeShortfall - required deltas is -200 price is 1.5148 currentHedgePositionDeltas is 101</t>
  </si>
  <si>
    <t>2015-1-20 19:24:27.225: Algorithm - processTransitionPoint - nextUpper/LowerStrikes are 1.515/0 requiredDeltas/currentPosition/currentHedgeShortfall/direction/transitionPrice are -200/101/-301/-1/1.5148</t>
  </si>
  <si>
    <t>2015-1-20 19:24:27.226: TransitionLogger - processTransitionpoint - checking transition - currentHedgeShortfall is -301</t>
  </si>
  <si>
    <t>2015-1-20 19:24:27.226: Algorithm - handleTransition - currentHedgeShortfall is NOT ZERO and AUTOHEDGE IS NOT ENABLED!</t>
  </si>
  <si>
    <t>2015-1-20 19:24:27.227: Algorithm - updatePortfolio - haveAllDetails is True</t>
  </si>
  <si>
    <t>2015-1-20 19:24:27.228: RTWSControl - updatePortfolioEx - An Error Occured Object variable or With block variable not set</t>
  </si>
  <si>
    <t>2015-1-20 19:24:29.548: TransitionLogger - flushFile - flushing file</t>
  </si>
  <si>
    <t>2015-1-20 19:24:29.549: TransitionLogger - openTransitionFile - opening file C:\temp\transitionlog_2015-01-20_153021</t>
  </si>
  <si>
    <t>2015-1-20 19:24:39.320: DirectionIndicator - notify - price/longMA/ShortMA/prevDirection are 1.51485/1.51487868748191/1.51487699905678/-1</t>
  </si>
  <si>
    <t>2015-1-20 19:24:39.322: Algorithm - handleTransition - currentHedgeShortfall is NOT ZERO and AUTOHEDGE IS NOT ENABLED!</t>
  </si>
  <si>
    <t>2015-1-20 19:24:40.628: DirectionIndicator - notify - price/longMA/ShortMA/prevDirection are 1.5149/1.5148825624852/1.51488466603785/-1</t>
  </si>
  <si>
    <t>2015-1-20 19:24:40.630: Algorithm - handleTransition - currentHedgeShortfall is NOT ZERO and AUTOHEDGE IS NOT ENABLED!</t>
  </si>
  <si>
    <t>2015-1-20 19:24:43.477: Algorithm - FindNextStrikes - price is 1.5149 nextStrikeUp/Down 1.515/0</t>
  </si>
  <si>
    <t>2015-1-20 19:24:43.477: Algorithm - getPortfolioForwardDelta - required deltas is -200 currentHedgePosition is 101</t>
  </si>
  <si>
    <t>2015-1-20 19:24:43.478: Algorithm - getHedgeShortfall - required deltas is -200 price is 1.5148 currentHedgePositionDeltas is 101</t>
  </si>
  <si>
    <t>2015-1-20 19:24:43.478: Algorithm - processTransitionPoint - nextUpper/LowerStrikes are 1.515/0 requiredDeltas/currentPosition/currentHedgeShortfall/direction/transitionPrice are -200/101/-301/-1/1.5148</t>
  </si>
  <si>
    <t>2015-1-20 19:24:43.479: TransitionLogger - processTransitionpoint - checking transition - currentHedgeShortfall is -301</t>
  </si>
  <si>
    <t>2015-1-20 19:24:43.479: Algorithm - handleTransition - currentHedgeShortfall is NOT ZERO and AUTOHEDGE IS NOT ENABLED!</t>
  </si>
  <si>
    <t>2015-1-20 19:24:43.480: Algorithm - updatePortfolio - haveAllDetails is True</t>
  </si>
  <si>
    <t>2015-1-20 19:24:43.481: RTWSControl - updatePortfolioEx - An Error Occured Object variable or With block variable not set</t>
  </si>
  <si>
    <t>2015-1-20 19:24:43.522: Algorithm - FindNextStrikes - price is 1.5149 nextStrikeUp/Down 1.515/0</t>
  </si>
  <si>
    <t>2015-1-20 19:24:43.523: Algorithm - getPortfolioForwardDelta - required deltas is -200 currentHedgePosition is 101</t>
  </si>
  <si>
    <t>2015-1-20 19:24:43.523: Algorithm - getHedgeShortfall - required deltas is -200 price is 1.5148 currentHedgePositionDeltas is 101</t>
  </si>
  <si>
    <t>2015-1-20 19:24:43.524: Algorithm - processTransitionPoint - nextUpper/LowerStrikes are 1.515/0 requiredDeltas/currentPosition/currentHedgeShortfall/direction/transitionPrice are -200/101/-301/-1/1.5148</t>
  </si>
  <si>
    <t>2015-1-20 19:24:43.524: TransitionLogger - processTransitionpoint - checking transition - currentHedgeShortfall is -301</t>
  </si>
  <si>
    <t>2015-1-20 19:24:43.525: Algorithm - handleTransition - currentHedgeShortfall is NOT ZERO and AUTOHEDGE IS NOT ENABLED!</t>
  </si>
  <si>
    <t>2015-1-20 19:24:43.526: Algorithm - updatePortfolio - haveAllDetails is True</t>
  </si>
  <si>
    <t>2015-1-20 19:24:43.527: RTWSControl - updatePortfolioEx - An Error Occured Object variable or With block variable not set</t>
  </si>
  <si>
    <t>2015-1-20 19:24:43.595: Algorithm - FindNextStrikes - price is 1.5149 nextStrikeUp/Down 1.515/0</t>
  </si>
  <si>
    <t>2015-1-20 19:24:43.595: Algorithm - getPortfolioForwardDelta - required deltas is -200 currentHedgePosition is 101</t>
  </si>
  <si>
    <t>2015-1-20 19:24:43.596: Algorithm - getHedgeShortfall - required deltas is -200 price is 1.5148 currentHedgePositionDeltas is 101</t>
  </si>
  <si>
    <t>2015-1-20 19:24:43.596: Algorithm - processTransitionPoint - nextUpper/LowerStrikes are 1.515/0 requiredDeltas/currentPosition/currentHedgeShortfall/direction/transitionPrice are -200/101/-301/-1/1.5148</t>
  </si>
  <si>
    <t>2015-1-20 19:24:43.597: TransitionLogger - processTransitionpoint - checking transition - currentHedgeShortfall is -301</t>
  </si>
  <si>
    <t>2015-1-20 19:24:43.597: Algorithm - handleTransition - currentHedgeShortfall is NOT ZERO and AUTOHEDGE IS NOT ENABLED!</t>
  </si>
  <si>
    <t>2015-1-20 19:24:43.598: Algorithm - updatePortfolio - haveAllDetails is True</t>
  </si>
  <si>
    <t>2015-1-20 19:24:43.599: RTWSControl - updatePortfolioEx - An Error Occured Object variable or With block variable not set</t>
  </si>
  <si>
    <t>2015-1-20 19:24:43.662: Algorithm - FindNextStrikes - price is 1.5149 nextStrikeUp/Down 1.515/0</t>
  </si>
  <si>
    <t>2015-1-20 19:24:43.663: Algorithm - getPortfolioForwardDelta - required deltas is -200 currentHedgePosition is 101</t>
  </si>
  <si>
    <t>2015-1-20 19:24:43.663: Algorithm - getHedgeShortfall - required deltas is -200 price is 1.5148 currentHedgePositionDeltas is 101</t>
  </si>
  <si>
    <t>2015-1-20 19:24:43.663: Algorithm - processTransitionPoint - nextUpper/LowerStrikes are 1.515/0 requiredDeltas/currentPosition/currentHedgeShortfall/direction/transitionPrice are -200/101/-301/-1/1.5148</t>
  </si>
  <si>
    <t>2015-1-20 19:24:43.664: TransitionLogger - processTransitionpoint - checking transition - currentHedgeShortfall is -301</t>
  </si>
  <si>
    <t>2015-1-20 19:24:43.664: Algorithm - handleTransition - currentHedgeShortfall is NOT ZERO and AUTOHEDGE IS NOT ENABLED!</t>
  </si>
  <si>
    <t>2015-1-20 19:24:43.665: Algorithm - updatePortfolio - haveAllDetails is True</t>
  </si>
  <si>
    <t>2015-1-20 19:24:43.666: RTWSControl - updatePortfolioEx - An Error Occured Object variable or With block variable not set</t>
  </si>
  <si>
    <t>2015-1-20 19:24:43.700: Algorithm - FindNextStrikes - price is 1.5149 nextStrikeUp/Down 1.515/0</t>
  </si>
  <si>
    <t>2015-1-20 19:24:43.701: Algorithm - getPortfolioForwardDelta - required deltas is -200 currentHedgePosition is 101</t>
  </si>
  <si>
    <t>2015-1-20 19:24:43.701: Algorithm - getHedgeShortfall - required deltas is -200 price is 1.5148 currentHedgePositionDeltas is 101</t>
  </si>
  <si>
    <t>2015-1-20 19:24:43.701: Algorithm - processTransitionPoint - nextUpper/LowerStrikes are 1.515/0 requiredDeltas/currentPosition/currentHedgeShortfall/direction/transitionPrice are -200/101/-301/-1/1.5148</t>
  </si>
  <si>
    <t>2015-1-20 19:24:43.702: TransitionLogger - processTransitionpoint - checking transition - currentHedgeShortfall is -301</t>
  </si>
  <si>
    <t>2015-1-20 19:24:43.702: Algorithm - handleTransition - currentHedgeShortfall is NOT ZERO and AUTOHEDGE IS NOT ENABLED!</t>
  </si>
  <si>
    <t>2015-1-20 19:24:43.703: Algorithm - updatePortfolio - haveAllDetails is True</t>
  </si>
  <si>
    <t>2015-1-20 19:24:43.704: RTWSControl - updatePortfolioEx - An Error Occured Object variable or With block variable not set</t>
  </si>
  <si>
    <t>2015-1-20 19:24:43.769: Algorithm - FindNextStrikes - price is 1.5149 nextStrikeUp/Down 1.515/0</t>
  </si>
  <si>
    <t>2015-1-20 19:24:43.769: Algorithm - getPortfolioForwardDelta - required deltas is -200 currentHedgePosition is 101</t>
  </si>
  <si>
    <t>2015-1-20 19:24:43.769: Algorithm - getHedgeShortfall - required deltas is -200 price is 1.5148 currentHedgePositionDeltas is 101</t>
  </si>
  <si>
    <t>2015-1-20 19:24:43.770: Algorithm - processTransitionPoint - nextUpper/LowerStrikes are 1.515/0 requiredDeltas/currentPosition/currentHedgeShortfall/direction/transitionPrice are -200/101/-301/-1/1.5148</t>
  </si>
  <si>
    <t>2015-1-20 19:24:43.770: TransitionLogger - processTransitionpoint - checking transition - currentHedgeShortfall is -301</t>
  </si>
  <si>
    <t>2015-1-20 19:24:43.771: Algorithm - handleTransition - currentHedgeShortfall is NOT ZERO and AUTOHEDGE IS NOT ENABLED!</t>
  </si>
  <si>
    <t>2015-1-20 19:24:43.771: Algorithm - updatePortfolio - haveAllDetails is True</t>
  </si>
  <si>
    <t>2015-1-20 19:24:43.772: RTWSControl - updatePortfolioEx - An Error Occured Object variable or With block variable not set</t>
  </si>
  <si>
    <t>2015-1-20 19:24:44.54: Instrument - Update Market Data - got bad bid price 1.5149</t>
  </si>
  <si>
    <t>2015-1-20 19:24:44.55: DirectionIndicator - notify - price/longMA/ShortMA/prevDirection are 1.5149/1.51488573294244/1.51488977735857/-1</t>
  </si>
  <si>
    <t>2015-1-20 19:24:44.55: Algorithm - handleTransition - currentHedgeShortfall is NOT ZERO and AUTOHEDGE IS NOT ENABLED!</t>
  </si>
  <si>
    <t>2015-1-20 19:24:44.133: Instrument - Update Market Data - got bad ask price 1.5151</t>
  </si>
  <si>
    <t>2015-1-20 19:24:44.134: DirectionIndicator - notify - price/longMA/ShortMA/prevDirection are 1.5149/1.5148883269529/1.51489318490571/-1</t>
  </si>
  <si>
    <t>2015-1-20 19:24:44.134: Algorithm - handleTransition - currentHedgeShortfall is NOT ZERO and AUTOHEDGE IS NOT ENABLED!</t>
  </si>
  <si>
    <t>2015-1-20 19:24:44.638: Instrument - Update Market Data - got bad bid price 1.515</t>
  </si>
  <si>
    <t>2015-1-20 19:24:44.638: DirectionIndicator - notify - price/longMA/ShortMA/prevDirection are 1.5149/1.5148904493251/1.51489545660381/-1</t>
  </si>
  <si>
    <t>2015-1-20 19:24:44.639: Algorithm - handleTransition - currentHedgeShortfall is NOT ZERO and AUTOHEDGE IS NOT ENABLED!</t>
  </si>
  <si>
    <t>2015-1-20 19:24:55.609: Instrument - Update Market Data - got bad bid price 1.5151</t>
  </si>
  <si>
    <t>2015-1-20 19:24:55.610: DirectionIndicator - notify - price/longMA/ShortMA/prevDirection are 1.5149/1.51489218581145/1.51489697106921/-1</t>
  </si>
  <si>
    <t>2015-1-20 19:24:55.611: Algorithm - handleTransition - currentHedgeShortfall is NOT ZERO and AUTOHEDGE IS NOT ENABLED!</t>
  </si>
  <si>
    <t>2015-1-20 19:24:55.677: Instrument - Update Market Data - got bad ask price 1.5152</t>
  </si>
  <si>
    <t>2015-1-20 19:24:55.677: DirectionIndicator - notify - price/longMA/ShortMA/prevDirection are 1.5149/1.514893606573/1.5148979807128/-1</t>
  </si>
  <si>
    <t>2015-1-20 19:24:55.678: Algorithm - handleTransition - currentHedgeShortfall is NOT ZERO and AUTOHEDGE IS NOT ENABLED!</t>
  </si>
  <si>
    <t>2015-1-20 19:25:5.395: Algorithm - FindNextStrikes - price is 1.5149 nextStrikeUp/Down 1.515/0</t>
  </si>
  <si>
    <t>2015-1-20 19:25:5.396: Algorithm - getPortfolioForwardDelta - required deltas is -200 currentHedgePosition is 101</t>
  </si>
  <si>
    <t>2015-1-20 19:25:5.396: Algorithm - getHedgeShortfall - required deltas is -200 price is 1.5148 currentHedgePositionDeltas is 101</t>
  </si>
  <si>
    <t>2015-1-20 19:25:5.397: Algorithm - processTransitionPoint - nextUpper/LowerStrikes are 1.515/0 requiredDeltas/currentPosition/currentHedgeShortfall/direction/transitionPrice are -200/101/-301/-1/1.5148</t>
  </si>
  <si>
    <t>2015-1-20 19:25:5.397: TransitionLogger - processTransitionpoint - checking transition - currentHedgeShortfall is -301</t>
  </si>
  <si>
    <t>2015-1-20 19:25:5.397: Algorithm - handleTransition - currentHedgeShortfall is NOT ZERO and AUTOHEDGE IS NOT ENABLED!</t>
  </si>
  <si>
    <t>2015-1-20 19:25:5.398: Algorithm - updatePortfolio - haveAllDetails is True</t>
  </si>
  <si>
    <t>2015-1-20 19:25:5.399: RTWSControl - updatePortfolioEx - An Error Occured Object variable or With block variable not set</t>
  </si>
  <si>
    <t>2015-1-20 19:25:8.344: TransitionLogger - flushFile - flushing file</t>
  </si>
  <si>
    <t>2015-1-20 19:25:8.345: TransitionLogger - openTransitionFile - opening file C:\temp\transitionlog_2015-01-20_153021</t>
  </si>
  <si>
    <t>2015-1-20 19:25:16.475: Algorithm - FindNextStrikes - price is 1.5149 nextStrikeUp/Down 1.515/0</t>
  </si>
  <si>
    <t>2015-1-20 19:25:16.475: Algorithm - getPortfolioForwardDelta - required deltas is -200 currentHedgePosition is 101</t>
  </si>
  <si>
    <t>2015-1-20 19:25:16.475: Algorithm - getHedgeShortfall - required deltas is -200 price is 1.5148 currentHedgePositionDeltas is 101</t>
  </si>
  <si>
    <t>2015-1-20 19:25:16.476: Algorithm - processTransitionPoint - nextUpper/LowerStrikes are 1.515/0 requiredDeltas/currentPosition/currentHedgeShortfall/direction/transitionPrice are -200/101/-301/-1/1.5148</t>
  </si>
  <si>
    <t>2015-1-20 19:25:16.476: TransitionLogger - processTransitionpoint - checking transition - currentHedgeShortfall is -301</t>
  </si>
  <si>
    <t>2015-1-20 19:25:16.477: Algorithm - handleTransition - currentHedgeShortfall is NOT ZERO and AUTOHEDGE IS NOT ENABLED!</t>
  </si>
  <si>
    <t>2015-1-20 19:25:16.478: Algorithm - updatePortfolio - haveAllDetails is True</t>
  </si>
  <si>
    <t>2015-1-20 19:25:16.479: RTWSControl - updatePortfolioEx - An Error Occured Object variable or With block variable not set</t>
  </si>
  <si>
    <t>2015-1-20 19:25:16.522: Algorithm - FindNextStrikes - price is 1.5149 nextStrikeUp/Down 1.515/0</t>
  </si>
  <si>
    <t>2015-1-20 19:25:16.522: Algorithm - getPortfolioForwardDelta - required deltas is -200 currentHedgePosition is 101</t>
  </si>
  <si>
    <t>2015-1-20 19:25:16.522: Algorithm - getHedgeShortfall - required deltas is -200 price is 1.5148 currentHedgePositionDeltas is 101</t>
  </si>
  <si>
    <t>2015-1-20 19:25:16.523: Algorithm - processTransitionPoint - nextUpper/LowerStrikes are 1.515/0 requiredDeltas/currentPosition/currentHedgeShortfall/direction/transitionPrice are -200/101/-301/-1/1.5148</t>
  </si>
  <si>
    <t>2015-1-20 19:25:16.523: TransitionLogger - processTransitionpoint - checking transition - currentHedgeShortfall is -301</t>
  </si>
  <si>
    <t>2015-1-20 19:25:16.524: Algorithm - handleTransition - currentHedgeShortfall is NOT ZERO and AUTOHEDGE IS NOT ENABLED!</t>
  </si>
  <si>
    <t>2015-1-20 19:25:16.525: Algorithm - updatePortfolio - haveAllDetails is True</t>
  </si>
  <si>
    <t>2015-1-20 19:25:16.526: RTWSControl - updatePortfolioEx - An Error Occured Object variable or With block variable not set</t>
  </si>
  <si>
    <t>2015-1-20 19:25:16.568: Algorithm - FindNextStrikes - price is 1.5149 nextStrikeUp/Down 1.515/0</t>
  </si>
  <si>
    <t>2015-1-20 19:25:16.569: Algorithm - getPortfolioForwardDelta - required deltas is -200 currentHedgePosition is 101</t>
  </si>
  <si>
    <t>2015-1-20 19:25:16.569: Algorithm - getHedgeShortfall - required deltas is -200 price is 1.5148 currentHedgePositionDeltas is 101</t>
  </si>
  <si>
    <t>2015-1-20 19:25:16.569: Algorithm - processTransitionPoint - nextUpper/LowerStrikes are 1.515/0 requiredDeltas/currentPosition/currentHedgeShortfall/direction/transitionPrice are -200/101/-301/-1/1.5148</t>
  </si>
  <si>
    <t>2015-1-20 19:25:16.570: TransitionLogger - processTransitionpoint - checking transition - currentHedgeShortfall is -301</t>
  </si>
  <si>
    <t>2015-1-20 19:25:16.570: Algorithm - handleTransition - currentHedgeShortfall is NOT ZERO and AUTOHEDGE IS NOT ENABLED!</t>
  </si>
  <si>
    <t>2015-1-20 19:25:16.571: Algorithm - updatePortfolio - haveAllDetails is True</t>
  </si>
  <si>
    <t>2015-1-20 19:25:16.572: RTWSControl - updatePortfolioEx - An Error Occured Object variable or With block variable not set</t>
  </si>
  <si>
    <t>2015-1-20 19:25:16.644: Algorithm - FindNextStrikes - price is 1.5149 nextStrikeUp/Down 1.515/0</t>
  </si>
  <si>
    <t>2015-1-20 19:25:16.644: Algorithm - getPortfolioForwardDelta - required deltas is -200 currentHedgePosition is 101</t>
  </si>
  <si>
    <t>2015-1-20 19:25:16.645: Algorithm - getHedgeShortfall - required deltas is -200 price is 1.5148 currentHedgePositionDeltas is 101</t>
  </si>
  <si>
    <t>2015-1-20 19:25:16.645: Algorithm - processTransitionPoint - nextUpper/LowerStrikes are 1.515/0 requiredDeltas/currentPosition/currentHedgeShortfall/direction/transitionPrice are -200/101/-301/-1/1.5148</t>
  </si>
  <si>
    <t>2015-1-20 19:25:16.646: TransitionLogger - processTransitionpoint - checking transition - currentHedgeShortfall is -301</t>
  </si>
  <si>
    <t>2015-1-20 19:25:16.646: Algorithm - handleTransition - currentHedgeShortfall is NOT ZERO and AUTOHEDGE IS NOT ENABLED!</t>
  </si>
  <si>
    <t>2015-1-20 19:25:16.647: Algorithm - updatePortfolio - haveAllDetails is True</t>
  </si>
  <si>
    <t>2015-1-20 19:25:16.648: RTWSControl - updatePortfolioEx - An Error Occured Object variable or With block variable not set</t>
  </si>
  <si>
    <t>2015-1-20 19:25:16.703: Algorithm - FindNextStrikes - price is 1.5149 nextStrikeUp/Down 1.515/0</t>
  </si>
  <si>
    <t>2015-1-20 19:25:16.703: Algorithm - getPortfolioForwardDelta - required deltas is -200 currentHedgePosition is 101</t>
  </si>
  <si>
    <t>2015-1-20 19:25:16.704: Algorithm - getHedgeShortfall - required deltas is -200 price is 1.5148 currentHedgePositionDeltas is 101</t>
  </si>
  <si>
    <t>2015-1-20 19:25:16.704: Algorithm - processTransitionPoint - nextUpper/LowerStrikes are 1.515/0 requiredDeltas/currentPosition/currentHedgeShortfall/direction/transitionPrice are -200/101/-301/-1/1.5148</t>
  </si>
  <si>
    <t>2015-1-20 19:25:16.705: TransitionLogger - processTransitionpoint - checking transition - currentHedgeShortfall is -301</t>
  </si>
  <si>
    <t>2015-1-20 19:25:16.705: Algorithm - handleTransition - currentHedgeShortfall is NOT ZERO and AUTOHEDGE IS NOT ENABLED!</t>
  </si>
  <si>
    <t>2015-1-20 19:25:16.706: Algorithm - updatePortfolio - haveAllDetails is True</t>
  </si>
  <si>
    <t>2015-1-20 19:25:16.707: RTWSControl - updatePortfolioEx - An Error Occured Object variable or With block variable not set</t>
  </si>
  <si>
    <t>2015-1-20 19:25:16.770: Algorithm - FindNextStrikes - price is 1.5149 nextStrikeUp/Down 1.515/0</t>
  </si>
  <si>
    <t>2015-1-20 19:25:16.771: Algorithm - getPortfolioForwardDelta - required deltas is -200 currentHedgePosition is 101</t>
  </si>
  <si>
    <t>2015-1-20 19:25:16.771: Algorithm - getHedgeShortfall - required deltas is -200 price is 1.5148 currentHedgePositionDeltas is 101</t>
  </si>
  <si>
    <t>2015-1-20 19:25:16.771: Algorithm - processTransitionPoint - nextUpper/LowerStrikes are 1.515/0 requiredDeltas/currentPosition/currentHedgeShortfall/direction/transitionPrice are -200/101/-301/-1/1.5148</t>
  </si>
  <si>
    <t>2015-1-20 19:25:16.772: TransitionLogger - processTransitionpoint - checking transition - currentHedgeShortfall is -301</t>
  </si>
  <si>
    <t>2015-1-20 19:25:16.772: Algorithm - handleTransition - currentHedgeShortfall is NOT ZERO and AUTOHEDGE IS NOT ENABLED!</t>
  </si>
  <si>
    <t>2015-1-20 19:25:16.773: Algorithm - updatePortfolio - haveAllDetails is True</t>
  </si>
  <si>
    <t>2015-1-20 19:25:16.774: RTWSControl - updatePortfolioEx - An Error Occured Object variable or With block variable not set</t>
  </si>
  <si>
    <t>2015-1-20 19:25:29.453: TransitionLogger - flushFile - flushing file</t>
  </si>
  <si>
    <t>2015-1-20 19:25:29.454: TransitionLogger - openTransitionFile - opening file C:\temp\transitionlog_2015-01-20_153021</t>
  </si>
  <si>
    <t>2015-1-20 19:25:41.699: DirectionIndicator - notify - price/longMA/ShortMA/prevDirection are 1.5151/1.51493113265064/1.5149653204752/-1</t>
  </si>
  <si>
    <t>2015-1-20 19:25:41.701: Algorithm - FindNextStrikes - price is 1.5151 nextStrikeUp/Down 1.52/1.515</t>
  </si>
  <si>
    <t>2015-1-20 19:25:41.702: Algorithm - getPortfolioForwardDelta - required deltas is 100 currentHedgePosition is 101</t>
  </si>
  <si>
    <t>2015-1-20 19:25:41.704: Algorithm - getHedgeShortfall - required deltas is 100 price is 1.5152 currentHedgePositionDeltas is 101</t>
  </si>
  <si>
    <t>2015-1-20 19:25:41.706: Algorithm - processTransitionPoint - nextUpper/LowerStrikes are 1.52/1.515 requiredDeltas/currentPosition/currentHedgeShortfall/direction/transitionPrice are 100/101/-1/1/1.5152</t>
  </si>
  <si>
    <t>2015-1-20 19:25:41.707: TransitionLogger - processTransitionpoint - checking transition - currentHedgeShortfall is -1</t>
  </si>
  <si>
    <t>2015-1-20 19:25:41.709: Algorithm - handleTransition - currentHedgeShortfall is NOT ZERO and AUTOHEDGE IS NOT ENABLED!</t>
  </si>
  <si>
    <t>2015-1-20 19:25:41.808: DirectionIndicator - notify - price/longMA/ShortMA/prevDirection are 1.51525/1.51498910853234/1.51506021365013/1</t>
  </si>
  <si>
    <t>2015-1-20 19:25:41.809: Algorithm - handleTransition - currentHedgeShortfall is NOT ZERO and AUTOHEDGE IS NOT ENABLED!</t>
  </si>
  <si>
    <t>2015-1-20 19:25:42.642: DirectionIndicator - notify - price/longMA/ShortMA/prevDirection are 1.5152/1.51502745243555/1.51510680910009/1</t>
  </si>
  <si>
    <t>2015-1-20 19:25:42.642: Algorithm - handleTransition - currentHedgeShortfall is NOT ZERO and AUTOHEDGE IS NOT ENABLED!</t>
  </si>
  <si>
    <t>2015-1-20 19:25:42.691: DirectionIndicator - notify - price/longMA/ShortMA/prevDirection are 1.51515/1.51504973381091/1.51512120606673/1</t>
  </si>
  <si>
    <t>2015-1-20 19:25:42.691: Algorithm - handleTransition - currentHedgeShortfall is NOT ZERO and AUTOHEDGE IS NOT ENABLED!</t>
  </si>
  <si>
    <t>2015-1-20 19:25:48.43: DirectionIndicator - notify - price/longMA/ShortMA/prevDirection are 1.5152/1.5150770549362/1.51514747071115/1</t>
  </si>
  <si>
    <t>2015-1-20 19:25:48.44: Algorithm - handleTransition - currentHedgeShortfall is NOT ZERO and AUTOHEDGE IS NOT ENABLED!</t>
  </si>
  <si>
    <t>2015-1-20 19:25:48.138: DirectionIndicator - notify - price/longMA/ShortMA/prevDirection are 1.51525/1.51510849949325/1.51518164714077/1</t>
  </si>
  <si>
    <t>2015-1-20 19:25:48.138: Algorithm - handleTransition - currentHedgeShortfall is NOT ZERO and AUTOHEDGE IS NOT ENABLED!</t>
  </si>
  <si>
    <t>2015-1-20 19:25:58.519: DirectionIndicator - notify - price/longMA/ShortMA/prevDirection are 1.5152/1.51512513594902/1.51518776476051/1</t>
  </si>
  <si>
    <t>2015-1-20 19:25:58.521: Algorithm - handleTransition - currentHedgeShortfall is NOT ZERO and AUTOHEDGE IS NOT ENABLED!</t>
  </si>
  <si>
    <t>2015-1-20 19:25:58.649: DirectionIndicator - notify - price/longMA/ShortMA/prevDirection are 1.51515/1.51512965668556/1.51517517650701/1</t>
  </si>
  <si>
    <t>2015-1-20 19:25:58.650: Algorithm - handleTransition - currentHedgeShortfall is NOT ZERO and AUTOHEDGE IS NOT ENABLED!</t>
  </si>
  <si>
    <t>2015-1-20 19:26:4.813: DirectionIndicator - notify - price/longMA/ShortMA/prevDirection are 1.5151/1.51512426456092/1.51515011767134/1</t>
  </si>
  <si>
    <t>2015-1-20 19:26:4.814: Algorithm - handleTransition - currentHedgeShortfall is NOT ZERO and AUTOHEDGE IS NOT ENABLED!</t>
  </si>
  <si>
    <t>2015-1-20 19:26:4.888: DirectionIndicator - notify - price/longMA/ShortMA/prevDirection are 1.51505/1.51511076191348/1.51511674511423/1</t>
  </si>
  <si>
    <t>2015-1-20 19:26:4.889: Algorithm - handleTransition - currentHedgeShortfall is NOT ZERO and AUTOHEDGE IS NOT ENABLED!</t>
  </si>
  <si>
    <t>2015-1-20 19:26:6.79: DirectionIndicator - notify - price/longMA/ShortMA/prevDirection are 1.5151/1.51510880520194/1.51511116340948/1</t>
  </si>
  <si>
    <t>2015-1-20 19:26:6.80: Algorithm - handleTransition - currentHedgeShortfall is NOT ZERO and AUTOHEDGE IS NOT ENABLED!</t>
  </si>
  <si>
    <t>2015-1-20 19:26:6.145: DirectionIndicator - notify - price/longMA/ShortMA/prevDirection are 1.51515/1.51511629516522/1.51512410893966/1</t>
  </si>
  <si>
    <t>2015-1-20 19:26:6.147: Algorithm - handleTransition - currentHedgeShortfall is NOT ZERO and AUTOHEDGE IS NOT ENABLED!</t>
  </si>
  <si>
    <t>2015-1-20 19:26:8.145: TransitionLogger - flushFile - flushing file</t>
  </si>
  <si>
    <t>2015-1-20 19:26:8.147: TransitionLogger - openTransitionFile - opening file C:\temp\transitionlog_2015-01-20_153021</t>
  </si>
  <si>
    <t>2015-1-20 19:26:14.54: DirectionIndicator - notify - price/longMA/ShortMA/prevDirection are 1.5152/1.51513151422609/1.51514940595977/1</t>
  </si>
  <si>
    <t>2015-1-20 19:26:14.56: Algorithm - handleTransition - currentHedgeShortfall is NOT ZERO and AUTOHEDGE IS NOT ENABLED!</t>
  </si>
  <si>
    <t>2015-1-20 19:26:14.141: DirectionIndicator - notify - price/longMA/ShortMA/prevDirection are 1.51525/1.51515305709407/1.51518293730651/1</t>
  </si>
  <si>
    <t>2015-1-20 19:26:14.142: Algorithm - handleTransition - currentHedgeShortfall is NOT ZERO and AUTOHEDGE IS NOT ENABLED!</t>
  </si>
  <si>
    <t>2015-1-20 19:26:15.601: DirectionIndicator - notify - price/longMA/ShortMA/prevDirection are 1.5152/1.51516159216788/1.51518862487101/1</t>
  </si>
  <si>
    <t>2015-1-20 19:26:15.602: Algorithm - handleTransition - currentHedgeShortfall is NOT ZERO and AUTOHEDGE IS NOT ENABLED!</t>
  </si>
  <si>
    <t>2015-1-20 19:26:18.140: DirectionIndicator - notify - price/longMA/ShortMA/prevDirection are 1.51525/1.51517766631917/1.51520908324734/1</t>
  </si>
  <si>
    <t>2015-1-20 19:26:18.141: Algorithm - handleTransition - currentHedgeShortfall is NOT ZERO and AUTOHEDGE IS NOT ENABLED!</t>
  </si>
  <si>
    <t>2015-1-20 19:26:19.626: DirectionIndicator - notify - price/longMA/ShortMA/prevDirection are 1.5152/1.51518172698841/1.51520605549823/1</t>
  </si>
  <si>
    <t>2015-1-20 19:26:19.627: Algorithm - handleTransition - currentHedgeShortfall is NOT ZERO and AUTOHEDGE IS NOT ENABLED!</t>
  </si>
  <si>
    <t>2015-1-20 19:26:21.463: DirectionIndicator - notify - price/longMA/ShortMA/prevDirection are 1.51525/1.51519414026325/1.51522070366548/1</t>
  </si>
  <si>
    <t>2015-1-20 19:26:21.465: Algorithm - handleTransition - currentHedgeShortfall is NOT ZERO and AUTOHEDGE IS NOT ENABLED!</t>
  </si>
  <si>
    <t>2015-1-20 19:26:25.19: DirectionIndicator - notify - price/longMA/ShortMA/prevDirection are 1.5152/1.51519520566993/1.51521380244366/1</t>
  </si>
  <si>
    <t>2015-1-20 19:26:25.19: Algorithm - handleTransition - currentHedgeShortfall is NOT ZERO and AUTOHEDGE IS NOT ENABLED!</t>
  </si>
  <si>
    <t>2015-1-20 19:26:28.865: DirectionIndicator - notify - price/longMA/ShortMA/prevDirection are 1.51515/1.51518698645722/1.51519253496244/1</t>
  </si>
  <si>
    <t>2015-1-20 19:26:28.867: Algorithm - handleTransition - currentHedgeShortfall is NOT ZERO and AUTOHEDGE IS NOT ENABLED!</t>
  </si>
  <si>
    <t>2015-1-20 19:26:29.32: TransitionLogger - flushFile - flushing file</t>
  </si>
  <si>
    <t>2015-1-20 19:26:29.32: TransitionLogger - openTransitionFile - opening file C:\temp\transitionlog_2015-01-20_153021</t>
  </si>
  <si>
    <t>2015-1-20 19:26:33.366: DirectionIndicator - notify - price/longMA/ShortMA/prevDirection are 1.5152/1.5151893525559/1.51519502330829/1</t>
  </si>
  <si>
    <t>2015-1-20 19:26:33.367: Algorithm - handleTransition - currentHedgeShortfall is NOT ZERO and AUTOHEDGE IS NOT ENABLED!</t>
  </si>
  <si>
    <t>2015-1-20 19:26:33.434: DirectionIndicator - notify - price/longMA/ShortMA/prevDirection are 1.51525/1.51520037936392/1.51521334887219/1</t>
  </si>
  <si>
    <t>2015-1-20 19:26:33.435: Algorithm - handleTransition - currentHedgeShortfall is NOT ZERO and AUTOHEDGE IS NOT ENABLED!</t>
  </si>
  <si>
    <t>2015-1-20 19:26:39.557: DirectionIndicator - notify - price/longMA/ShortMA/prevDirection are 1.5152/1.51520031038866/1.51520889924813/1</t>
  </si>
  <si>
    <t>2015-1-20 19:26:39.559: Algorithm - handleTransition - currentHedgeShortfall is NOT ZERO and AUTOHEDGE IS NOT ENABLED!</t>
  </si>
  <si>
    <t>2015-1-20 19:26:44.303: DirectionIndicator - notify - price/longMA/ShortMA/prevDirection are 1.51515/1.51519116304527/1.51518926616542/1</t>
  </si>
  <si>
    <t>2015-1-20 19:26:44.305: Algorithm - handleTransition - currentHedgeShortfall is NOT ZERO and AUTOHEDGE IS NOT ENABLED!</t>
  </si>
  <si>
    <t>2015-1-20 19:26:46.860: DirectionIndicator - notify - price/longMA/ShortMA/prevDirection are 1.5151/1.51517458794613/1.51515951077695/1</t>
  </si>
  <si>
    <t>2015-1-20 19:26:46.861: Algorithm - handleTransition - currentHedgeShortfall is NOT ZERO and AUTOHEDGE IS NOT ENABLED!</t>
  </si>
  <si>
    <t>2015-1-20 19:26:46.932: DirectionIndicator - notify - price/longMA/ShortMA/prevDirection are 1.51505/1.51515193559229/1.51512300718463/1</t>
  </si>
  <si>
    <t>2015-1-20 19:26:46.932: Algorithm - handleTransition - currentHedgeShortfall is NOT ZERO and AUTOHEDGE IS NOT ENABLED!</t>
  </si>
  <si>
    <t>2015-1-20 19:26:48.312: DirectionIndicator - notify - price/longMA/ShortMA/prevDirection are 1.5151/1.51514249275733/1.51511533812309/-1</t>
  </si>
  <si>
    <t>2015-1-20 19:26:48.312: Algorithm - handleTransition - currentHedgeShortfall is NOT ZERO and AUTOHEDGE IS NOT ENABLED!</t>
  </si>
  <si>
    <t>2015-1-20 19:26:48.360: DirectionIndicator - notify - price/longMA/ShortMA/prevDirection are 1.51515/1.51514385771054/1.51512689208206/-1</t>
  </si>
  <si>
    <t>2015-1-20 19:26:48.361: Algorithm - handleTransition - currentHedgeShortfall is NOT ZERO and AUTOHEDGE IS NOT ENABLED!</t>
  </si>
  <si>
    <t>2015-1-20 19:26:49.478: DirectionIndicator - notify - price/longMA/ShortMA/prevDirection are 1.5151/1.51513588358135/1.51511792805471/-1</t>
  </si>
  <si>
    <t>2015-1-20 19:26:49.479: Algorithm - handleTransition - currentHedgeShortfall is NOT ZERO and AUTOHEDGE IS NOT ENABLED!</t>
  </si>
  <si>
    <t>2015-1-20 19:26:50.263: DirectionIndicator - notify - price/longMA/ShortMA/prevDirection are 1.51515/1.51513845020292/1.51512861870314/-1</t>
  </si>
  <si>
    <t>2015-1-20 19:26:50.264: Algorithm - handleTransition - currentHedgeShortfall is NOT ZERO and AUTOHEDGE IS NOT ENABLED!</t>
  </si>
  <si>
    <t>2015-1-20 19:26:55.575: DirectionIndicator - notify - price/longMA/ShortMA/prevDirection are 1.5152/1.51514964107512/1.51515241246876/-1</t>
  </si>
  <si>
    <t>2015-1-20 19:26:55.575: Algorithm - handleTransition - currentHedgeShortfall is NOT ZERO and AUTOHEDGE IS NOT ENABLED!</t>
  </si>
  <si>
    <t>2015-1-20 19:26:55.647: DirectionIndicator - notify - price/longMA/ShortMA/prevDirection are 1.51525/1.51516788815237/1.51518494164584/-1</t>
  </si>
  <si>
    <t>2015-1-20 19:26:55.647: Algorithm - handleTransition - currentHedgeShortfall is NOT ZERO and AUTOHEDGE IS NOT ENABLED!</t>
  </si>
  <si>
    <t>2015-1-20 19:27:3.941: DirectionIndicator - notify - price/longMA/ShortMA/prevDirection are 1.5153/1.5151919084883/1.51522329443056/-1</t>
  </si>
  <si>
    <t>2015-1-20 19:27:3.941: Algorithm - handleTransition - currentHedgeShortfall is NOT ZERO and AUTOHEDGE IS NOT ENABLED!</t>
  </si>
  <si>
    <t>2015-1-20 19:27:3.986: DirectionIndicator - notify - price/longMA/ShortMA/prevDirection are 1.51535/1.51522065239952/1.51526552962037/1</t>
  </si>
  <si>
    <t>2015-1-20 19:27:3.987: Algorithm - handleTransition - currentHedgeShortfall is NOT ZERO and AUTOHEDGE IS NOT ENABLED!</t>
  </si>
  <si>
    <t>2015-1-20 19:27:5.186: DirectionIndicator - notify - price/longMA/ShortMA/prevDirection are 1.5153/1.51523507923597/1.51527701974692/1</t>
  </si>
  <si>
    <t>2015-1-20 19:27:5.188: Algorithm - handleTransition - currentHedgeShortfall is NOT ZERO and AUTOHEDGE IS NOT ENABLED!</t>
  </si>
  <si>
    <t>2015-1-20 19:27:8.132: TransitionLogger - flushFile - flushing file</t>
  </si>
  <si>
    <t>2015-1-20 19:27:8.133: TransitionLogger - openTransitionFile - opening file C:\temp\transitionlog_2015-01-20_153021</t>
  </si>
  <si>
    <t>2015-1-20 19:27:9.263: DirectionIndicator - notify - price/longMA/ShortMA/prevDirection are 1.51525/1.51523779210216/1.51526801316461/1</t>
  </si>
  <si>
    <t>2015-1-20 19:27:9.264: Algorithm - handleTransition - currentHedgeShortfall is NOT ZERO and AUTOHEDGE IS NOT ENABLED!</t>
  </si>
  <si>
    <t>2015-1-20 19:27:14.376: DirectionIndicator - notify - price/longMA/ShortMA/prevDirection are 1.5153/1.51524910262904/1.51527867544307/1</t>
  </si>
  <si>
    <t>2015-1-20 19:27:14.376: Algorithm - handleTransition - currentHedgeShortfall is NOT ZERO and AUTOHEDGE IS NOT ENABLED!</t>
  </si>
  <si>
    <t>2015-1-20 19:27:14.482: DirectionIndicator - notify - price/longMA/ShortMA/prevDirection are 1.51535/1.51526744760558/1.51530245029538/1</t>
  </si>
  <si>
    <t>2015-1-20 19:27:14.483: Algorithm - handleTransition - currentHedgeShortfall is NOT ZERO and AUTOHEDGE IS NOT ENABLED!</t>
  </si>
  <si>
    <t>2015-1-20 19:27:29.6: TransitionLogger - flushFile - flushing file</t>
  </si>
  <si>
    <t>2015-1-20 19:27:29.8: TransitionLogger - openTransitionFile - opening file C:\temp\transitionlog_2015-01-20_153021</t>
  </si>
  <si>
    <t>2015-1-20 19:27:31.31: DirectionIndicator - notify - price/longMA/ShortMA/prevDirection are 1.5153/1.51527336622274/1.51530163353025/1</t>
  </si>
  <si>
    <t>2015-1-20 19:27:31.32: Algorithm - handleTransition - currentHedgeShortfall is NOT ZERO and AUTOHEDGE IS NOT ENABLED!</t>
  </si>
  <si>
    <t>2015-1-20 19:27:32.727: DirectionIndicator - notify - price/longMA/ShortMA/prevDirection are 1.51535/1.51528729963679/1.51531775568684/1</t>
  </si>
  <si>
    <t>2015-1-20 19:27:32.729: Algorithm - handleTransition - currentHedgeShortfall is NOT ZERO and AUTOHEDGE IS NOT ENABLED!</t>
  </si>
  <si>
    <t>2015-1-20 19:27:33.194: DirectionIndicator - notify - price/longMA/ShortMA/prevDirection are 1.5153/1.51528960879374/1.51531183712456/1</t>
  </si>
  <si>
    <t>2015-1-20 19:27:33.194: Algorithm - handleTransition - currentHedgeShortfall is NOT ZERO and AUTOHEDGE IS NOT ENABLED!</t>
  </si>
  <si>
    <t>2015-1-20 19:27:33.482: DirectionIndicator - notify - price/longMA/ShortMA/prevDirection are 1.51525/1.51528240719488/1.51529122474971/1</t>
  </si>
  <si>
    <t>2015-1-20 19:27:33.483: Algorithm - handleTransition - currentHedgeShortfall is NOT ZERO and AUTOHEDGE IS NOT ENABLED!</t>
  </si>
  <si>
    <t>2015-1-20 19:27:46.65: DirectionIndicator - notify - price/longMA/ShortMA/prevDirection are 1.5152/1.51526742406854/1.5152608164998/1</t>
  </si>
  <si>
    <t>2015-1-20 19:27:46.66: Algorithm - handleTransition - currentHedgeShortfall is NOT ZERO and AUTOHEDGE IS NOT ENABLED!</t>
  </si>
  <si>
    <t>2015-1-20 19:27:46.143: DirectionIndicator - notify - price/longMA/ShortMA/prevDirection are 1.51515/1.51524607423789/1.51522387766654/1</t>
  </si>
  <si>
    <t>2015-1-20 19:27:46.144: Algorithm - handleTransition - currentHedgeShortfall is NOT ZERO and AUTOHEDGE IS NOT ENABLED!</t>
  </si>
  <si>
    <t>2015-1-20 19:27:47.148: DirectionIndicator - notify - price/longMA/ShortMA/prevDirection are 1.5152/1.51523769710373/1.51521591844436/-1</t>
  </si>
  <si>
    <t>2015-1-20 19:27:47.149: Algorithm - handleTransition - currentHedgeShortfall is NOT ZERO and AUTOHEDGE IS NOT ENABLED!</t>
  </si>
  <si>
    <t>2015-1-20 19:27:53.477: DirectionIndicator - notify - price/longMA/ShortMA/prevDirection are 1.51515/1.51522175217578/1.51519394562957/-1</t>
  </si>
  <si>
    <t>2015-1-20 19:27:53.479: Algorithm - handleTransition - currentHedgeShortfall is NOT ZERO and AUTOHEDGE IS NOT ENABLED!</t>
  </si>
  <si>
    <t>2015-1-20 19:27:54.479: DirectionIndicator - notify - price/longMA/ShortMA/prevDirection are 1.5152/1.51521779723473/1.51519596375305/-1</t>
  </si>
  <si>
    <t>2015-1-20 19:27:54.481: Algorithm - handleTransition - currentHedgeShortfall is NOT ZERO and AUTOHEDGE IS NOT ENABLED!</t>
  </si>
  <si>
    <t>2015-1-20 19:27:58.288: DirectionIndicator - notify - price/longMA/ShortMA/prevDirection are 1.51515/1.51520547046478/1.51518064250203/-1</t>
  </si>
  <si>
    <t>2015-1-20 19:27:58.290: Algorithm - handleTransition - currentHedgeShortfall is NOT ZERO and AUTOHEDGE IS NOT ENABLED!</t>
  </si>
  <si>
    <t>2015-1-20 19:28:8.110: TransitionLogger - flushFile - flushing file</t>
  </si>
  <si>
    <t>2015-1-20 19:28:8.111: TransitionLogger - openTransitionFile - opening file C:\temp\transitionlog_2015-01-20_153021</t>
  </si>
  <si>
    <t>2015-1-20 19:28:16.108: DirectionIndicator - notify - price/longMA/ShortMA/prevDirection are 1.5152/1.51520447583482/1.51518709500135/-1</t>
  </si>
  <si>
    <t>2015-1-20 19:28:16.108: Algorithm - handleTransition - currentHedgeShortfall is NOT ZERO and AUTOHEDGE IS NOT ENABLED!</t>
  </si>
  <si>
    <t>2015-1-20 19:28:16.158: DirectionIndicator - notify - price/longMA/ShortMA/prevDirection are 1.51525/1.51521275295576/1.51520806333424/-1</t>
  </si>
  <si>
    <t>2015-1-20 19:28:16.159: Algorithm - handleTransition - currentHedgeShortfall is NOT ZERO and AUTOHEDGE IS NOT ENABLED!</t>
  </si>
  <si>
    <t>2015-1-20 19:28:16.907: DirectionIndicator - notify - price/longMA/ShortMA/prevDirection are 1.5152/1.51521043423653/1.51520537555616/-1</t>
  </si>
  <si>
    <t>2015-1-20 19:28:16.907: Algorithm - handleTransition - currentHedgeShortfall is NOT ZERO and AUTOHEDGE IS NOT ENABLED!</t>
  </si>
  <si>
    <t>2015-1-20 19:28:17.72: DirectionIndicator - notify - price/longMA/ShortMA/prevDirection are 1.51525/1.51521762801171/1.51522025037077/-1</t>
  </si>
  <si>
    <t>2015-1-20 19:28:17.72: Algorithm - handleTransition - currentHedgeShortfall is NOT ZERO and AUTOHEDGE IS NOT ENABLED!</t>
  </si>
  <si>
    <t>2015-1-20 19:28:28.23: DirectionIndicator - notify - price/longMA/ShortMA/prevDirection are 1.5152/1.51521442291867/1.51521350024718/-1</t>
  </si>
  <si>
    <t>2015-1-20 19:28:28.24: Algorithm - handleTransition - currentHedgeShortfall is NOT ZERO and AUTOHEDGE IS NOT ENABLED!</t>
  </si>
  <si>
    <t>2015-1-20 19:28:29.13: TransitionLogger - flushFile - flushing file</t>
  </si>
  <si>
    <t>2015-1-20 19:28:29.13: TransitionLogger - openTransitionFile - opening file C:\temp\transitionlog_2015-01-20_153021</t>
  </si>
  <si>
    <t>2015-1-20 19:28:30.481: Algorithm - FindNextStrikes - price is 1.5152 nextStrikeUp/Down 1.52/1.515</t>
  </si>
  <si>
    <t>2015-1-20 19:28:30.482: Algorithm - getPortfolioForwardDelta - required deltas is 100 currentHedgePosition is 101</t>
  </si>
  <si>
    <t>2015-1-20 19:28:30.482: Algorithm - getHedgeShortfall - required deltas is 100 price is 1.5151 currentHedgePositionDeltas is 101</t>
  </si>
  <si>
    <t>2015-1-20 19:28:30.483: Algorithm - processTransitionPoint - nextUpper/LowerStrikes are 1.52/1.515 requiredDeltas/currentPosition/currentHedgeShortfall/direction/transitionPrice are 100/101/-1/-1/1.5151</t>
  </si>
  <si>
    <t>2015-1-20 19:28:30.483: TransitionLogger - processTransitionpoint - checking transition - currentHedgeShortfall is -1</t>
  </si>
  <si>
    <t>2015-1-20 19:28:30.483: Algorithm - handleTransition - currentHedgeShortfall is NOT ZERO and AUTOHEDGE IS NOT ENABLED!</t>
  </si>
  <si>
    <t>2015-1-20 19:28:30.484: Algorithm - updatePortfolio - haveAllDetails is True</t>
  </si>
  <si>
    <t>2015-1-20 19:28:30.485: RTWSControl - updatePortfolioEx - An Error Occured Object variable or With block variable not set</t>
  </si>
  <si>
    <t>2015-1-20 19:28:30.524: Algorithm - FindNextStrikes - price is 1.5152 nextStrikeUp/Down 1.52/1.515</t>
  </si>
  <si>
    <t>2015-1-20 19:28:30.524: Algorithm - getPortfolioForwardDelta - required deltas is 100 currentHedgePosition is 101</t>
  </si>
  <si>
    <t>2015-1-20 19:28:30.525: Algorithm - getHedgeShortfall - required deltas is 100 price is 1.5151 currentHedgePositionDeltas is 101</t>
  </si>
  <si>
    <t>2015-1-20 19:28:30.525: Algorithm - processTransitionPoint - nextUpper/LowerStrikes are 1.52/1.515 requiredDeltas/currentPosition/currentHedgeShortfall/direction/transitionPrice are 100/101/-1/-1/1.5151</t>
  </si>
  <si>
    <t>2015-1-20 19:28:30.526: TransitionLogger - processTransitionpoint - checking transition - currentHedgeShortfall is -1</t>
  </si>
  <si>
    <t>2015-1-20 19:28:30.526: Algorithm - handleTransition - currentHedgeShortfall is NOT ZERO and AUTOHEDGE IS NOT ENABLED!</t>
  </si>
  <si>
    <t>2015-1-20 19:28:30.527: Algorithm - updatePortfolio - haveAllDetails is True</t>
  </si>
  <si>
    <t>2015-1-20 19:28:30.528: RTWSControl - updatePortfolioEx - An Error Occured Object variable or With block variable not set</t>
  </si>
  <si>
    <t>2015-1-20 19:28:30.577: Algorithm - FindNextStrikes - price is 1.5152 nextStrikeUp/Down 1.52/1.515</t>
  </si>
  <si>
    <t>2015-1-20 19:28:30.577: Algorithm - getPortfolioForwardDelta - required deltas is 100 currentHedgePosition is 101</t>
  </si>
  <si>
    <t>2015-1-20 19:28:30.577: Algorithm - getHedgeShortfall - required deltas is 100 price is 1.5151 currentHedgePositionDeltas is 101</t>
  </si>
  <si>
    <t>2015-1-20 19:28:30.578: Algorithm - processTransitionPoint - nextUpper/LowerStrikes are 1.52/1.515 requiredDeltas/currentPosition/currentHedgeShortfall/direction/transitionPrice are 100/101/-1/-1/1.5151</t>
  </si>
  <si>
    <t>2015-1-20 19:28:30.578: TransitionLogger - processTransitionpoint - checking transition - currentHedgeShortfall is -1</t>
  </si>
  <si>
    <t>2015-1-20 19:28:30.579: Algorithm - handleTransition - currentHedgeShortfall is NOT ZERO and AUTOHEDGE IS NOT ENABLED!</t>
  </si>
  <si>
    <t>2015-1-20 19:28:30.579: Algorithm - updatePortfolio - haveAllDetails is True</t>
  </si>
  <si>
    <t>2015-1-20 19:28:30.580: RTWSControl - updatePortfolioEx - An Error Occured Object variable or With block variable not set</t>
  </si>
  <si>
    <t>2015-1-20 19:28:30.632: Algorithm - FindNextStrikes - price is 1.5152 nextStrikeUp/Down 1.52/1.515</t>
  </si>
  <si>
    <t>2015-1-20 19:28:30.632: Algorithm - getPortfolioForwardDelta - required deltas is 100 currentHedgePosition is 101</t>
  </si>
  <si>
    <t>2015-1-20 19:28:30.632: Algorithm - getHedgeShortfall - required deltas is 100 price is 1.5151 currentHedgePositionDeltas is 101</t>
  </si>
  <si>
    <t>2015-1-20 19:28:30.633: Algorithm - processTransitionPoint - nextUpper/LowerStrikes are 1.52/1.515 requiredDeltas/currentPosition/currentHedgeShortfall/direction/transitionPrice are 100/101/-1/-1/1.5151</t>
  </si>
  <si>
    <t>2015-1-20 19:28:30.633: TransitionLogger - processTransitionpoint - checking transition - currentHedgeShortfall is -1</t>
  </si>
  <si>
    <t>2015-1-20 19:28:30.634: Algorithm - handleTransition - currentHedgeShortfall is NOT ZERO and AUTOHEDGE IS NOT ENABLED!</t>
  </si>
  <si>
    <t>2015-1-20 19:28:30.634: Algorithm - updatePortfolio - haveAllDetails is True</t>
  </si>
  <si>
    <t>2015-1-20 19:28:30.635: RTWSControl - updatePortfolioEx - An Error Occured Object variable or With block variable not set</t>
  </si>
  <si>
    <t>2015-1-20 19:28:30.697: Algorithm - FindNextStrikes - price is 1.5152 nextStrikeUp/Down 1.52/1.515</t>
  </si>
  <si>
    <t>2015-1-20 19:28:30.697: Algorithm - getPortfolioForwardDelta - required deltas is 100 currentHedgePosition is 101</t>
  </si>
  <si>
    <t>2015-1-20 19:28:30.697: Algorithm - getHedgeShortfall - required deltas is 100 price is 1.5151 currentHedgePositionDeltas is 101</t>
  </si>
  <si>
    <t>2015-1-20 19:28:30.698: Algorithm - processTransitionPoint - nextUpper/LowerStrikes are 1.52/1.515 requiredDeltas/currentPosition/currentHedgeShortfall/direction/transitionPrice are 100/101/-1/-1/1.5151</t>
  </si>
  <si>
    <t>2015-1-20 19:28:30.698: TransitionLogger - processTransitionpoint - checking transition - currentHedgeShortfall is -1</t>
  </si>
  <si>
    <t>2015-1-20 19:28:30.698: Algorithm - handleTransition - currentHedgeShortfall is NOT ZERO and AUTOHEDGE IS NOT ENABLED!</t>
  </si>
  <si>
    <t>2015-1-20 19:28:30.699: Algorithm - updatePortfolio - haveAllDetails is True</t>
  </si>
  <si>
    <t>2015-1-20 19:28:30.700: RTWSControl - updatePortfolioEx - An Error Occured Object variable or With block variable not set</t>
  </si>
  <si>
    <t>2015-1-20 19:28:30.756: Algorithm - FindNextStrikes - price is 1.5152 nextStrikeUp/Down 1.52/1.515</t>
  </si>
  <si>
    <t>2015-1-20 19:28:30.757: Algorithm - getPortfolioForwardDelta - required deltas is 100 currentHedgePosition is 101</t>
  </si>
  <si>
    <t>2015-1-20 19:28:30.757: Algorithm - getHedgeShortfall - required deltas is 100 price is 1.5151 currentHedgePositionDeltas is 101</t>
  </si>
  <si>
    <t>2015-1-20 19:28:30.757: Algorithm - processTransitionPoint - nextUpper/LowerStrikes are 1.52/1.515 requiredDeltas/currentPosition/currentHedgeShortfall/direction/transitionPrice are 100/101/-1/-1/1.5151</t>
  </si>
  <si>
    <t>2015-1-20 19:28:30.758: TransitionLogger - processTransitionpoint - checking transition - currentHedgeShortfall is -1</t>
  </si>
  <si>
    <t>2015-1-20 19:28:30.758: Algorithm - handleTransition - currentHedgeShortfall is NOT ZERO and AUTOHEDGE IS NOT ENABLED!</t>
  </si>
  <si>
    <t>2015-1-20 19:28:30.759: Algorithm - updatePortfolio - haveAllDetails is True</t>
  </si>
  <si>
    <t>2015-1-20 19:28:30.760: RTWSControl - updatePortfolioEx - An Error Occured Object variable or With block variable not set</t>
  </si>
  <si>
    <t>2015-1-20 19:28:33.276: DirectionIndicator - notify - price/longMA/ShortMA/prevDirection are 1.51515/1.51520270966073/1.51519233349812/-1</t>
  </si>
  <si>
    <t>2015-1-20 19:28:33.278: Algorithm - handleTransition - currentHedgeShortfall is NOT ZERO and AUTOHEDGE IS NOT ENABLED!</t>
  </si>
  <si>
    <t>2015-1-20 19:28:40.906: DirectionIndicator - notify - price/longMA/ShortMA/prevDirection are 1.5152/1.51520221699514/1.51519488899875/-1</t>
  </si>
  <si>
    <t>2015-1-20 19:28:40.907: Algorithm - handleTransition - currentHedgeShortfall is NOT ZERO and AUTOHEDGE IS NOT ENABLED!</t>
  </si>
  <si>
    <t>2015-1-20 19:28:40.981: DirectionIndicator - notify - price/longMA/ShortMA/prevDirection are 1.51525/1.51521090481421/1.5152132593325/-1</t>
  </si>
  <si>
    <t>2015-1-20 19:28:40.982: Algorithm - handleTransition - currentHedgeShortfall is NOT ZERO and AUTOHEDGE IS NOT ENABLED!</t>
  </si>
  <si>
    <t>2015-1-20 19:28:43.412: DirectionIndicator - notify - price/longMA/ShortMA/prevDirection are 1.5152/1.51520892212072/1.515208839555/-1</t>
  </si>
  <si>
    <t>2015-1-20 19:28:43.413: Algorithm - handleTransition - currentHedgeShortfall is NOT ZERO and AUTOHEDGE IS NOT ENABLED!</t>
  </si>
  <si>
    <t>2015-1-20 19:28:48.312: DirectionIndicator - notify - price/longMA/ShortMA/prevDirection are 1.51515/1.51519820900786/1.51518922637/-1</t>
  </si>
  <si>
    <t>2015-1-20 19:28:48.314: Algorithm - handleTransition - currentHedgeShortfall is NOT ZERO and AUTOHEDGE IS NOT ENABLED!</t>
  </si>
  <si>
    <t>2015-1-20 19:29:4.738: DirectionIndicator - notify - price/longMA/ShortMA/prevDirection are 1.5152/1.51519853464279/1.51519281758/-1</t>
  </si>
  <si>
    <t>2015-1-20 19:29:4.738: Algorithm - handleTransition - currentHedgeShortfall is NOT ZERO and AUTOHEDGE IS NOT ENABLED!</t>
  </si>
  <si>
    <t>2015-1-20 19:29:6.867: DirectionIndicator - notify - price/longMA/ShortMA/prevDirection are 1.51515/1.51518971016229/1.51517854505333/-1</t>
  </si>
  <si>
    <t>2015-1-20 19:29:6.868: Algorithm - handleTransition - currentHedgeShortfall is NOT ZERO and AUTOHEDGE IS NOT ENABLED!</t>
  </si>
  <si>
    <t>2015-1-20 19:29:8.110: TransitionLogger - flushFile - flushing file</t>
  </si>
  <si>
    <t>2015-1-20 19:29:8.111: TransitionLogger - openTransitionFile - opening file C:\temp\transitionlog_2015-01-20_153021</t>
  </si>
  <si>
    <t>2015-1-20 19:29:9.319: DirectionIndicator - notify - price/longMA/ShortMA/prevDirection are 1.5151/1.51517339922369/1.51515236336889/-1</t>
  </si>
  <si>
    <t>2015-1-20 19:29:9.320: Algorithm - handleTransition - currentHedgeShortfall is NOT ZERO and AUTOHEDGE IS NOT ENABLED!</t>
  </si>
  <si>
    <t>2015-1-20 19:29:11.632: DirectionIndicator - notify - price/longMA/ShortMA/prevDirection are 1.51505/1.5151509630012/1.51511824224593/-1</t>
  </si>
  <si>
    <t>2015-1-20 19:29:11.634: Algorithm - handleTransition - currentHedgeShortfall is NOT ZERO and AUTOHEDGE IS NOT ENABLED!</t>
  </si>
  <si>
    <t>2015-1-20 19:29:12.23: DirectionIndicator - notify - price/longMA/ShortMA/prevDirection are 1.5151/1.51514169700098/1.51511216149728/-1</t>
  </si>
  <si>
    <t>2015-1-20 19:29:12.23: Algorithm - handleTransition - currentHedgeShortfall is NOT ZERO and AUTOHEDGE IS NOT ENABLED!</t>
  </si>
  <si>
    <t>2015-1-20 19:29:12.278: DirectionIndicator - notify - price/longMA/ShortMA/prevDirection are 1.51505/1.51512502481898/1.51509144099819/-1</t>
  </si>
  <si>
    <t>2015-1-20 19:29:12.279: Algorithm - handleTransition - currentHedgeShortfall is NOT ZERO and AUTOHEDGE IS NOT ENABLED!</t>
  </si>
  <si>
    <t>2015-1-20 19:29:12.969: DirectionIndicator - notify - price/longMA/ShortMA/prevDirection are 1.5151/1.5151204748519/1.51509429399879/-1</t>
  </si>
  <si>
    <t>2015-1-20 19:29:12.970: Algorithm - handleTransition - currentHedgeShortfall is NOT ZERO and AUTOHEDGE IS NOT ENABLED!</t>
  </si>
  <si>
    <t>2015-1-20 19:29:13.33: DirectionIndicator - notify - price/longMA/ShortMA/prevDirection are 1.51515/1.51512584306064/1.51511286266586/-1</t>
  </si>
  <si>
    <t>2015-1-20 19:29:13.34: Algorithm - handleTransition - currentHedgeShortfall is NOT ZERO and AUTOHEDGE IS NOT ENABLED!</t>
  </si>
  <si>
    <t>2015-1-20 19:29:14.790: DirectionIndicator - notify - price/longMA/ShortMA/prevDirection are 1.5151/1.51512114432234/1.51510857511057/-1</t>
  </si>
  <si>
    <t>2015-1-20 19:29:14.793: Algorithm - handleTransition - currentHedgeShortfall is NOT ZERO and AUTOHEDGE IS NOT ENABLED!</t>
  </si>
  <si>
    <t>2015-1-20 19:29:14.908: DirectionIndicator - notify - price/longMA/ShortMA/prevDirection are 1.51505/1.51510820899101/1.51508905007372/-1</t>
  </si>
  <si>
    <t>2015-1-20 19:29:14.908: Algorithm - handleTransition - currentHedgeShortfall is NOT ZERO and AUTOHEDGE IS NOT ENABLED!</t>
  </si>
  <si>
    <t>2015-1-20 19:29:15.612: DirectionIndicator - notify - price/longMA/ShortMA/prevDirection are 1.5151/1.51510671644719/1.51509270004914/-1</t>
  </si>
  <si>
    <t>2015-1-20 19:29:15.613: Algorithm - handleTransition - currentHedgeShortfall is NOT ZERO and AUTOHEDGE IS NOT ENABLED!</t>
  </si>
  <si>
    <t>2015-1-20 19:29:15.690: DirectionIndicator - notify - price/longMA/ShortMA/prevDirection are 1.51515/1.51511458618406/1.51511180003276/-1</t>
  </si>
  <si>
    <t>2015-1-20 19:29:15.691: Algorithm - handleTransition - currentHedgeShortfall is NOT ZERO and AUTOHEDGE IS NOT ENABLED!</t>
  </si>
  <si>
    <t>2015-1-20 19:29:17.244: DirectionIndicator - notify - price/longMA/ShortMA/prevDirection are 1.5151/1.5151119341506/1.51510786668851/-1</t>
  </si>
  <si>
    <t>2015-1-20 19:29:17.245: Algorithm - handleTransition - currentHedgeShortfall is NOT ZERO and AUTOHEDGE IS NOT ENABLED!</t>
  </si>
  <si>
    <t>2015-1-20 19:29:19.15: DirectionIndicator - notify - price/longMA/ShortMA/prevDirection are 1.51515/1.51511885521413/1.51512191112567/-1</t>
  </si>
  <si>
    <t>2015-1-20 19:29:19.17: Algorithm - handleTransition - currentHedgeShortfall is NOT ZERO and AUTOHEDGE IS NOT ENABLED!</t>
  </si>
  <si>
    <t>2015-1-20 19:29:20.543: DirectionIndicator - notify - price/longMA/ShortMA/prevDirection are 1.5151/1.51511542699338/1.51511460741711/-1</t>
  </si>
  <si>
    <t>2015-1-20 19:29:20.544: Algorithm - handleTransition - currentHedgeShortfall is NOT ZERO and AUTOHEDGE IS NOT ENABLED!</t>
  </si>
  <si>
    <t>2015-1-20 19:29:20.827: DirectionIndicator - notify - price/longMA/ShortMA/prevDirection are 1.51515/1.51512171299458/1.51512640494474/-1</t>
  </si>
  <si>
    <t>2015-1-20 19:29:20.828: Algorithm - handleTransition - currentHedgeShortfall is NOT ZERO and AUTOHEDGE IS NOT ENABLED!</t>
  </si>
  <si>
    <t>2015-1-20 19:29:23.828: DirectionIndicator - notify - price/longMA/ShortMA/prevDirection are 1.5151/1.51511776517738/1.5151176032965/-1</t>
  </si>
  <si>
    <t>2015-1-20 19:29:23.830: Algorithm - handleTransition - currentHedgeShortfall is NOT ZERO and AUTOHEDGE IS NOT ENABLED!</t>
  </si>
  <si>
    <t>2015-1-20 19:29:27.214: DirectionIndicator - notify - price/longMA/ShortMA/prevDirection are 1.51515/1.51512362605422/1.51512840219766/-1</t>
  </si>
  <si>
    <t>2015-1-20 19:29:27.215: Algorithm - handleTransition - currentHedgeShortfall is NOT ZERO and AUTOHEDGE IS NOT ENABLED!</t>
  </si>
  <si>
    <t>2015-1-20 19:29:28.649: DirectionIndicator - notify - price/longMA/ShortMA/prevDirection are 1.5151/1.515119330408/1.51511893479844/-1</t>
  </si>
  <si>
    <t>2015-1-20 19:29:28.649: Algorithm - handleTransition - currentHedgeShortfall is NOT ZERO and AUTOHEDGE IS NOT ENABLED!</t>
  </si>
  <si>
    <t>2015-1-20 19:29:29.76: TransitionLogger - flushFile - flushing file</t>
  </si>
  <si>
    <t>2015-1-20 19:29:29.77: TransitionLogger - openTransitionFile - opening file C:\temp\transitionlog_2015-01-20_153021</t>
  </si>
  <si>
    <t>2015-1-20 19:29:31.15: DirectionIndicator - notify - price/longMA/ShortMA/prevDirection are 1.51515/1.51512490669745/1.51512928986563/-1</t>
  </si>
  <si>
    <t>2015-1-20 19:29:31.17: Algorithm - handleTransition - currentHedgeShortfall is NOT ZERO and AUTOHEDGE IS NOT ENABLED!</t>
  </si>
  <si>
    <t>2015-1-20 19:29:40.717: DirectionIndicator - notify - price/longMA/ShortMA/prevDirection are 1.5151/1.51512037820701/1.51511952657709/-1</t>
  </si>
  <si>
    <t>2015-1-20 19:29:40.718: Algorithm - handleTransition - currentHedgeShortfall is NOT ZERO and AUTOHEDGE IS NOT ENABLED!</t>
  </si>
  <si>
    <t>2015-1-20 19:29:41.523: DirectionIndicator - notify - price/longMA/ShortMA/prevDirection are 1.51505/1.51510758216937/1.51509635105139/-1</t>
  </si>
  <si>
    <t>2015-1-20 19:29:41.525: Algorithm - handleTransition - currentHedgeShortfall is NOT ZERO and AUTOHEDGE IS NOT ENABLED!</t>
  </si>
  <si>
    <t>2015-1-20 19:29:41.910: DirectionIndicator - notify - price/longMA/ShortMA/prevDirection are 1.5151/1.51510620359312/1.51509756736759/-1</t>
  </si>
  <si>
    <t>2015-1-20 19:29:41.910: Algorithm - handleTransition - currentHedgeShortfall is NOT ZERO and AUTOHEDGE IS NOT ENABLED!</t>
  </si>
  <si>
    <t>2015-1-20 19:29:43.142: DirectionIndicator - notify - price/longMA/ShortMA/prevDirection are 1.51515/1.51511416657619/1.51511504491173/-1</t>
  </si>
  <si>
    <t>2015-1-20 19:29:43.143: Algorithm - handleTransition - currentHedgeShortfall is NOT ZERO and AUTOHEDGE IS NOT ENABLED!</t>
  </si>
  <si>
    <t>2015-1-20 19:30:8.8: TransitionLogger - flushFile - flushing file</t>
  </si>
  <si>
    <t>2015-1-20 19:30:8.9: TransitionLogger - openTransitionFile - opening file C:\temp\transitionlog_2015-01-20_153021</t>
  </si>
  <si>
    <t>2015-1-20 19:30:29.975: TransitionLogger - flushFile - flushing file</t>
  </si>
  <si>
    <t>2015-1-20 19:30:29.976: TransitionLogger - openTransitionFile - opening file C:\temp\transitionlog_2015-01-20_153021</t>
  </si>
  <si>
    <t>2015-1-20 19:31:8.915: TransitionLogger - flushFile - flushing file</t>
  </si>
  <si>
    <t>2015-1-20 19:31:8.916: TransitionLogger - openTransitionFile - opening file C:\temp\transitionlog_2015-01-20_153021</t>
  </si>
  <si>
    <t>2015-1-20 19:31:29.872: TransitionLogger - flushFile - flushing file</t>
  </si>
  <si>
    <t>2015-1-20 19:31:29.873: TransitionLogger - openTransitionFile - opening file C:\temp\transitionlog_2015-01-20_153021</t>
  </si>
  <si>
    <t>2015-1-20 19:32:8.816: TransitionLogger - flushFile - flushing file</t>
  </si>
  <si>
    <t>2015-1-20 19:32:8.817: TransitionLogger - openTransitionFile - opening file C:\temp\transitionlog_2015-01-20_153021</t>
  </si>
  <si>
    <t>2015-1-20 19:32:29.781: TransitionLogger - flushFile - flushing file</t>
  </si>
  <si>
    <t>2015-1-20 19:32:29.782: TransitionLogger - openTransitionFile - opening file C:\temp\transitionlog_2015-01-20_153021</t>
  </si>
  <si>
    <t>2015-1-20 19:33:8.721: TransitionLogger - flushFile - flushing file</t>
  </si>
  <si>
    <t>2015-1-20 19:33:8.722: TransitionLogger - openTransitionFile - opening file C:\temp\transitionlog_2015-01-20_153021</t>
  </si>
  <si>
    <t>2015-1-20 19:33:29.690: TransitionLogger - flushFile - flushing file</t>
  </si>
  <si>
    <t>2015-1-20 19:33:29.691: TransitionLogger - openTransitionFile - opening file C:\temp\transitionlog_2015-01-20_153021</t>
  </si>
  <si>
    <t>2015-1-20 19:34:8.622: TransitionLogger - flushFile - flushing file</t>
  </si>
  <si>
    <t>2015-1-20 19:34:8.622: TransitionLogger - openTransitionFile - opening file C:\temp\transitionlog_2015-01-20_153021</t>
  </si>
  <si>
    <t>2015-1-20 19:34:29.597: TransitionLogger - flushFile - flushing file</t>
  </si>
  <si>
    <t>2015-1-20 19:34:29.598: TransitionLogger - openTransitionFile - opening file C:\temp\transitionlog_2015-01-20_153021</t>
  </si>
  <si>
    <t>2015-1-20 19:34:43.567: Util - logStaleData - Data is stale!</t>
  </si>
  <si>
    <t>2015-1-20 19:35:8.534: TransitionLogger - flushFile - flushing file</t>
  </si>
  <si>
    <t>2015-1-20 19:35:8.536: TransitionLogger - openTransitionFile - opening file C:\temp\transitionlog_2015-01-20_153021</t>
  </si>
  <si>
    <t>2015-1-20 19:35:29.496: TransitionLogger - flushFile - flushing file</t>
  </si>
  <si>
    <t>2015-1-20 19:35:29.497: TransitionLogger - openTransitionFile - opening file C:\temp\transitionlog_2015-01-20_153021</t>
  </si>
  <si>
    <t>2015-1-20 19:36:8.430: TransitionLogger - flushFile - flushing file</t>
  </si>
  <si>
    <t>2015-1-20 19:36:8.431: TransitionLogger - openTransitionFile - opening file C:\temp\transitionlog_2015-01-20_153021</t>
  </si>
  <si>
    <t>2015-1-20 19:36:29.399: TransitionLogger - flushFile - flushing file</t>
  </si>
  <si>
    <t>2015-1-20 19:36:29.400: TransitionLogger - openTransitionFile - opening file C:\temp\transitionlog_2015-01-20_153021</t>
  </si>
  <si>
    <t>2015-1-20 19:37:8.343: TransitionLogger - flushFile - flushing file</t>
  </si>
  <si>
    <t>2015-1-20 19:37:8.344: TransitionLogger - openTransitionFile - opening file C:\temp\transitionlog_2015-01-20_153021</t>
  </si>
  <si>
    <t>2015-1-20 19:37:29.303: TransitionLogger - flushFile - flushing file</t>
  </si>
  <si>
    <t>2015-1-20 19:37:29.304: TransitionLogger - openTransitionFile - opening file C:\temp\transitionlog_2015-01-20_153021</t>
  </si>
  <si>
    <t>2015-1-20 19:38:8.244: TransitionLogger - flushFile - flushing file</t>
  </si>
  <si>
    <t>2015-1-20 19:38:8.245: TransitionLogger - openTransitionFile - opening file C:\temp\transitionlog_2015-01-20_153021</t>
  </si>
  <si>
    <t>2015-1-20 19:38:29.213: TransitionLogger - flushFile - flushing file</t>
  </si>
  <si>
    <t>2015-1-20 19:38:29.215: TransitionLogger - openTransitionFile - opening file C:\temp\transitionlog_2015-01-20_153021</t>
  </si>
  <si>
    <t>2015-1-20 19:39:8.149: TransitionLogger - flushFile - flushing file</t>
  </si>
  <si>
    <t>2015-1-20 19:39:8.151: TransitionLogger - openTransitionFile - opening file C:\temp\transitionlog_2015-01-20_153021</t>
  </si>
  <si>
    <t>2015-1-20 19:39:29.116: TransitionLogger - flushFile - flushing file</t>
  </si>
  <si>
    <t>2015-1-20 19:39:29.118: TransitionLogger - openTransitionFile - opening file C:\temp\transitionlog_2015-01-20_153021</t>
  </si>
  <si>
    <t>2015-1-20 19:40:8.49: TransitionLogger - flushFile - flushing file</t>
  </si>
  <si>
    <t>2015-1-20 19:40:8.50: TransitionLogger - openTransitionFile - opening file C:\temp\transitionlog_2015-01-20_153021</t>
  </si>
  <si>
    <t>2015-1-20 19:40:29.19: TransitionLogger - flushFile - flushing file</t>
  </si>
  <si>
    <t>2015-1-20 19:40:29.21: TransitionLogger - openTransitionFile - opening file C:\temp\transitionlog_2015-01-20_153021</t>
  </si>
  <si>
    <t>2015-1-20 19:41:8.953: TransitionLogger - flushFile - flushing file</t>
  </si>
  <si>
    <t>2015-1-20 19:41:8.954: TransitionLogger - openTransitionFile - opening file C:\temp\transitionlog_2015-01-20_153021</t>
  </si>
  <si>
    <t>2015-1-20 19:41:29.926: TransitionLogger - flushFile - flushing file</t>
  </si>
  <si>
    <t>2015-1-20 19:41:29.927: TransitionLogger - openTransitionFile - opening file C:\temp\transitionlog_2015-01-20_153021</t>
  </si>
  <si>
    <t>2015-1-20 19:42:8.861: TransitionLogger - flushFile - flushing file</t>
  </si>
  <si>
    <t>2015-1-20 19:42:8.862: TransitionLogger - openTransitionFile - opening file C:\temp\transitionlog_2015-01-20_153021</t>
  </si>
  <si>
    <t>2015-1-20 19:42:29.823: TransitionLogger - flushFile - flushing file</t>
  </si>
  <si>
    <t>2015-1-20 19:42:29.825: TransitionLogger - openTransitionFile - opening file C:\temp\transitionlog_2015-01-20_153021</t>
  </si>
  <si>
    <t>2015-1-20 19:43:8.764: TransitionLogger - flushFile - flushing file</t>
  </si>
  <si>
    <t>2015-1-20 19:43:8.766: TransitionLogger - openTransitionFile - opening file C:\temp\transitionlog_2015-01-20_153021</t>
  </si>
  <si>
    <t>2015-1-20 19:43:29.733: TransitionLogger - flushFile - flushing file</t>
  </si>
  <si>
    <t>2015-1-20 19:43:29.735: TransitionLogger - openTransitionFile - opening file C:\temp\transitionlog_2015-01-20_153021</t>
  </si>
  <si>
    <t>2015-1-20 19:44:8.670: TransitionLogger - flushFile - flushing file</t>
  </si>
  <si>
    <t>2015-1-20 19:44:8.671: TransitionLogger - openTransitionFile - opening file C:\temp\transitionlog_2015-01-20_153021</t>
  </si>
  <si>
    <t>2015-1-20 19:44:29.637: TransitionLogger - flushFile - flushing file</t>
  </si>
  <si>
    <t>2015-1-20 19:44:29.638: TransitionLogger - openTransitionFile - opening file C:\temp\transitionlog_2015-01-20_153021</t>
  </si>
  <si>
    <t>2015-1-20 19:45:8.569: TransitionLogger - flushFile - flushing file</t>
  </si>
  <si>
    <t>2015-1-20 19:45:8.571: TransitionLogger - openTransitionFile - opening file C:\temp\transitionlog_2015-01-20_153021</t>
  </si>
  <si>
    <t>2015-1-20 19:45:29.537: TransitionLogger - flushFile - flushing file</t>
  </si>
  <si>
    <t>2015-1-20 19:45:29.538: TransitionLogger - openTransitionFile - opening file C:\temp\transitionlog_2015-01-20_153021</t>
  </si>
  <si>
    <t>2015-1-20 19:46:8.479: TransitionLogger - flushFile - flushing file</t>
  </si>
  <si>
    <t>2015-1-20 19:46:8.480: TransitionLogger - openTransitionFile - opening file C:\temp\transitionlog_2015-01-20_153021</t>
  </si>
  <si>
    <t>2015-1-20 19:46:29.448: TransitionLogger - flushFile - flushing file</t>
  </si>
  <si>
    <t>2015-1-20 19:46:29.449: TransitionLogger - openTransitionFile - opening file C:\temp\transitionlog_2015-01-20_153021</t>
  </si>
  <si>
    <t>2015-1-20 19:47:8.384: TransitionLogger - flushFile - flushing file</t>
  </si>
  <si>
    <t>2015-1-20 19:47:8.386: TransitionLogger - openTransitionFile - opening file C:\temp\transitionlog_2015-01-20_153021</t>
  </si>
  <si>
    <t>2015-1-20 19:47:29.351: TransitionLogger - flushFile - flushing file</t>
  </si>
  <si>
    <t>2015-1-20 19:47:29.352: TransitionLogger - openTransitionFile - opening file C:\temp\transitionlog_2015-01-20_153021</t>
  </si>
  <si>
    <t>2015-1-20 19:48:8.288: TransitionLogger - flushFile - flushing file</t>
  </si>
  <si>
    <t>2015-1-20 19:48:8.289: TransitionLogger - openTransitionFile - opening file C:\temp\transitionlog_2015-01-20_153021</t>
  </si>
  <si>
    <t>2015-1-20 19:48:29.250: TransitionLogger - flushFile - flushing file</t>
  </si>
  <si>
    <t>2015-1-20 19:48:29.251: TransitionLogger - openTransitionFile - opening file C:\temp\transitionlog_2015-01-20_153021</t>
  </si>
  <si>
    <t>2015-1-20 19:49:8.192: TransitionLogger - flushFile - flushing file</t>
  </si>
  <si>
    <t>2015-1-20 19:49:8.194: TransitionLogger - openTransitionFile - opening file C:\temp\transitionlog_2015-01-20_153021</t>
  </si>
  <si>
    <t>2015-1-20 19:49:29.157: TransitionLogger - flushFile - flushing file</t>
  </si>
  <si>
    <t>2015-1-20 19:49:29.158: TransitionLogger - openTransitionFile - opening file C:\temp\transitionlog_2015-01-20_153021</t>
  </si>
  <si>
    <t>2015-1-20 19:50:8.93: TransitionLogger - flushFile - flushing file</t>
  </si>
  <si>
    <t>2015-1-20 19:50:8.94: TransitionLogger - openTransitionFile - opening file C:\temp\transitionlog_2015-01-20_153021</t>
  </si>
  <si>
    <t>2015-1-20 19:50:29.59: TransitionLogger - flushFile - flushing file</t>
  </si>
  <si>
    <t>2015-1-20 19:50:29.60: TransitionLogger - openTransitionFile - opening file C:\temp\transitionlog_2015-01-20_153021</t>
  </si>
  <si>
    <t>2015-1-20 19:51:9.2: TransitionLogger - flushFile - flushing file</t>
  </si>
  <si>
    <t>2015-1-20 19:51:9.4: TransitionLogger - openTransitionFile - opening file C:\temp\transitionlog_2015-01-20_153021</t>
  </si>
  <si>
    <t>2015-1-20 19:51:29.961: TransitionLogger - flushFile - flushing file</t>
  </si>
  <si>
    <t>2015-1-20 19:51:29.963: TransitionLogger - openTransitionFile - opening file C:\temp\transitionlog_2015-01-20_153021</t>
  </si>
  <si>
    <t>2015-1-20 19:52:9.897: TransitionLogger - flushFile - flushing file</t>
  </si>
  <si>
    <t>2015-1-20 19:52:9.899: TransitionLogger - openTransitionFile - opening file C:\temp\transitionlog_2015-01-20_153021</t>
  </si>
  <si>
    <t>2015-1-20 19:52:29.868: TransitionLogger - flushFile - flushing file</t>
  </si>
  <si>
    <t>2015-1-20 19:52:29.870: TransitionLogger - openTransitionFile - opening file C:\temp\transitionlog_2015-01-20_153021</t>
  </si>
  <si>
    <t>2015-1-20 19:53:9.805: TransitionLogger - flushFile - flushing file</t>
  </si>
  <si>
    <t>2015-1-20 19:53:9.807: TransitionLogger - openTransitionFile - opening file C:\temp\transitionlog_2015-01-20_153021</t>
  </si>
  <si>
    <t>2015-1-20 19:53:29.712: TransitionLogger - flushFile - flushing file</t>
  </si>
  <si>
    <t>2015-1-20 19:53:29.713: TransitionLogger - openTransitionFile - opening file C:\temp\transitionlog_2015-01-20_153021</t>
  </si>
  <si>
    <t>2015-1-20 19:54:9.712: TransitionLogger - flushFile - flushing file</t>
  </si>
  <si>
    <t>2015-1-20 19:54:9.713: TransitionLogger - openTransitionFile - opening file C:\temp\transitionlog_2015-01-20_153021</t>
  </si>
  <si>
    <t>2015-1-20 19:54:29.236: TransitionLogger - flushFile - flushing file</t>
  </si>
  <si>
    <t>2015-1-20 19:54:29.237: TransitionLogger - openTransitionFile - opening file C:\temp\transitionlog_2015-01-20_153021</t>
  </si>
  <si>
    <t>2015-1-20 19:55:9.617: TransitionLogger - flushFile - flushing file</t>
  </si>
  <si>
    <t>2015-1-20 19:55:9.619: TransitionLogger - openTransitionFile - opening file C:\temp\transitionlog_2015-01-20_153021</t>
  </si>
  <si>
    <t>2015-1-20 19:55:29.585: TransitionLogger - flushFile - flushing file</t>
  </si>
  <si>
    <t>2015-1-20 19:55:29.587: TransitionLogger - openTransitionFile - opening file C:\temp\transitionlog_2015-01-20_153021</t>
  </si>
  <si>
    <t>2015-1-20 19:56:9.521: TransitionLogger - flushFile - flushing file</t>
  </si>
  <si>
    <t>2015-1-20 19:56:9.523: TransitionLogger - openTransitionFile - opening file C:\temp\transitionlog_2015-01-20_153021</t>
  </si>
  <si>
    <t>2015-1-20 19:56:29.483: TransitionLogger - flushFile - flushing file</t>
  </si>
  <si>
    <t>2015-1-20 19:56:29.484: TransitionLogger - openTransitionFile - opening file C:\temp\transitionlog_2015-01-20_153021</t>
  </si>
  <si>
    <t>2015-1-20 19:57:9.420: TransitionLogger - flushFile - flushing file</t>
  </si>
  <si>
    <t>2015-1-20 19:57:9.421: TransitionLogger - openTransitionFile - opening file C:\temp\transitionlog_2015-01-20_153021</t>
  </si>
  <si>
    <t>2015-1-20 19:57:29.388: TransitionLogger - flushFile - flushing file</t>
  </si>
  <si>
    <t>2015-1-20 19:57:29.389: TransitionLogger - openTransitionFile - opening file C:\temp\transitionlog_2015-01-20_153021</t>
  </si>
  <si>
    <t>2015-1-20 19:58:9.326: TransitionLogger - flushFile - flushing file</t>
  </si>
  <si>
    <t>2015-1-20 19:58:9.327: TransitionLogger - openTransitionFile - opening file C:\temp\transitionlog_2015-01-20_153021</t>
  </si>
  <si>
    <t>2015-1-20 19:58:29.297: TransitionLogger - flushFile - flushing file</t>
  </si>
  <si>
    <t>2015-1-20 19:58:29.298: TransitionLogger - openTransitionFile - opening file C:\temp\transitionlog_2015-01-20_153021</t>
  </si>
  <si>
    <t>2015-1-20 19:59:9.228: TransitionLogger - flushFile - flushing file</t>
  </si>
  <si>
    <t>2015-1-20 19:59:9.229: TransitionLogger - openTransitionFile - opening file C:\temp\transitionlog_2015-01-20_153021</t>
  </si>
  <si>
    <t>2015-1-20 19:59:29.197: TransitionLogger - flushFile - flushing file</t>
  </si>
  <si>
    <t>2015-1-20 19:59:29.199: TransitionLogger - openTransitionFile - opening file C:\temp\transitionlog_2015-01-20_153021</t>
  </si>
  <si>
    <t>2015-1-20 20:0:9.133: TransitionLogger - flushFile - flushing file</t>
  </si>
  <si>
    <t>2015-1-20 20:0:9.134: TransitionLogger - openTransitionFile - opening file C:\temp\transitionlog_2015-01-20_153021</t>
  </si>
  <si>
    <t>2015-1-20 20:0:29.101: TransitionLogger - flushFile - flushing file</t>
  </si>
  <si>
    <t>2015-1-20 20:0:29.103: TransitionLogger - openTransitionFile - opening file C:\temp\transitionlog_2015-01-20_153021</t>
  </si>
  <si>
    <t>2015-1-20 20:1:9.41: TransitionLogger - flushFile - flushing file</t>
  </si>
  <si>
    <t>2015-1-20 20:1:9.43: TransitionLogger - openTransitionFile - opening file C:\temp\transitionlog_2015-01-20_153021</t>
  </si>
  <si>
    <t>2015-1-20 20:1:29.9: TransitionLogger - flushFile - flushing file</t>
  </si>
  <si>
    <t>2015-1-20 20:1:29.10: TransitionLogger - openTransitionFile - opening file C:\temp\transitionlog_2015-01-20_153021</t>
  </si>
  <si>
    <t>2015-1-20 20:2:9.939: TransitionLogger - flushFile - flushing file</t>
  </si>
  <si>
    <t>2015-1-20 20:2:9.941: TransitionLogger - openTransitionFile - opening file C:\temp\transitionlog_2015-01-20_153021</t>
  </si>
  <si>
    <t>2015-1-20 20:2:29.907: TransitionLogger - flushFile - flushing file</t>
  </si>
  <si>
    <t>2015-1-20 20:2:29.908: TransitionLogger - openTransitionFile - opening file C:\temp\transitionlog_2015-01-20_153021</t>
  </si>
  <si>
    <t>2015-1-20 20:3:9.845: TransitionLogger - flushFile - flushing file</t>
  </si>
  <si>
    <t>2015-1-20 20:3:9.846: TransitionLogger - openTransitionFile - opening file C:\temp\transitionlog_2015-01-20_153021</t>
  </si>
  <si>
    <t>2015-1-20 20:3:29.819: TransitionLogger - flushFile - flushing file</t>
  </si>
  <si>
    <t>2015-1-20 20:3:29.820: TransitionLogger - openTransitionFile - opening file C:\temp\transitionlog_2015-01-20_153021</t>
  </si>
  <si>
    <t>2015-1-20 20:4:9.750: TransitionLogger - flushFile - flushing file</t>
  </si>
  <si>
    <t>2015-1-20 20:4:9.751: TransitionLogger - openTransitionFile - opening file C:\temp\transitionlog_2015-01-20_153021</t>
  </si>
  <si>
    <t>2015-1-20 20:4:29.720: TransitionLogger - flushFile - flushing file</t>
  </si>
  <si>
    <t>2015-1-20 20:4:29.721: TransitionLogger - openTransitionFile - opening file C:\temp\transitionlog_2015-01-20_153021</t>
  </si>
  <si>
    <t>2015-1-20 20:5:9.655: TransitionLogger - flushFile - flushing file</t>
  </si>
  <si>
    <t>2015-1-20 20:5:9.657: TransitionLogger - openTransitionFile - opening file C:\temp\transitionlog_2015-01-20_153021</t>
  </si>
  <si>
    <t>2015-1-20 20:5:29.620: TransitionLogger - flushFile - flushing file</t>
  </si>
  <si>
    <t>2015-1-20 20:5:29.622: TransitionLogger - openTransitionFile - opening file C:\temp\transitionlog_2015-01-20_153021</t>
  </si>
  <si>
    <t>2015-1-20 20:6:9.562: TransitionLogger - flushFile - flushing file</t>
  </si>
  <si>
    <t>2015-1-20 20:6:9.564: TransitionLogger - openTransitionFile - opening file C:\temp\transitionlog_2015-01-20_153021</t>
  </si>
  <si>
    <t>2015-1-20 20:6:29.526: TransitionLogger - flushFile - flushing file</t>
  </si>
  <si>
    <t>2015-1-20 20:6:29.528: TransitionLogger - openTransitionFile - opening file C:\temp\transitionlog_2015-01-20_153021</t>
  </si>
  <si>
    <t>2015-1-20 20:7:9.463: TransitionLogger - flushFile - flushing file</t>
  </si>
  <si>
    <t>2015-1-20 20:7:9.465: TransitionLogger - openTransitionFile - opening file C:\temp\transitionlog_2015-01-20_153021</t>
  </si>
  <si>
    <t>2015-1-20 20:7:29.436: TransitionLogger - flushFile - flushing file</t>
  </si>
  <si>
    <t>2015-1-20 20:7:29.437: TransitionLogger - openTransitionFile - opening file C:\temp\transitionlog_2015-01-20_153021</t>
  </si>
  <si>
    <t>2015-1-20 20:8:9.367: TransitionLogger - flushFile - flushing file</t>
  </si>
  <si>
    <t>2015-1-20 20:8:9.369: TransitionLogger - openTransitionFile - opening file C:\temp\transitionlog_2015-01-20_153021</t>
  </si>
  <si>
    <t>2015-1-20 20:8:29.339: TransitionLogger - flushFile - flushing file</t>
  </si>
  <si>
    <t>2015-1-20 20:8:29.340: TransitionLogger - openTransitionFile - opening file C:\temp\transitionlog_2015-01-20_153021</t>
  </si>
  <si>
    <t>2015-1-20 20:9:9.273: TransitionLogger - flushFile - flushing file</t>
  </si>
  <si>
    <t>2015-1-20 20:9:9.275: TransitionLogger - openTransitionFile - opening file C:\temp\transitionlog_2015-01-20_153021</t>
  </si>
  <si>
    <t>2015-1-20 20:9:29.240: TransitionLogger - flushFile - flushing file</t>
  </si>
  <si>
    <t>2015-1-20 20:9:29.241: TransitionLogger - openTransitionFile - opening file C:\temp\transitionlog_2015-01-20_153021</t>
  </si>
  <si>
    <t>2015-1-20 20:10:9.176: TransitionLogger - flushFile - flushing file</t>
  </si>
  <si>
    <t>2015-1-20 20:10:9.177: TransitionLogger - openTransitionFile - opening file C:\temp\transitionlog_2015-01-20_153021</t>
  </si>
  <si>
    <t>2015-1-20 20:10:29.146: TransitionLogger - flushFile - flushing file</t>
  </si>
  <si>
    <t>2015-1-20 20:10:29.147: TransitionLogger - openTransitionFile - opening file C:\temp\transitionlog_2015-01-20_153021</t>
  </si>
  <si>
    <t>2015-1-20 20:11:9.84: TransitionLogger - flushFile - flushing file</t>
  </si>
  <si>
    <t>2015-1-20 20:11:9.86: TransitionLogger - openTransitionFile - opening file C:\temp\transitionlog_2015-01-20_153021</t>
  </si>
  <si>
    <t>2015-1-20 20:11:29.50: TransitionLogger - flushFile - flushing file</t>
  </si>
  <si>
    <t>2015-1-20 20:11:29.51: TransitionLogger - openTransitionFile - opening file C:\temp\transitionlog_2015-01-20_153021</t>
  </si>
  <si>
    <t>2015-1-20 20:12:9.984: TransitionLogger - flushFile - flushing file</t>
  </si>
  <si>
    <t>2015-1-20 20:12:9.986: TransitionLogger - openTransitionFile - opening file C:\temp\transitionlog_2015-01-20_153021</t>
  </si>
  <si>
    <t>2015-1-20 20:12:29.951: TransitionLogger - flushFile - flushing file</t>
  </si>
  <si>
    <t>2015-1-20 20:12:29.952: TransitionLogger - openTransitionFile - opening file C:\temp\transitionlog_2015-01-20_153021</t>
  </si>
  <si>
    <t>2015-1-20 20:13:9.892: TransitionLogger - flushFile - flushing file</t>
  </si>
  <si>
    <t>2015-1-20 20:13:9.894: TransitionLogger - openTransitionFile - opening file C:\temp\transitionlog_2015-01-20_153021</t>
  </si>
  <si>
    <t>2015-1-20 20:13:29.855: TransitionLogger - flushFile - flushing file</t>
  </si>
  <si>
    <t>2015-1-20 20:13:29.856: TransitionLogger - openTransitionFile - opening file C:\temp\transitionlog_2015-01-20_153021</t>
  </si>
  <si>
    <t>2015-1-20 20:14:9.792: TransitionLogger - flushFile - flushing file</t>
  </si>
  <si>
    <t>2015-1-20 20:14:9.794: TransitionLogger - openTransitionFile - opening file C:\temp\transitionlog_2015-01-20_153021</t>
  </si>
  <si>
    <t>2015-1-20 20:14:29.765: TransitionLogger - flushFile - flushing file</t>
  </si>
  <si>
    <t>2015-1-20 20:14:29.767: TransitionLogger - openTransitionFile - opening file C:\temp\transitionlog_2015-01-20_153021</t>
  </si>
  <si>
    <t>2015-1-20 20:15:9.702: TransitionLogger - flushFile - flushing file</t>
  </si>
  <si>
    <t>2015-1-20 20:15:9.704: TransitionLogger - openTransitionFile - opening file C:\temp\transitionlog_2015-01-20_153021</t>
  </si>
  <si>
    <t>2015-1-20 20:15:29.669: TransitionLogger - flushFile - flushing file</t>
  </si>
  <si>
    <t>2015-1-20 20:15:29.671: TransitionLogger - openTransitionFile - opening file C:\temp\transitionlog_2015-01-20_153021</t>
  </si>
  <si>
    <t>2015-1-20 20:16:9.599: TransitionLogger - flushFile - flushing file</t>
  </si>
  <si>
    <t>2015-1-20 20:16:9.600: TransitionLogger - openTransitionFile - opening file C:\temp\transitionlog_2015-01-20_153021</t>
  </si>
  <si>
    <t>2015-1-20 20:16:29.569: TransitionLogger - flushFile - flushing file</t>
  </si>
  <si>
    <t>2015-1-20 20:16:29.570: TransitionLogger - openTransitionFile - opening file C:\temp\transitionlog_2015-01-20_153021</t>
  </si>
  <si>
    <t>2015-1-20 20:17:9.505: TransitionLogger - flushFile - flushing file</t>
  </si>
  <si>
    <t>2015-1-20 20:17:9.507: TransitionLogger - openTransitionFile - opening file C:\temp\transitionlog_2015-01-20_153021</t>
  </si>
  <si>
    <t>2015-1-20 20:17:29.471: TransitionLogger - flushFile - flushing file</t>
  </si>
  <si>
    <t>2015-1-20 20:17:29.473: TransitionLogger - openTransitionFile - opening file C:\temp\transitionlog_2015-01-20_153021</t>
  </si>
  <si>
    <t>2015-1-20 20:18:9.408: TransitionLogger - flushFile - flushing file</t>
  </si>
  <si>
    <t>2015-1-20 20:18:9.410: TransitionLogger - openTransitionFile - opening file C:\temp\transitionlog_2015-01-20_153021</t>
  </si>
  <si>
    <t>2015-1-20 20:18:29.381: TransitionLogger - flushFile - flushing file</t>
  </si>
  <si>
    <t>2015-1-20 20:18:29.382: TransitionLogger - openTransitionFile - opening file C:\temp\transitionlog_2015-01-20_153021</t>
  </si>
  <si>
    <t>2015-1-20 20:19:9.313: TransitionLogger - flushFile - flushing file</t>
  </si>
  <si>
    <t>2015-1-20 20:19:9.314: TransitionLogger - openTransitionFile - opening file C:\temp\transitionlog_2015-01-20_153021</t>
  </si>
  <si>
    <t>2015-1-20 20:19:29.286: TransitionLogger - flushFile - flushing file</t>
  </si>
  <si>
    <t>2015-1-20 20:19:29.287: TransitionLogger - openTransitionFile - opening file C:\temp\transitionlog_2015-01-20_153021</t>
  </si>
  <si>
    <t>2015-1-20 20:20:9.215: TransitionLogger - flushFile - flushing file</t>
  </si>
  <si>
    <t>2015-1-20 20:20:9.217: TransitionLogger - openTransitionFile - opening file C:\temp\transitionlog_2015-01-20_153021</t>
  </si>
  <si>
    <t>2015-1-20 20:20:29.184: TransitionLogger - flushFile - flushing file</t>
  </si>
  <si>
    <t>2015-1-20 20:20:29.185: TransitionLogger - openTransitionFile - opening file C:\temp\transitionlog_2015-01-20_153021</t>
  </si>
  <si>
    <t>2015-1-20 20:21:9.123: TransitionLogger - flushFile - flushing file</t>
  </si>
  <si>
    <t>2015-1-20 20:21:9.125: TransitionLogger - openTransitionFile - opening file C:\temp\transitionlog_2015-01-20_153021</t>
  </si>
  <si>
    <t>2015-1-20 20:21:29.91: TransitionLogger - flushFile - flushing file</t>
  </si>
  <si>
    <t>2015-1-20 20:21:29.92: TransitionLogger - openTransitionFile - opening file C:\temp\transitionlog_2015-01-20_153021</t>
  </si>
  <si>
    <t>2015-1-20 20:22:9.26: TransitionLogger - flushFile - flushing file</t>
  </si>
  <si>
    <t>2015-1-20 20:22:9.28: TransitionLogger - openTransitionFile - opening file C:\temp\transitionlog_2015-01-20_153021</t>
  </si>
  <si>
    <t>2015-1-20 20:22:29.998: TransitionLogger - flushFile - flushing file</t>
  </si>
  <si>
    <t>2015-1-20 20:22:29.999: TransitionLogger - openTransitionFile - opening file C:\temp\transitionlog_2015-01-20_153021</t>
  </si>
  <si>
    <t>2015-1-20 20:23:9.931: TransitionLogger - flushFile - flushing file</t>
  </si>
  <si>
    <t>2015-1-20 20:23:9.933: TransitionLogger - openTransitionFile - opening file C:\temp\transitionlog_2015-01-20_153021</t>
  </si>
  <si>
    <t>2015-1-20 20:23:30.892: TransitionLogger - flushFile - flushing file</t>
  </si>
  <si>
    <t>2015-1-20 20:23:30.892: TransitionLogger - openTransitionFile - opening file C:\temp\transitionlog_2015-01-20_153021</t>
  </si>
  <si>
    <t>2015-1-20 20:24:9.838: TransitionLogger - flushFile - flushing file</t>
  </si>
  <si>
    <t>2015-1-20 20:24:9.839: TransitionLogger - openTransitionFile - opening file C:\temp\transitionlog_2015-01-20_153021</t>
  </si>
  <si>
    <t>2015-1-20 20:24:30.799: TransitionLogger - flushFile - flushing file</t>
  </si>
  <si>
    <t>2015-1-20 20:24:30.800: TransitionLogger - openTransitionFile - opening file C:\temp\transitionlog_2015-01-20_153021</t>
  </si>
  <si>
    <t>2015-1-20 20:25:9.737: TransitionLogger - flushFile - flushing file</t>
  </si>
  <si>
    <t>2015-1-20 20:25:9.739: TransitionLogger - openTransitionFile - opening file C:\temp\transitionlog_2015-01-20_153021</t>
  </si>
  <si>
    <t>2015-1-20 20:25:30.708: TransitionLogger - flushFile - flushing file</t>
  </si>
  <si>
    <t>2015-1-20 20:25:30.709: TransitionLogger - openTransitionFile - opening file C:\temp\transitionlog_2015-01-20_153021</t>
  </si>
  <si>
    <t>2015-1-20 20:26:9.647: TransitionLogger - flushFile - flushing file</t>
  </si>
  <si>
    <t>2015-1-20 20:26:9.648: TransitionLogger - openTransitionFile - opening file C:\temp\transitionlog_2015-01-20_153021</t>
  </si>
  <si>
    <t>2015-1-20 20:26:30.607: TransitionLogger - flushFile - flushing file</t>
  </si>
  <si>
    <t>2015-1-20 20:26:30.608: TransitionLogger - openTransitionFile - opening file C:\temp\transitionlog_2015-01-20_153021</t>
  </si>
  <si>
    <t>2015-1-20 20:27:9.545: TransitionLogger - flushFile - flushing file</t>
  </si>
  <si>
    <t>2015-1-20 20:27:9.547: TransitionLogger - openTransitionFile - opening file C:\temp\transitionlog_2015-01-20_153021</t>
  </si>
  <si>
    <t>2015-1-20 20:27:30.512: TransitionLogger - flushFile - flushing file</t>
  </si>
  <si>
    <t>2015-1-20 20:27:30.514: TransitionLogger - openTransitionFile - opening file C:\temp\transitionlog_2015-01-20_153021</t>
  </si>
  <si>
    <t>2015-1-20 20:28:9.449: TransitionLogger - flushFile - flushing file</t>
  </si>
  <si>
    <t>2015-1-20 20:28:9.450: TransitionLogger - openTransitionFile - opening file C:\temp\transitionlog_2015-01-20_153021</t>
  </si>
  <si>
    <t>2015-1-20 20:28:30.422: TransitionLogger - flushFile - flushing file</t>
  </si>
  <si>
    <t>2015-1-20 20:28:30.423: TransitionLogger - openTransitionFile - opening file C:\temp\transitionlog_2015-01-20_153021</t>
  </si>
  <si>
    <t>2015-1-20 20:29:9.357: TransitionLogger - flushFile - flushing file</t>
  </si>
  <si>
    <t>2015-1-20 20:29:9.358: TransitionLogger - openTransitionFile - opening file C:\temp\transitionlog_2015-01-20_153021</t>
  </si>
  <si>
    <t>2015-1-20 20:29:30.325: TransitionLogger - flushFile - flushing file</t>
  </si>
  <si>
    <t>2015-1-20 20:29:30.326: TransitionLogger - openTransitionFile - opening file C:\temp\transitionlog_2015-01-20_153021</t>
  </si>
  <si>
    <t>2015-1-20 20:30:9.264: TransitionLogger - flushFile - flushing file</t>
  </si>
  <si>
    <t>2015-1-20 20:30:9.266: TransitionLogger - openTransitionFile - opening file C:\temp\transitionlog_2015-01-20_153021</t>
  </si>
  <si>
    <t>2015-1-20 20:30:30.228: TransitionLogger - flushFile - flushing file</t>
  </si>
  <si>
    <t>2015-1-20 20:30:30.230: TransitionLogger - openTransitionFile - opening file C:\temp\transitionlog_2015-01-20_153021</t>
  </si>
  <si>
    <t>2015-1-20 20:31:9.165: TransitionLogger - flushFile - flushing file</t>
  </si>
  <si>
    <t>2015-1-20 20:31:9.166: TransitionLogger - openTransitionFile - opening file C:\temp\transitionlog_2015-01-20_153021</t>
  </si>
  <si>
    <t>2015-1-20 20:31:30.133: TransitionLogger - flushFile - flushing file</t>
  </si>
  <si>
    <t>2015-1-20 20:31:30.135: TransitionLogger - openTransitionFile - opening file C:\temp\transitionlog_2015-01-20_153021</t>
  </si>
  <si>
    <t>2015-1-20 20:32:9.73: TransitionLogger - flushFile - flushing file</t>
  </si>
  <si>
    <t>2015-1-20 20:32:9.75: TransitionLogger - openTransitionFile - opening file C:\temp\transitionlog_2015-01-20_153021</t>
  </si>
  <si>
    <t>2015-1-20 20:32:30.42: TransitionLogger - flushFile - flushing file</t>
  </si>
  <si>
    <t>2015-1-20 20:32:30.44: TransitionLogger - openTransitionFile - opening file C:\temp\transitionlog_2015-01-20_153021</t>
  </si>
  <si>
    <t>2015-1-20 20:33:9.975: TransitionLogger - flushFile - flushing file</t>
  </si>
  <si>
    <t>2015-1-20 20:33:9.977: TransitionLogger - openTransitionFile - opening file C:\temp\transitionlog_2015-01-20_153021</t>
  </si>
  <si>
    <t>2015-1-20 20:33:30.943: TransitionLogger - flushFile - flushing file</t>
  </si>
  <si>
    <t>2015-1-20 20:33:30.944: TransitionLogger - openTransitionFile - opening file C:\temp\transitionlog_2015-01-20_153021</t>
  </si>
  <si>
    <t>2015-1-20 20:34:9.877: TransitionLogger - flushFile - flushing file</t>
  </si>
  <si>
    <t>2015-1-20 20:34:9.879: TransitionLogger - openTransitionFile - opening file C:\temp\transitionlog_2015-01-20_153021</t>
  </si>
  <si>
    <t>2015-1-20 20:34:30.842: TransitionLogger - flushFile - flushing file</t>
  </si>
  <si>
    <t>2015-1-20 20:34:30.844: TransitionLogger - openTransitionFile - opening file C:\temp\transitionlog_2015-01-20_153021</t>
  </si>
  <si>
    <t>2015-1-20 20:35:9.782: TransitionLogger - flushFile - flushing file</t>
  </si>
  <si>
    <t>2015-1-20 20:35:9.783: TransitionLogger - openTransitionFile - opening file C:\temp\transitionlog_2015-01-20_153021</t>
  </si>
  <si>
    <t>2015-1-20 20:35:30.745: TransitionLogger - flushFile - flushing file</t>
  </si>
  <si>
    <t>2015-1-20 20:35:30.747: TransitionLogger - openTransitionFile - opening file C:\temp\transitionlog_2015-01-20_153021</t>
  </si>
  <si>
    <t>2015-1-20 20:36:9.688: TransitionLogger - flushFile - flushing file</t>
  </si>
  <si>
    <t>2015-1-20 20:36:9.690: TransitionLogger - openTransitionFile - opening file C:\temp\transitionlog_2015-01-20_153021</t>
  </si>
  <si>
    <t>2015-1-20 20:36:30.650: TransitionLogger - flushFile - flushing file</t>
  </si>
  <si>
    <t>2015-1-20 20:36:30.651: TransitionLogger - openTransitionFile - opening file C:\temp\transitionlog_2015-01-20_153021</t>
  </si>
  <si>
    <t>2015-1-20 20:37:9.593: TransitionLogger - flushFile - flushing file</t>
  </si>
  <si>
    <t>2015-1-20 20:37:9.595: TransitionLogger - openTransitionFile - opening file C:\temp\transitionlog_2015-01-20_153021</t>
  </si>
  <si>
    <t>2015-1-20 20:37:30.563: TransitionLogger - flushFile - flushing file</t>
  </si>
  <si>
    <t>2015-1-20 20:37:30.565: TransitionLogger - openTransitionFile - opening file C:\temp\transitionlog_2015-01-20_153021</t>
  </si>
  <si>
    <t>2015-1-20 20:38:9.494: TransitionLogger - flushFile - flushing file</t>
  </si>
  <si>
    <t>2015-1-20 20:38:9.496: TransitionLogger - openTransitionFile - opening file C:\temp\transitionlog_2015-01-20_153021</t>
  </si>
  <si>
    <t>2015-1-20 20:38:30.461: TransitionLogger - flushFile - flushing file</t>
  </si>
  <si>
    <t>2015-1-20 20:38:30.462: TransitionLogger - openTransitionFile - opening file C:\temp\transitionlog_2015-01-20_153021</t>
  </si>
  <si>
    <t>2015-1-20 20:39:9.336: TransitionLogger - flushFile - flushing file</t>
  </si>
  <si>
    <t>2015-1-20 20:39:9.338: TransitionLogger - openTransitionFile - opening file C:\temp\transitionlog_2015-01-20_153021</t>
  </si>
  <si>
    <t>2015-1-20 20:39:30.364: TransitionLogger - flushFile - flushing file</t>
  </si>
  <si>
    <t>2015-1-20 20:39:30.366: TransitionLogger - openTransitionFile - opening file C:\temp\transitionlog_2015-01-20_153021</t>
  </si>
  <si>
    <t>2015-1-20 20:40:9.305: TransitionLogger - flushFile - flushing file</t>
  </si>
  <si>
    <t>2015-1-20 20:40:9.306: TransitionLogger - openTransitionFile - opening file C:\temp\transitionlog_2015-01-20_153021</t>
  </si>
  <si>
    <t>2015-1-20 20:40:30.266: TransitionLogger - flushFile - flushing file</t>
  </si>
  <si>
    <t>2015-1-20 20:40:30.268: TransitionLogger - openTransitionFile - opening file C:\temp\transitionlog_2015-01-20_153021</t>
  </si>
  <si>
    <t>2015-1-20 20:41:9.211: TransitionLogger - flushFile - flushing file</t>
  </si>
  <si>
    <t>2015-1-20 20:41:9.213: TransitionLogger - openTransitionFile - opening file C:\temp\transitionlog_2015-01-20_153021</t>
  </si>
  <si>
    <t>2015-1-20 20:41:30.176: TransitionLogger - flushFile - flushing file</t>
  </si>
  <si>
    <t>2015-1-20 20:41:30.178: TransitionLogger - openTransitionFile - opening file C:\temp\transitionlog_2015-01-20_153021</t>
  </si>
  <si>
    <t>2015-1-20 20:42:9.110: TransitionLogger - flushFile - flushing file</t>
  </si>
  <si>
    <t>2015-1-20 20:42:9.112: TransitionLogger - openTransitionFile - opening file C:\temp\transitionlog_2015-01-20_153021</t>
  </si>
  <si>
    <t>2015-1-20 20:42:30.80: TransitionLogger - flushFile - flushing file</t>
  </si>
  <si>
    <t>2015-1-20 20:42:30.81: TransitionLogger - openTransitionFile - opening file C:\temp\transitionlog_2015-01-20_153021</t>
  </si>
  <si>
    <t>2015-1-20 20:43:9.19: TransitionLogger - flushFile - flushing file</t>
  </si>
  <si>
    <t>2015-1-20 20:43:9.21: TransitionLogger - openTransitionFile - opening file C:\temp\transitionlog_2015-01-20_153021</t>
  </si>
  <si>
    <t>2015-1-20 20:43:30.980: TransitionLogger - flushFile - flushing file</t>
  </si>
  <si>
    <t>2015-1-20 20:43:30.982: TransitionLogger - openTransitionFile - opening file C:\temp\transitionlog_2015-01-20_153021</t>
  </si>
  <si>
    <t>2015-1-20 20:44:9.921: TransitionLogger - flushFile - flushing file</t>
  </si>
  <si>
    <t>2015-1-20 20:44:9.922: TransitionLogger - openTransitionFile - opening file C:\temp\transitionlog_2015-01-20_153021</t>
  </si>
  <si>
    <t>2015-1-20 20:44:30.885: TransitionLogger - flushFile - flushing file</t>
  </si>
  <si>
    <t>2015-1-20 20:44:30.887: TransitionLogger - openTransitionFile - opening file C:\temp\transitionlog_2015-01-20_153021</t>
  </si>
  <si>
    <t>2015-1-20 20:45:9.821: TransitionLogger - flushFile - flushing file</t>
  </si>
  <si>
    <t>2015-1-20 20:45:9.823: TransitionLogger - openTransitionFile - opening file C:\temp\transitionlog_2015-01-20_153021</t>
  </si>
  <si>
    <t>2015-1-20 20:45:30.787: TransitionLogger - flushFile - flushing file</t>
  </si>
  <si>
    <t>2015-1-20 20:45:30.788: TransitionLogger - openTransitionFile - opening file C:\temp\transitionlog_2015-01-20_153021</t>
  </si>
  <si>
    <t>2015-1-20 20:46:9.729: TransitionLogger - flushFile - flushing file</t>
  </si>
  <si>
    <t>2015-1-20 20:46:9.730: TransitionLogger - openTransitionFile - opening file C:\temp\transitionlog_2015-01-20_153021</t>
  </si>
  <si>
    <t>2015-1-20 20:46:30.696: TransitionLogger - flushFile - flushing file</t>
  </si>
  <si>
    <t>2015-1-20 20:46:30.697: TransitionLogger - openTransitionFile - opening file C:\temp\transitionlog_2015-01-20_153021</t>
  </si>
  <si>
    <t>2015-1-20 20:47:9.631: TransitionLogger - flushFile - flushing file</t>
  </si>
  <si>
    <t>2015-1-20 20:47:9.632: TransitionLogger - openTransitionFile - opening file C:\temp\transitionlog_2015-01-20_153021</t>
  </si>
  <si>
    <t>2015-1-20 20:47:30.601: TransitionLogger - flushFile - flushing file</t>
  </si>
  <si>
    <t>2015-1-20 20:47:30.603: TransitionLogger - openTransitionFile - opening file C:\temp\transitionlog_2015-01-20_153021</t>
  </si>
  <si>
    <t>2015-1-20 20:48:9.535: TransitionLogger - flushFile - flushing file</t>
  </si>
  <si>
    <t>2015-1-20 20:48:9.536: TransitionLogger - openTransitionFile - opening file C:\temp\transitionlog_2015-01-20_153021</t>
  </si>
  <si>
    <t>2015-1-20 20:48:30.502: TransitionLogger - flushFile - flushing file</t>
  </si>
  <si>
    <t>2015-1-20 20:48:30.503: TransitionLogger - openTransitionFile - opening file C:\temp\transitionlog_2015-01-20_153021</t>
  </si>
  <si>
    <t>2015-1-20 20:49:9.445: TransitionLogger - flushFile - flushing file</t>
  </si>
  <si>
    <t>2015-1-20 20:49:9.447: TransitionLogger - openTransitionFile - opening file C:\temp\transitionlog_2015-01-20_153021</t>
  </si>
  <si>
    <t>2015-1-20 20:49:30.412: TransitionLogger - flushFile - flushing file</t>
  </si>
  <si>
    <t>2015-1-20 20:49:30.413: TransitionLogger - openTransitionFile - opening file C:\temp\transitionlog_2015-01-20_153021</t>
  </si>
  <si>
    <t>2015-1-20 20:50:9.350: TransitionLogger - flushFile - flushing file</t>
  </si>
  <si>
    <t>2015-1-20 20:50:9.351: TransitionLogger - openTransitionFile - opening file C:\temp\transitionlog_2015-01-20_153021</t>
  </si>
  <si>
    <t>2015-1-20 20:50:30.309: TransitionLogger - flushFile - flushing file</t>
  </si>
  <si>
    <t>2015-1-20 20:50:30.311: TransitionLogger - openTransitionFile - opening file C:\temp\transitionlog_2015-01-20_153021</t>
  </si>
  <si>
    <t>2015-1-20 20:51:9.248: TransitionLogger - flushFile - flushing file</t>
  </si>
  <si>
    <t>2015-1-20 20:51:9.249: TransitionLogger - openTransitionFile - opening file C:\temp\transitionlog_2015-01-20_153021</t>
  </si>
  <si>
    <t>2015-1-20 20:51:30.219: TransitionLogger - flushFile - flushing file</t>
  </si>
  <si>
    <t>2015-1-20 20:51:30.220: TransitionLogger - openTransitionFile - opening file C:\temp\transitionlog_2015-01-20_153021</t>
  </si>
  <si>
    <t>2015-1-20 20:52:9.157: TransitionLogger - flushFile - flushing file</t>
  </si>
  <si>
    <t>2015-1-20 20:52:9.159: TransitionLogger - openTransitionFile - opening file C:\temp\transitionlog_2015-01-20_153021</t>
  </si>
  <si>
    <t>2015-1-20 20:52:30.122: TransitionLogger - flushFile - flushing file</t>
  </si>
  <si>
    <t>2015-1-20 20:52:30.124: TransitionLogger - openTransitionFile - opening file C:\temp\transitionlog_2015-01-20_153021</t>
  </si>
  <si>
    <t>2015-1-20 20:53:9.55: TransitionLogger - flushFile - flushing file</t>
  </si>
  <si>
    <t>2015-1-20 20:53:9.56: TransitionLogger - openTransitionFile - opening file C:\temp\transitionlog_2015-01-20_153021</t>
  </si>
  <si>
    <t>2015-1-20 20:53:30.27: TransitionLogger - flushFile - flushing file</t>
  </si>
  <si>
    <t>2015-1-20 20:53:30.28: TransitionLogger - openTransitionFile - opening file C:\temp\transitionlog_2015-01-20_153021</t>
  </si>
  <si>
    <t>2015-1-20 20:54:9.960: TransitionLogger - flushFile - flushing file</t>
  </si>
  <si>
    <t>2015-1-20 20:54:9.961: TransitionLogger - openTransitionFile - opening file C:\temp\transitionlog_2015-01-20_153021</t>
  </si>
  <si>
    <t>2015-1-20 20:54:30.929: TransitionLogger - flushFile - flushing file</t>
  </si>
  <si>
    <t>2015-1-20 20:54:30.930: TransitionLogger - openTransitionFile - opening file C:\temp\transitionlog_2015-01-20_153021</t>
  </si>
  <si>
    <t>2015-1-20 20:55:9.864: TransitionLogger - flushFile - flushing file</t>
  </si>
  <si>
    <t>2015-1-20 20:55:9.866: TransitionLogger - openTransitionFile - opening file C:\temp\transitionlog_2015-01-20_153021</t>
  </si>
  <si>
    <t>2015-1-20 20:55:30.832: TransitionLogger - flushFile - flushing file</t>
  </si>
  <si>
    <t>2015-1-20 20:55:30.833: TransitionLogger - openTransitionFile - opening file C:\temp\transitionlog_2015-01-20_153021</t>
  </si>
  <si>
    <t>2015-1-20 20:56:9.775: TransitionLogger - flushFile - flushing file</t>
  </si>
  <si>
    <t>2015-1-20 20:56:9.777: TransitionLogger - openTransitionFile - opening file C:\temp\transitionlog_2015-01-20_153021</t>
  </si>
  <si>
    <t>2015-1-20 20:56:30.742: TransitionLogger - flushFile - flushing file</t>
  </si>
  <si>
    <t>2015-1-20 20:56:30.743: TransitionLogger - openTransitionFile - opening file C:\temp\transitionlog_2015-01-20_153021</t>
  </si>
  <si>
    <t>2015-1-20 20:57:9.673: TransitionLogger - flushFile - flushing file</t>
  </si>
  <si>
    <t>2015-1-20 20:57:9.675: TransitionLogger - openTransitionFile - opening file C:\temp\transitionlog_2015-01-20_153021</t>
  </si>
  <si>
    <t>2015-1-20 20:57:30.642: TransitionLogger - flushFile - flushing file</t>
  </si>
  <si>
    <t>2015-1-20 20:57:30.643: TransitionLogger - openTransitionFile - opening file C:\temp\transitionlog_2015-01-20_153021</t>
  </si>
  <si>
    <t>2015-1-20 20:58:9.581: TransitionLogger - flushFile - flushing file</t>
  </si>
  <si>
    <t>2015-1-20 20:58:9.582: TransitionLogger - openTransitionFile - opening file C:\temp\transitionlog_2015-01-20_153021</t>
  </si>
  <si>
    <t>2015-1-20 20:58:30.548: TransitionLogger - flushFile - flushing file</t>
  </si>
  <si>
    <t>2015-1-20 20:58:30.550: TransitionLogger - openTransitionFile - opening file C:\temp\transitionlog_2015-01-20_153021</t>
  </si>
  <si>
    <t>2015-1-20 20:59:9.485: TransitionLogger - flushFile - flushing file</t>
  </si>
  <si>
    <t>2015-1-20 20:59:9.486: TransitionLogger - openTransitionFile - opening file C:\temp\transitionlog_2015-01-20_153021</t>
  </si>
  <si>
    <t>2015-1-20 20:59:30.450: TransitionLogger - flushFile - flushing file</t>
  </si>
  <si>
    <t>2015-1-20 20:59:30.451: TransitionLogger - openTransitionFile - opening file C:\temp\transitionlog_2015-01-20_153021</t>
  </si>
  <si>
    <t>2015-1-20 21:0:9.385: TransitionLogger - flushFile - flushing file</t>
  </si>
  <si>
    <t>2015-1-20 21:0:9.385: TransitionLogger - openTransitionFile - opening file C:\temp\transitionlog_2015-01-20_153021</t>
  </si>
  <si>
    <t>2015-1-20 21:0:30.361: TransitionLogger - flushFile - flushing file</t>
  </si>
  <si>
    <t>2015-1-20 21:0:30.362: TransitionLogger - openTransitionFile - opening file C:\temp\transitionlog_2015-01-20_153021</t>
  </si>
  <si>
    <t>2015-1-20 21:1:9.296: TransitionLogger - flushFile - flushing file</t>
  </si>
  <si>
    <t>2015-1-20 21:1:9.297: TransitionLogger - openTransitionFile - opening file C:\temp\transitionlog_2015-01-20_153021</t>
  </si>
  <si>
    <t>2015-1-20 21:1:30.261: TransitionLogger - flushFile - flushing file</t>
  </si>
  <si>
    <t>2015-1-20 21:1:30.263: TransitionLogger - openTransitionFile - opening file C:\temp\transitionlog_2015-01-20_153021</t>
  </si>
  <si>
    <t>2015-1-20 21:2:9.194: TransitionLogger - flushFile - flushing file</t>
  </si>
  <si>
    <t>2015-1-20 21:2:9.196: TransitionLogger - openTransitionFile - opening file C:\temp\transitionlog_2015-01-20_153021</t>
  </si>
  <si>
    <t>2015-1-20 21:2:30.169: TransitionLogger - flushFile - flushing file</t>
  </si>
  <si>
    <t>2015-1-20 21:2:30.171: TransitionLogger - openTransitionFile - opening file C:\temp\transitionlog_2015-01-20_153021</t>
  </si>
  <si>
    <t>2015-1-20 21:3:9.102: TransitionLogger - flushFile - flushing file</t>
  </si>
  <si>
    <t>2015-1-20 21:3:9.104: TransitionLogger - openTransitionFile - opening file C:\temp\transitionlog_2015-01-20_153021</t>
  </si>
  <si>
    <t>2015-1-20 21:3:30.66: TransitionLogger - flushFile - flushing file</t>
  </si>
  <si>
    <t>2015-1-20 21:3:30.67: TransitionLogger - openTransitionFile - opening file C:\temp\transitionlog_2015-01-20_153021</t>
  </si>
  <si>
    <t>2015-1-20 21:4:10.1: TransitionLogger - flushFile - flushing file</t>
  </si>
  <si>
    <t>2015-1-20 21:4:10.3: TransitionLogger - openTransitionFile - opening file C:\temp\transitionlog_2015-01-20_153021</t>
  </si>
  <si>
    <t>2015-1-20 21:4:30.968: TransitionLogger - flushFile - flushing file</t>
  </si>
  <si>
    <t>2015-1-20 21:4:30.969: TransitionLogger - openTransitionFile - opening file C:\temp\transitionlog_2015-01-20_153021</t>
  </si>
  <si>
    <t>2015-1-20 21:5:10.908: TransitionLogger - flushFile - flushing file</t>
  </si>
  <si>
    <t>2015-1-20 21:5:10.909: TransitionLogger - openTransitionFile - opening file C:\temp\transitionlog_2015-01-20_153021</t>
  </si>
  <si>
    <t>2015-1-20 21:5:30.878: TransitionLogger - flushFile - flushing file</t>
  </si>
  <si>
    <t>2015-1-20 21:5:30.879: TransitionLogger - openTransitionFile - opening file C:\temp\transitionlog_2015-01-20_153021</t>
  </si>
  <si>
    <t>2015-1-20 21:6:10.813: TransitionLogger - flushFile - flushing file</t>
  </si>
  <si>
    <t>2015-1-20 21:6:10.814: TransitionLogger - openTransitionFile - opening file C:\temp\transitionlog_2015-01-20_153021</t>
  </si>
  <si>
    <t>2015-1-20 21:6:30.780: TransitionLogger - flushFile - flushing file</t>
  </si>
  <si>
    <t>2015-1-20 21:6:30.781: TransitionLogger - openTransitionFile - opening file C:\temp\transitionlog_2015-01-20_153021</t>
  </si>
  <si>
    <t>2015-1-20 21:7:10.720: TransitionLogger - flushFile - flushing file</t>
  </si>
  <si>
    <t>2015-1-20 21:7:10.721: TransitionLogger - openTransitionFile - opening file C:\temp\transitionlog_2015-01-20_153021</t>
  </si>
  <si>
    <t>2015-1-20 21:7:30.684: TransitionLogger - flushFile - flushing file</t>
  </si>
  <si>
    <t>2015-1-20 21:7:30.685: TransitionLogger - openTransitionFile - opening file C:\temp\transitionlog_2015-01-20_153021</t>
  </si>
  <si>
    <t>2015-1-20 21:8:10.616: TransitionLogger - flushFile - flushing file</t>
  </si>
  <si>
    <t>2015-1-20 21:8:10.617: TransitionLogger - openTransitionFile - opening file C:\temp\transitionlog_2015-01-20_153021</t>
  </si>
  <si>
    <t>2015-1-20 21:8:30.588: TransitionLogger - flushFile - flushing file</t>
  </si>
  <si>
    <t>2015-1-20 21:8:30.589: TransitionLogger - openTransitionFile - opening file C:\temp\transitionlog_2015-01-20_153021</t>
  </si>
  <si>
    <t>2015-1-20 21:9:10.521: TransitionLogger - flushFile - flushing file</t>
  </si>
  <si>
    <t>2015-1-20 21:9:10.523: TransitionLogger - openTransitionFile - opening file C:\temp\transitionlog_2015-01-20_153021</t>
  </si>
  <si>
    <t>2015-1-20 21:9:30.495: TransitionLogger - flushFile - flushing file</t>
  </si>
  <si>
    <t>2015-1-20 21:9:30.496: TransitionLogger - openTransitionFile - opening file C:\temp\transitionlog_2015-01-20_153021</t>
  </si>
  <si>
    <t>2015-1-20 21:10:10.428: TransitionLogger - flushFile - flushing file</t>
  </si>
  <si>
    <t>2015-1-20 21:10:10.429: TransitionLogger - openTransitionFile - opening file C:\temp\transitionlog_2015-01-20_153021</t>
  </si>
  <si>
    <t>2015-1-20 21:10:30.400: TransitionLogger - flushFile - flushing file</t>
  </si>
  <si>
    <t>2015-1-20 21:10:30.401: TransitionLogger - openTransitionFile - opening file C:\temp\transitionlog_2015-01-20_153021</t>
  </si>
  <si>
    <t>2015-1-20 21:11:10.335: TransitionLogger - flushFile - flushing file</t>
  </si>
  <si>
    <t>2015-1-20 21:11:10.337: TransitionLogger - openTransitionFile - opening file C:\temp\transitionlog_2015-01-20_153021</t>
  </si>
  <si>
    <t>2015-1-20 21:11:30.300: TransitionLogger - flushFile - flushing file</t>
  </si>
  <si>
    <t>2015-1-20 21:11:30.301: TransitionLogger - openTransitionFile - opening file C:\temp\transitionlog_2015-01-20_153021</t>
  </si>
  <si>
    <t>2015-1-20 21:12:10.237: TransitionLogger - flushFile - flushing file</t>
  </si>
  <si>
    <t>2015-1-20 21:12:10.239: TransitionLogger - openTransitionFile - opening file C:\temp\transitionlog_2015-01-20_153021</t>
  </si>
  <si>
    <t>2015-1-20 21:12:30.205: TransitionLogger - flushFile - flushing file</t>
  </si>
  <si>
    <t>2015-1-20 21:12:30.206: TransitionLogger - openTransitionFile - opening file C:\temp\transitionlog_2015-01-20_153021</t>
  </si>
  <si>
    <t>2015-1-20 21:13:10.138: TransitionLogger - flushFile - flushing file</t>
  </si>
  <si>
    <t>2015-1-20 21:13:10.140: TransitionLogger - openTransitionFile - opening file C:\temp\transitionlog_2015-01-20_153021</t>
  </si>
  <si>
    <t>2015-1-20 21:13:30.112: TransitionLogger - flushFile - flushing file</t>
  </si>
  <si>
    <t>2015-1-20 21:13:30.113: TransitionLogger - openTransitionFile - opening file C:\temp\transitionlog_2015-01-20_153021</t>
  </si>
  <si>
    <t>2015-1-20 21:14:10.49: TransitionLogger - flushFile - flushing file</t>
  </si>
  <si>
    <t>2015-1-20 21:14:10.50: TransitionLogger - openTransitionFile - opening file C:\temp\transitionlog_2015-01-20_153021</t>
  </si>
  <si>
    <t>2015-1-20 21:14:30.16: TransitionLogger - flushFile - flushing file</t>
  </si>
  <si>
    <t>2015-1-20 21:14:30.17: TransitionLogger - openTransitionFile - opening file C:\temp\transitionlog_2015-01-20_153021</t>
  </si>
  <si>
    <t>2015-1-20 21:15:10.949: TransitionLogger - flushFile - flushing file</t>
  </si>
  <si>
    <t>2015-1-20 21:15:10.951: TransitionLogger - openTransitionFile - opening file C:\temp\transitionlog_2015-01-20_153021</t>
  </si>
  <si>
    <t>2015-1-20 21:15:30.918: TransitionLogger - flushFile - flushing file</t>
  </si>
  <si>
    <t>2015-1-20 21:15:30.918: TransitionLogger - openTransitionFile - opening file C:\temp\transitionlog_2015-01-20_153021</t>
  </si>
  <si>
    <t>2015-1-20 21:16:10.855: TransitionLogger - flushFile - flushing file</t>
  </si>
  <si>
    <t>2015-1-20 21:16:10.856: TransitionLogger - openTransitionFile - opening file C:\temp\transitionlog_2015-01-20_153021</t>
  </si>
  <si>
    <t>2015-1-20 21:16:30.825: TransitionLogger - flushFile - flushing file</t>
  </si>
  <si>
    <t>2015-1-20 21:16:30.826: TransitionLogger - openTransitionFile - opening file C:\temp\transitionlog_2015-01-20_153021</t>
  </si>
  <si>
    <t>2015-1-20 21:17:10.761: TransitionLogger - flushFile - flushing file</t>
  </si>
  <si>
    <t>2015-1-20 21:17:10.762: TransitionLogger - openTransitionFile - opening file C:\temp\transitionlog_2015-01-20_153021</t>
  </si>
  <si>
    <t>2015-1-20 21:17:30.723: TransitionLogger - flushFile - flushing file</t>
  </si>
  <si>
    <t>2015-1-20 21:17:30.725: TransitionLogger - openTransitionFile - opening file C:\temp\transitionlog_2015-01-20_153021</t>
  </si>
  <si>
    <t>2015-1-20 21:18:10.663: TransitionLogger - flushFile - flushing file</t>
  </si>
  <si>
    <t>2015-1-20 21:18:10.664: TransitionLogger - openTransitionFile - opening file C:\temp\transitionlog_2015-01-20_153021</t>
  </si>
  <si>
    <t>2015-1-20 21:18:30.632: TransitionLogger - flushFile - flushing file</t>
  </si>
  <si>
    <t>2015-1-20 21:18:30.633: TransitionLogger - openTransitionFile - opening file C:\temp\transitionlog_2015-01-20_153021</t>
  </si>
  <si>
    <t>2015-1-20 21:19:10.565: TransitionLogger - flushFile - flushing file</t>
  </si>
  <si>
    <t>2015-1-20 21:19:10.567: TransitionLogger - openTransitionFile - opening file C:\temp\transitionlog_2015-01-20_153021</t>
  </si>
  <si>
    <t>2015-1-20 21:19:30.534: TransitionLogger - flushFile - flushing file</t>
  </si>
  <si>
    <t>2015-1-20 21:19:30.536: TransitionLogger - openTransitionFile - opening file C:\temp\transitionlog_2015-01-20_153021</t>
  </si>
  <si>
    <t>2015-1-20 21:20:10.471: TransitionLogger - flushFile - flushing file</t>
  </si>
  <si>
    <t>2015-1-20 21:20:10.472: TransitionLogger - openTransitionFile - opening file C:\temp\transitionlog_2015-01-20_153021</t>
  </si>
  <si>
    <t>2015-1-20 21:20:30.436: TransitionLogger - flushFile - flushing file</t>
  </si>
  <si>
    <t>2015-1-20 21:20:30.438: TransitionLogger - openTransitionFile - opening file C:\temp\transitionlog_2015-01-20_153021</t>
  </si>
  <si>
    <t>2015-1-20 21:21:10.376: TransitionLogger - flushFile - flushing file</t>
  </si>
  <si>
    <t>2015-1-20 21:21:10.377: TransitionLogger - openTransitionFile - opening file C:\temp\transitionlog_2015-01-20_153021</t>
  </si>
  <si>
    <t>2015-1-20 21:21:30.348: TransitionLogger - flushFile - flushing file</t>
  </si>
  <si>
    <t>2015-1-20 21:21:30.349: TransitionLogger - openTransitionFile - opening file C:\temp\transitionlog_2015-01-20_153021</t>
  </si>
  <si>
    <t>2015-1-20 21:22:10.279: TransitionLogger - flushFile - flushing file</t>
  </si>
  <si>
    <t>2015-1-20 21:22:10.279: TransitionLogger - openTransitionFile - opening file C:\temp\transitionlog_2015-01-20_153021</t>
  </si>
  <si>
    <t>2015-1-20 21:22:30.247: TransitionLogger - flushFile - flushing file</t>
  </si>
  <si>
    <t>2015-1-20 21:22:30.248: TransitionLogger - openTransitionFile - opening file C:\temp\transitionlog_2015-01-20_153021</t>
  </si>
  <si>
    <t>2015-1-20 21:23:10.185: TransitionLogger - flushFile - flushing file</t>
  </si>
  <si>
    <t>2015-1-20 21:23:10.186: TransitionLogger - openTransitionFile - opening file C:\temp\transitionlog_2015-01-20_153021</t>
  </si>
  <si>
    <t>2015-1-20 21:23:30.156: TransitionLogger - flushFile - flushing file</t>
  </si>
  <si>
    <t>2015-1-20 21:23:30.157: TransitionLogger - openTransitionFile - opening file C:\temp\transitionlog_2015-01-20_153021</t>
  </si>
  <si>
    <t>2015-1-20 21:24:10.89: TransitionLogger - flushFile - flushing file</t>
  </si>
  <si>
    <t>2015-1-20 21:24:10.91: TransitionLogger - openTransitionFile - opening file C:\temp\transitionlog_2015-01-20_153021</t>
  </si>
  <si>
    <t>2015-1-20 21:24:30.55: TransitionLogger - flushFile - flushing file</t>
  </si>
  <si>
    <t>2015-1-20 21:24:30.56: TransitionLogger - openTransitionFile - opening file C:\temp\transitionlog_2015-01-20_153021</t>
  </si>
  <si>
    <t>2015-1-20 21:25:10.996: TransitionLogger - flushFile - flushing file</t>
  </si>
  <si>
    <t>2015-1-20 21:25:10.998: TransitionLogger - openTransitionFile - opening file C:\temp\transitionlog_2015-01-20_153021</t>
  </si>
  <si>
    <t>2015-1-20 21:25:30.958: TransitionLogger - flushFile - flushing file</t>
  </si>
  <si>
    <t>2015-1-20 21:25:30.960: TransitionLogger - openTransitionFile - opening file C:\temp\transitionlog_2015-01-20_153021</t>
  </si>
  <si>
    <t>2015-1-20 21:26:10.895: TransitionLogger - flushFile - flushing file</t>
  </si>
  <si>
    <t>2015-1-20 21:26:10.895: TransitionLogger - openTransitionFile - opening file C:\temp\transitionlog_2015-01-20_153021</t>
  </si>
  <si>
    <t>2015-1-20 21:26:30.867: TransitionLogger - flushFile - flushing file</t>
  </si>
  <si>
    <t>2015-1-20 21:26:30.868: TransitionLogger - openTransitionFile - opening file C:\temp\transitionlog_2015-01-20_153021</t>
  </si>
  <si>
    <t>2015-1-20 21:27:10.804: TransitionLogger - flushFile - flushing file</t>
  </si>
  <si>
    <t>2015-1-20 21:27:10.805: TransitionLogger - openTransitionFile - opening file C:\temp\transitionlog_2015-01-20_153021</t>
  </si>
  <si>
    <t>2015-1-20 21:27:30.774: TransitionLogger - flushFile - flushing file</t>
  </si>
  <si>
    <t>2015-1-20 21:27:30.775: TransitionLogger - openTransitionFile - opening file C:\temp\transitionlog_2015-01-20_153021</t>
  </si>
  <si>
    <t>2015-1-20 21:28:10.708: TransitionLogger - flushFile - flushing file</t>
  </si>
  <si>
    <t>2015-1-20 21:28:10.709: TransitionLogger - openTransitionFile - opening file C:\temp\transitionlog_2015-01-20_153021</t>
  </si>
  <si>
    <t>2015-1-20 21:28:30.675: TransitionLogger - flushFile - flushing file</t>
  </si>
  <si>
    <t>2015-1-20 21:28:30.677: TransitionLogger - openTransitionFile - opening file C:\temp\transitionlog_2015-01-20_153021</t>
  </si>
  <si>
    <t>2015-1-20 21:29:10.612: TransitionLogger - flushFile - flushing file</t>
  </si>
  <si>
    <t>2015-1-20 21:29:10.614: TransitionLogger - openTransitionFile - opening file C:\temp\transitionlog_2015-01-20_153021</t>
  </si>
  <si>
    <t>2015-1-20 21:29:30.579: TransitionLogger - flushFile - flushing file</t>
  </si>
  <si>
    <t>2015-1-20 21:29:30.580: TransitionLogger - openTransitionFile - opening file C:\temp\transitionlog_2015-01-20_153021</t>
  </si>
  <si>
    <t>2015-1-20 21:30:10.510: TransitionLogger - flushFile - flushing file</t>
  </si>
  <si>
    <t>2015-1-20 21:30:10.512: TransitionLogger - openTransitionFile - opening file C:\temp\transitionlog_2015-01-20_153021</t>
  </si>
  <si>
    <t>2015-1-20 21:30:30.486: TransitionLogger - flushFile - flushing file</t>
  </si>
  <si>
    <t>2015-1-20 21:30:30.487: TransitionLogger - openTransitionFile - opening file C:\temp\transitionlog_2015-01-20_153021</t>
  </si>
  <si>
    <t>2015-1-20 21:31:10.420: TransitionLogger - flushFile - flushing file</t>
  </si>
  <si>
    <t>2015-1-20 21:31:10.422: TransitionLogger - openTransitionFile - opening file C:\temp\transitionlog_2015-01-20_153021</t>
  </si>
  <si>
    <t>2015-1-20 21:31:30.389: TransitionLogger - flushFile - flushing file</t>
  </si>
  <si>
    <t>2015-1-20 21:31:30.390: TransitionLogger - openTransitionFile - opening file C:\temp\transitionlog_2015-01-20_153021</t>
  </si>
  <si>
    <t>2015-1-20 21:32:10.325: TransitionLogger - flushFile - flushing file</t>
  </si>
  <si>
    <t>2015-1-20 21:32:10.327: TransitionLogger - openTransitionFile - opening file C:\temp\transitionlog_2015-01-20_153021</t>
  </si>
  <si>
    <t>2015-1-20 21:32:30.289: TransitionLogger - flushFile - flushing file</t>
  </si>
  <si>
    <t>2015-1-20 21:32:30.290: TransitionLogger - openTransitionFile - opening file C:\temp\transitionlog_2015-01-20_153021</t>
  </si>
  <si>
    <t>2015-1-20 21:33:10.225: TransitionLogger - flushFile - flushing file</t>
  </si>
  <si>
    <t>2015-1-20 21:33:10.226: TransitionLogger - openTransitionFile - opening file C:\temp\transitionlog_2015-01-20_153021</t>
  </si>
  <si>
    <t>2015-1-20 21:33:30.191: TransitionLogger - flushFile - flushing file</t>
  </si>
  <si>
    <t>2015-1-20 21:33:30.193: TransitionLogger - openTransitionFile - opening file C:\temp\transitionlog_2015-01-20_153021</t>
  </si>
  <si>
    <t>2015-1-20 21:34:10.130: TransitionLogger - flushFile - flushing file</t>
  </si>
  <si>
    <t>2015-1-20 21:34:10.132: TransitionLogger - openTransitionFile - opening file C:\temp\transitionlog_2015-01-20_153021</t>
  </si>
  <si>
    <t>2015-1-20 21:34:30.103: TransitionLogger - flushFile - flushing file</t>
  </si>
  <si>
    <t>2015-1-20 21:34:30.104: TransitionLogger - openTransitionFile - opening file C:\temp\transitionlog_2015-01-20_153021</t>
  </si>
  <si>
    <t>2015-1-20 21:35:10.34: TransitionLogger - flushFile - flushing file</t>
  </si>
  <si>
    <t>2015-1-20 21:35:10.35: TransitionLogger - openTransitionFile - opening file C:\temp\transitionlog_2015-01-20_153021</t>
  </si>
  <si>
    <t>2015-1-20 21:35:31.8: TransitionLogger - flushFile - flushing file</t>
  </si>
  <si>
    <t>2015-1-20 21:35:31.9: TransitionLogger - openTransitionFile - opening file C:\temp\transitionlog_2015-01-20_153021</t>
  </si>
  <si>
    <t>2015-1-20 21:36:10.938: TransitionLogger - flushFile - flushing file</t>
  </si>
  <si>
    <t>2015-1-20 21:36:10.939: TransitionLogger - openTransitionFile - opening file C:\temp\transitionlog_2015-01-20_153021</t>
  </si>
  <si>
    <t>2015-1-20 21:36:31.905: TransitionLogger - flushFile - flushing file</t>
  </si>
  <si>
    <t>2015-1-20 21:36:31.907: TransitionLogger - openTransitionFile - opening file C:\temp\transitionlog_2015-01-20_153021</t>
  </si>
  <si>
    <t>2015-1-20 21:37:10.844: TransitionLogger - flushFile - flushing file</t>
  </si>
  <si>
    <t>2015-1-20 21:37:10.846: TransitionLogger - openTransitionFile - opening file C:\temp\transitionlog_2015-01-20_153021</t>
  </si>
  <si>
    <t>2015-1-20 21:37:31.805: TransitionLogger - flushFile - flushing file</t>
  </si>
  <si>
    <t>2015-1-20 21:37:31.806: TransitionLogger - openTransitionFile - opening file C:\temp\transitionlog_2015-01-20_153021</t>
  </si>
  <si>
    <t>2015-1-20 21:38:10.748: TransitionLogger - flushFile - flushing file</t>
  </si>
  <si>
    <t>2015-1-20 21:38:10.750: TransitionLogger - openTransitionFile - opening file C:\temp\transitionlog_2015-01-20_153021</t>
  </si>
  <si>
    <t>2015-1-20 21:38:31.710: TransitionLogger - flushFile - flushing file</t>
  </si>
  <si>
    <t>2015-1-20 21:38:31.712: TransitionLogger - openTransitionFile - opening file C:\temp\transitionlog_2015-01-20_153021</t>
  </si>
  <si>
    <t>2015-1-20 21:39:10.648: TransitionLogger - flushFile - flushing file</t>
  </si>
  <si>
    <t>2015-1-20 21:39:10.649: TransitionLogger - openTransitionFile - opening file C:\temp\transitionlog_2015-01-20_153021</t>
  </si>
  <si>
    <t>2015-1-20 21:39:31.620: TransitionLogger - flushFile - flushing file</t>
  </si>
  <si>
    <t>2015-1-20 21:39:31.621: TransitionLogger - openTransitionFile - opening file C:\temp\transitionlog_2015-01-20_153021</t>
  </si>
  <si>
    <t>2015-1-20 21:40:10.553: TransitionLogger - flushFile - flushing file</t>
  </si>
  <si>
    <t>2015-1-20 21:40:10.554: TransitionLogger - openTransitionFile - opening file C:\temp\transitionlog_2015-01-20_153021</t>
  </si>
  <si>
    <t>2015-1-20 21:40:31.525: TransitionLogger - flushFile - flushing file</t>
  </si>
  <si>
    <t>2015-1-20 21:40:31.527: TransitionLogger - openTransitionFile - opening file C:\temp\transitionlog_2015-01-20_153021</t>
  </si>
  <si>
    <t>2015-1-20 21:41:10.458: TransitionLogger - flushFile - flushing file</t>
  </si>
  <si>
    <t>2015-1-20 21:41:10.459: TransitionLogger - openTransitionFile - opening file C:\temp\transitionlog_2015-01-20_153021</t>
  </si>
  <si>
    <t>2015-1-20 21:41:31.429: TransitionLogger - flushFile - flushing file</t>
  </si>
  <si>
    <t>2015-1-20 21:41:31.430: TransitionLogger - openTransitionFile - opening file C:\temp\transitionlog_2015-01-20_153021</t>
  </si>
  <si>
    <t>2015-1-20 21:42:10.366: TransitionLogger - flushFile - flushing file</t>
  </si>
  <si>
    <t>2015-1-20 21:42:10.368: TransitionLogger - openTransitionFile - opening file C:\temp\transitionlog_2015-01-20_153021</t>
  </si>
  <si>
    <t>2015-1-20 21:42:31.329: TransitionLogger - flushFile - flushing file</t>
  </si>
  <si>
    <t>2015-1-20 21:42:31.331: TransitionLogger - openTransitionFile - opening file C:\temp\transitionlog_2015-01-20_153021</t>
  </si>
  <si>
    <t>2015-1-20 21:43:10.270: TransitionLogger - flushFile - flushing file</t>
  </si>
  <si>
    <t>2015-1-20 21:43:10.272: TransitionLogger - openTransitionFile - opening file C:\temp\transitionlog_2015-01-20_153021</t>
  </si>
  <si>
    <t>2015-1-20 21:43:31.237: TransitionLogger - flushFile - flushing file</t>
  </si>
  <si>
    <t>2015-1-20 21:43:31.239: TransitionLogger - openTransitionFile - opening file C:\temp\transitionlog_2015-01-20_153021</t>
  </si>
  <si>
    <t>2015-1-20 21:44:10.79: TransitionLogger - flushFile - flushing file</t>
  </si>
  <si>
    <t>2015-1-20 21:44:10.80: TransitionLogger - openTransitionFile - opening file C:\temp\transitionlog_2015-01-20_153021</t>
  </si>
  <si>
    <t>2015-1-20 21:44:31.140: TransitionLogger - flushFile - flushing file</t>
  </si>
  <si>
    <t>2015-1-20 21:44:31.141: TransitionLogger - openTransitionFile - opening file C:\temp\transitionlog_2015-01-20_153021</t>
  </si>
  <si>
    <t>2015-1-20 21:45:10.77: TransitionLogger - flushFile - flushing file</t>
  </si>
  <si>
    <t>2015-1-20 21:45:10.79: TransitionLogger - openTransitionFile - opening file C:\temp\transitionlog_2015-01-20_153021</t>
  </si>
  <si>
    <t>2015-1-20 21:45:31.45: TransitionLogger - flushFile - flushing file</t>
  </si>
  <si>
    <t>2015-1-20 21:45:31.47: TransitionLogger - openTransitionFile - opening file C:\temp\transitionlog_2015-01-20_153021</t>
  </si>
  <si>
    <t>2015-1-20 21:46:10.979: TransitionLogger - flushFile - flushing file</t>
  </si>
  <si>
    <t>2015-1-20 21:46:10.980: TransitionLogger - openTransitionFile - opening file C:\temp\transitionlog_2015-01-20_153021</t>
  </si>
  <si>
    <t>2015-1-20 21:46:31.950: TransitionLogger - flushFile - flushing file</t>
  </si>
  <si>
    <t>2015-1-20 21:46:31.951: TransitionLogger - openTransitionFile - opening file C:\temp\transitionlog_2015-01-20_153021</t>
  </si>
  <si>
    <t>2015-1-20 21:47:10.884: TransitionLogger - flushFile - flushing file</t>
  </si>
  <si>
    <t>2015-1-20 21:47:10.886: TransitionLogger - openTransitionFile - opening file C:\temp\transitionlog_2015-01-20_153021</t>
  </si>
  <si>
    <t>2015-1-20 21:47:31.849: TransitionLogger - flushFile - flushing file</t>
  </si>
  <si>
    <t>2015-1-20 21:47:31.850: TransitionLogger - openTransitionFile - opening file C:\temp\transitionlog_2015-01-20_153021</t>
  </si>
  <si>
    <t>2015-1-20 21:48:10.791: TransitionLogger - flushFile - flushing file</t>
  </si>
  <si>
    <t>2015-1-20 21:48:10.793: TransitionLogger - openTransitionFile - opening file C:\temp\transitionlog_2015-01-20_153021</t>
  </si>
  <si>
    <t>2015-1-20 21:48:31.758: TransitionLogger - flushFile - flushing file</t>
  </si>
  <si>
    <t>2015-1-20 21:48:31.759: TransitionLogger - openTransitionFile - opening file C:\temp\transitionlog_2015-01-20_153021</t>
  </si>
  <si>
    <t>2015-1-20 21:49:10.695: TransitionLogger - flushFile - flushing file</t>
  </si>
  <si>
    <t>2015-1-20 21:49:10.695: TransitionLogger - openTransitionFile - opening file C:\temp\transitionlog_2015-01-20_153021</t>
  </si>
  <si>
    <t>2015-1-20 21:49:31.663: TransitionLogger - flushFile - flushing file</t>
  </si>
  <si>
    <t>2015-1-20 21:49:31.665: TransitionLogger - openTransitionFile - opening file C:\temp\transitionlog_2015-01-20_153021</t>
  </si>
  <si>
    <t>2015-1-20 21:50:10.594: TransitionLogger - flushFile - flushing file</t>
  </si>
  <si>
    <t>2015-1-20 21:50:10.595: TransitionLogger - openTransitionFile - opening file C:\temp\transitionlog_2015-01-20_153021</t>
  </si>
  <si>
    <t>2015-1-20 21:50:31.562: TransitionLogger - flushFile - flushing file</t>
  </si>
  <si>
    <t>2015-1-20 21:50:31.563: TransitionLogger - openTransitionFile - opening file C:\temp\transitionlog_2015-01-20_153021</t>
  </si>
  <si>
    <t>2015-1-20 21:51:10.505: TransitionLogger - flushFile - flushing file</t>
  </si>
  <si>
    <t>2015-1-20 21:51:10.507: TransitionLogger - openTransitionFile - opening file C:\temp\transitionlog_2015-01-20_153021</t>
  </si>
  <si>
    <t>2015-1-20 21:51:31.473: TransitionLogger - flushFile - flushing file</t>
  </si>
  <si>
    <t>2015-1-20 21:51:31.474: TransitionLogger - openTransitionFile - opening file C:\temp\transitionlog_2015-01-20_153021</t>
  </si>
  <si>
    <t>2015-1-20 21:52:10.408: TransitionLogger - flushFile - flushing file</t>
  </si>
  <si>
    <t>2015-1-20 21:52:10.409: TransitionLogger - openTransitionFile - opening file C:\temp\transitionlog_2015-01-20_153021</t>
  </si>
  <si>
    <t>2015-1-20 21:52:31.374: TransitionLogger - flushFile - flushing file</t>
  </si>
  <si>
    <t>2015-1-20 21:52:31.375: TransitionLogger - openTransitionFile - opening file C:\temp\transitionlog_2015-01-20_153021</t>
  </si>
  <si>
    <t>2015-1-20 21:53:10.307: TransitionLogger - flushFile - flushing file</t>
  </si>
  <si>
    <t>2015-1-20 21:53:10.308: TransitionLogger - openTransitionFile - opening file C:\temp\transitionlog_2015-01-20_153021</t>
  </si>
  <si>
    <t>2015-1-20 21:53:31.278: TransitionLogger - flushFile - flushing file</t>
  </si>
  <si>
    <t>2015-1-20 21:53:31.279: TransitionLogger - openTransitionFile - opening file C:\temp\transitionlog_2015-01-20_153021</t>
  </si>
  <si>
    <t>2015-1-20 21:54:10.221: TransitionLogger - flushFile - flushing file</t>
  </si>
  <si>
    <t>2015-1-20 21:54:10.222: TransitionLogger - openTransitionFile - opening file C:\temp\transitionlog_2015-01-20_153021</t>
  </si>
  <si>
    <t>2015-1-20 21:54:31.181: TransitionLogger - flushFile - flushing file</t>
  </si>
  <si>
    <t>2015-1-20 21:54:31.183: TransitionLogger - openTransitionFile - opening file C:\temp\transitionlog_2015-01-20_153021</t>
  </si>
  <si>
    <t>2015-1-20 21:55:10.122: TransitionLogger - flushFile - flushing file</t>
  </si>
  <si>
    <t>2015-1-20 21:55:10.123: TransitionLogger - openTransitionFile - opening file C:\temp\transitionlog_2015-01-20_153021</t>
  </si>
  <si>
    <t>2015-1-20 21:55:31.89: TransitionLogger - flushFile - flushing file</t>
  </si>
  <si>
    <t>2015-1-20 21:55:31.90: TransitionLogger - openTransitionFile - opening file C:\temp\transitionlog_2015-01-20_153021</t>
  </si>
  <si>
    <t>2015-1-20 21:56:10.24: TransitionLogger - flushFile - flushing file</t>
  </si>
  <si>
    <t>2015-1-20 21:56:10.25: TransitionLogger - openTransitionFile - opening file C:\temp\transitionlog_2015-01-20_153021</t>
  </si>
  <si>
    <t>2015-1-20 21:56:31.986: TransitionLogger - flushFile - flushing file</t>
  </si>
  <si>
    <t>2015-1-20 21:56:31.987: TransitionLogger - openTransitionFile - opening file C:\temp\transitionlog_2015-01-20_153021</t>
  </si>
  <si>
    <t>2015-1-20 21:57:10.923: TransitionLogger - flushFile - flushing file</t>
  </si>
  <si>
    <t>2015-1-20 21:57:10.924: TransitionLogger - openTransitionFile - opening file C:\temp\transitionlog_2015-01-20_153021</t>
  </si>
  <si>
    <t>2015-1-20 21:57:31.894: TransitionLogger - flushFile - flushing file</t>
  </si>
  <si>
    <t>2015-1-20 21:57:31.895: TransitionLogger - openTransitionFile - opening file C:\temp\transitionlog_2015-01-20_153021</t>
  </si>
  <si>
    <t>2015-1-20 21:58:10.831: TransitionLogger - flushFile - flushing file</t>
  </si>
  <si>
    <t>2015-1-20 21:58:10.833: TransitionLogger - openTransitionFile - opening file C:\temp\transitionlog_2015-01-20_153021</t>
  </si>
  <si>
    <t>2015-1-20 21:58:31.796: TransitionLogger - flushFile - flushing file</t>
  </si>
  <si>
    <t>2015-1-20 21:58:31.797: TransitionLogger - openTransitionFile - opening file C:\temp\transitionlog_2015-01-20_153021</t>
  </si>
  <si>
    <t>2015-1-20 21:59:10.735: TransitionLogger - flushFile - flushing file</t>
  </si>
  <si>
    <t>2015-1-20 21:59:10.736: TransitionLogger - openTransitionFile - opening file C:\temp\transitionlog_2015-01-20_153021</t>
  </si>
  <si>
    <t>2015-1-20 21:59:31.705: TransitionLogger - flushFile - flushing file</t>
  </si>
  <si>
    <t>2015-1-20 21:59:31.706: TransitionLogger - openTransitionFile - opening file C:\temp\transitionlog_2015-01-20_153021</t>
  </si>
  <si>
    <t>2015-1-20 22:0:10.641: TransitionLogger - flushFile - flushing file</t>
  </si>
  <si>
    <t>2015-1-20 22:0:10.643: TransitionLogger - openTransitionFile - opening file C:\temp\transitionlog_2015-01-20_153021</t>
  </si>
  <si>
    <t>2015-1-20 22:0:31.604: TransitionLogger - flushFile - flushing file</t>
  </si>
  <si>
    <t>2015-1-20 22:0:31.605: TransitionLogger - openTransitionFile - opening file C:\temp\transitionlog_2015-01-20_153021</t>
  </si>
  <si>
    <t>2015-1-20 22:1:10.544: TransitionLogger - flushFile - flushing file</t>
  </si>
  <si>
    <t>2015-1-20 22:1:10.545: TransitionLogger - openTransitionFile - opening file C:\temp\transitionlog_2015-01-20_153021</t>
  </si>
  <si>
    <t>2015-1-20 22:1:31.515: TransitionLogger - flushFile - flushing file</t>
  </si>
  <si>
    <t>2015-1-20 22:1:31.516: TransitionLogger - openTransitionFile - opening file C:\temp\transitionlog_2015-01-20_153021</t>
  </si>
  <si>
    <t>2015-1-20 22:2:10.446: TransitionLogger - flushFile - flushing file</t>
  </si>
  <si>
    <t>2015-1-20 22:2:10.447: TransitionLogger - openTransitionFile - opening file C:\temp\transitionlog_2015-01-20_153021</t>
  </si>
  <si>
    <t>2015-1-20 22:2:31.412: TransitionLogger - flushFile - flushing file</t>
  </si>
  <si>
    <t>2015-1-20 22:2:31.413: TransitionLogger - openTransitionFile - opening file C:\temp\transitionlog_2015-01-20_153021</t>
  </si>
  <si>
    <t>2015-1-20 22:3:10.351: TransitionLogger - flushFile - flushing file</t>
  </si>
  <si>
    <t>2015-1-20 22:3:10.353: TransitionLogger - openTransitionFile - opening file C:\temp\transitionlog_2015-01-20_153021</t>
  </si>
  <si>
    <t>2015-1-20 22:3:31.322: TransitionLogger - flushFile - flushing file</t>
  </si>
  <si>
    <t>2015-1-20 22:3:31.324: TransitionLogger - openTransitionFile - opening file C:\temp\transitionlog_2015-01-20_153021</t>
  </si>
  <si>
    <t>2015-1-20 22:4:10.252: TransitionLogger - flushFile - flushing file</t>
  </si>
  <si>
    <t>2015-1-20 22:4:10.253: TransitionLogger - openTransitionFile - opening file C:\temp\transitionlog_2015-01-20_153021</t>
  </si>
  <si>
    <t>2015-1-20 22:4:31.221: TransitionLogger - flushFile - flushing file</t>
  </si>
  <si>
    <t>2015-1-20 22:4:31.222: TransitionLogger - openTransitionFile - opening file C:\temp\transitionlog_2015-01-20_153021</t>
  </si>
  <si>
    <t>2015-1-20 22:5:10.163: TransitionLogger - flushFile - flushing file</t>
  </si>
  <si>
    <t>2015-1-20 22:5:10.165: TransitionLogger - openTransitionFile - opening file C:\temp\transitionlog_2015-01-20_153021</t>
  </si>
  <si>
    <t>2015-1-20 22:5:31.133: TransitionLogger - flushFile - flushing file</t>
  </si>
  <si>
    <t>2015-1-20 22:5:31.135: TransitionLogger - openTransitionFile - opening file C:\temp\transitionlog_2015-01-20_153021</t>
  </si>
  <si>
    <t>2015-1-20 22:6:10.64: TransitionLogger - flushFile - flushing file</t>
  </si>
  <si>
    <t>2015-1-20 22:6:10.66: TransitionLogger - openTransitionFile - opening file C:\temp\transitionlog_2015-01-20_153021</t>
  </si>
  <si>
    <t>2015-1-20 22:6:31.31: TransitionLogger - flushFile - flushing file</t>
  </si>
  <si>
    <t>2015-1-20 22:6:31.32: TransitionLogger - openTransitionFile - opening file C:\temp\transitionlog_2015-01-20_153021</t>
  </si>
  <si>
    <t>2015-1-20 22:7:10.970: TransitionLogger - flushFile - flushing file</t>
  </si>
  <si>
    <t>2015-1-20 22:7:10.971: TransitionLogger - openTransitionFile - opening file C:\temp\transitionlog_2015-01-20_153021</t>
  </si>
  <si>
    <t>2015-1-20 22:7:31.670: TransitionLogger - flushFile - flushing file</t>
  </si>
  <si>
    <t>2015-1-20 22:7:31.671: TransitionLogger - openTransitionFile - opening file C:\temp\transitionlog_2015-01-20_153021</t>
  </si>
  <si>
    <t>2015-1-20 22:8:10.873: TransitionLogger - flushFile - flushing file</t>
  </si>
  <si>
    <t>2015-1-20 22:8:10.875: TransitionLogger - openTransitionFile - opening file C:\temp\transitionlog_2015-01-20_153021</t>
  </si>
  <si>
    <t>2015-1-20 22:8:31.845: TransitionLogger - flushFile - flushing file</t>
  </si>
  <si>
    <t>2015-1-20 22:8:31.847: TransitionLogger - openTransitionFile - opening file C:\temp\transitionlog_2015-01-20_153021</t>
  </si>
  <si>
    <t>2015-1-20 22:9:10.781: TransitionLogger - flushFile - flushing file</t>
  </si>
  <si>
    <t>2015-1-20 22:9:10.782: TransitionLogger - openTransitionFile - opening file C:\temp\transitionlog_2015-01-20_153021</t>
  </si>
  <si>
    <t>2015-1-20 22:9:31.746: TransitionLogger - flushFile - flushing file</t>
  </si>
  <si>
    <t>2015-1-20 22:9:31.747: TransitionLogger - openTransitionFile - opening file C:\temp\transitionlog_2015-01-20_153021</t>
  </si>
  <si>
    <t>2015-1-20 22:10:10.681: TransitionLogger - flushFile - flushing file</t>
  </si>
  <si>
    <t>2015-1-20 22:10:10.683: TransitionLogger - openTransitionFile - opening file C:\temp\transitionlog_2015-01-20_153021</t>
  </si>
  <si>
    <t>2015-1-20 22:10:31.647: TransitionLogger - flushFile - flushing file</t>
  </si>
  <si>
    <t>2015-1-20 22:10:31.648: TransitionLogger - openTransitionFile - opening file C:\temp\transitionlog_2015-01-20_153021</t>
  </si>
  <si>
    <t>2015-1-20 22:11:10.584: TransitionLogger - flushFile - flushing file</t>
  </si>
  <si>
    <t>2015-1-20 22:11:10.585: TransitionLogger - openTransitionFile - opening file C:\temp\transitionlog_2015-01-20_153021</t>
  </si>
  <si>
    <t>2015-1-20 22:11:31.556: TransitionLogger - flushFile - flushing file</t>
  </si>
  <si>
    <t>2015-1-20 22:11:31.557: TransitionLogger - openTransitionFile - opening file C:\temp\transitionlog_2015-01-20_153021</t>
  </si>
  <si>
    <t>2015-1-20 22:12:10.496: TransitionLogger - flushFile - flushing file</t>
  </si>
  <si>
    <t>2015-1-20 22:12:10.497: TransitionLogger - openTransitionFile - opening file C:\temp\transitionlog_2015-01-20_153021</t>
  </si>
  <si>
    <t>2015-1-20 22:12:31.462: TransitionLogger - flushFile - flushing file</t>
  </si>
  <si>
    <t>2015-1-20 22:12:31.463: TransitionLogger - openTransitionFile - opening file C:\temp\transitionlog_2015-01-20_153021</t>
  </si>
  <si>
    <t>2015-1-20 22:13:10.396: TransitionLogger - flushFile - flushing file</t>
  </si>
  <si>
    <t>2015-1-20 22:13:10.397: TransitionLogger - openTransitionFile - opening file C:\temp\transitionlog_2015-01-20_153021</t>
  </si>
  <si>
    <t>2015-1-20 22:13:31.366: TransitionLogger - flushFile - flushing file</t>
  </si>
  <si>
    <t>2015-1-20 22:13:31.367: TransitionLogger - openTransitionFile - opening file C:\temp\transitionlog_2015-01-20_153021</t>
  </si>
  <si>
    <t>2015-1-20 22:14:10.298: TransitionLogger - flushFile - flushing file</t>
  </si>
  <si>
    <t>2015-1-20 22:14:10.299: TransitionLogger - openTransitionFile - opening file C:\temp\transitionlog_2015-01-20_153021</t>
  </si>
  <si>
    <t>2015-1-20 22:14:31.269: TransitionLogger - flushFile - flushing file</t>
  </si>
  <si>
    <t>2015-1-20 22:14:31.270: TransitionLogger - openTransitionFile - opening file C:\temp\transitionlog_2015-01-20_153021</t>
  </si>
  <si>
    <t>2015-1-20 22:15:10.209: TransitionLogger - flushFile - flushing file</t>
  </si>
  <si>
    <t>2015-1-20 22:15:10.210: TransitionLogger - openTransitionFile - opening file C:\temp\transitionlog_2015-01-20_153021</t>
  </si>
  <si>
    <t>2015-1-20 22:15:31.173: TransitionLogger - flushFile - flushing file</t>
  </si>
  <si>
    <t>2015-1-20 22:15:31.175: TransitionLogger - openTransitionFile - opening file C:\temp\transitionlog_2015-01-20_153021</t>
  </si>
  <si>
    <t>2015-1-20 22:16:10.110: TransitionLogger - flushFile - flushing file</t>
  </si>
  <si>
    <t>2015-1-20 22:16:10.112: TransitionLogger - openTransitionFile - opening file C:\temp\transitionlog_2015-01-20_153021</t>
  </si>
  <si>
    <t>2015-1-20 22:16:31.80: TransitionLogger - flushFile - flushing file</t>
  </si>
  <si>
    <t>2015-1-20 22:16:31.81: TransitionLogger - openTransitionFile - opening file C:\temp\transitionlog_2015-01-20_153021</t>
  </si>
  <si>
    <t>2015-1-20 22:17:10.15: TransitionLogger - flushFile - flushing file</t>
  </si>
  <si>
    <t>2015-1-20 22:17:10.17: TransitionLogger - openTransitionFile - opening file C:\temp\transitionlog_2015-01-20_153021</t>
  </si>
  <si>
    <t>2015-1-20 22:17:31.976: TransitionLogger - flushFile - flushing file</t>
  </si>
  <si>
    <t>2015-1-20 22:17:31.977: TransitionLogger - openTransitionFile - opening file C:\temp\transitionlog_2015-01-20_153021</t>
  </si>
  <si>
    <t>2015-1-20 22:18:10.918: TransitionLogger - flushFile - flushing file</t>
  </si>
  <si>
    <t>2015-1-20 22:18:10.920: TransitionLogger - openTransitionFile - opening file C:\temp\transitionlog_2015-01-20_153021</t>
  </si>
  <si>
    <t>2015-1-20 22:18:31.880: TransitionLogger - flushFile - flushing file</t>
  </si>
  <si>
    <t>2015-1-20 22:18:31.882: TransitionLogger - openTransitionFile - opening file C:\temp\transitionlog_2015-01-20_153021</t>
  </si>
  <si>
    <t>2015-1-20 22:19:10.818: TransitionLogger - flushFile - flushing file</t>
  </si>
  <si>
    <t>2015-1-20 22:19:10.820: TransitionLogger - openTransitionFile - opening file C:\temp\transitionlog_2015-01-20_153021</t>
  </si>
  <si>
    <t>2015-1-20 22:19:31.788: TransitionLogger - flushFile - flushing file</t>
  </si>
  <si>
    <t>2015-1-20 22:19:31.790: TransitionLogger - openTransitionFile - opening file C:\temp\transitionlog_2015-01-20_153021</t>
  </si>
  <si>
    <t>2015-1-20 22:20:10.723: TransitionLogger - flushFile - flushing file</t>
  </si>
  <si>
    <t>2015-1-20 22:20:10.725: TransitionLogger - openTransitionFile - opening file C:\temp\transitionlog_2015-01-20_153021</t>
  </si>
  <si>
    <t>2015-1-20 22:20:31.690: TransitionLogger - flushFile - flushing file</t>
  </si>
  <si>
    <t>2015-1-20 22:20:31.691: TransitionLogger - openTransitionFile - opening file C:\temp\transitionlog_2015-01-20_153021</t>
  </si>
  <si>
    <t>2015-1-20 22:21:10.627: TransitionLogger - flushFile - flushing file</t>
  </si>
  <si>
    <t>2015-1-20 22:21:10.628: TransitionLogger - openTransitionFile - opening file C:\temp\transitionlog_2015-01-20_153021</t>
  </si>
  <si>
    <t>2015-1-20 22:21:31.602: TransitionLogger - flushFile - flushing file</t>
  </si>
  <si>
    <t>2015-1-20 22:21:31.603: TransitionLogger - openTransitionFile - opening file C:\temp\transitionlog_2015-01-20_153021</t>
  </si>
  <si>
    <t>2015-1-20 22:22:10.532: TransitionLogger - flushFile - flushing file</t>
  </si>
  <si>
    <t>2015-1-20 22:22:10.533: TransitionLogger - openTransitionFile - opening file C:\temp\transitionlog_2015-01-20_153021</t>
  </si>
  <si>
    <t>2015-1-20 22:22:31.504: TransitionLogger - flushFile - flushing file</t>
  </si>
  <si>
    <t>2015-1-20 22:22:31.506: TransitionLogger - openTransitionFile - opening file C:\temp\transitionlog_2015-01-20_153021</t>
  </si>
  <si>
    <t>2015-1-20 22:23:10.436: TransitionLogger - flushFile - flushing file</t>
  </si>
  <si>
    <t>2015-1-20 22:23:10.438: TransitionLogger - openTransitionFile - opening file C:\temp\transitionlog_2015-01-20_153021</t>
  </si>
  <si>
    <t>2015-1-20 22:23:31.404: TransitionLogger - flushFile - flushing file</t>
  </si>
  <si>
    <t>2015-1-20 22:23:31.406: TransitionLogger - openTransitionFile - opening file C:\temp\transitionlog_2015-01-20_153021</t>
  </si>
  <si>
    <t>2015-1-20 22:24:10.339: TransitionLogger - flushFile - flushing file</t>
  </si>
  <si>
    <t>2015-1-20 22:24:10.340: TransitionLogger - openTransitionFile - opening file C:\temp\transitionlog_2015-01-20_153021</t>
  </si>
  <si>
    <t>2015-1-20 22:24:31.308: TransitionLogger - flushFile - flushing file</t>
  </si>
  <si>
    <t>2015-1-20 22:24:31.310: TransitionLogger - openTransitionFile - opening file C:\temp\transitionlog_2015-01-20_153021</t>
  </si>
  <si>
    <t>2015-1-20 22:25:10.249: TransitionLogger - flushFile - flushing file</t>
  </si>
  <si>
    <t>2015-1-20 22:25:10.251: TransitionLogger - openTransitionFile - opening file C:\temp\transitionlog_2015-01-20_153021</t>
  </si>
  <si>
    <t>2015-1-20 22:25:31.212: TransitionLogger - flushFile - flushing file</t>
  </si>
  <si>
    <t>2015-1-20 22:25:31.213: TransitionLogger - openTransitionFile - opening file C:\temp\transitionlog_2015-01-20_153021</t>
  </si>
  <si>
    <t>2015-1-20 22:26:10.145: TransitionLogger - flushFile - flushing file</t>
  </si>
  <si>
    <t>2015-1-20 22:26:10.146: TransitionLogger - openTransitionFile - opening file C:\temp\transitionlog_2015-01-20_153021</t>
  </si>
  <si>
    <t>2015-1-20 22:26:31.116: TransitionLogger - flushFile - flushing file</t>
  </si>
  <si>
    <t>2015-1-20 22:26:31.117: TransitionLogger - openTransitionFile - opening file C:\temp\transitionlog_2015-01-20_153021</t>
  </si>
  <si>
    <t>2015-1-20 22:27:10.55: TransitionLogger - flushFile - flushing file</t>
  </si>
  <si>
    <t>2015-1-20 22:27:10.56: TransitionLogger - openTransitionFile - opening file C:\temp\transitionlog_2015-01-20_153021</t>
  </si>
  <si>
    <t>2015-1-20 22:27:31.20: TransitionLogger - flushFile - flushing file</t>
  </si>
  <si>
    <t>2015-1-20 22:27:31.22: TransitionLogger - openTransitionFile - opening file C:\temp\transitionlog_2015-01-20_153021</t>
  </si>
  <si>
    <t>2015-1-20 22:28:10.958: TransitionLogger - flushFile - flushing file</t>
  </si>
  <si>
    <t>2015-1-20 22:28:10.959: TransitionLogger - openTransitionFile - opening file C:\temp\transitionlog_2015-01-20_153021</t>
  </si>
  <si>
    <t>2015-1-20 22:28:31.928: TransitionLogger - flushFile - flushing file</t>
  </si>
  <si>
    <t>2015-1-20 22:28:31.929: TransitionLogger - openTransitionFile - opening file C:\temp\transitionlog_2015-01-20_153021</t>
  </si>
  <si>
    <t>2015-1-20 22:29:10.861: TransitionLogger - flushFile - flushing file</t>
  </si>
  <si>
    <t>2015-1-20 22:29:10.862: TransitionLogger - openTransitionFile - opening file C:\temp\transitionlog_2015-01-20_153021</t>
  </si>
  <si>
    <t>2015-1-20 22:29:31.830: TransitionLogger - flushFile - flushing file</t>
  </si>
  <si>
    <t>2015-1-20 22:29:31.832: TransitionLogger - openTransitionFile - opening file C:\temp\transitionlog_2015-01-20_153021</t>
  </si>
  <si>
    <t>2015-1-20 22:30:10.765: TransitionLogger - flushFile - flushing file</t>
  </si>
  <si>
    <t>2015-1-20 22:30:10.767: TransitionLogger - openTransitionFile - opening file C:\temp\transitionlog_2015-01-20_153021</t>
  </si>
  <si>
    <t>2015-1-20 22:30:31.739: TransitionLogger - flushFile - flushing file</t>
  </si>
  <si>
    <t>2015-1-20 22:30:31.740: TransitionLogger - openTransitionFile - opening file C:\temp\transitionlog_2015-01-20_153021</t>
  </si>
  <si>
    <t>2015-1-20 22:31:10.673: TransitionLogger - flushFile - flushing file</t>
  </si>
  <si>
    <t>2015-1-20 22:31:10.675: TransitionLogger - openTransitionFile - opening file C:\temp\transitionlog_2015-01-20_153021</t>
  </si>
  <si>
    <t>2015-1-20 22:31:31.638: TransitionLogger - flushFile - flushing file</t>
  </si>
  <si>
    <t>2015-1-20 22:31:31.639: TransitionLogger - openTransitionFile - opening file C:\temp\transitionlog_2015-01-20_153021</t>
  </si>
  <si>
    <t>2015-1-20 22:32:10.573: TransitionLogger - flushFile - flushing file</t>
  </si>
  <si>
    <t>2015-1-20 22:32:10.574: TransitionLogger - openTransitionFile - opening file C:\temp\transitionlog_2015-01-20_153021</t>
  </si>
  <si>
    <t>2015-1-20 22:32:31.545: TransitionLogger - flushFile - flushing file</t>
  </si>
  <si>
    <t>2015-1-20 22:32:31.546: TransitionLogger - openTransitionFile - opening file C:\temp\transitionlog_2015-01-20_153021</t>
  </si>
  <si>
    <t>2015-1-20 22:33:10.479: TransitionLogger - flushFile - flushing file</t>
  </si>
  <si>
    <t>2015-1-20 22:33:10.481: TransitionLogger - openTransitionFile - opening file C:\temp\transitionlog_2015-01-20_153021</t>
  </si>
  <si>
    <t>2015-1-20 22:33:31.450: TransitionLogger - flushFile - flushing file</t>
  </si>
  <si>
    <t>2015-1-20 22:33:31.451: TransitionLogger - openTransitionFile - opening file C:\temp\transitionlog_2015-01-20_153021</t>
  </si>
  <si>
    <t>2015-1-20 22:34:10.388: TransitionLogger - flushFile - flushing file</t>
  </si>
  <si>
    <t>2015-1-20 22:34:10.390: TransitionLogger - openTransitionFile - opening file C:\temp\transitionlog_2015-01-20_153021</t>
  </si>
  <si>
    <t>2015-1-20 22:34:31.348: TransitionLogger - flushFile - flushing file</t>
  </si>
  <si>
    <t>2015-1-20 22:34:31.350: TransitionLogger - openTransitionFile - opening file C:\temp\transitionlog_2015-01-20_153021</t>
  </si>
  <si>
    <t>2015-1-20 22:35:10.288: TransitionLogger - flushFile - flushing file</t>
  </si>
  <si>
    <t>2015-1-20 22:35:10.289: TransitionLogger - openTransitionFile - opening file C:\temp\transitionlog_2015-01-20_153021</t>
  </si>
  <si>
    <t>2015-1-20 22:35:31.252: TransitionLogger - flushFile - flushing file</t>
  </si>
  <si>
    <t>2015-1-20 22:35:31.253: TransitionLogger - openTransitionFile - opening file C:\temp\transitionlog_2015-01-20_153021</t>
  </si>
  <si>
    <t>2015-1-20 22:36:10.198: TransitionLogger - flushFile - flushing file</t>
  </si>
  <si>
    <t>2015-1-20 22:36:10.200: TransitionLogger - openTransitionFile - opening file C:\temp\transitionlog_2015-01-20_153021</t>
  </si>
  <si>
    <t>2015-1-20 22:36:31.161: TransitionLogger - flushFile - flushing file</t>
  </si>
  <si>
    <t>2015-1-20 22:36:31.163: TransitionLogger - openTransitionFile - opening file C:\temp\transitionlog_2015-01-20_153021</t>
  </si>
  <si>
    <t>2015-1-20 22:37:10.97: TransitionLogger - flushFile - flushing file</t>
  </si>
  <si>
    <t>2015-1-20 22:37:10.98: TransitionLogger - openTransitionFile - opening file C:\temp\transitionlog_2015-01-20_153021</t>
  </si>
  <si>
    <t>2015-1-20 22:37:31.61: TransitionLogger - flushFile - flushing file</t>
  </si>
  <si>
    <t>2015-1-20 22:37:31.62: TransitionLogger - openTransitionFile - opening file C:\temp\transitionlog_2015-01-20_153021</t>
  </si>
  <si>
    <t>2015-1-20 22:38:10.2: TransitionLogger - flushFile - flushing file</t>
  </si>
  <si>
    <t>2015-1-20 22:38:10.4: TransitionLogger - openTransitionFile - opening file C:\temp\transitionlog_2015-01-20_153021</t>
  </si>
  <si>
    <t>2015-1-20 22:38:31.962: TransitionLogger - flushFile - flushing file</t>
  </si>
  <si>
    <t>2015-1-20 22:38:31.964: TransitionLogger - openTransitionFile - opening file C:\temp\transitionlog_2015-01-20_153021</t>
  </si>
  <si>
    <t>2015-1-20 22:39:10.902: TransitionLogger - flushFile - flushing file</t>
  </si>
  <si>
    <t>2015-1-20 22:39:10.903: TransitionLogger - openTransitionFile - opening file C:\temp\transitionlog_2015-01-20_153021</t>
  </si>
  <si>
    <t>2015-1-20 22:39:31.870: TransitionLogger - flushFile - flushing file</t>
  </si>
  <si>
    <t>2015-1-20 22:39:31.872: TransitionLogger - openTransitionFile - opening file C:\temp\transitionlog_2015-01-20_153021</t>
  </si>
  <si>
    <t>2015-1-20 22:40:10.813: TransitionLogger - flushFile - flushing file</t>
  </si>
  <si>
    <t>2015-1-20 22:40:10.814: TransitionLogger - openTransitionFile - opening file C:\temp\transitionlog_2015-01-20_153021</t>
  </si>
  <si>
    <t>2015-1-20 22:40:31.772: TransitionLogger - flushFile - flushing file</t>
  </si>
  <si>
    <t>2015-1-20 22:40:31.774: TransitionLogger - openTransitionFile - opening file C:\temp\transitionlog_2015-01-20_153021</t>
  </si>
  <si>
    <t>2015-1-20 22:41:10.718: TransitionLogger - flushFile - flushing file</t>
  </si>
  <si>
    <t>2015-1-20 22:41:10.720: TransitionLogger - openTransitionFile - opening file C:\temp\transitionlog_2015-01-20_153021</t>
  </si>
  <si>
    <t>2015-1-20 22:41:31.682: TransitionLogger - flushFile - flushing file</t>
  </si>
  <si>
    <t>2015-1-20 22:41:31.683: TransitionLogger - openTransitionFile - opening file C:\temp\transitionlog_2015-01-20_153021</t>
  </si>
  <si>
    <t>2015-1-20 22:42:10.621: TransitionLogger - flushFile - flushing file</t>
  </si>
  <si>
    <t>2015-1-20 22:42:10.623: TransitionLogger - openTransitionFile - opening file C:\temp\transitionlog_2015-01-20_153021</t>
  </si>
  <si>
    <t>2015-1-20 22:42:31.587: TransitionLogger - flushFile - flushing file</t>
  </si>
  <si>
    <t>2015-1-20 22:42:31.589: TransitionLogger - openTransitionFile - opening file C:\temp\transitionlog_2015-01-20_153021</t>
  </si>
  <si>
    <t>2015-1-20 22:43:10.525: TransitionLogger - flushFile - flushing file</t>
  </si>
  <si>
    <t>2015-1-20 22:43:10.526: TransitionLogger - openTransitionFile - opening file C:\temp\transitionlog_2015-01-20_153021</t>
  </si>
  <si>
    <t>2015-1-20 22:43:31.487: TransitionLogger - flushFile - flushing file</t>
  </si>
  <si>
    <t>2015-1-20 22:43:31.488: TransitionLogger - openTransitionFile - opening file C:\temp\transitionlog_2015-01-20_153021</t>
  </si>
  <si>
    <t>2015-1-20 22:44:10.430: TransitionLogger - flushFile - flushing file</t>
  </si>
  <si>
    <t>2015-1-20 22:44:10.431: TransitionLogger - openTransitionFile - opening file C:\temp\transitionlog_2015-01-20_153021</t>
  </si>
  <si>
    <t>2015-1-20 22:44:31.398: TransitionLogger - flushFile - flushing file</t>
  </si>
  <si>
    <t>2015-1-20 22:44:31.400: TransitionLogger - openTransitionFile - opening file C:\temp\transitionlog_2015-01-20_153021</t>
  </si>
  <si>
    <t>2015-1-20 22:45:10.332: TransitionLogger - flushFile - flushing file</t>
  </si>
  <si>
    <t>2015-1-20 22:45:10.333: TransitionLogger - openTransitionFile - opening file C:\temp\transitionlog_2015-01-20_153021</t>
  </si>
  <si>
    <t>2015-1-20 22:45:31.297: TransitionLogger - flushFile - flushing file</t>
  </si>
  <si>
    <t>2015-1-20 22:45:31.298: TransitionLogger - openTransitionFile - opening file C:\temp\transitionlog_2015-01-20_153021</t>
  </si>
  <si>
    <t>2015-1-20 22:46:10.237: TransitionLogger - flushFile - flushing file</t>
  </si>
  <si>
    <t>2015-1-20 22:46:10.238: TransitionLogger - openTransitionFile - opening file C:\temp\transitionlog_2015-01-20_153021</t>
  </si>
  <si>
    <t>2015-1-20 22:46:31.200: TransitionLogger - flushFile - flushing file</t>
  </si>
  <si>
    <t>2015-1-20 22:46:31.201: TransitionLogger - openTransitionFile - opening file C:\temp\transitionlog_2015-01-20_153021</t>
  </si>
  <si>
    <t>2015-1-20 22:47:10.140: TransitionLogger - flushFile - flushing file</t>
  </si>
  <si>
    <t>2015-1-20 22:47:10.141: TransitionLogger - openTransitionFile - opening file C:\temp\transitionlog_2015-01-20_153021</t>
  </si>
  <si>
    <t>2015-1-20 22:47:31.104: TransitionLogger - flushFile - flushing file</t>
  </si>
  <si>
    <t>2015-1-20 22:47:31.105: TransitionLogger - openTransitionFile - opening file C:\temp\transitionlog_2015-01-20_153021</t>
  </si>
  <si>
    <t>2015-1-20 22:48:10.50: TransitionLogger - flushFile - flushing file</t>
  </si>
  <si>
    <t>2015-1-20 22:48:10.51: TransitionLogger - openTransitionFile - opening file C:\temp\transitionlog_2015-01-20_153021</t>
  </si>
  <si>
    <t>2015-1-20 22:48:31.14: TransitionLogger - flushFile - flushing file</t>
  </si>
  <si>
    <t>2015-1-20 22:48:31.16: TransitionLogger - openTransitionFile - opening file C:\temp\transitionlog_2015-01-20_153021</t>
  </si>
  <si>
    <t>2015-1-20 22:49:10.946: TransitionLogger - flushFile - flushing file</t>
  </si>
  <si>
    <t>2015-1-20 22:49:10.948: TransitionLogger - openTransitionFile - opening file C:\temp\transitionlog_2015-01-20_153021</t>
  </si>
  <si>
    <t>2015-1-20 22:49:31.913: TransitionLogger - flushFile - flushing file</t>
  </si>
  <si>
    <t>2015-1-20 22:49:31.914: TransitionLogger - openTransitionFile - opening file C:\temp\transitionlog_2015-01-20_153021</t>
  </si>
  <si>
    <t>2015-1-20 22:50:10.850: TransitionLogger - flushFile - flushing file</t>
  </si>
  <si>
    <t>2015-1-20 22:50:10.851: TransitionLogger - openTransitionFile - opening file C:\temp\transitionlog_2015-01-20_153021</t>
  </si>
  <si>
    <t>2015-1-20 22:50:31.818: TransitionLogger - flushFile - flushing file</t>
  </si>
  <si>
    <t>2015-1-20 22:50:31.819: TransitionLogger - openTransitionFile - opening file C:\temp\transitionlog_2015-01-20_153021</t>
  </si>
  <si>
    <t>2015-1-20 22:51:10.755: TransitionLogger - flushFile - flushing file</t>
  </si>
  <si>
    <t>2015-1-20 22:51:10.756: TransitionLogger - openTransitionFile - opening file C:\temp\transitionlog_2015-01-20_153021</t>
  </si>
  <si>
    <t>2015-1-20 22:51:31.721: TransitionLogger - flushFile - flushing file</t>
  </si>
  <si>
    <t>2015-1-20 22:51:31.722: TransitionLogger - openTransitionFile - opening file C:\temp\transitionlog_2015-01-20_153021</t>
  </si>
  <si>
    <t>2015-1-20 22:52:10.658: TransitionLogger - flushFile - flushing file</t>
  </si>
  <si>
    <t>2015-1-20 22:52:10.660: TransitionLogger - openTransitionFile - opening file C:\temp\transitionlog_2015-01-20_153021</t>
  </si>
  <si>
    <t>2015-1-20 22:52:31.632: TransitionLogger - flushFile - flushing file</t>
  </si>
  <si>
    <t>2015-1-20 22:52:31.633: TransitionLogger - openTransitionFile - opening file C:\temp\transitionlog_2015-01-20_153021</t>
  </si>
  <si>
    <t>2015-1-20 22:53:10.566: TransitionLogger - flushFile - flushing file</t>
  </si>
  <si>
    <t>2015-1-20 22:53:10.568: TransitionLogger - openTransitionFile - opening file C:\temp\transitionlog_2015-01-20_153021</t>
  </si>
  <si>
    <t>2015-1-20 22:53:31.531: TransitionLogger - flushFile - flushing file</t>
  </si>
  <si>
    <t>2015-1-20 22:53:31.531: TransitionLogger - openTransitionFile - opening file C:\temp\transitionlog_2015-01-20_153021</t>
  </si>
  <si>
    <t>2015-1-20 22:54:10.469: TransitionLogger - flushFile - flushing file</t>
  </si>
  <si>
    <t>2015-1-20 22:54:10.470: TransitionLogger - openTransitionFile - opening file C:\temp\transitionlog_2015-01-20_153021</t>
  </si>
  <si>
    <t>2015-1-20 22:54:31.438: TransitionLogger - flushFile - flushing file</t>
  </si>
  <si>
    <t>2015-1-20 22:54:31.440: TransitionLogger - openTransitionFile - opening file C:\temp\transitionlog_2015-01-20_153021</t>
  </si>
  <si>
    <t>2015-1-20 22:55:10.375: TransitionLogger - flushFile - flushing file</t>
  </si>
  <si>
    <t>2015-1-20 22:55:10.377: TransitionLogger - openTransitionFile - opening file C:\temp\transitionlog_2015-01-20_153021</t>
  </si>
  <si>
    <t>2015-1-20 22:55:31.339: TransitionLogger - flushFile - flushing file</t>
  </si>
  <si>
    <t>2015-1-20 22:55:31.341: TransitionLogger - openTransitionFile - opening file C:\temp\transitionlog_2015-01-20_153021</t>
  </si>
  <si>
    <t>2015-1-20 22:56:10.277: TransitionLogger - flushFile - flushing file</t>
  </si>
  <si>
    <t>2015-1-20 22:56:10.278: TransitionLogger - openTransitionFile - opening file C:\temp\transitionlog_2015-01-20_153021</t>
  </si>
  <si>
    <t>2015-1-20 22:56:31.249: TransitionLogger - flushFile - flushing file</t>
  </si>
  <si>
    <t>2015-1-20 22:56:31.250: TransitionLogger - openTransitionFile - opening file C:\temp\transitionlog_2015-01-20_153021</t>
  </si>
  <si>
    <t>2015-1-20 22:57:10.181: TransitionLogger - flushFile - flushing file</t>
  </si>
  <si>
    <t>2015-1-20 22:57:10.182: TransitionLogger - openTransitionFile - opening file C:\temp\transitionlog_2015-01-20_153021</t>
  </si>
  <si>
    <t>2015-1-20 22:57:31.147: TransitionLogger - flushFile - flushing file</t>
  </si>
  <si>
    <t>2015-1-20 22:57:31.148: TransitionLogger - openTransitionFile - opening file C:\temp\transitionlog_2015-01-20_153021</t>
  </si>
  <si>
    <t>2015-1-20 22:58:10.88: TransitionLogger - flushFile - flushing file</t>
  </si>
  <si>
    <t>2015-1-20 22:58:10.89: TransitionLogger - openTransitionFile - opening file C:\temp\transitionlog_2015-01-20_153021</t>
  </si>
  <si>
    <t>2015-1-20 22:58:31.57: TransitionLogger - flushFile - flushing file</t>
  </si>
  <si>
    <t>2015-1-20 22:58:31.58: TransitionLogger - openTransitionFile - opening file C:\temp\transitionlog_2015-01-20_153021</t>
  </si>
  <si>
    <t>2015-1-20 22:59:10.988: TransitionLogger - flushFile - flushing file</t>
  </si>
  <si>
    <t>2015-1-20 22:59:10.990: TransitionLogger - openTransitionFile - opening file C:\temp\transitionlog_2015-01-20_153021</t>
  </si>
  <si>
    <t>2015-1-20 22:59:31.952: TransitionLogger - flushFile - flushing file</t>
  </si>
  <si>
    <t>2015-1-20 22:59:31.954: TransitionLogger - openTransitionFile - opening file C:\temp\transitionlog_2015-01-20_153021</t>
  </si>
  <si>
    <t>2015-1-20 23:0:10.896: TransitionLogger - flushFile - flushing file</t>
  </si>
  <si>
    <t>2015-1-20 23:0:10.897: TransitionLogger - openTransitionFile - opening file C:\temp\transitionlog_2015-01-20_153021</t>
  </si>
  <si>
    <t>2015-1-20 23:0:31.860: TransitionLogger - flushFile - flushing file</t>
  </si>
  <si>
    <t>2015-1-20 23:0:31.862: TransitionLogger - openTransitionFile - opening file C:\temp\transitionlog_2015-01-20_153021</t>
  </si>
  <si>
    <t>2015-1-20 23:1:10.796: TransitionLogger - flushFile - flushing file</t>
  </si>
  <si>
    <t>2015-1-20 23:1:10.797: TransitionLogger - openTransitionFile - opening file C:\temp\transitionlog_2015-01-20_153021</t>
  </si>
  <si>
    <t>2015-1-20 23:1:31.762: TransitionLogger - flushFile - flushing file</t>
  </si>
  <si>
    <t>2015-1-20 23:1:31.763: TransitionLogger - openTransitionFile - opening file C:\temp\transitionlog_2015-01-20_153021</t>
  </si>
  <si>
    <t>2015-1-20 23:2:10.706: TransitionLogger - flushFile - flushing file</t>
  </si>
  <si>
    <t>2015-1-20 23:2:10.707: TransitionLogger - openTransitionFile - opening file C:\temp\transitionlog_2015-01-20_153021</t>
  </si>
  <si>
    <t>2015-1-20 23:2:31.667: TransitionLogger - flushFile - flushing file</t>
  </si>
  <si>
    <t>2015-1-20 23:2:31.668: TransitionLogger - openTransitionFile - opening file C:\temp\transitionlog_2015-01-20_153021</t>
  </si>
  <si>
    <t>2015-1-20 23:3:10.609: TransitionLogger - flushFile - flushing file</t>
  </si>
  <si>
    <t>2015-1-20 23:3:10.610: TransitionLogger - openTransitionFile - opening file C:\temp\transitionlog_2015-01-20_153021</t>
  </si>
  <si>
    <t>2015-1-20 23:3:31.576: TransitionLogger - flushFile - flushing file</t>
  </si>
  <si>
    <t>2015-1-20 23:3:31.578: TransitionLogger - openTransitionFile - opening file C:\temp\transitionlog_2015-01-20_153021</t>
  </si>
  <si>
    <t>2015-1-20 23:4:10.515: TransitionLogger - flushFile - flushing file</t>
  </si>
  <si>
    <t>2015-1-20 23:4:10.516: TransitionLogger - openTransitionFile - opening file C:\temp\transitionlog_2015-01-20_153021</t>
  </si>
  <si>
    <t>2015-1-20 23:4:31.476: TransitionLogger - flushFile - flushing file</t>
  </si>
  <si>
    <t>2015-1-20 23:4:31.477: TransitionLogger - openTransitionFile - opening file C:\temp\transitionlog_2015-01-20_153021</t>
  </si>
  <si>
    <t>2015-1-20 23:5:10.416: TransitionLogger - flushFile - flushing file</t>
  </si>
  <si>
    <t>2015-1-20 23:5:10.418: TransitionLogger - openTransitionFile - opening file C:\temp\transitionlog_2015-01-20_153021</t>
  </si>
  <si>
    <t>2015-1-20 23:5:31.380: TransitionLogger - flushFile - flushing file</t>
  </si>
  <si>
    <t>2015-1-20 23:5:31.381: TransitionLogger - openTransitionFile - opening file C:\temp\transitionlog_2015-01-20_153021</t>
  </si>
  <si>
    <t>2015-1-20 23:6:10.320: TransitionLogger - flushFile - flushing file</t>
  </si>
  <si>
    <t>2015-1-20 23:6:10.322: TransitionLogger - openTransitionFile - opening file C:\temp\transitionlog_2015-01-20_153021</t>
  </si>
  <si>
    <t>2015-1-20 23:6:31.284: TransitionLogger - flushFile - flushing file</t>
  </si>
  <si>
    <t>2015-1-20 23:6:31.286: TransitionLogger - openTransitionFile - opening file C:\temp\transitionlog_2015-01-20_153021</t>
  </si>
  <si>
    <t>2015-1-20 23:7:10.223: TransitionLogger - flushFile - flushing file</t>
  </si>
  <si>
    <t>2015-1-20 23:7:10.224: TransitionLogger - openTransitionFile - opening file C:\temp\transitionlog_2015-01-20_153021</t>
  </si>
  <si>
    <t>2015-1-20 23:7:31.190: TransitionLogger - flushFile - flushing file</t>
  </si>
  <si>
    <t>2015-1-20 23:7:31.191: TransitionLogger - openTransitionFile - opening file C:\temp\transitionlog_2015-01-20_153021</t>
  </si>
  <si>
    <t>2015-1-20 23:8:10.133: TransitionLogger - flushFile - flushing file</t>
  </si>
  <si>
    <t>2015-1-20 23:8:10.134: TransitionLogger - openTransitionFile - opening file C:\temp\transitionlog_2015-01-20_153021</t>
  </si>
  <si>
    <t>2015-1-20 23:8:31.91: TransitionLogger - flushFile - flushing file</t>
  </si>
  <si>
    <t>2015-1-20 23:8:31.93: TransitionLogger - openTransitionFile - opening file C:\temp\transitionlog_2015-01-20_153021</t>
  </si>
  <si>
    <t>2015-1-20 23:9:10.30: TransitionLogger - flushFile - flushing file</t>
  </si>
  <si>
    <t>2015-1-20 23:9:10.31: TransitionLogger - openTransitionFile - opening file C:\temp\transitionlog_2015-01-20_153021</t>
  </si>
  <si>
    <t>2015-1-20 23:9:31.921: TransitionLogger - flushFile - flushing file</t>
  </si>
  <si>
    <t>2015-1-20 23:9:31.922: TransitionLogger - openTransitionFile - opening file C:\temp\transitionlog_2015-01-20_153021</t>
  </si>
  <si>
    <t>2015-1-20 23:10:10.938: TransitionLogger - flushFile - flushing file</t>
  </si>
  <si>
    <t>2015-1-20 23:10:10.939: TransitionLogger - openTransitionFile - opening file C:\temp\transitionlog_2015-01-20_153021</t>
  </si>
  <si>
    <t>2015-1-20 23:10:31.448: TransitionLogger - flushFile - flushing file</t>
  </si>
  <si>
    <t>2015-1-20 23:10:31.449: TransitionLogger - openTransitionFile - opening file C:\temp\transitionlog_2015-01-20_153021</t>
  </si>
  <si>
    <t>2015-1-20 23:11:10.844: TransitionLogger - flushFile - flushing file</t>
  </si>
  <si>
    <t>2015-1-20 23:11:10.845: TransitionLogger - openTransitionFile - opening file C:\temp\transitionlog_2015-01-20_153021</t>
  </si>
  <si>
    <t>2015-1-20 23:11:31.804: TransitionLogger - flushFile - flushing file</t>
  </si>
  <si>
    <t>2015-1-20 23:11:31.805: TransitionLogger - openTransitionFile - opening file C:\temp\transitionlog_2015-01-20_153021</t>
  </si>
  <si>
    <t>2015-1-20 23:12:10.745: TransitionLogger - flushFile - flushing file</t>
  </si>
  <si>
    <t>2015-1-20 23:12:10.747: TransitionLogger - openTransitionFile - opening file C:\temp\transitionlog_2015-01-20_153021</t>
  </si>
  <si>
    <t>2015-1-20 23:12:31.714: TransitionLogger - flushFile - flushing file</t>
  </si>
  <si>
    <t>2015-1-20 23:12:31.715: TransitionLogger - openTransitionFile - opening file C:\temp\transitionlog_2015-01-20_153021</t>
  </si>
  <si>
    <t>2015-1-20 23:13:10.654: TransitionLogger - flushFile - flushing file</t>
  </si>
  <si>
    <t>2015-1-20 23:13:10.655: TransitionLogger - openTransitionFile - opening file C:\temp\transitionlog_2015-01-20_153021</t>
  </si>
  <si>
    <t>2015-1-20 23:13:31.614: TransitionLogger - flushFile - flushing file</t>
  </si>
  <si>
    <t>2015-1-20 23:13:31.615: TransitionLogger - openTransitionFile - opening file C:\temp\transitionlog_2015-01-20_153021</t>
  </si>
  <si>
    <t>2015-1-20 23:14:10.558: TransitionLogger - flushFile - flushing file</t>
  </si>
  <si>
    <t>2015-1-20 23:14:10.560: TransitionLogger - openTransitionFile - opening file C:\temp\transitionlog_2015-01-20_153021</t>
  </si>
  <si>
    <t>2015-1-20 23:14:31.525: TransitionLogger - flushFile - flushing file</t>
  </si>
  <si>
    <t>2015-1-20 23:14:31.526: TransitionLogger - openTransitionFile - opening file C:\temp\transitionlog_2015-01-20_153021</t>
  </si>
  <si>
    <t>2015-1-20 23:15:10.458: TransitionLogger - flushFile - flushing file</t>
  </si>
  <si>
    <t>2015-1-20 23:15:10.459: TransitionLogger - openTransitionFile - opening file C:\temp\transitionlog_2015-01-20_153021</t>
  </si>
  <si>
    <t>2015-1-20 23:15:31.424: TransitionLogger - flushFile - flushing file</t>
  </si>
  <si>
    <t>2015-1-20 23:15:31.425: TransitionLogger - openTransitionFile - opening file C:\temp\transitionlog_2015-01-20_153021</t>
  </si>
  <si>
    <t>2015-1-20 23:16:10.364: TransitionLogger - flushFile - flushing file</t>
  </si>
  <si>
    <t>2015-1-20 23:16:10.365: TransitionLogger - openTransitionFile - opening file C:\temp\transitionlog_2015-01-20_153021</t>
  </si>
  <si>
    <t>2015-1-20 23:16:31.328: TransitionLogger - flushFile - flushing file</t>
  </si>
  <si>
    <t>2015-1-20 23:16:31.330: TransitionLogger - openTransitionFile - opening file C:\temp\transitionlog_2015-01-20_153021</t>
  </si>
  <si>
    <t>2015-1-20 23:17:10.264: TransitionLogger - flushFile - flushing file</t>
  </si>
  <si>
    <t>2015-1-20 23:17:10.265: TransitionLogger - openTransitionFile - opening file C:\temp\transitionlog_2015-01-20_153021</t>
  </si>
  <si>
    <t>2015-1-20 23:17:31.232: TransitionLogger - flushFile - flushing file</t>
  </si>
  <si>
    <t>2015-1-20 23:17:31.233: TransitionLogger - openTransitionFile - opening file C:\temp\transitionlog_2015-01-20_153021</t>
  </si>
  <si>
    <t>2015-1-20 23:18:10.171: TransitionLogger - flushFile - flushing file</t>
  </si>
  <si>
    <t>2015-1-20 23:18:10.173: TransitionLogger - openTransitionFile - opening file C:\temp\transitionlog_2015-01-20_153021</t>
  </si>
  <si>
    <t>2015-1-20 23:18:31.142: TransitionLogger - flushFile - flushing file</t>
  </si>
  <si>
    <t>2015-1-20 23:18:31.143: TransitionLogger - openTransitionFile - opening file C:\temp\transitionlog_2015-01-20_153021</t>
  </si>
  <si>
    <t>2015-1-20 23:19:10.72: TransitionLogger - flushFile - flushing file</t>
  </si>
  <si>
    <t>2015-1-20 23:19:10.73: TransitionLogger - openTransitionFile - opening file C:\temp\transitionlog_2015-01-20_153021</t>
  </si>
  <si>
    <t>2015-1-20 23:19:31.40: TransitionLogger - flushFile - flushing file</t>
  </si>
  <si>
    <t>2015-1-20 23:19:31.41: TransitionLogger - openTransitionFile - opening file C:\temp\transitionlog_2015-01-20_153021</t>
  </si>
  <si>
    <t>2015-1-20 23:20:10.976: TransitionLogger - flushFile - flushing file</t>
  </si>
  <si>
    <t>2015-1-20 23:20:10.978: TransitionLogger - openTransitionFile - opening file C:\temp\transitionlog_2015-01-20_153021</t>
  </si>
  <si>
    <t>2015-1-20 23:20:31.943: TransitionLogger - flushFile - flushing file</t>
  </si>
  <si>
    <t>2015-1-20 23:20:31.945: TransitionLogger - openTransitionFile - opening file C:\temp\transitionlog_2015-01-20_153021</t>
  </si>
  <si>
    <t>2015-1-20 23:21:10.889: TransitionLogger - flushFile - flushing file</t>
  </si>
  <si>
    <t>2015-1-20 23:21:10.890: TransitionLogger - openTransitionFile - opening file C:\temp\transitionlog_2015-01-20_153021</t>
  </si>
  <si>
    <t>2015-1-20 23:21:31.848: TransitionLogger - flushFile - flushing file</t>
  </si>
  <si>
    <t>2015-1-20 23:21:31.849: TransitionLogger - openTransitionFile - opening file C:\temp\transitionlog_2015-01-20_153021</t>
  </si>
  <si>
    <t>2015-1-20 23:22:10.785: TransitionLogger - flushFile - flushing file</t>
  </si>
  <si>
    <t>2015-1-20 23:22:10.786: TransitionLogger - openTransitionFile - opening file C:\temp\transitionlog_2015-01-20_153021</t>
  </si>
  <si>
    <t>2015-1-20 23:22:31.757: TransitionLogger - flushFile - flushing file</t>
  </si>
  <si>
    <t>2015-1-20 23:22:31.758: TransitionLogger - openTransitionFile - opening file C:\temp\transitionlog_2015-01-20_153021</t>
  </si>
  <si>
    <t>2015-1-20 23:23:10.694: TransitionLogger - flushFile - flushing file</t>
  </si>
  <si>
    <t>2015-1-20 23:23:10.696: TransitionLogger - openTransitionFile - opening file C:\temp\transitionlog_2015-01-20_153021</t>
  </si>
  <si>
    <t>2015-1-20 23:23:31.661: TransitionLogger - flushFile - flushing file</t>
  </si>
  <si>
    <t>2015-1-20 23:23:31.662: TransitionLogger - openTransitionFile - opening file C:\temp\transitionlog_2015-01-20_153021</t>
  </si>
  <si>
    <t>2015-1-20 23:24:10.596: TransitionLogger - flushFile - flushing file</t>
  </si>
  <si>
    <t>2015-1-20 23:24:10.598: TransitionLogger - openTransitionFile - opening file C:\temp\transitionlog_2015-01-20_153021</t>
  </si>
  <si>
    <t>2015-1-20 23:24:31.565: TransitionLogger - flushFile - flushing file</t>
  </si>
  <si>
    <t>2015-1-20 23:24:31.566: TransitionLogger - openTransitionFile - opening file C:\temp\transitionlog_2015-01-20_153021</t>
  </si>
  <si>
    <t>2015-1-20 23:25:10.497: TransitionLogger - flushFile - flushing file</t>
  </si>
  <si>
    <t>2015-1-20 23:25:10.499: TransitionLogger - openTransitionFile - opening file C:\temp\transitionlog_2015-01-20_153021</t>
  </si>
  <si>
    <t>2015-1-20 23:25:31.470: TransitionLogger - flushFile - flushing file</t>
  </si>
  <si>
    <t>2015-1-20 23:25:31.471: TransitionLogger - openTransitionFile - opening file C:\temp\transitionlog_2015-01-20_153021</t>
  </si>
  <si>
    <t>2015-1-20 23:26:10.406: TransitionLogger - flushFile - flushing file</t>
  </si>
  <si>
    <t>2015-1-20 23:26:10.407: TransitionLogger - openTransitionFile - opening file C:\temp\transitionlog_2015-01-20_153021</t>
  </si>
  <si>
    <t>2015-1-20 23:26:31.370: TransitionLogger - flushFile - flushing file</t>
  </si>
  <si>
    <t>2015-1-20 23:26:31.371: TransitionLogger - openTransitionFile - opening file C:\temp\transitionlog_2015-01-20_153021</t>
  </si>
  <si>
    <t>2015-1-20 23:27:10.307: TransitionLogger - flushFile - flushing file</t>
  </si>
  <si>
    <t>2015-1-20 23:27:10.309: TransitionLogger - openTransitionFile - opening file C:\temp\transitionlog_2015-01-20_153021</t>
  </si>
  <si>
    <t>2015-1-20 23:27:31.278: TransitionLogger - flushFile - flushing file</t>
  </si>
  <si>
    <t>2015-1-20 23:27:31.279: TransitionLogger - openTransitionFile - opening file C:\temp\transitionlog_2015-01-20_153021</t>
  </si>
  <si>
    <t>2015-1-20 23:28:10.211: TransitionLogger - flushFile - flushing file</t>
  </si>
  <si>
    <t>2015-1-20 23:28:10.212: TransitionLogger - openTransitionFile - opening file C:\temp\transitionlog_2015-01-20_153021</t>
  </si>
  <si>
    <t>2015-1-20 23:28:31.184: TransitionLogger - flushFile - flushing file</t>
  </si>
  <si>
    <t>2015-1-20 23:28:31.185: TransitionLogger - openTransitionFile - opening file C:\temp\transitionlog_2015-01-20_153021</t>
  </si>
  <si>
    <t>2015-1-20 23:29:10.114: TransitionLogger - flushFile - flushing file</t>
  </si>
  <si>
    <t>2015-1-20 23:29:10.115: TransitionLogger - openTransitionFile - opening file C:\temp\transitionlog_2015-01-20_153021</t>
  </si>
  <si>
    <t>2015-1-20 23:29:31.87: TransitionLogger - flushFile - flushing file</t>
  </si>
  <si>
    <t>2015-1-20 23:29:31.89: TransitionLogger - openTransitionFile - opening file C:\temp\transitionlog_2015-01-20_153021</t>
  </si>
  <si>
    <t>2015-1-20 23:30:10.18: TransitionLogger - flushFile - flushing file</t>
  </si>
  <si>
    <t>2015-1-20 23:30:10.18: TransitionLogger - openTransitionFile - opening file C:\temp\transitionlog_2015-01-20_153021</t>
  </si>
  <si>
    <t>2015-1-20 23:30:31.984: TransitionLogger - flushFile - flushing file</t>
  </si>
  <si>
    <t>2015-1-20 23:30:31.986: TransitionLogger - openTransitionFile - opening file C:\temp\transitionlog_2015-01-20_153021</t>
  </si>
  <si>
    <t>2015-1-20 23:31:10.925: TransitionLogger - flushFile - flushing file</t>
  </si>
  <si>
    <t>2015-1-20 23:31:10.926: TransitionLogger - openTransitionFile - opening file C:\temp\transitionlog_2015-01-20_153021</t>
  </si>
  <si>
    <t>2015-1-20 23:31:31.891: TransitionLogger - flushFile - flushing file</t>
  </si>
  <si>
    <t>2015-1-20 23:31:31.892: TransitionLogger - openTransitionFile - opening file C:\temp\transitionlog_2015-01-20_153021</t>
  </si>
  <si>
    <t>2015-1-20 23:32:10.829: TransitionLogger - flushFile - flushing file</t>
  </si>
  <si>
    <t>2015-1-20 23:32:10.830: TransitionLogger - openTransitionFile - opening file C:\temp\transitionlog_2015-01-20_153021</t>
  </si>
  <si>
    <t>2015-1-20 23:32:31.798: TransitionLogger - flushFile - flushing file</t>
  </si>
  <si>
    <t>2015-1-20 23:32:31.799: TransitionLogger - openTransitionFile - opening file C:\temp\transitionlog_2015-01-20_153021</t>
  </si>
  <si>
    <t>2015-1-20 23:33:10.735: TransitionLogger - flushFile - flushing file</t>
  </si>
  <si>
    <t>2015-1-20 23:33:10.737: TransitionLogger - openTransitionFile - opening file C:\temp\transitionlog_2015-01-20_153021</t>
  </si>
  <si>
    <t>2015-1-20 23:33:31.699: TransitionLogger - flushFile - flushing file</t>
  </si>
  <si>
    <t>2015-1-20 23:33:31.701: TransitionLogger - openTransitionFile - opening file C:\temp\transitionlog_2015-01-20_153021</t>
  </si>
  <si>
    <t>2015-1-20 23:34:10.637: TransitionLogger - flushFile - flushing file</t>
  </si>
  <si>
    <t>2015-1-20 23:34:10.637: TransitionLogger - openTransitionFile - opening file C:\temp\transitionlog_2015-01-20_153021</t>
  </si>
  <si>
    <t>2015-1-20 23:34:31.607: TransitionLogger - flushFile - flushing file</t>
  </si>
  <si>
    <t>2015-1-20 23:34:31.609: TransitionLogger - openTransitionFile - opening file C:\temp\transitionlog_2015-01-20_153021</t>
  </si>
  <si>
    <t>2015-1-20 23:35:10.547: TransitionLogger - flushFile - flushing file</t>
  </si>
  <si>
    <t>2015-1-20 23:35:10.548: TransitionLogger - openTransitionFile - opening file C:\temp\transitionlog_2015-01-20_153021</t>
  </si>
  <si>
    <t>2015-1-20 23:35:31.511: TransitionLogger - flushFile - flushing file</t>
  </si>
  <si>
    <t>2015-1-20 23:35:31.513: TransitionLogger - openTransitionFile - opening file C:\temp\transitionlog_2015-01-20_153021</t>
  </si>
  <si>
    <t>2015-1-20 23:36:10.447: TransitionLogger - flushFile - flushing file</t>
  </si>
  <si>
    <t>2015-1-20 23:36:10.448: TransitionLogger - openTransitionFile - opening file C:\temp\transitionlog_2015-01-20_153021</t>
  </si>
  <si>
    <t>2015-1-20 23:36:31.410: TransitionLogger - flushFile - flushing file</t>
  </si>
  <si>
    <t>2015-1-20 23:36:31.412: TransitionLogger - openTransitionFile - opening file C:\temp\transitionlog_2015-01-20_153021</t>
  </si>
  <si>
    <t>2015-1-20 23:37:10.347: TransitionLogger - flushFile - flushing file</t>
  </si>
  <si>
    <t>2015-1-20 23:37:10.348: TransitionLogger - openTransitionFile - opening file C:\temp\transitionlog_2015-01-20_153021</t>
  </si>
  <si>
    <t>2015-1-20 23:37:31.322: TransitionLogger - flushFile - flushing file</t>
  </si>
  <si>
    <t>2015-1-20 23:37:31.324: TransitionLogger - openTransitionFile - opening file C:\temp\transitionlog_2015-01-20_153021</t>
  </si>
  <si>
    <t>2015-1-20 23:38:10.261: TransitionLogger - flushFile - flushing file</t>
  </si>
  <si>
    <t>2015-1-20 23:38:10.263: TransitionLogger - openTransitionFile - opening file C:\temp\transitionlog_2015-01-20_153021</t>
  </si>
  <si>
    <t>2015-1-20 23:38:31.220: TransitionLogger - flushFile - flushing file</t>
  </si>
  <si>
    <t>2015-1-20 23:38:31.222: TransitionLogger - openTransitionFile - opening file C:\temp\transitionlog_2015-01-20_153021</t>
  </si>
  <si>
    <t>2015-1-20 23:39:10.156: TransitionLogger - flushFile - flushing file</t>
  </si>
  <si>
    <t>2015-1-20 23:39:10.157: TransitionLogger - openTransitionFile - opening file C:\temp\transitionlog_2015-01-20_153021</t>
  </si>
  <si>
    <t>2015-1-20 23:39:31.128: TransitionLogger - flushFile - flushing file</t>
  </si>
  <si>
    <t>2015-1-20 23:39:31.129: TransitionLogger - openTransitionFile - opening file C:\temp\transitionlog_2015-01-20_153021</t>
  </si>
  <si>
    <t>2015-1-20 23:40:10.65: TransitionLogger - flushFile - flushing file</t>
  </si>
  <si>
    <t>2015-1-20 23:40:10.66: TransitionLogger - openTransitionFile - opening file C:\temp\transitionlog_2015-01-20_153021</t>
  </si>
  <si>
    <t>2015-1-20 23:40:31.30: TransitionLogger - flushFile - flushing file</t>
  </si>
  <si>
    <t>2015-1-20 23:40:31.32: TransitionLogger - openTransitionFile - opening file C:\temp\transitionlog_2015-01-20_153021</t>
  </si>
  <si>
    <t>2015-1-20 23:41:10.968: TransitionLogger - flushFile - flushing file</t>
  </si>
  <si>
    <t>2015-1-20 23:41:10.970: TransitionLogger - openTransitionFile - opening file C:\temp\transitionlog_2015-01-20_153021</t>
  </si>
  <si>
    <t>2015-1-20 23:41:31.933: TransitionLogger - flushFile - flushing file</t>
  </si>
  <si>
    <t>2015-1-20 23:41:31.934: TransitionLogger - openTransitionFile - opening file C:\temp\transitionlog_2015-01-20_153021</t>
  </si>
  <si>
    <t>2015-1-20 23:42:10.873: TransitionLogger - flushFile - flushing file</t>
  </si>
  <si>
    <t>2015-1-20 23:42:10.874: TransitionLogger - openTransitionFile - opening file C:\temp\transitionlog_2015-01-20_153021</t>
  </si>
  <si>
    <t>2015-1-20 23:42:31.840: TransitionLogger - flushFile - flushing file</t>
  </si>
  <si>
    <t>2015-1-20 23:42:31.841: TransitionLogger - openTransitionFile - opening file C:\temp\transitionlog_2015-01-20_153021</t>
  </si>
  <si>
    <t>2015-1-20 23:43:10.778: TransitionLogger - flushFile - flushing file</t>
  </si>
  <si>
    <t>2015-1-20 23:43:10.779: TransitionLogger - openTransitionFile - opening file C:\temp\transitionlog_2015-01-20_153021</t>
  </si>
  <si>
    <t>2015-1-20 23:43:31.745: TransitionLogger - flushFile - flushing file</t>
  </si>
  <si>
    <t>2015-1-20 23:43:31.747: TransitionLogger - openTransitionFile - opening file C:\temp\transitionlog_2015-01-20_153021</t>
  </si>
  <si>
    <t>2015-1-20 23:44:10.679: TransitionLogger - flushFile - flushing file</t>
  </si>
  <si>
    <t>2015-1-20 23:44:10.681: TransitionLogger - openTransitionFile - opening file C:\temp\transitionlog_2015-01-20_153021</t>
  </si>
  <si>
    <t>2015-1-20 23:44:31.644: TransitionLogger - flushFile - flushing file</t>
  </si>
  <si>
    <t>2015-1-20 23:44:31.645: TransitionLogger - openTransitionFile - opening file C:\temp\transitionlog_2015-01-20_153021</t>
  </si>
  <si>
    <t>2015-1-20 23:45:10.591: TransitionLogger - flushFile - flushing file</t>
  </si>
  <si>
    <t>2015-1-20 23:45:10.592: TransitionLogger - openTransitionFile - opening file C:\temp\transitionlog_2015-01-20_153021</t>
  </si>
  <si>
    <t>2015-1-20 23:45:31.546: TransitionLogger - flushFile - flushing file</t>
  </si>
  <si>
    <t>2015-1-20 23:45:31.546: TransitionLogger - openTransitionFile - opening file C:\temp\transitionlog_2015-01-20_153021</t>
  </si>
  <si>
    <t>2015-1-20 23:46:10.492: TransitionLogger - flushFile - flushing file</t>
  </si>
  <si>
    <t>2015-1-20 23:46:10.494: TransitionLogger - openTransitionFile - opening file C:\temp\transitionlog_2015-01-20_153021</t>
  </si>
  <si>
    <t>2015-1-20 23:46:31.461: TransitionLogger - flushFile - flushing file</t>
  </si>
  <si>
    <t>2015-1-20 23:46:31.463: TransitionLogger - openTransitionFile - opening file C:\temp\transitionlog_2015-01-20_153021</t>
  </si>
  <si>
    <t>2015-1-20 23:47:10.393: TransitionLogger - flushFile - flushing file</t>
  </si>
  <si>
    <t>2015-1-20 23:47:10.394: TransitionLogger - openTransitionFile - opening file C:\temp\transitionlog_2015-01-20_153021</t>
  </si>
  <si>
    <t>2015-1-20 23:47:31.362: TransitionLogger - flushFile - flushing file</t>
  </si>
  <si>
    <t>2015-1-20 23:47:31.363: TransitionLogger - openTransitionFile - opening file C:\temp\transitionlog_2015-01-20_153021</t>
  </si>
  <si>
    <t>2015-1-20 23:48:10.295: TransitionLogger - flushFile - flushing file</t>
  </si>
  <si>
    <t>2015-1-20 23:48:10.295: TransitionLogger - openTransitionFile - opening file C:\temp\transitionlog_2015-01-20_153021</t>
  </si>
  <si>
    <t>2015-1-20 23:48:31.265: TransitionLogger - flushFile - flushing file</t>
  </si>
  <si>
    <t>2015-1-20 23:48:31.266: TransitionLogger - openTransitionFile - opening file C:\temp\transitionlog_2015-01-20_153021</t>
  </si>
  <si>
    <t>2015-1-20 23:49:10.203: TransitionLogger - flushFile - flushing file</t>
  </si>
  <si>
    <t>2015-1-20 23:49:10.205: TransitionLogger - openTransitionFile - opening file C:\temp\transitionlog_2015-01-20_153021</t>
  </si>
  <si>
    <t>2015-1-20 23:49:31.171: TransitionLogger - flushFile - flushing file</t>
  </si>
  <si>
    <t>2015-1-20 23:49:31.173: TransitionLogger - openTransitionFile - opening file C:\temp\transitionlog_2015-01-20_153021</t>
  </si>
  <si>
    <t>2015-1-20 23:50:10.110: TransitionLogger - flushFile - flushing file</t>
  </si>
  <si>
    <t>2015-1-20 23:50:10.112: TransitionLogger - openTransitionFile - opening file C:\temp\transitionlog_2015-01-20_153021</t>
  </si>
  <si>
    <t>2015-1-20 23:50:31.73: TransitionLogger - flushFile - flushing file</t>
  </si>
  <si>
    <t>2015-1-20 23:50:31.74: TransitionLogger - openTransitionFile - opening file C:\temp\transitionlog_2015-01-20_153021</t>
  </si>
  <si>
    <t>2015-1-20 23:51:10.9: TransitionLogger - flushFile - flushing file</t>
  </si>
  <si>
    <t>2015-1-20 23:51:10.10: TransitionLogger - openTransitionFile - opening file C:\temp\transitionlog_2015-01-20_153021</t>
  </si>
  <si>
    <t>2015-1-20 23:51:31.975: TransitionLogger - flushFile - flushing file</t>
  </si>
  <si>
    <t>2015-1-20 23:51:31.976: TransitionLogger - openTransitionFile - opening file C:\temp\transitionlog_2015-01-20_153021</t>
  </si>
  <si>
    <t>2015-1-20 23:52:10.913: TransitionLogger - flushFile - flushing file</t>
  </si>
  <si>
    <t>2015-1-20 23:52:10.914: TransitionLogger - openTransitionFile - opening file C:\temp\transitionlog_2015-01-20_153021</t>
  </si>
  <si>
    <t>2015-1-20 23:52:31.877: TransitionLogger - flushFile - flushing file</t>
  </si>
  <si>
    <t>2015-1-20 23:52:31.879: TransitionLogger - openTransitionFile - opening file C:\temp\transitionlog_2015-01-20_153021</t>
  </si>
  <si>
    <t>2015-1-20 23:53:10.815: TransitionLogger - flushFile - flushing file</t>
  </si>
  <si>
    <t>2015-1-20 23:53:10.816: TransitionLogger - openTransitionFile - opening file C:\temp\transitionlog_2015-01-20_153021</t>
  </si>
  <si>
    <t>2015-1-20 23:53:31.786: TransitionLogger - flushFile - flushing file</t>
  </si>
  <si>
    <t>2015-1-20 23:53:31.787: TransitionLogger - openTransitionFile - opening file C:\temp\transitionlog_2015-01-20_153021</t>
  </si>
  <si>
    <t>2015-1-20 23:54:10.720: TransitionLogger - flushFile - flushing file</t>
  </si>
  <si>
    <t>2015-1-20 23:54:10.722: TransitionLogger - openTransitionFile - opening file C:\temp\transitionlog_2015-01-20_153021</t>
  </si>
  <si>
    <t>2015-1-20 23:54:31.694: TransitionLogger - flushFile - flushing file</t>
  </si>
  <si>
    <t>2015-1-20 23:54:31.695: TransitionLogger - openTransitionFile - opening file C:\temp\transitionlog_2015-01-20_153021</t>
  </si>
  <si>
    <t>2015-1-20 23:55:10.629: TransitionLogger - flushFile - flushing file</t>
  </si>
  <si>
    <t>2015-1-20 23:55:10.630: TransitionLogger - openTransitionFile - opening file C:\temp\transitionlog_2015-01-20_153021</t>
  </si>
  <si>
    <t>2015-1-20 23:55:31.596: TransitionLogger - flushFile - flushing file</t>
  </si>
  <si>
    <t>2015-1-20 23:55:31.597: TransitionLogger - openTransitionFile - opening file C:\temp\transitionlog_2015-01-20_153021</t>
  </si>
  <si>
    <t>2015-1-20 23:56:10.533: TransitionLogger - flushFile - flushing file</t>
  </si>
  <si>
    <t>2015-1-20 23:56:10.534: TransitionLogger - openTransitionFile - opening file C:\temp\transitionlog_2015-01-20_153021</t>
  </si>
  <si>
    <t>2015-1-20 23:56:31.497: TransitionLogger - flushFile - flushing file</t>
  </si>
  <si>
    <t>2015-1-20 23:56:31.498: TransitionLogger - openTransitionFile - opening file C:\temp\transitionlog_2015-01-20_153021</t>
  </si>
  <si>
    <t>2015-1-20 23:57:10.432: TransitionLogger - flushFile - flushing file</t>
  </si>
  <si>
    <t>2015-1-20 23:57:10.434: TransitionLogger - openTransitionFile - opening file C:\temp\transitionlog_2015-01-20_153021</t>
  </si>
  <si>
    <t>2015-1-20 23:57:31.401: TransitionLogger - flushFile - flushing file</t>
  </si>
  <si>
    <t>2015-1-20 23:57:31.403: TransitionLogger - openTransitionFile - opening file C:\temp\transitionlog_2015-01-20_153021</t>
  </si>
  <si>
    <t>2015-1-20 23:58:10.74: TransitionLogger - flushFile - flushing file</t>
  </si>
  <si>
    <t>2015-1-20 23:58:10.76: TransitionLogger - openTransitionFile - opening file C:\temp\transitionlog_2015-01-20_153021</t>
  </si>
  <si>
    <t>2015-1-20 23:58:31.312: TransitionLogger - flushFile - flushing file</t>
  </si>
  <si>
    <t>2015-1-20 23:58:31.314: TransitionLogger - openTransitionFile - opening file C:\temp\transitionlog_2015-01-20_153021</t>
  </si>
  <si>
    <t>2015-1-20 23:59:10.244: TransitionLogger - flushFile - flushing file</t>
  </si>
  <si>
    <t>2015-1-20 23:59:10.246: TransitionLogger - openTransitionFile - opening file C:\temp\transitionlog_2015-01-20_153021</t>
  </si>
  <si>
    <t>2015-1-20 23:59:31.212: TransitionLogger - flushFile - flushing file</t>
  </si>
  <si>
    <t>2015-1-20 23:59:31.213: TransitionLogger - openTransitionFile - opening file C:\temp\transitionlog_2015-01-20_153021</t>
  </si>
  <si>
    <t>2015-1-21 0:0:10.147: TransitionLogger - flushFile - flushing file</t>
  </si>
  <si>
    <t>2015-1-21 0:0:10.148: TransitionLogger - openTransitionFile - opening file C:\temp\transitionlog_2015-01-20_153021</t>
  </si>
  <si>
    <t>2015-1-21 0:0:31.114: TransitionLogger - flushFile - flushing file</t>
  </si>
  <si>
    <t>2015-1-21 0:0:31.115: TransitionLogger - openTransitionFile - opening file C:\temp\transitionlog_2015-01-20_153021</t>
  </si>
  <si>
    <t>2015-1-21 0:1:10.52: TransitionLogger - flushFile - flushing file</t>
  </si>
  <si>
    <t>2015-1-21 0:1:10.54: TransitionLogger - openTransitionFile - opening file C:\temp\transitionlog_2015-01-20_153021</t>
  </si>
  <si>
    <t>2015-1-21 0:1:31.19: TransitionLogger - flushFile - flushing file</t>
  </si>
  <si>
    <t>2015-1-21 0:1:31.20: TransitionLogger - openTransitionFile - opening file C:\temp\transitionlog_2015-01-20_153021</t>
  </si>
  <si>
    <t>2015-1-21 0:2:10.953: TransitionLogger - flushFile - flushing file</t>
  </si>
  <si>
    <t>2015-1-21 0:2:10.954: TransitionLogger - openTransitionFile - opening file C:\temp\transitionlog_2015-01-20_153021</t>
  </si>
  <si>
    <t>2015-1-21 0:2:31.920: TransitionLogger - flushFile - flushing file</t>
  </si>
  <si>
    <t>2015-1-21 0:2:31.921: TransitionLogger - openTransitionFile - opening file C:\temp\transitionlog_2015-01-20_153021</t>
  </si>
  <si>
    <t>2015-1-21 0:3:10.865: TransitionLogger - flushFile - flushing file</t>
  </si>
  <si>
    <t>2015-1-21 0:3:10.867: TransitionLogger - openTransitionFile - opening file C:\temp\transitionlog_2015-01-20_153021</t>
  </si>
  <si>
    <t>2015-1-21 0:3:31.831: TransitionLogger - flushFile - flushing file</t>
  </si>
  <si>
    <t>2015-1-21 0:3:31.832: TransitionLogger - openTransitionFile - opening file C:\temp\transitionlog_2015-01-20_153021</t>
  </si>
  <si>
    <t>2015-1-21 0:4:10.763: TransitionLogger - flushFile - flushing file</t>
  </si>
  <si>
    <t>2015-1-21 0:4:10.764: TransitionLogger - openTransitionFile - opening file C:\temp\transitionlog_2015-01-20_153021</t>
  </si>
  <si>
    <t>2015-1-21 0:4:31.729: TransitionLogger - flushFile - flushing file</t>
  </si>
  <si>
    <t>2015-1-21 0:4:31.730: TransitionLogger - openTransitionFile - opening file C:\temp\transitionlog_2015-01-20_153021</t>
  </si>
  <si>
    <t>2015-1-21 0:5:10.669: TransitionLogger - flushFile - flushing file</t>
  </si>
  <si>
    <t>2015-1-21 0:5:10.670: TransitionLogger - openTransitionFile - opening file C:\temp\transitionlog_2015-01-20_153021</t>
  </si>
  <si>
    <t>2015-1-21 0:5:31.640: TransitionLogger - flushFile - flushing file</t>
  </si>
  <si>
    <t>2015-1-21 0:5:31.641: TransitionLogger - openTransitionFile - opening file C:\temp\transitionlog_2015-01-20_153021</t>
  </si>
  <si>
    <t>2015-1-21 0:6:10.579: TransitionLogger - flushFile - flushing file</t>
  </si>
  <si>
    <t>2015-1-21 0:6:10.580: TransitionLogger - openTransitionFile - opening file C:\temp\transitionlog_2015-01-20_153021</t>
  </si>
  <si>
    <t>2015-1-21 0:6:31.539: TransitionLogger - flushFile - flushing file</t>
  </si>
  <si>
    <t>2015-1-21 0:6:31.540: TransitionLogger - openTransitionFile - opening file C:\temp\transitionlog_2015-01-20_153021</t>
  </si>
  <si>
    <t>2015-1-21 0:7:10.479: TransitionLogger - flushFile - flushing file</t>
  </si>
  <si>
    <t>2015-1-21 0:7:10.480: TransitionLogger - openTransitionFile - opening file C:\temp\transitionlog_2015-01-20_153021</t>
  </si>
  <si>
    <t>2015-1-21 0:7:31.447: TransitionLogger - flushFile - flushing file</t>
  </si>
  <si>
    <t>2015-1-21 0:7:31.448: TransitionLogger - openTransitionFile - opening file C:\temp\transitionlog_2015-01-20_153021</t>
  </si>
  <si>
    <t>2015-1-21 0:8:10.385: TransitionLogger - flushFile - flushing file</t>
  </si>
  <si>
    <t>2015-1-21 0:8:10.386: TransitionLogger - openTransitionFile - opening file C:\temp\transitionlog_2015-01-20_153021</t>
  </si>
  <si>
    <t>2015-1-21 0:8:31.349: TransitionLogger - flushFile - flushing file</t>
  </si>
  <si>
    <t>2015-1-21 0:8:31.350: TransitionLogger - openTransitionFile - opening file C:\temp\transitionlog_2015-01-20_153021</t>
  </si>
  <si>
    <t>2015-1-21 0:9:10.288: TransitionLogger - flushFile - flushing file</t>
  </si>
  <si>
    <t>2015-1-21 0:9:10.290: TransitionLogger - openTransitionFile - opening file C:\temp\transitionlog_2015-01-20_153021</t>
  </si>
  <si>
    <t>2015-1-21 0:9:31.252: TransitionLogger - flushFile - flushing file</t>
  </si>
  <si>
    <t>2015-1-21 0:9:31.253: TransitionLogger - openTransitionFile - opening file C:\temp\transitionlog_2015-01-20_153021</t>
  </si>
  <si>
    <t>2015-1-21 0:10:10.194: TransitionLogger - flushFile - flushing file</t>
  </si>
  <si>
    <t>2015-1-21 0:10:10.196: TransitionLogger - openTransitionFile - opening file C:\temp\transitionlog_2015-01-20_153021</t>
  </si>
  <si>
    <t>2015-1-21 0:10:31.156: TransitionLogger - flushFile - flushing file</t>
  </si>
  <si>
    <t>2015-1-21 0:10:31.157: TransitionLogger - openTransitionFile - opening file C:\temp\transitionlog_2015-01-20_153021</t>
  </si>
  <si>
    <t>2015-1-21 0:11:10.94: TransitionLogger - flushFile - flushing file</t>
  </si>
  <si>
    <t>2015-1-21 0:11:10.95: TransitionLogger - openTransitionFile - opening file C:\temp\transitionlog_2015-01-20_153021</t>
  </si>
  <si>
    <t>2015-1-21 0:11:31.61: TransitionLogger - flushFile - flushing file</t>
  </si>
  <si>
    <t>2015-1-21 0:11:31.63: TransitionLogger - openTransitionFile - opening file C:\temp\transitionlog_2015-01-20_153021</t>
  </si>
  <si>
    <t>2015-1-21 0:12:10.999: TransitionLogger - flushFile - flushing file</t>
  </si>
  <si>
    <t>2015-1-21 0:12:11.0: TransitionLogger - openTransitionFile - opening file C:\temp\transitionlog_2015-01-20_153021</t>
  </si>
  <si>
    <t>2015-1-21 0:12:31.964: TransitionLogger - flushFile - flushing file</t>
  </si>
  <si>
    <t>2015-1-21 0:12:31.965: TransitionLogger - openTransitionFile - opening file C:\temp\transitionlog_2015-01-20_153021</t>
  </si>
  <si>
    <t>2015-1-21 0:13:11.901: TransitionLogger - flushFile - flushing file</t>
  </si>
  <si>
    <t>2015-1-21 0:13:11.902: TransitionLogger - openTransitionFile - opening file C:\temp\transitionlog_2015-01-20_153021</t>
  </si>
  <si>
    <t>2015-1-21 0:13:31.872: TransitionLogger - flushFile - flushing file</t>
  </si>
  <si>
    <t>2015-1-21 0:13:31.874: TransitionLogger - openTransitionFile - opening file C:\temp\transitionlog_2015-01-20_153021</t>
  </si>
  <si>
    <t>2015-1-21 0:14:11.809: TransitionLogger - flushFile - flushing file</t>
  </si>
  <si>
    <t>2015-1-21 0:14:11.810: TransitionLogger - openTransitionFile - opening file C:\temp\transitionlog_2015-01-20_153021</t>
  </si>
  <si>
    <t>2015-1-21 0:14:31.772: TransitionLogger - flushFile - flushing file</t>
  </si>
  <si>
    <t>2015-1-21 0:14:31.772: TransitionLogger - openTransitionFile - opening file C:\temp\transitionlog_2015-01-20_153021</t>
  </si>
  <si>
    <t>2015-1-21 0:15:11.706: TransitionLogger - flushFile - flushing file</t>
  </si>
  <si>
    <t>2015-1-21 0:15:11.708: TransitionLogger - openTransitionFile - opening file C:\temp\transitionlog_2015-01-20_153021</t>
  </si>
  <si>
    <t>2015-1-21 0:15:31.680: TransitionLogger - flushFile - flushing file</t>
  </si>
  <si>
    <t>2015-1-21 0:15:31.681: TransitionLogger - openTransitionFile - opening file C:\temp\transitionlog_2015-01-20_153021</t>
  </si>
  <si>
    <t>2015-1-21 0:16:11.611: TransitionLogger - flushFile - flushing file</t>
  </si>
  <si>
    <t>2015-1-21 0:16:11.612: TransitionLogger - openTransitionFile - opening file C:\temp\transitionlog_2015-01-20_153021</t>
  </si>
  <si>
    <t>2015-1-21 0:16:31.586: TransitionLogger - flushFile - flushing file</t>
  </si>
  <si>
    <t>2015-1-21 0:16:31.588: TransitionLogger - openTransitionFile - opening file C:\temp\transitionlog_2015-01-20_153021</t>
  </si>
  <si>
    <t>2015-1-21 0:17:11.524: TransitionLogger - flushFile - flushing file</t>
  </si>
  <si>
    <t>2015-1-21 0:17:11.525: TransitionLogger - openTransitionFile - opening file C:\temp\transitionlog_2015-01-20_153021</t>
  </si>
  <si>
    <t>2015-1-21 0:17:31.484: TransitionLogger - flushFile - flushing file</t>
  </si>
  <si>
    <t>2015-1-21 0:17:31.486: TransitionLogger - openTransitionFile - opening file C:\temp\transitionlog_2015-01-20_153021</t>
  </si>
  <si>
    <t>2015-1-21 0:18:11.423: TransitionLogger - flushFile - flushing file</t>
  </si>
  <si>
    <t>2015-1-21 0:18:11.425: TransitionLogger - openTransitionFile - opening file C:\temp\transitionlog_2015-01-20_153021</t>
  </si>
  <si>
    <t>2015-1-21 0:18:31.393: TransitionLogger - flushFile - flushing file</t>
  </si>
  <si>
    <t>2015-1-21 0:18:31.394: TransitionLogger - openTransitionFile - opening file C:\temp\transitionlog_2015-01-20_153021</t>
  </si>
  <si>
    <t>2015-1-21 0:19:11.323: TransitionLogger - flushFile - flushing file</t>
  </si>
  <si>
    <t>2015-1-21 0:19:11.324: TransitionLogger - openTransitionFile - opening file C:\temp\transitionlog_2015-01-20_153021</t>
  </si>
  <si>
    <t>2015-1-21 0:19:31.299: TransitionLogger - flushFile - flushing file</t>
  </si>
  <si>
    <t>2015-1-21 0:19:31.300: TransitionLogger - openTransitionFile - opening file C:\temp\transitionlog_2015-01-20_153021</t>
  </si>
  <si>
    <t>2015-1-21 0:20:11.231: TransitionLogger - flushFile - flushing file</t>
  </si>
  <si>
    <t>2015-1-21 0:20:11.233: TransitionLogger - openTransitionFile - opening file C:\temp\transitionlog_2015-01-20_153021</t>
  </si>
  <si>
    <t>2015-1-21 0:20:31.198: TransitionLogger - flushFile - flushing file</t>
  </si>
  <si>
    <t>2015-1-21 0:20:31.200: TransitionLogger - openTransitionFile - opening file C:\temp\transitionlog_2015-01-20_153021</t>
  </si>
  <si>
    <t>2015-1-21 0:21:11.135: TransitionLogger - flushFile - flushing file</t>
  </si>
  <si>
    <t>2015-1-21 0:21:11.135: TransitionLogger - openTransitionFile - opening file C:\temp\transitionlog_2015-01-20_153021</t>
  </si>
  <si>
    <t>2015-1-21 0:21:31.102: TransitionLogger - flushFile - flushing file</t>
  </si>
  <si>
    <t>2015-1-21 0:21:31.103: TransitionLogger - openTransitionFile - opening file C:\temp\transitionlog_2015-01-20_153021</t>
  </si>
  <si>
    <t>2015-1-21 0:22:11.37: TransitionLogger - flushFile - flushing file</t>
  </si>
  <si>
    <t>2015-1-21 0:22:11.39: TransitionLogger - openTransitionFile - opening file C:\temp\transitionlog_2015-01-20_153021</t>
  </si>
  <si>
    <t>2015-1-21 0:22:31.5: TransitionLogger - flushFile - flushing file</t>
  </si>
  <si>
    <t>2015-1-21 0:22:31.7: TransitionLogger - openTransitionFile - opening file C:\temp\transitionlog_2015-01-20_153021</t>
  </si>
  <si>
    <t>2015-1-21 0:23:11.944: TransitionLogger - flushFile - flushing file</t>
  </si>
  <si>
    <t>2015-1-21 0:23:11.945: TransitionLogger - openTransitionFile - opening file C:\temp\transitionlog_2015-01-20_153021</t>
  </si>
  <si>
    <t>2015-1-21 0:23:31.908: TransitionLogger - flushFile - flushing file</t>
  </si>
  <si>
    <t>2015-1-21 0:23:31.909: TransitionLogger - openTransitionFile - opening file C:\temp\transitionlog_2015-01-20_153021</t>
  </si>
  <si>
    <t>2015-1-21 0:24:11.854: TransitionLogger - flushFile - flushing file</t>
  </si>
  <si>
    <t>2015-1-21 0:24:11.855: TransitionLogger - openTransitionFile - opening file C:\temp\transitionlog_2015-01-20_153021</t>
  </si>
  <si>
    <t>2015-1-21 0:24:31.820: TransitionLogger - flushFile - flushing file</t>
  </si>
  <si>
    <t>2015-1-21 0:24:31.822: TransitionLogger - openTransitionFile - opening file C:\temp\transitionlog_2015-01-20_153021</t>
  </si>
  <si>
    <t>2015-1-21 0:25:11.750: TransitionLogger - flushFile - flushing file</t>
  </si>
  <si>
    <t>2015-1-21 0:25:11.752: TransitionLogger - openTransitionFile - opening file C:\temp\transitionlog_2015-01-20_153021</t>
  </si>
  <si>
    <t>2015-1-21 0:25:31.719: TransitionLogger - flushFile - flushing file</t>
  </si>
  <si>
    <t>2015-1-21 0:25:31.721: TransitionLogger - openTransitionFile - opening file C:\temp\transitionlog_2015-01-20_153021</t>
  </si>
  <si>
    <t>2015-1-21 0:26:11.660: TransitionLogger - flushFile - flushing file</t>
  </si>
  <si>
    <t>2015-1-21 0:26:11.661: TransitionLogger - openTransitionFile - opening file C:\temp\transitionlog_2015-01-20_153021</t>
  </si>
  <si>
    <t>2015-1-21 0:26:31.623: TransitionLogger - flushFile - flushing file</t>
  </si>
  <si>
    <t>2015-1-21 0:26:31.624: TransitionLogger - openTransitionFile - opening file C:\temp\transitionlog_2015-01-20_153021</t>
  </si>
  <si>
    <t>2015-1-21 0:27:11.557: TransitionLogger - flushFile - flushing file</t>
  </si>
  <si>
    <t>2015-1-21 0:27:11.559: TransitionLogger - openTransitionFile - opening file C:\temp\transitionlog_2015-01-20_153021</t>
  </si>
  <si>
    <t>2015-1-21 0:27:31.534: TransitionLogger - flushFile - flushing file</t>
  </si>
  <si>
    <t>2015-1-21 0:27:31.535: TransitionLogger - openTransitionFile - opening file C:\temp\transitionlog_2015-01-20_153021</t>
  </si>
  <si>
    <t>2015-1-21 0:28:11.468: TransitionLogger - flushFile - flushing file</t>
  </si>
  <si>
    <t>2015-1-21 0:28:11.469: TransitionLogger - openTransitionFile - opening file C:\temp\transitionlog_2015-01-20_153021</t>
  </si>
  <si>
    <t>2015-1-21 0:28:31.429: TransitionLogger - flushFile - flushing file</t>
  </si>
  <si>
    <t>2015-1-21 0:28:31.429: TransitionLogger - openTransitionFile - opening file C:\temp\transitionlog_2015-01-20_153021</t>
  </si>
  <si>
    <t>2015-1-21 0:29:11.373: TransitionLogger - flushFile - flushing file</t>
  </si>
  <si>
    <t>2015-1-21 0:29:11.375: TransitionLogger - openTransitionFile - opening file C:\temp\transitionlog_2015-01-20_153021</t>
  </si>
  <si>
    <t>2015-1-21 0:29:31.339: TransitionLogger - flushFile - flushing file</t>
  </si>
  <si>
    <t>2015-1-21 0:29:31.340: TransitionLogger - openTransitionFile - opening file C:\temp\transitionlog_2015-01-20_153021</t>
  </si>
  <si>
    <t>2015-1-21 0:30:11.274: TransitionLogger - flushFile - flushing file</t>
  </si>
  <si>
    <t>2015-1-21 0:30:11.276: TransitionLogger - openTransitionFile - opening file C:\temp\transitionlog_2015-01-20_153021</t>
  </si>
  <si>
    <t>2015-1-21 0:30:31.245: TransitionLogger - flushFile - flushing file</t>
  </si>
  <si>
    <t>2015-1-21 0:30:31.246: TransitionLogger - openTransitionFile - opening file C:\temp\transitionlog_2015-01-20_153021</t>
  </si>
  <si>
    <t>2015-1-21 0:31:11.179: TransitionLogger - flushFile - flushing file</t>
  </si>
  <si>
    <t>2015-1-21 0:31:11.180: TransitionLogger - openTransitionFile - opening file C:\temp\transitionlog_2015-01-20_153021</t>
  </si>
  <si>
    <t>2015-1-21 0:31:31.147: TransitionLogger - flushFile - flushing file</t>
  </si>
  <si>
    <t>2015-1-21 0:31:31.148: TransitionLogger - openTransitionFile - opening file C:\temp\transitionlog_2015-01-20_153021</t>
  </si>
  <si>
    <t>2015-1-21 0:32:11.80: TransitionLogger - flushFile - flushing file</t>
  </si>
  <si>
    <t>2015-1-21 0:32:11.81: TransitionLogger - openTransitionFile - opening file C:\temp\transitionlog_2015-01-20_153021</t>
  </si>
  <si>
    <t>2015-1-21 0:32:31.52: TransitionLogger - flushFile - flushing file</t>
  </si>
  <si>
    <t>2015-1-21 0:32:31.53: TransitionLogger - openTransitionFile - opening file C:\temp\transitionlog_2015-01-20_153021</t>
  </si>
  <si>
    <t>2015-1-21 0:33:11.992: TransitionLogger - flushFile - flushing file</t>
  </si>
  <si>
    <t>2015-1-21 0:33:11.993: TransitionLogger - openTransitionFile - opening file C:\temp\transitionlog_2015-01-20_153021</t>
  </si>
  <si>
    <t>2015-1-21 0:33:31.955: TransitionLogger - flushFile - flushing file</t>
  </si>
  <si>
    <t>2015-1-21 0:33:31.956: TransitionLogger - openTransitionFile - opening file C:\temp\transitionlog_2015-01-20_153021</t>
  </si>
  <si>
    <t>2015-1-21 0:34:2.222: RTWSControl - errMsg - got error message 508:Bad messagewith id -1</t>
  </si>
  <si>
    <t>2015-1-21 0:34:2.223: RTWSControl - errMsg - Got Error_x000D_id: -1_x000D_errorCode: 508_x000D_errorMsg: Bad message</t>
  </si>
  <si>
    <t>2015-1-21 9:32:43.516: TransitionLogger - flushFile - flushing file</t>
  </si>
  <si>
    <t>2015-1-21 9:32:43.517: TransitionLogger - openTransitionFile - opening file C:\temp\transitionlog_2015-01-20_153021</t>
  </si>
  <si>
    <t>2015-1-21 9:32:43.520: TransitionLogger - flushFile - flushing file</t>
  </si>
  <si>
    <t>2015-1-21 9:32:43.520: TransitionLogger - openTransitionFile - opening file C:\temp\transitionlog_2015-01-20_153021</t>
  </si>
  <si>
    <t>2015-1-21 9:33:43.32: TransitionLogger - flushFile - flushing file</t>
  </si>
  <si>
    <t>2015-1-21 9:33:43.32: TransitionLogger - openTransitionFile - opening file C:\temp\transitionlog_2015-01-20_153021</t>
  </si>
  <si>
    <t>2015-1-21 9:33:43.45: TransitionLogger - flushFile - flushing file</t>
  </si>
  <si>
    <t>2015-1-21 9:33:43.45: TransitionLogger - openTransitionFile - opening file C:\temp\transitionlog_2015-01-20_153021</t>
  </si>
  <si>
    <t>2015-1-21 9:34:43.313: TransitionLogger - flushFile - flushing file</t>
  </si>
  <si>
    <t>2015-1-21 9:34:43.315: TransitionLogger - openTransitionFile - opening file C:\temp\transitionlog_2015-01-20_153021</t>
  </si>
  <si>
    <t>2015-1-21 9:34:43.320: TransitionLogger - flushFile - flushing file</t>
  </si>
  <si>
    <t>2015-1-21 9:34:43.321: TransitionLogger - openTransitionFile - opening file C:\temp\transitionlog_2015-01-20_153021</t>
  </si>
  <si>
    <t>2015-1-21 9:35:43.221: TransitionLogger - flushFile - flushing file</t>
  </si>
  <si>
    <t>2015-1-21 9:35:43.223: TransitionLogger - openTransitionFile - opening file C:\temp\transitionlog_2015-01-20_153021</t>
  </si>
  <si>
    <t>2015-1-21 9:35:43.229: TransitionLogger - flushFile - flushing file</t>
  </si>
  <si>
    <t>2015-1-21 9:35:43.230: TransitionLogger - openTransitionFile - opening file C:\temp\transitionlog_2015-01-20_153021</t>
  </si>
  <si>
    <t>2015-1-21 9:36:43.118: TransitionLogger - flushFile - flushing file</t>
  </si>
  <si>
    <t>2015-1-21 9:36:43.118: TransitionLogger - openTransitionFile - opening file C:\temp\transitionlog_2015-01-20_153021</t>
  </si>
  <si>
    <t>2015-1-21 9:36:43.120: TransitionLogger - flushFile - flushing file</t>
  </si>
  <si>
    <t>2015-1-21 9:36:43.120: TransitionLogger - openTransitionFile - opening file C:\temp\transitionlog_2015-01-20_153021</t>
  </si>
  <si>
    <t>2015-1-21 9:37:43.28: TransitionLogger - flushFile - flushing file</t>
  </si>
  <si>
    <t>2015-1-21 9:37:43.29: TransitionLogger - openTransitionFile - opening file C:\temp\transitionlog_2015-01-20_153021</t>
  </si>
  <si>
    <t>2015-1-21 9:37:43.35: TransitionLogger - flushFile - flushing file</t>
  </si>
  <si>
    <t>2015-1-21 9:37:43.36: TransitionLogger - openTransitionFile - opening file C:\temp\transitionlog_2015-01-20_153021</t>
  </si>
  <si>
    <t>2015-1-21 9:38:43.581: TransitionLogger - flushFile - flushing file</t>
  </si>
  <si>
    <t>2015-1-21 9:38:43.583: TransitionLogger - openTransitionFile - opening file C:\temp\transitionlog_2015-01-20_153021</t>
  </si>
  <si>
    <t>2015-1-21 9:38:43.589: TransitionLogger - flushFile - flushing file</t>
  </si>
  <si>
    <t>2015-1-21 9:38:43.590: TransitionLogger - openTransitionFile - opening file C:\temp\transitionlog_2015-01-20_153021</t>
  </si>
  <si>
    <t>2015-1-21 9:39:43.597: TransitionLogger - flushFile - flushing file</t>
  </si>
  <si>
    <t>2015-1-21 9:39:43.598: TransitionLogger - openTransitionFile - opening file C:\temp\transitionlog_2015-01-20_153021</t>
  </si>
  <si>
    <t>2015-1-21 9:39:43.604: TransitionLogger - flushFile - flushing file</t>
  </si>
  <si>
    <t>2015-1-21 9:39:43.605: TransitionLogger - openTransitionFile - opening file C:\temp\transitionlog_2015-01-20_153021</t>
  </si>
  <si>
    <t>2015-1-21 9:40:43.609: TransitionLogger - flushFile - flushing file</t>
  </si>
  <si>
    <t>2015-1-21 9:40:43.611: TransitionLogger - openTransitionFile - opening file C:\temp\transitionlog_2015-01-20_153021</t>
  </si>
  <si>
    <t>2015-1-21 9:40:43.617: TransitionLogger - flushFile - flushing file</t>
  </si>
  <si>
    <t>2015-1-21 9:40:43.618: TransitionLogger - openTransitionFile - opening file C:\temp\transitionlog_2015-01-20_153021</t>
  </si>
  <si>
    <t>2015-1-21 9:41:43.622: TransitionLogger - flushFile - flushing file</t>
  </si>
  <si>
    <t>2015-1-21 9:41:43.624: TransitionLogger - openTransitionFile - opening file C:\temp\transitionlog_2015-01-20_153021</t>
  </si>
  <si>
    <t>2015-1-21 9:41:43.630: TransitionLogger - flushFile - flushing file</t>
  </si>
  <si>
    <t>2015-1-21 9:41:43.631: TransitionLogger - openTransitionFile - opening file C:\temp\transitionlog_2015-01-20_153021</t>
  </si>
  <si>
    <t>2015-1-21 9:42:43.542: TransitionLogger - flushFile - flushing file</t>
  </si>
  <si>
    <t>2015-1-21 9:42:43.543: TransitionLogger - openTransitionFile - opening file C:\temp\transitionlog_2015-01-20_153021</t>
  </si>
  <si>
    <t>2015-1-21 9:42:43.549: TransitionLogger - flushFile - flushing file</t>
  </si>
  <si>
    <t>2015-1-21 9:42:43.550: TransitionLogger - openTransitionFile - opening file C:\temp\transitionlog_2015-01-20_153021</t>
  </si>
  <si>
    <t>2015-1-21 9:43:43.444: TransitionLogger - flushFile - flushing file</t>
  </si>
  <si>
    <t>2015-1-21 9:43:43.445: TransitionLogger - openTransitionFile - opening file C:\temp\transitionlog_2015-01-20_153021</t>
  </si>
  <si>
    <t>2015-1-21 9:43:43.448: TransitionLogger - flushFile - flushing file</t>
  </si>
  <si>
    <t>2015-1-21 9:43:43.449: TransitionLogger - openTransitionFile - opening file C:\temp\transitionlog_2015-01-20_153021</t>
  </si>
  <si>
    <t>2015-1-21 9:44:43.355: TransitionLogger - flushFile - flushing file</t>
  </si>
  <si>
    <t>2015-1-21 9:44:43.357: TransitionLogger - openTransitionFile - opening file C:\temp\transitionlog_2015-01-20_153021</t>
  </si>
  <si>
    <t>2015-1-21 9:44:43.365: TransitionLogger - flushFile - flushing file</t>
  </si>
  <si>
    <t>2015-1-21 9:44:43.366: TransitionLogger - openTransitionFile - opening file C:\temp\transitionlog_2015-01-20_153021</t>
  </si>
  <si>
    <t>2015-1-21 9:45:43.259: TransitionLogger - flushFile - flushing file</t>
  </si>
  <si>
    <t>2015-1-21 9:45:43.260: TransitionLogger - openTransitionFile - opening file C:\temp\transitionlog_2015-01-20_153021</t>
  </si>
  <si>
    <t>2015-1-21 9:45:43.266: TransitionLogger - flushFile - flushing file</t>
  </si>
  <si>
    <t>2015-1-21 9:45:43.268: TransitionLogger - openTransitionFile - opening file C:\temp\transitionlog_2015-01-20_153021</t>
  </si>
  <si>
    <t>2015-1-21 9:46:43.160: TransitionLogger - flushFile - flushing file</t>
  </si>
  <si>
    <t>2015-1-21 9:46:43.162: TransitionLogger - openTransitionFile - opening file C:\temp\transitionlog_2015-01-20_153021</t>
  </si>
  <si>
    <t>2015-1-21 9:46:43.168: TransitionLogger - flushFile - flushing file</t>
  </si>
  <si>
    <t>2015-1-21 9:46:43.169: TransitionLogger - openTransitionFile - opening file C:\temp\transitionlog_2015-01-20_153021</t>
  </si>
  <si>
    <t>2015-1-21 9:47:43.68: TransitionLogger - flushFile - flushing file</t>
  </si>
  <si>
    <t>2015-1-21 9:47:43.69: TransitionLogger - openTransitionFile - opening file C:\temp\transitionlog_2015-01-20_153021</t>
  </si>
  <si>
    <t>2015-1-21 9:47:43.71: TransitionLogger - flushFile - flushing file</t>
  </si>
  <si>
    <t>2015-1-21 9:47:43.72: TransitionLogger - openTransitionFile - opening file C:\temp\transitionlog_2015-01-20_153021</t>
  </si>
  <si>
    <t>2015-1-21 9:48:43.719: TransitionLogger - flushFile - flushing file</t>
  </si>
  <si>
    <t>2015-1-21 9:48:43.721: TransitionLogger - openTransitionFile - opening file C:\temp\transitionlog_2015-01-20_153021</t>
  </si>
  <si>
    <t>2015-1-21 9:48:43.728: TransitionLogger - flushFile - flushing file</t>
  </si>
  <si>
    <t>2015-1-21 9:48:43.729: TransitionLogger - openTransitionFile - opening file C:\temp\transitionlog_2015-01-20_153021</t>
  </si>
  <si>
    <t>2015-1-21 9:49:43.731: TransitionLogger - flushFile - flushing file</t>
  </si>
  <si>
    <t>2015-1-21 9:49:43.733: TransitionLogger - openTransitionFile - opening file C:\temp\transitionlog_2015-01-20_153021</t>
  </si>
  <si>
    <t>2015-1-21 9:49:43.738: TransitionLogger - flushFile - flushing file</t>
  </si>
  <si>
    <t>2015-1-21 9:49:43.739: TransitionLogger - openTransitionFile - opening file C:\temp\transitionlog_2015-01-20_153021</t>
  </si>
  <si>
    <t>2015-1-21 9:50:43.744: TransitionLogger - flushFile - flushing file</t>
  </si>
  <si>
    <t>2015-1-21 9:50:43.746: TransitionLogger - openTransitionFile - opening file C:\temp\transitionlog_2015-01-20_153021</t>
  </si>
  <si>
    <t>2015-1-21 9:50:43.751: TransitionLogger - flushFile - flushing file</t>
  </si>
  <si>
    <t>2015-1-21 9:50:43.752: TransitionLogger - openTransitionFile - opening file C:\temp\transitionlog_2015-01-20_153021</t>
  </si>
  <si>
    <t>2015-1-21 9:51:43.682: TransitionLogger - flushFile - flushing file</t>
  </si>
  <si>
    <t>2015-1-21 9:51:43.684: TransitionLogger - openTransitionFile - opening file C:\temp\transitionlog_2015-01-20_153021</t>
  </si>
  <si>
    <t>2015-1-21 9:51:43.689: TransitionLogger - flushFile - flushing file</t>
  </si>
  <si>
    <t>2015-1-21 9:51:43.691: TransitionLogger - openTransitionFile - opening file C:\temp\transitionlog_2015-01-20_153021</t>
  </si>
  <si>
    <t>2015-1-21 9:52:43.584: TransitionLogger - flushFile - flushing file</t>
  </si>
  <si>
    <t>2015-1-21 9:52:43.586: TransitionLogger - openTransitionFile - opening file C:\temp\transitionlog_2015-01-20_153021</t>
  </si>
  <si>
    <t>2015-1-21 9:52:43.592: TransitionLogger - flushFile - flushing file</t>
  </si>
  <si>
    <t>2015-1-21 9:52:43.593: TransitionLogger - openTransitionFile - opening file C:\temp\transitionlog_2015-01-20_153021</t>
  </si>
  <si>
    <t>2015-1-21 9:53:43.489: TransitionLogger - flushFile - flushing file</t>
  </si>
  <si>
    <t>2015-1-21 9:53:43.490: TransitionLogger - openTransitionFile - opening file C:\temp\transitionlog_2015-01-20_153021</t>
  </si>
  <si>
    <t>2015-1-21 9:53:43.496: TransitionLogger - flushFile - flushing file</t>
  </si>
  <si>
    <t>2015-1-21 9:53:43.497: TransitionLogger - openTransitionFile - opening file C:\temp\transitionlog_2015-01-20_153021</t>
  </si>
  <si>
    <t>2015-1-21 9:54:43.397: TransitionLogger - flushFile - flushing file</t>
  </si>
  <si>
    <t>2015-1-21 9:54:43.399: TransitionLogger - openTransitionFile - opening file C:\temp\transitionlog_2015-01-20_153021</t>
  </si>
  <si>
    <t>2015-1-21 9:54:43.406: TransitionLogger - flushFile - flushing file</t>
  </si>
  <si>
    <t>2015-1-21 9:54:43.407: TransitionLogger - openTransitionFile - opening file C:\temp\transitionlog_2015-01-20_153021</t>
  </si>
  <si>
    <t>2015-1-21 9:55:43.296: TransitionLogger - flushFile - flushing file</t>
  </si>
  <si>
    <t>2015-1-21 9:55:43.298: TransitionLogger - openTransitionFile - opening file C:\temp\transitionlog_2015-01-20_153021</t>
  </si>
  <si>
    <t>2015-1-21 9:55:43.304: TransitionLogger - flushFile - flushing file</t>
  </si>
  <si>
    <t>2015-1-21 9:55:43.305: TransitionLogger - openTransitionFile - opening file C:\temp\transitionlog_2015-01-20_153021</t>
  </si>
  <si>
    <t>2015-1-21 9:56:43.203: TransitionLogger - flushFile - flushing file</t>
  </si>
  <si>
    <t>2015-1-21 9:56:43.204: TransitionLogger - openTransitionFile - opening file C:\temp\transitionlog_2015-01-20_153021</t>
  </si>
  <si>
    <t>2015-1-21 9:56:43.212: TransitionLogger - flushFile - flushing file</t>
  </si>
  <si>
    <t>2015-1-21 9:56:43.213: TransitionLogger - openTransitionFile - opening file C:\temp\transitionlog_2015-01-20_153021</t>
  </si>
  <si>
    <t>2015-1-21 9:57:43.110: TransitionLogger - flushFile - flushing file</t>
  </si>
  <si>
    <t>2015-1-21 9:57:43.112: TransitionLogger - openTransitionFile - opening file C:\temp\transitionlog_2015-01-20_153021</t>
  </si>
  <si>
    <t>2015-1-21 9:57:43.118: TransitionLogger - flushFile - flushing file</t>
  </si>
  <si>
    <t>2015-1-21 9:57:43.119: TransitionLogger - openTransitionFile - opening file C:\temp\transitionlog_2015-01-20_153021</t>
  </si>
  <si>
    <t>2015-1-21 9:58:43.15: TransitionLogger - flushFile - flushing file</t>
  </si>
  <si>
    <t>2015-1-21 9:58:43.16: TransitionLogger - openTransitionFile - opening file C:\temp\transitionlog_2015-01-20_153021</t>
  </si>
  <si>
    <t>2015-1-21 9:58:43.22: TransitionLogger - flushFile - flushing file</t>
  </si>
  <si>
    <t>2015-1-21 9:58:43.23: TransitionLogger - openTransitionFile - opening file C:\temp\transitionlog_2015-01-20_153021</t>
  </si>
  <si>
    <t>2015-1-21 9:59:43.868: TransitionLogger - flushFile - flushing file</t>
  </si>
  <si>
    <t>2015-1-21 9:59:43.869: TransitionLogger - openTransitionFile - opening file C:\temp\transitionlog_2015-01-20_153021</t>
  </si>
  <si>
    <t>2015-1-21 9:59:43.876: TransitionLogger - flushFile - flushing file</t>
  </si>
  <si>
    <t>2015-1-21 9:59:43.877: TransitionLogger - openTransitionFile - opening file C:\temp\transitionlog_2015-01-20_153021</t>
  </si>
  <si>
    <t>2015-1-21 10:0:43.817: TransitionLogger - flushFile - flushing file</t>
  </si>
  <si>
    <t>2015-1-21 10:0:43.818: TransitionLogger - openTransitionFile - opening file C:\temp\transitionlog_2015-01-20_153021</t>
  </si>
  <si>
    <t>2015-1-21 10:0:43.824: TransitionLogger - flushFile - flushing file</t>
  </si>
  <si>
    <t>2015-1-21 10:0:43.825: TransitionLogger - openTransitionFile - opening file C:\temp\transitionlog_2015-01-20_153021</t>
  </si>
  <si>
    <t>2015-1-21 10:1:43.722: TransitionLogger - flushFile - flushing file</t>
  </si>
  <si>
    <t>2015-1-21 10:1:43.724: TransitionLogger - openTransitionFile - opening file C:\temp\transitionlog_2015-01-20_153021</t>
  </si>
  <si>
    <t>2015-1-21 10:1:43.731: TransitionLogger - flushFile - flushing file</t>
  </si>
  <si>
    <t>2015-1-21 10:1:43.732: TransitionLogger - openTransitionFile - opening file C:\temp\transitionlog_2015-01-20_153021</t>
  </si>
  <si>
    <t>2015-1-21 10:2:43.629: TransitionLogger - flushFile - flushing file</t>
  </si>
  <si>
    <t>2015-1-21 10:2:43.629: TransitionLogger - openTransitionFile - opening file C:\temp\transitionlog_2015-01-20_153021</t>
  </si>
  <si>
    <t>2015-1-21 10:2:43.632: TransitionLogger - flushFile - flushing file</t>
  </si>
  <si>
    <t>2015-1-21 10:2:43.633: TransitionLogger - openTransitionFile - opening file C:\temp\transitionlog_2015-01-20_153021</t>
  </si>
  <si>
    <t>2015-1-21 10:3:43.537: TransitionLogger - flushFile - flushing file</t>
  </si>
  <si>
    <t>2015-1-21 10:3:43.539: TransitionLogger - openTransitionFile - opening file C:\temp\transitionlog_2015-01-20_153021</t>
  </si>
  <si>
    <t>2015-1-21 10:3:43.545: TransitionLogger - flushFile - flushing file</t>
  </si>
  <si>
    <t>2015-1-21 10:3:43.546: TransitionLogger - openTransitionFile - opening file C:\temp\transitionlog_2015-01-20_153021</t>
  </si>
  <si>
    <t>2015-1-21 10:4:43.440: TransitionLogger - flushFile - flushing file</t>
  </si>
  <si>
    <t>2015-1-21 10:4:43.442: TransitionLogger - openTransitionFile - opening file C:\temp\transitionlog_2015-01-20_153021</t>
  </si>
  <si>
    <t>2015-1-21 10:4:43.449: TransitionLogger - flushFile - flushing file</t>
  </si>
  <si>
    <t>2015-1-21 10:4:43.450: TransitionLogger - openTransitionFile - opening file C:\temp\transitionlog_2015-01-20_153021</t>
  </si>
  <si>
    <t>2015-1-21 10:5:43.344: TransitionLogger - flushFile - flushing file</t>
  </si>
  <si>
    <t>2015-1-21 10:5:43.346: TransitionLogger - openTransitionFile - opening file C:\temp\transitionlog_2015-01-20_153021</t>
  </si>
  <si>
    <t>2015-1-21 10:5:43.352: TransitionLogger - flushFile - flushing file</t>
  </si>
  <si>
    <t>2015-1-21 10:5:43.353: TransitionLogger - openTransitionFile - opening file C:\temp\transitionlog_2015-01-20_153021</t>
  </si>
  <si>
    <t>2015-1-21 10:6:43.251: TransitionLogger - flushFile - flushing file</t>
  </si>
  <si>
    <t>2015-1-21 10:6:43.252: TransitionLogger - openTransitionFile - opening file C:\temp\transitionlog_2015-01-20_153021</t>
  </si>
  <si>
    <t>2015-1-21 10:6:43.258: TransitionLogger - flushFile - flushing file</t>
  </si>
  <si>
    <t>2015-1-21 10:6:43.259: TransitionLogger - openTransitionFile - opening file C:\temp\transitionlog_2015-01-20_153021</t>
  </si>
  <si>
    <t>2015-1-21 10:7:43.147: TransitionLogger - flushFile - flushing file</t>
  </si>
  <si>
    <t>2015-1-21 10:7:43.147: TransitionLogger - openTransitionFile - opening file C:\temp\transitionlog_2015-01-20_153021</t>
  </si>
  <si>
    <t>2015-1-21 10:7:43.149: TransitionLogger - flushFile - flushing file</t>
  </si>
  <si>
    <t>2015-1-21 10:7:43.149: TransitionLogger - openTransitionFile - opening file C:\temp\transitionlog_2015-01-20_153021</t>
  </si>
  <si>
    <t>2015-1-21 10:8:43.57: TransitionLogger - flushFile - flushing file</t>
  </si>
  <si>
    <t>2015-1-21 10:8:43.58: TransitionLogger - openTransitionFile - opening file C:\temp\transitionlog_2015-01-20_153021</t>
  </si>
  <si>
    <t>2015-1-21 10:8:43.64: TransitionLogger - flushFile - flushing file</t>
  </si>
  <si>
    <t>2015-1-21 10:8:43.66: TransitionLogger - openTransitionFile - opening file C:\temp\transitionlog_2015-01-20_153021</t>
  </si>
  <si>
    <t>2015-1-21 10:9:43.963: TransitionLogger - flushFile - flushing file</t>
  </si>
  <si>
    <t>2015-1-21 10:9:43.965: TransitionLogger - openTransitionFile - opening file C:\temp\transitionlog_2015-01-20_153021</t>
  </si>
  <si>
    <t>2015-1-21 10:9:43.971: TransitionLogger - flushFile - flushing file</t>
  </si>
  <si>
    <t>2015-1-21 10:9:43.972: TransitionLogger - openTransitionFile - opening file C:\temp\transitionlog_2015-01-20_153021</t>
  </si>
  <si>
    <t>2015-1-21 10:10:43.869: TransitionLogger - flushFile - flushing file</t>
  </si>
  <si>
    <t>2015-1-21 10:10:43.870: TransitionLogger - openTransitionFile - opening file C:\temp\transitionlog_2015-01-20_153021</t>
  </si>
  <si>
    <t>2015-1-21 10:10:43.876: TransitionLogger - flushFile - flushing file</t>
  </si>
  <si>
    <t>2015-1-21 10:10:43.877: TransitionLogger - openTransitionFile - opening file C:\temp\transitionlog_2015-01-20_153021</t>
  </si>
  <si>
    <t>2015-1-21 10:11:43.765: TransitionLogger - flushFile - flushing file</t>
  </si>
  <si>
    <t>2015-1-21 10:11:43.765: TransitionLogger - openTransitionFile - opening file C:\temp\transitionlog_2015-01-20_153021</t>
  </si>
  <si>
    <t>2015-1-21 10:11:43.767: TransitionLogger - flushFile - flushing file</t>
  </si>
  <si>
    <t>2015-1-21 10:11:43.767: TransitionLogger - openTransitionFile - opening file C:\temp\transitionlog_2015-01-20_153021</t>
  </si>
  <si>
    <t>2015-1-21 10:12:43.669: TransitionLogger - flushFile - flushing file</t>
  </si>
  <si>
    <t>2015-1-21 10:12:43.671: TransitionLogger - openTransitionFile - opening file C:\temp\transitionlog_2015-01-20_153021</t>
  </si>
  <si>
    <t>2015-1-21 10:12:43.677: TransitionLogger - flushFile - flushing file</t>
  </si>
  <si>
    <t>2015-1-21 10:12:43.678: TransitionLogger - openTransitionFile - opening file C:\temp\transitionlog_2015-01-20_153021</t>
  </si>
  <si>
    <t>2015-1-21 10:13:43.578: TransitionLogger - flushFile - flushing file</t>
  </si>
  <si>
    <t>2015-1-21 10:13:43.579: TransitionLogger - openTransitionFile - opening file C:\temp\transitionlog_2015-01-20_153021</t>
  </si>
  <si>
    <t>2015-1-21 10:13:43.585: TransitionLogger - flushFile - flushing file</t>
  </si>
  <si>
    <t>2015-1-21 10:13:43.586: TransitionLogger - openTransitionFile - opening file C:\temp\transitionlog_2015-01-20_153021</t>
  </si>
  <si>
    <t>2015-1-21 10:14:43.482: TransitionLogger - flushFile - flushing file</t>
  </si>
  <si>
    <t>2015-1-21 10:14:43.484: TransitionLogger - openTransitionFile - opening file C:\temp\transitionlog_2015-01-20_153021</t>
  </si>
  <si>
    <t>2015-1-21 10:14:43.490: TransitionLogger - flushFile - flushing file</t>
  </si>
  <si>
    <t>2015-1-21 10:14:43.491: TransitionLogger - openTransitionFile - opening file C:\temp\transitionlog_2015-01-20_153021</t>
  </si>
  <si>
    <t>2015-1-21 10:15:43.385: TransitionLogger - flushFile - flushing file</t>
  </si>
  <si>
    <t>2015-1-21 10:15:43.387: TransitionLogger - openTransitionFile - opening file C:\temp\transitionlog_2015-01-20_153021</t>
  </si>
  <si>
    <t>2015-1-21 10:15:43.393: TransitionLogger - flushFile - flushing file</t>
  </si>
  <si>
    <t>2015-1-21 10:15:43.394: TransitionLogger - openTransitionFile - opening file C:\temp\transitionlog_2015-01-20_153021</t>
  </si>
  <si>
    <t>2015-1-21 10:16:43.292: TransitionLogger - flushFile - flushing file</t>
  </si>
  <si>
    <t>2015-1-21 10:16:43.293: TransitionLogger - openTransitionFile - opening file C:\temp\transitionlog_2015-01-20_153021</t>
  </si>
  <si>
    <t>2015-1-21 10:16:43.300: TransitionLogger - flushFile - flushing file</t>
  </si>
  <si>
    <t>2015-1-21 10:16:43.301: TransitionLogger - openTransitionFile - opening file C:\temp\transitionlog_2015-01-20_153021</t>
  </si>
  <si>
    <t>2015-1-21 10:17:43.199: TransitionLogger - flushFile - flushing file</t>
  </si>
  <si>
    <t>2015-1-21 10:17:43.200: TransitionLogger - openTransitionFile - opening file C:\temp\transitionlog_2015-01-20_153021</t>
  </si>
  <si>
    <t>2015-1-21 10:17:43.207: TransitionLogger - flushFile - flushing file</t>
  </si>
  <si>
    <t>2015-1-21 10:17:43.208: TransitionLogger - openTransitionFile - opening file C:\temp\transitionlog_2015-01-20_153021</t>
  </si>
  <si>
    <t>2015-1-21 10:18:43.102: TransitionLogger - flushFile - flushing file</t>
  </si>
  <si>
    <t>2015-1-21 10:18:43.104: TransitionLogger - openTransitionFile - opening file C:\temp\transitionlog_2015-01-20_153021</t>
  </si>
  <si>
    <t>2015-1-21 10:18:43.111: TransitionLogger - flushFile - flushing file</t>
  </si>
  <si>
    <t>2015-1-21 10:18:43.113: TransitionLogger - openTransitionFile - opening file C:\temp\transitionlog_2015-01-20_153021</t>
  </si>
  <si>
    <t>2015-1-21 10:19:44.5: TransitionLogger - flushFile - flushing file</t>
  </si>
  <si>
    <t>2015-1-21 10:19:44.6: TransitionLogger - openTransitionFile - opening file C:\temp\transitionlog_2015-01-20_153021</t>
  </si>
  <si>
    <t>2015-1-21 10:19:44.12: TransitionLogger - flushFile - flushing file</t>
  </si>
  <si>
    <t>2015-1-21 10:19:44.13: TransitionLogger - openTransitionFile - opening file C:\temp\transitionlog_2015-01-20_153021</t>
  </si>
  <si>
    <t>2015-1-21 10:20:44.152: TransitionLogger - flushFile - flushing file</t>
  </si>
  <si>
    <t>2015-1-21 10:20:44.154: TransitionLogger - openTransitionFile - opening file C:\temp\transitionlog_2015-01-20_153021</t>
  </si>
  <si>
    <t>2015-1-21 10:20:44.160: TransitionLogger - flushFile - flushing file</t>
  </si>
  <si>
    <t>2015-1-21 10:20:44.161: TransitionLogger - openTransitionFile - opening file C:\temp\transitionlog_2015-01-20_153021</t>
  </si>
  <si>
    <t>2015-1-21 10:21:44.167: TransitionLogger - flushFile - flushing file</t>
  </si>
  <si>
    <t>2015-1-21 10:21:44.168: TransitionLogger - openTransitionFile - opening file C:\temp\transitionlog_2015-01-20_153021</t>
  </si>
  <si>
    <t>2015-1-21 10:21:44.175: TransitionLogger - flushFile - flushing file</t>
  </si>
  <si>
    <t>2015-1-21 10:21:44.176: TransitionLogger - openTransitionFile - opening file C:\temp\transitionlog_2015-01-20_153021</t>
  </si>
  <si>
    <t>2015-1-21 10:22:44.176: TransitionLogger - flushFile - flushing file</t>
  </si>
  <si>
    <t>2015-1-21 10:22:44.176: TransitionLogger - openTransitionFile - opening file C:\temp\transitionlog_2015-01-20_153021</t>
  </si>
  <si>
    <t>2015-1-21 10:22:44.178: TransitionLogger - flushFile - flushing file</t>
  </si>
  <si>
    <t>2015-1-21 10:22:44.178: TransitionLogger - openTransitionFile - opening file C:\temp\transitionlog_2015-01-20_153021</t>
  </si>
  <si>
    <t>2015-1-21 10:23:44.194: TransitionLogger - flushFile - flushing file</t>
  </si>
  <si>
    <t>2015-1-21 10:23:44.196: TransitionLogger - openTransitionFile - opening file C:\temp\transitionlog_2015-01-20_153021</t>
  </si>
  <si>
    <t>2015-1-21 10:23:44.202: TransitionLogger - flushFile - flushing file</t>
  </si>
  <si>
    <t>2015-1-21 10:23:44.203: TransitionLogger - openTransitionFile - opening file C:\temp\transitionlog_2015-01-20_153021</t>
  </si>
  <si>
    <t>2015-1-21 10:24:44.207: TransitionLogger - flushFile - flushing file</t>
  </si>
  <si>
    <t>2015-1-21 10:24:44.209: TransitionLogger - openTransitionFile - opening file C:\temp\transitionlog_2015-01-20_153021</t>
  </si>
  <si>
    <t>2015-1-21 10:24:44.215: TransitionLogger - flushFile - flushing file</t>
  </si>
  <si>
    <t>2015-1-21 10:24:44.216: TransitionLogger - openTransitionFile - opening file C:\temp\transitionlog_2015-01-20_153021</t>
  </si>
  <si>
    <t>2015-1-21 10:25:44.220: TransitionLogger - flushFile - flushing file</t>
  </si>
  <si>
    <t>2015-1-21 10:25:44.221: TransitionLogger - openTransitionFile - opening file C:\temp\transitionlog_2015-01-20_153021</t>
  </si>
  <si>
    <t>2015-1-21 10:25:44.228: TransitionLogger - flushFile - flushing file</t>
  </si>
  <si>
    <t>2015-1-21 10:25:44.229: TransitionLogger - openTransitionFile - opening file C:\temp\transitionlog_2015-01-20_153021</t>
  </si>
  <si>
    <t>2015-1-21 10:26:44.235: TransitionLogger - flushFile - flushing file</t>
  </si>
  <si>
    <t>2015-1-21 10:26:44.237: TransitionLogger - openTransitionFile - opening file C:\temp\transitionlog_2015-01-20_153021</t>
  </si>
  <si>
    <t>2015-1-21 10:26:44.243: TransitionLogger - flushFile - flushing file</t>
  </si>
  <si>
    <t>2015-1-21 10:26:44.244: TransitionLogger - openTransitionFile - opening file C:\temp\transitionlog_2015-01-20_153021</t>
  </si>
  <si>
    <t>2015-1-21 10:27:44.234: TransitionLogger - flushFile - flushing file</t>
  </si>
  <si>
    <t>2015-1-21 10:27:44.236: TransitionLogger - openTransitionFile - opening file C:\temp\transitionlog_2015-01-20_153021</t>
  </si>
  <si>
    <t>2015-1-21 10:27:44.242: TransitionLogger - flushFile - flushing file</t>
  </si>
  <si>
    <t>2015-1-21 10:27:44.244: TransitionLogger - openTransitionFile - opening file C:\temp\transitionlog_2015-01-20_153021</t>
  </si>
  <si>
    <t>2015-1-21 10:28:44.139: TransitionLogger - flushFile - flushing file</t>
  </si>
  <si>
    <t>2015-1-21 10:28:44.140: TransitionLogger - openTransitionFile - opening file C:\temp\transitionlog_2015-01-20_153021</t>
  </si>
  <si>
    <t>2015-1-21 10:28:44.146: TransitionLogger - flushFile - flushing file</t>
  </si>
  <si>
    <t>2015-1-21 10:28:44.147: TransitionLogger - openTransitionFile - opening file C:\temp\transitionlog_2015-01-20_153021</t>
  </si>
  <si>
    <t>2015-1-21 10:29:44.43: TransitionLogger - flushFile - flushing file</t>
  </si>
  <si>
    <t>2015-1-21 10:29:44.44: TransitionLogger - openTransitionFile - opening file C:\temp\transitionlog_2015-01-20_153021</t>
  </si>
  <si>
    <t>2015-1-21 10:29:44.50: TransitionLogger - flushFile - flushing file</t>
  </si>
  <si>
    <t>2015-1-21 10:29:44.51: TransitionLogger - openTransitionFile - opening file C:\temp\transitionlog_2015-01-20_153021</t>
  </si>
  <si>
    <t>2015-1-21 10:30:44.290: TransitionLogger - flushFile - flushing file</t>
  </si>
  <si>
    <t>2015-1-21 10:30:44.291: TransitionLogger - openTransitionFile - opening file C:\temp\transitionlog_2015-01-20_153021</t>
  </si>
  <si>
    <t>2015-1-21 10:30:44.297: TransitionLogger - flushFile - flushing file</t>
  </si>
  <si>
    <t>2015-1-21 10:30:44.298: TransitionLogger - openTransitionFile - opening file C:\temp\transitionlog_2015-01-20_153021</t>
  </si>
  <si>
    <t>2015-1-21 10:31:44.302: TransitionLogger - flushFile - flushing file</t>
  </si>
  <si>
    <t>2015-1-21 10:31:44.303: TransitionLogger - openTransitionFile - opening file C:\temp\transitionlog_2015-01-20_153021</t>
  </si>
  <si>
    <t>2015-1-21 10:31:44.309: TransitionLogger - flushFile - flushing file</t>
  </si>
  <si>
    <t>2015-1-21 10:31:44.310: TransitionLogger - openTransitionFile - opening file C:\temp\transitionlog_2015-01-20_153021</t>
  </si>
  <si>
    <t>2015-1-21 10:32:44.315: TransitionLogger - flushFile - flushing file</t>
  </si>
  <si>
    <t>2015-1-21 10:32:44.317: TransitionLogger - openTransitionFile - opening file C:\temp\transitionlog_2015-01-20_153021</t>
  </si>
  <si>
    <t>2015-1-21 10:32:44.323: TransitionLogger - flushFile - flushing file</t>
  </si>
  <si>
    <t>2015-1-21 10:32:44.324: TransitionLogger - openTransitionFile - opening file C:\temp\transitionlog_2015-01-20_153021</t>
  </si>
  <si>
    <t>2015-1-21 10:33:44.330: TransitionLogger - flushFile - flushing file</t>
  </si>
  <si>
    <t>2015-1-21 10:33:44.332: TransitionLogger - openTransitionFile - opening file C:\temp\transitionlog_2015-01-20_153021</t>
  </si>
  <si>
    <t>2015-1-21 10:33:44.339: TransitionLogger - flushFile - flushing file</t>
  </si>
  <si>
    <t>2015-1-21 10:33:44.340: TransitionLogger - openTransitionFile - opening file C:\temp\transitionlog_2015-01-20_153021</t>
  </si>
  <si>
    <t>2015-1-21 10:34:44.342: TransitionLogger - flushFile - flushing file</t>
  </si>
  <si>
    <t>2015-1-21 10:34:44.344: TransitionLogger - openTransitionFile - opening file C:\temp\transitionlog_2015-01-20_153021</t>
  </si>
  <si>
    <t>2015-1-21 10:34:44.350: TransitionLogger - flushFile - flushing file</t>
  </si>
  <si>
    <t>2015-1-21 10:34:44.351: TransitionLogger - openTransitionFile - opening file C:\temp\transitionlog_2015-01-20_153021</t>
  </si>
  <si>
    <t>2015-1-21 10:35:44.358: TransitionLogger - flushFile - flushing file</t>
  </si>
  <si>
    <t>2015-1-21 10:35:44.360: TransitionLogger - openTransitionFile - opening file C:\temp\transitionlog_2015-01-20_153021</t>
  </si>
  <si>
    <t>2015-1-21 10:35:44.366: TransitionLogger - flushFile - flushing file</t>
  </si>
  <si>
    <t>2015-1-21 10:35:44.367: TransitionLogger - openTransitionFile - opening file C:\temp\transitionlog_2015-01-20_153021</t>
  </si>
  <si>
    <t>2015-1-21 10:36:44.370: TransitionLogger - flushFile - flushing file</t>
  </si>
  <si>
    <t>2015-1-21 10:36:44.371: TransitionLogger - openTransitionFile - opening file C:\temp\transitionlog_2015-01-20_153021</t>
  </si>
  <si>
    <t>2015-1-21 10:36:44.377: TransitionLogger - flushFile - flushing file</t>
  </si>
  <si>
    <t>2015-1-21 10:36:44.378: TransitionLogger - openTransitionFile - opening file C:\temp\transitionlog_2015-01-20_153021</t>
  </si>
  <si>
    <t>2015-1-21 10:37:44.279: TransitionLogger - flushFile - flushing file</t>
  </si>
  <si>
    <t>2015-1-21 10:37:44.280: TransitionLogger - openTransitionFile - opening file C:\temp\transitionlog_2015-01-20_153021</t>
  </si>
  <si>
    <t>2015-1-21 10:37:44.287: TransitionLogger - flushFile - flushing file</t>
  </si>
  <si>
    <t>2015-1-21 10:37:44.288: TransitionLogger - openTransitionFile - opening file C:\temp\transitionlog_2015-01-20_153021</t>
  </si>
  <si>
    <t>2015-1-21 10:38:44.181: TransitionLogger - flushFile - flushing file</t>
  </si>
  <si>
    <t>2015-1-21 10:38:44.182: TransitionLogger - openTransitionFile - opening file C:\temp\transitionlog_2015-01-20_153021</t>
  </si>
  <si>
    <t>2015-1-21 10:38:44.188: TransitionLogger - flushFile - flushing file</t>
  </si>
  <si>
    <t>2015-1-21 10:38:44.189: TransitionLogger - openTransitionFile - opening file C:\temp\transitionlog_2015-01-20_153021</t>
  </si>
  <si>
    <t>2015-1-21 10:39:44.85: TransitionLogger - flushFile - flushing file</t>
  </si>
  <si>
    <t>2015-1-21 10:39:44.86: TransitionLogger - openTransitionFile - opening file C:\temp\transitionlog_2015-01-20_153021</t>
  </si>
  <si>
    <t>2015-1-21 10:39:44.93: TransitionLogger - flushFile - flushing file</t>
  </si>
  <si>
    <t>2015-1-21 10:39:44.94: TransitionLogger - openTransitionFile - opening file C:\temp\transitionlog_2015-01-20_153021</t>
  </si>
  <si>
    <t>2015-1-21 10:40:44.425: TransitionLogger - flushFile - flushing file</t>
  </si>
  <si>
    <t>2015-1-21 10:40:44.426: TransitionLogger - openTransitionFile - opening file C:\temp\transitionlog_2015-01-20_153021</t>
  </si>
  <si>
    <t>2015-1-21 10:40:44.432: TransitionLogger - flushFile - flushing file</t>
  </si>
  <si>
    <t>2015-1-21 10:40:44.434: TransitionLogger - openTransitionFile - opening file C:\temp\transitionlog_2015-01-20_153021</t>
  </si>
  <si>
    <t>2015-1-21 10:41:44.438: TransitionLogger - flushFile - flushing file</t>
  </si>
  <si>
    <t>2015-1-21 10:41:44.440: TransitionLogger - openTransitionFile - opening file C:\temp\transitionlog_2015-01-20_153021</t>
  </si>
  <si>
    <t>2015-1-21 10:41:44.446: TransitionLogger - flushFile - flushing file</t>
  </si>
  <si>
    <t>2015-1-21 10:41:44.447: TransitionLogger - openTransitionFile - opening file C:\temp\transitionlog_2015-01-20_153021</t>
  </si>
  <si>
    <t>2015-1-21 10:42:44.449: TransitionLogger - flushFile - flushing file</t>
  </si>
  <si>
    <t>2015-1-21 10:42:44.450: TransitionLogger - openTransitionFile - opening file C:\temp\transitionlog_2015-01-20_153021</t>
  </si>
  <si>
    <t>2015-1-21 10:42:44.453: TransitionLogger - flushFile - flushing file</t>
  </si>
  <si>
    <t>2015-1-21 10:42:44.454: TransitionLogger - openTransitionFile - opening file C:\temp\transitionlog_2015-01-20_153021</t>
  </si>
  <si>
    <t>2015-1-21 10:43:44.465: TransitionLogger - flushFile - flushing file</t>
  </si>
  <si>
    <t>2015-1-21 10:43:44.466: TransitionLogger - openTransitionFile - opening file C:\temp\transitionlog_2015-01-20_153021</t>
  </si>
  <si>
    <t>2015-1-21 10:43:44.473: TransitionLogger - flushFile - flushing file</t>
  </si>
  <si>
    <t>2015-1-21 10:43:44.474: TransitionLogger - openTransitionFile - opening file C:\temp\transitionlog_2015-01-20_153021</t>
  </si>
  <si>
    <t>2015-1-21 10:44:44.480: TransitionLogger - flushFile - flushing file</t>
  </si>
  <si>
    <t>2015-1-21 10:44:44.481: TransitionLogger - openTransitionFile - opening file C:\temp\transitionlog_2015-01-20_153021</t>
  </si>
  <si>
    <t>2015-1-21 10:44:44.487: TransitionLogger - flushFile - flushing file</t>
  </si>
  <si>
    <t>2015-1-21 10:44:44.488: TransitionLogger - openTransitionFile - opening file C:\temp\transitionlog_2015-01-20_153021</t>
  </si>
  <si>
    <t>2015-1-21 10:45:44.491: TransitionLogger - flushFile - flushing file</t>
  </si>
  <si>
    <t>2015-1-21 10:45:44.493: TransitionLogger - openTransitionFile - opening file C:\temp\transitionlog_2015-01-20_153021</t>
  </si>
  <si>
    <t>2015-1-21 10:45:44.499: TransitionLogger - flushFile - flushing file</t>
  </si>
  <si>
    <t>2015-1-21 10:45:44.500: TransitionLogger - openTransitionFile - opening file C:\temp\transitionlog_2015-01-20_153021</t>
  </si>
  <si>
    <t>2015-1-21 10:46:44.414: TransitionLogger - flushFile - flushing file</t>
  </si>
  <si>
    <t>2015-1-21 10:46:44.415: TransitionLogger - openTransitionFile - opening file C:\temp\transitionlog_2015-01-20_153021</t>
  </si>
  <si>
    <t>2015-1-21 10:46:44.421: TransitionLogger - flushFile - flushing file</t>
  </si>
  <si>
    <t>2015-1-21 10:46:44.421: TransitionLogger - openTransitionFile - opening file C:\temp\transitionlog_2015-01-20_153021</t>
  </si>
  <si>
    <t>2015-1-21 10:47:44.319: TransitionLogger - flushFile - flushing file</t>
  </si>
  <si>
    <t>2015-1-21 10:47:44.320: TransitionLogger - openTransitionFile - opening file C:\temp\transitionlog_2015-01-20_153021</t>
  </si>
  <si>
    <t>2015-1-21 10:47:44.321: TransitionLogger - flushFile - flushing file</t>
  </si>
  <si>
    <t>2015-1-21 10:47:44.321: TransitionLogger - openTransitionFile - opening file C:\temp\transitionlog_2015-01-20_153021</t>
  </si>
  <si>
    <t>2015-1-21 10:48:44.224: TransitionLogger - flushFile - flushing file</t>
  </si>
  <si>
    <t>2015-1-21 10:48:44.226: TransitionLogger - openTransitionFile - opening file C:\temp\transitionlog_2015-01-20_153021</t>
  </si>
  <si>
    <t>2015-1-21 10:48:44.232: TransitionLogger - flushFile - flushing file</t>
  </si>
  <si>
    <t>2015-1-21 10:48:44.233: TransitionLogger - openTransitionFile - opening file C:\temp\transitionlog_2015-01-20_153021</t>
  </si>
  <si>
    <t>2015-1-21 10:49:44.129: TransitionLogger - flushFile - flushing file</t>
  </si>
  <si>
    <t>2015-1-21 10:49:44.131: TransitionLogger - openTransitionFile - opening file C:\temp\transitionlog_2015-01-20_153021</t>
  </si>
  <si>
    <t>2015-1-21 10:49:44.137: TransitionLogger - flushFile - flushing file</t>
  </si>
  <si>
    <t>2015-1-21 10:49:44.138: TransitionLogger - openTransitionFile - opening file C:\temp\transitionlog_2015-01-20_153021</t>
  </si>
  <si>
    <t>2015-1-21 10:50:44.36: TransitionLogger - flushFile - flushing file</t>
  </si>
  <si>
    <t>2015-1-21 10:50:44.38: TransitionLogger - openTransitionFile - opening file C:\temp\transitionlog_2015-01-20_153021</t>
  </si>
  <si>
    <t>2015-1-21 10:50:44.46: TransitionLogger - flushFile - flushing file</t>
  </si>
  <si>
    <t>2015-1-21 10:50:44.47: TransitionLogger - openTransitionFile - opening file C:\temp\transitionlog_2015-01-20_153021</t>
  </si>
  <si>
    <t>2015-1-21 10:51:44.574: TransitionLogger - flushFile - flushing file</t>
  </si>
  <si>
    <t>2015-1-21 10:51:44.575: TransitionLogger - openTransitionFile - opening file C:\temp\transitionlog_2015-01-20_153021</t>
  </si>
  <si>
    <t>2015-1-21 10:51:44.581: TransitionLogger - flushFile - flushing file</t>
  </si>
  <si>
    <t>2015-1-21 10:51:44.583: TransitionLogger - openTransitionFile - opening file C:\temp\transitionlog_2015-01-20_153021</t>
  </si>
  <si>
    <t>2015-1-21 10:52:44.588: TransitionLogger - flushFile - flushing file</t>
  </si>
  <si>
    <t>2015-1-21 10:52:44.590: TransitionLogger - openTransitionFile - opening file C:\temp\transitionlog_2015-01-20_153021</t>
  </si>
  <si>
    <t>2015-1-21 10:52:44.596: TransitionLogger - flushFile - flushing file</t>
  </si>
  <si>
    <t>2015-1-21 10:52:44.597: TransitionLogger - openTransitionFile - opening file C:\temp\transitionlog_2015-01-20_153021</t>
  </si>
  <si>
    <t>2015-1-21 10:53:44.598: TransitionLogger - flushFile - flushing file</t>
  </si>
  <si>
    <t>2015-1-21 10:53:44.598: TransitionLogger - openTransitionFile - opening file C:\temp\transitionlog_2015-01-20_153021</t>
  </si>
  <si>
    <t>2015-1-21 10:53:44.600: TransitionLogger - flushFile - flushing file</t>
  </si>
  <si>
    <t>2015-1-21 10:53:44.601: TransitionLogger - openTransitionFile - opening file C:\temp\transitionlog_2015-01-20_153021</t>
  </si>
  <si>
    <t>2015-1-21 10:54:44.615: TransitionLogger - flushFile - flushing file</t>
  </si>
  <si>
    <t>2015-1-21 10:54:44.617: TransitionLogger - openTransitionFile - opening file C:\temp\transitionlog_2015-01-20_153021</t>
  </si>
  <si>
    <t>2015-1-21 10:54:44.624: TransitionLogger - flushFile - flushing file</t>
  </si>
  <si>
    <t>2015-1-21 10:54:44.625: TransitionLogger - openTransitionFile - opening file C:\temp\transitionlog_2015-01-20_153021</t>
  </si>
  <si>
    <t>2015-1-21 10:55:44.548: TransitionLogger - flushFile - flushing file</t>
  </si>
  <si>
    <t>2015-1-21 10:55:44.549: TransitionLogger - openTransitionFile - opening file C:\temp\transitionlog_2015-01-20_153021</t>
  </si>
  <si>
    <t>2015-1-21 10:55:44.550: TransitionLogger - flushFile - flushing file</t>
  </si>
  <si>
    <t>2015-1-21 10:55:44.551: TransitionLogger - openTransitionFile - opening file C:\temp\transitionlog_2015-01-20_153021</t>
  </si>
  <si>
    <t>2015-1-21 10:56:44.461: TransitionLogger - flushFile - flushing file</t>
  </si>
  <si>
    <t>2015-1-21 10:56:44.463: TransitionLogger - openTransitionFile - opening file C:\temp\transitionlog_2015-01-20_153021</t>
  </si>
  <si>
    <t>2015-1-21 10:56:44.469: TransitionLogger - flushFile - flushing file</t>
  </si>
  <si>
    <t>2015-1-21 10:56:44.470: TransitionLogger - openTransitionFile - opening file C:\temp\transitionlog_2015-01-20_153021</t>
  </si>
  <si>
    <t>2015-1-21 10:57:44.362: TransitionLogger - flushFile - flushing file</t>
  </si>
  <si>
    <t>2015-1-21 10:57:44.362: TransitionLogger - openTransitionFile - opening file C:\temp\transitionlog_2015-01-20_153021</t>
  </si>
  <si>
    <t>2015-1-21 10:57:44.363: TransitionLogger - flushFile - flushing file</t>
  </si>
  <si>
    <t>2015-1-21 10:57:44.364: TransitionLogger - openTransitionFile - opening file C:\temp\transitionlog_2015-01-20_153021</t>
  </si>
  <si>
    <t>2015-1-21 10:58:44.263: TransitionLogger - flushFile - flushing file</t>
  </si>
  <si>
    <t>2015-1-21 10:58:44.265: TransitionLogger - openTransitionFile - opening file C:\temp\transitionlog_2015-01-20_153021</t>
  </si>
  <si>
    <t>2015-1-21 10:58:44.271: TransitionLogger - flushFile - flushing file</t>
  </si>
  <si>
    <t>2015-1-21 10:58:44.272: TransitionLogger - openTransitionFile - opening file C:\temp\transitionlog_2015-01-20_153021</t>
  </si>
  <si>
    <t>2015-1-21 10:59:44.174: TransitionLogger - flushFile - flushing file</t>
  </si>
  <si>
    <t>2015-1-21 10:59:44.176: TransitionLogger - openTransitionFile - opening file C:\temp\transitionlog_2015-01-20_153021</t>
  </si>
  <si>
    <t>2015-1-21 10:59:44.183: TransitionLogger - flushFile - flushing file</t>
  </si>
  <si>
    <t>2015-1-21 10:59:44.184: TransitionLogger - openTransitionFile - opening file C:\temp\transitionlog_2015-01-20_153021</t>
  </si>
  <si>
    <t>2015-1-21 11:0:44.75: TransitionLogger - flushFile - flushing file</t>
  </si>
  <si>
    <t>2015-1-21 11:0:44.77: TransitionLogger - openTransitionFile - opening file C:\temp\transitionlog_2015-01-20_153021</t>
  </si>
  <si>
    <t>2015-1-21 11:0:44.83: TransitionLogger - flushFile - flushing file</t>
  </si>
  <si>
    <t>2015-1-21 11:0:44.84: TransitionLogger - openTransitionFile - opening file C:\temp\transitionlog_2015-01-20_153021</t>
  </si>
  <si>
    <t>2015-1-21 11:1:44.709: TransitionLogger - flushFile - flushing file</t>
  </si>
  <si>
    <t>2015-1-21 11:1:44.711: TransitionLogger - openTransitionFile - opening file C:\temp\transitionlog_2015-01-20_153021</t>
  </si>
  <si>
    <t>2015-1-21 11:1:44.717: TransitionLogger - flushFile - flushing file</t>
  </si>
  <si>
    <t>2015-1-21 11:1:44.718: TransitionLogger - openTransitionFile - opening file C:\temp\transitionlog_2015-01-20_153021</t>
  </si>
  <si>
    <t>2015-1-21 11:2:44.722: TransitionLogger - flushFile - flushing file</t>
  </si>
  <si>
    <t>2015-1-21 11:2:44.724: TransitionLogger - openTransitionFile - opening file C:\temp\transitionlog_2015-01-20_153021</t>
  </si>
  <si>
    <t>2015-1-21 11:2:44.730: TransitionLogger - flushFile - flushing file</t>
  </si>
  <si>
    <t>2015-1-21 11:2:44.731: TransitionLogger - openTransitionFile - opening file C:\temp\transitionlog_2015-01-20_153021</t>
  </si>
  <si>
    <t>2015-1-21 11:3:44.735: TransitionLogger - flushFile - flushing file</t>
  </si>
  <si>
    <t>2015-1-21 11:3:44.737: TransitionLogger - openTransitionFile - opening file C:\temp\transitionlog_2015-01-20_153021</t>
  </si>
  <si>
    <t>2015-1-21 11:3:44.743: TransitionLogger - flushFile - flushing file</t>
  </si>
  <si>
    <t>2015-1-21 11:3:44.744: TransitionLogger - openTransitionFile - opening file C:\temp\transitionlog_2015-01-20_153021</t>
  </si>
  <si>
    <t>2015-1-21 11:4:44.693: TransitionLogger - flushFile - flushing file</t>
  </si>
  <si>
    <t>2015-1-21 11:4:44.694: TransitionLogger - openTransitionFile - opening file C:\temp\transitionlog_2015-01-20_153021</t>
  </si>
  <si>
    <t>2015-1-21 11:4:44.700: TransitionLogger - flushFile - flushing file</t>
  </si>
  <si>
    <t>2015-1-21 11:4:44.702: TransitionLogger - openTransitionFile - opening file C:\temp\transitionlog_2015-01-20_153021</t>
  </si>
  <si>
    <t>2015-1-21 11:5:44.589: TransitionLogger - flushFile - flushing file</t>
  </si>
  <si>
    <t>2015-1-21 11:5:44.589: TransitionLogger - openTransitionFile - opening file C:\temp\transitionlog_2015-01-20_153021</t>
  </si>
  <si>
    <t>2015-1-21 11:5:44.591: TransitionLogger - flushFile - flushing file</t>
  </si>
  <si>
    <t>2015-1-21 11:5:44.591: TransitionLogger - openTransitionFile - opening file C:\temp\transitionlog_2015-01-20_153021</t>
  </si>
  <si>
    <t>2015-1-21 11:6:44.502: TransitionLogger - flushFile - flushing file</t>
  </si>
  <si>
    <t>2015-1-21 11:6:44.504: TransitionLogger - openTransitionFile - opening file C:\temp\transitionlog_2015-01-20_153021</t>
  </si>
  <si>
    <t>2015-1-21 11:6:44.510: TransitionLogger - flushFile - flushing file</t>
  </si>
  <si>
    <t>2015-1-21 11:6:44.511: TransitionLogger - openTransitionFile - opening file C:\temp\transitionlog_2015-01-20_153021</t>
  </si>
  <si>
    <t>2015-1-21 11:7:44.402: TransitionLogger - flushFile - flushing file</t>
  </si>
  <si>
    <t>2015-1-21 11:7:44.404: TransitionLogger - openTransitionFile - opening file C:\temp\transitionlog_2015-01-20_153021</t>
  </si>
  <si>
    <t>2015-1-21 11:7:44.410: TransitionLogger - flushFile - flushing file</t>
  </si>
  <si>
    <t>2015-1-21 11:7:44.411: TransitionLogger - openTransitionFile - opening file C:\temp\transitionlog_2015-01-20_153021</t>
  </si>
  <si>
    <t>2015-1-21 11:8:44.311: TransitionLogger - flushFile - flushing file</t>
  </si>
  <si>
    <t>2015-1-21 11:8:44.313: TransitionLogger - openTransitionFile - opening file C:\temp\transitionlog_2015-01-20_153021</t>
  </si>
  <si>
    <t>2015-1-21 11:8:44.320: TransitionLogger - flushFile - flushing file</t>
  </si>
  <si>
    <t>2015-1-21 11:8:44.321: TransitionLogger - openTransitionFile - opening file C:\temp\transitionlog_2015-01-20_153021</t>
  </si>
  <si>
    <t>2015-1-21 11:9:44.217: TransitionLogger - flushFile - flushing file</t>
  </si>
  <si>
    <t>2015-1-21 11:9:44.219: TransitionLogger - openTransitionFile - opening file C:\temp\transitionlog_2015-01-20_153021</t>
  </si>
  <si>
    <t>2015-1-21 11:9:44.226: TransitionLogger - flushFile - flushing file</t>
  </si>
  <si>
    <t>2015-1-21 11:9:44.227: TransitionLogger - openTransitionFile - opening file C:\temp\transitionlog_2015-01-20_153021</t>
  </si>
  <si>
    <t>2015-1-21 11:10:44.112: TransitionLogger - flushFile - flushing file</t>
  </si>
  <si>
    <t>2015-1-21 11:10:44.113: TransitionLogger - openTransitionFile - opening file C:\temp\transitionlog_2015-01-20_153021</t>
  </si>
  <si>
    <t>2015-1-21 11:10:44.116: TransitionLogger - flushFile - flushing file</t>
  </si>
  <si>
    <t>2015-1-21 11:10:44.116: TransitionLogger - openTransitionFile - opening file C:\temp\transitionlog_2015-01-20_153021</t>
  </si>
  <si>
    <t>2015-1-21 11:11:44.18: TransitionLogger - flushFile - flushing file</t>
  </si>
  <si>
    <t>2015-1-21 11:11:44.20: TransitionLogger - openTransitionFile - opening file C:\temp\transitionlog_2015-01-20_153021</t>
  </si>
  <si>
    <t>2015-1-21 11:11:44.26: TransitionLogger - flushFile - flushing file</t>
  </si>
  <si>
    <t>2015-1-21 11:11:44.27: TransitionLogger - openTransitionFile - opening file C:\temp\transitionlog_2015-01-20_153021</t>
  </si>
  <si>
    <t>2015-1-21 11:12:44.860: TransitionLogger - flushFile - flushing file</t>
  </si>
  <si>
    <t>2015-1-21 11:12:44.862: TransitionLogger - openTransitionFile - opening file C:\temp\transitionlog_2015-01-20_153021</t>
  </si>
  <si>
    <t>2015-1-21 11:12:44.868: TransitionLogger - flushFile - flushing file</t>
  </si>
  <si>
    <t>2015-1-21 11:12:44.869: TransitionLogger - openTransitionFile - opening file C:\temp\transitionlog_2015-01-20_153021</t>
  </si>
  <si>
    <t>2015-1-21 11:13:44.829: TransitionLogger - flushFile - flushing file</t>
  </si>
  <si>
    <t>2015-1-21 11:13:44.831: TransitionLogger - openTransitionFile - opening file C:\temp\transitionlog_2015-01-20_153021</t>
  </si>
  <si>
    <t>2015-1-21 11:13:44.837: TransitionLogger - flushFile - flushing file</t>
  </si>
  <si>
    <t>2015-1-21 11:13:44.838: TransitionLogger - openTransitionFile - opening file C:\temp\transitionlog_2015-01-20_153021</t>
  </si>
  <si>
    <t>2015-1-21 11:14:44.731: TransitionLogger - flushFile - flushing file</t>
  </si>
  <si>
    <t>2015-1-21 11:14:44.732: TransitionLogger - openTransitionFile - opening file C:\temp\transitionlog_2015-01-20_153021</t>
  </si>
  <si>
    <t>2015-1-21 11:14:44.739: TransitionLogger - flushFile - flushing file</t>
  </si>
  <si>
    <t>2015-1-21 11:14:44.740: TransitionLogger - openTransitionFile - opening file C:\temp\transitionlog_2015-01-20_153021</t>
  </si>
  <si>
    <t>2015-1-21 11:15:44.641: TransitionLogger - flushFile - flushing file</t>
  </si>
  <si>
    <t>2015-1-21 11:15:44.643: TransitionLogger - openTransitionFile - opening file C:\temp\transitionlog_2015-01-20_153021</t>
  </si>
  <si>
    <t>2015-1-21 11:15:44.649: TransitionLogger - flushFile - flushing file</t>
  </si>
  <si>
    <t>2015-1-21 11:15:44.650: TransitionLogger - openTransitionFile - opening file C:\temp\transitionlog_2015-01-20_153021</t>
  </si>
  <si>
    <t>2015-1-21 11:16:44.543: TransitionLogger - flushFile - flushing file</t>
  </si>
  <si>
    <t>2015-1-21 11:16:44.544: TransitionLogger - openTransitionFile - opening file C:\temp\transitionlog_2015-01-20_153021</t>
  </si>
  <si>
    <t>2015-1-21 11:16:44.550: TransitionLogger - flushFile - flushing file</t>
  </si>
  <si>
    <t>2015-1-21 11:16:44.551: TransitionLogger - openTransitionFile - opening file C:\temp\transitionlog_2015-01-20_153021</t>
  </si>
  <si>
    <t>2015-1-21 11:17:44.450: TransitionLogger - flushFile - flushing file</t>
  </si>
  <si>
    <t>2015-1-21 11:17:44.452: TransitionLogger - openTransitionFile - opening file C:\temp\transitionlog_2015-01-20_153021</t>
  </si>
  <si>
    <t>2015-1-21 11:17:44.461: TransitionLogger - flushFile - flushing file</t>
  </si>
  <si>
    <t>2015-1-21 11:17:44.462: TransitionLogger - openTransitionFile - opening file C:\temp\transitionlog_2015-01-20_153021</t>
  </si>
  <si>
    <t>2015-1-21 11:18:44.347: TransitionLogger - flushFile - flushing file</t>
  </si>
  <si>
    <t>2015-1-21 11:18:44.349: TransitionLogger - openTransitionFile - opening file C:\temp\transitionlog_2015-01-20_153021</t>
  </si>
  <si>
    <t>2015-1-21 11:18:44.355: TransitionLogger - flushFile - flushing file</t>
  </si>
  <si>
    <t>2015-1-21 11:18:44.356: TransitionLogger - openTransitionFile - opening file C:\temp\transitionlog_2015-01-20_153021</t>
  </si>
  <si>
    <t>2015-1-21 11:19:44.252: TransitionLogger - flushFile - flushing file</t>
  </si>
  <si>
    <t>2015-1-21 11:19:44.253: TransitionLogger - openTransitionFile - opening file C:\temp\transitionlog_2015-01-20_153021</t>
  </si>
  <si>
    <t>2015-1-21 11:19:44.259: TransitionLogger - flushFile - flushing file</t>
  </si>
  <si>
    <t>2015-1-21 11:19:44.260: TransitionLogger - openTransitionFile - opening file C:\temp\transitionlog_2015-01-20_153021</t>
  </si>
  <si>
    <t>2015-1-21 11:20:44.159: TransitionLogger - flushFile - flushing file</t>
  </si>
  <si>
    <t>2015-1-21 11:20:44.161: TransitionLogger - openTransitionFile - opening file C:\temp\transitionlog_2015-01-20_153021</t>
  </si>
  <si>
    <t>2015-1-21 11:20:44.167: TransitionLogger - flushFile - flushing file</t>
  </si>
  <si>
    <t>2015-1-21 11:20:44.168: TransitionLogger - openTransitionFile - opening file C:\temp\transitionlog_2015-01-20_153021</t>
  </si>
  <si>
    <t>2015-1-21 11:21:44.65: TransitionLogger - flushFile - flushing file</t>
  </si>
  <si>
    <t>2015-1-21 11:21:44.67: TransitionLogger - openTransitionFile - opening file C:\temp\transitionlog_2015-01-20_153021</t>
  </si>
  <si>
    <t>2015-1-21 11:21:44.73: TransitionLogger - flushFile - flushing file</t>
  </si>
  <si>
    <t>2015-1-21 11:21:44.74: TransitionLogger - openTransitionFile - opening file C:\temp\transitionlog_2015-01-20_153021</t>
  </si>
  <si>
    <t>2015-1-21 11:22:44.970: TransitionLogger - flushFile - flushing file</t>
  </si>
  <si>
    <t>2015-1-21 11:22:44.972: TransitionLogger - openTransitionFile - opening file C:\temp\transitionlog_2015-01-20_153021</t>
  </si>
  <si>
    <t>2015-1-21 11:22:44.980: TransitionLogger - flushFile - flushing file</t>
  </si>
  <si>
    <t>2015-1-21 11:22:44.981: TransitionLogger - openTransitionFile - opening file C:\temp\transitionlog_2015-01-20_153021</t>
  </si>
  <si>
    <t>2015-1-21 11:23:44.870: TransitionLogger - flushFile - flushing file</t>
  </si>
  <si>
    <t>2015-1-21 11:23:44.872: TransitionLogger - openTransitionFile - opening file C:\temp\transitionlog_2015-01-20_153021</t>
  </si>
  <si>
    <t>2015-1-21 11:23:44.882: TransitionLogger - flushFile - flushing file</t>
  </si>
  <si>
    <t>2015-1-21 11:23:44.883: TransitionLogger - openTransitionFile - opening file C:\temp\transitionlog_2015-01-20_153021</t>
  </si>
  <si>
    <t>2015-1-21 11:24:44.772: TransitionLogger - flushFile - flushing file</t>
  </si>
  <si>
    <t>2015-1-21 11:24:44.773: TransitionLogger - openTransitionFile - opening file C:\temp\transitionlog_2015-01-20_153021</t>
  </si>
  <si>
    <t>2015-1-21 11:24:44.779: TransitionLogger - flushFile - flushing file</t>
  </si>
  <si>
    <t>2015-1-21 11:24:44.780: TransitionLogger - openTransitionFile - opening file C:\temp\transitionlog_2015-01-20_153021</t>
  </si>
  <si>
    <t>2015-1-21 11:25:44.679: TransitionLogger - flushFile - flushing file</t>
  </si>
  <si>
    <t>2015-1-21 11:25:44.681: TransitionLogger - openTransitionFile - opening file C:\temp\transitionlog_2015-01-20_153021</t>
  </si>
  <si>
    <t>2015-1-21 11:25:44.687: TransitionLogger - flushFile - flushing file</t>
  </si>
  <si>
    <t>2015-1-21 11:25:44.688: TransitionLogger - openTransitionFile - opening file C:\temp\transitionlog_2015-01-20_153021</t>
  </si>
  <si>
    <t>2015-1-21 11:26:44.589: TransitionLogger - flushFile - flushing file</t>
  </si>
  <si>
    <t>2015-1-21 11:26:44.590: TransitionLogger - openTransitionFile - opening file C:\temp\transitionlog_2015-01-20_153021</t>
  </si>
  <si>
    <t>2015-1-21 11:26:44.598: TransitionLogger - flushFile - flushing file</t>
  </si>
  <si>
    <t>2015-1-21 11:26:44.599: TransitionLogger - openTransitionFile - opening file C:\temp\transitionlog_2015-01-20_153021</t>
  </si>
  <si>
    <t>2015-1-21 11:27:44.485: TransitionLogger - flushFile - flushing file</t>
  </si>
  <si>
    <t>2015-1-21 11:27:44.487: TransitionLogger - openTransitionFile - opening file C:\temp\transitionlog_2015-01-20_153021</t>
  </si>
  <si>
    <t>2015-1-21 11:27:44.494: TransitionLogger - flushFile - flushing file</t>
  </si>
  <si>
    <t>2015-1-21 11:27:44.495: TransitionLogger - openTransitionFile - opening file C:\temp\transitionlog_2015-01-20_153021</t>
  </si>
  <si>
    <t>2015-1-21 11:28:44.398: TransitionLogger - flushFile - flushing file</t>
  </si>
  <si>
    <t>2015-1-21 11:28:44.400: TransitionLogger - openTransitionFile - opening file C:\temp\transitionlog_2015-01-20_153021</t>
  </si>
  <si>
    <t>2015-1-21 11:28:44.406: TransitionLogger - flushFile - flushing file</t>
  </si>
  <si>
    <t>2015-1-21 11:28:44.407: TransitionLogger - openTransitionFile - opening file C:\temp\transitionlog_2015-01-20_153021</t>
  </si>
  <si>
    <t>2015-1-21 11:29:44.295: TransitionLogger - flushFile - flushing file</t>
  </si>
  <si>
    <t>2015-1-21 11:29:44.297: TransitionLogger - openTransitionFile - opening file C:\temp\transitionlog_2015-01-20_153021</t>
  </si>
  <si>
    <t>2015-1-21 11:29:44.303: TransitionLogger - flushFile - flushing file</t>
  </si>
  <si>
    <t>2015-1-21 11:29:44.304: TransitionLogger - openTransitionFile - opening file C:\temp\transitionlog_2015-01-20_153021</t>
  </si>
  <si>
    <t>2015-1-21 11:30:44.199: TransitionLogger - flushFile - flushing file</t>
  </si>
  <si>
    <t>2015-1-21 11:30:44.201: TransitionLogger - openTransitionFile - opening file C:\temp\transitionlog_2015-01-20_153021</t>
  </si>
  <si>
    <t>2015-1-21 11:30:44.208: TransitionLogger - flushFile - flushing file</t>
  </si>
  <si>
    <t>2015-1-21 11:30:44.209: TransitionLogger - openTransitionFile - opening file C:\temp\transitionlog_2015-01-20_153021</t>
  </si>
  <si>
    <t>2015-1-21 11:31:44.109: TransitionLogger - flushFile - flushing file</t>
  </si>
  <si>
    <t>2015-1-21 11:31:44.110: TransitionLogger - openTransitionFile - opening file C:\temp\transitionlog_2015-01-20_153021</t>
  </si>
  <si>
    <t>2015-1-21 11:31:44.118: TransitionLogger - flushFile - flushing file</t>
  </si>
  <si>
    <t>2015-1-21 11:31:44.119: TransitionLogger - openTransitionFile - opening file C:\temp\transitionlog_2015-01-20_153021</t>
  </si>
  <si>
    <t>2015-1-21 11:32:45.7: TransitionLogger - flushFile - flushing file</t>
  </si>
  <si>
    <t>2015-1-21 11:32:45.8: TransitionLogger - openTransitionFile - opening file C:\temp\transitionlog_2015-01-20_153021</t>
  </si>
  <si>
    <t>2015-1-21 11:32:45.14: TransitionLogger - flushFile - flushing file</t>
  </si>
  <si>
    <t>2015-1-21 11:32:45.15: TransitionLogger - openTransitionFile - opening file C:\temp\transitionlog_2015-01-20_153021</t>
  </si>
  <si>
    <t>2015-1-21 11:33:45.141: TransitionLogger - flushFile - flushing file</t>
  </si>
  <si>
    <t>2015-1-21 11:33:45.141: TransitionLogger - openTransitionFile - opening file C:\temp\transitionlog_2015-01-20_153021</t>
  </si>
  <si>
    <t>2015-1-21 11:33:45.142: TransitionLogger - flushFile - flushing file</t>
  </si>
  <si>
    <t>2015-1-21 11:33:45.143: TransitionLogger - openTransitionFile - opening file C:\temp\transitionlog_2015-01-20_153021</t>
  </si>
  <si>
    <t>2015-1-21 11:34:45.159: TransitionLogger - flushFile - flushing file</t>
  </si>
  <si>
    <t>2015-1-21 11:34:45.160: TransitionLogger - openTransitionFile - opening file C:\temp\transitionlog_2015-01-20_153021</t>
  </si>
  <si>
    <t>2015-1-21 11:34:45.166: TransitionLogger - flushFile - flushing file</t>
  </si>
  <si>
    <t>2015-1-21 11:34:45.167: TransitionLogger - openTransitionFile - opening file C:\temp\transitionlog_2015-01-20_153021</t>
  </si>
  <si>
    <t>2015-1-21 11:35:45.173: TransitionLogger - flushFile - flushing file</t>
  </si>
  <si>
    <t>2015-1-21 11:35:45.174: TransitionLogger - openTransitionFile - opening file C:\temp\transitionlog_2015-01-20_153021</t>
  </si>
  <si>
    <t>2015-1-21 11:35:45.181: TransitionLogger - flushFile - flushing file</t>
  </si>
  <si>
    <t>2015-1-21 11:35:45.182: TransitionLogger - openTransitionFile - opening file C:\temp\transitionlog_2015-01-20_153021</t>
  </si>
  <si>
    <t>2015-1-21 11:36:45.185: TransitionLogger - flushFile - flushing file</t>
  </si>
  <si>
    <t>2015-1-21 11:36:45.186: TransitionLogger - openTransitionFile - opening file C:\temp\transitionlog_2015-01-20_153021</t>
  </si>
  <si>
    <t>2015-1-21 11:36:45.192: TransitionLogger - flushFile - flushing file</t>
  </si>
  <si>
    <t>2015-1-21 11:36:45.194: TransitionLogger - openTransitionFile - opening file C:\temp\transitionlog_2015-01-20_153021</t>
  </si>
  <si>
    <t>2015-1-21 11:37:45.199: TransitionLogger - flushFile - flushing file</t>
  </si>
  <si>
    <t>2015-1-21 11:37:45.201: TransitionLogger - openTransitionFile - opening file C:\temp\transitionlog_2015-01-20_153021</t>
  </si>
  <si>
    <t>2015-1-21 11:37:45.207: TransitionLogger - flushFile - flushing file</t>
  </si>
  <si>
    <t>2015-1-21 11:37:45.208: TransitionLogger - openTransitionFile - opening file C:\temp\transitionlog_2015-01-20_153021</t>
  </si>
  <si>
    <t>2015-1-21 11:38:45.213: TransitionLogger - flushFile - flushing file</t>
  </si>
  <si>
    <t>2015-1-21 11:38:45.214: TransitionLogger - openTransitionFile - opening file C:\temp\transitionlog_2015-01-20_153021</t>
  </si>
  <si>
    <t>2015-1-21 11:38:45.220: TransitionLogger - flushFile - flushing file</t>
  </si>
  <si>
    <t>2015-1-21 11:38:45.221: TransitionLogger - openTransitionFile - opening file C:\temp\transitionlog_2015-01-20_153021</t>
  </si>
  <si>
    <t>2015-1-21 11:39:45.225: TransitionLogger - flushFile - flushing file</t>
  </si>
  <si>
    <t>2015-1-21 11:39:45.227: TransitionLogger - openTransitionFile - opening file C:\temp\transitionlog_2015-01-20_153021</t>
  </si>
  <si>
    <t>2015-1-21 11:39:45.233: TransitionLogger - flushFile - flushing file</t>
  </si>
  <si>
    <t>2015-1-21 11:39:45.234: TransitionLogger - openTransitionFile - opening file C:\temp\transitionlog_2015-01-20_153021</t>
  </si>
  <si>
    <t>2015-1-21 11:40:45.241: TransitionLogger - flushFile - flushing file</t>
  </si>
  <si>
    <t>2015-1-21 11:40:45.242: TransitionLogger - openTransitionFile - opening file C:\temp\transitionlog_2015-01-20_153021</t>
  </si>
  <si>
    <t>2015-1-21 11:40:45.248: TransitionLogger - flushFile - flushing file</t>
  </si>
  <si>
    <t>2015-1-21 11:40:45.249: TransitionLogger - openTransitionFile - opening file C:\temp\transitionlog_2015-01-20_153021</t>
  </si>
  <si>
    <t>2015-1-21 11:41:45.145: TransitionLogger - flushFile - flushing file</t>
  </si>
  <si>
    <t>2015-1-21 11:41:45.147: TransitionLogger - openTransitionFile - opening file C:\temp\transitionlog_2015-01-20_153021</t>
  </si>
  <si>
    <t>2015-1-21 11:41:45.153: TransitionLogger - flushFile - flushing file</t>
  </si>
  <si>
    <t>2015-1-21 11:41:45.154: TransitionLogger - openTransitionFile - opening file C:\temp\transitionlog_2015-01-20_153021</t>
  </si>
  <si>
    <t>2015-1-21 11:42:45.56: TransitionLogger - flushFile - flushing file</t>
  </si>
  <si>
    <t>2015-1-21 11:42:45.57: TransitionLogger - openTransitionFile - opening file C:\temp\transitionlog_2015-01-20_153021</t>
  </si>
  <si>
    <t>2015-1-21 11:42:45.64: TransitionLogger - flushFile - flushing file</t>
  </si>
  <si>
    <t>2015-1-21 11:42:45.65: TransitionLogger - openTransitionFile - opening file C:\temp\transitionlog_2015-01-20_153021</t>
  </si>
  <si>
    <t>2015-1-21 11:43:45.17: TransitionLogger - flushFile - flushing file</t>
  </si>
  <si>
    <t>2015-1-21 11:43:45.19: TransitionLogger - openTransitionFile - opening file C:\temp\transitionlog_2015-01-20_153021</t>
  </si>
  <si>
    <t>2015-1-21 11:43:45.25: TransitionLogger - flushFile - flushing file</t>
  </si>
  <si>
    <t>2015-1-21 11:43:45.26: TransitionLogger - openTransitionFile - opening file C:\temp\transitionlog_2015-01-20_153021</t>
  </si>
  <si>
    <t>2015-1-21 11:44:45.293: TransitionLogger - flushFile - flushing file</t>
  </si>
  <si>
    <t>2015-1-21 11:44:45.294: TransitionLogger - openTransitionFile - opening file C:\temp\transitionlog_2015-01-20_153021</t>
  </si>
  <si>
    <t>2015-1-21 11:44:45.301: TransitionLogger - flushFile - flushing file</t>
  </si>
  <si>
    <t>2015-1-21 11:44:45.302: TransitionLogger - openTransitionFile - opening file C:\temp\transitionlog_2015-01-20_153021</t>
  </si>
  <si>
    <t>2015-1-21 11:45:45.307: TransitionLogger - flushFile - flushing file</t>
  </si>
  <si>
    <t>2015-1-21 11:45:45.308: TransitionLogger - openTransitionFile - opening file C:\temp\transitionlog_2015-01-20_153021</t>
  </si>
  <si>
    <t>2015-1-21 11:45:45.314: TransitionLogger - flushFile - flushing file</t>
  </si>
  <si>
    <t>2015-1-21 11:45:45.315: TransitionLogger - openTransitionFile - opening file C:\temp\transitionlog_2015-01-20_153021</t>
  </si>
  <si>
    <t>2015-1-21 11:46:45.321: TransitionLogger - flushFile - flushing file</t>
  </si>
  <si>
    <t>2015-1-21 11:46:45.322: TransitionLogger - openTransitionFile - opening file C:\temp\transitionlog_2015-01-20_153021</t>
  </si>
  <si>
    <t>2015-1-21 11:46:45.328: TransitionLogger - flushFile - flushing file</t>
  </si>
  <si>
    <t>2015-1-21 11:46:45.329: TransitionLogger - openTransitionFile - opening file C:\temp\transitionlog_2015-01-20_153021</t>
  </si>
  <si>
    <t>2015-1-21 11:47:45.336: TransitionLogger - flushFile - flushing file</t>
  </si>
  <si>
    <t>2015-1-21 11:47:45.338: TransitionLogger - openTransitionFile - opening file C:\temp\transitionlog_2015-01-20_153021</t>
  </si>
  <si>
    <t>2015-1-21 11:47:45.344: TransitionLogger - flushFile - flushing file</t>
  </si>
  <si>
    <t>2015-1-21 11:47:45.345: TransitionLogger - openTransitionFile - opening file C:\temp\transitionlog_2015-01-20_153021</t>
  </si>
  <si>
    <t>2015-1-21 11:48:45.347: TransitionLogger - flushFile - flushing file</t>
  </si>
  <si>
    <t>2015-1-21 11:48:45.349: TransitionLogger - openTransitionFile - opening file C:\temp\transitionlog_2015-01-20_153021</t>
  </si>
  <si>
    <t>2015-1-21 11:48:45.355: TransitionLogger - flushFile - flushing file</t>
  </si>
  <si>
    <t>2015-1-21 11:48:45.356: TransitionLogger - openTransitionFile - opening file C:\temp\transitionlog_2015-01-20_153021</t>
  </si>
  <si>
    <t>2015-1-21 11:49:45.361: TransitionLogger - flushFile - flushing file</t>
  </si>
  <si>
    <t>2015-1-21 11:49:45.362: TransitionLogger - openTransitionFile - opening file C:\temp\transitionlog_2015-01-20_153021</t>
  </si>
  <si>
    <t>2015-1-21 11:49:45.368: TransitionLogger - flushFile - flushing file</t>
  </si>
  <si>
    <t>2015-1-21 11:49:45.369: TransitionLogger - openTransitionFile - opening file C:\temp\transitionlog_2015-01-20_153021</t>
  </si>
  <si>
    <t>2015-1-21 11:50:45.286: TransitionLogger - flushFile - flushing file</t>
  </si>
  <si>
    <t>2015-1-21 11:50:45.287: TransitionLogger - openTransitionFile - opening file C:\temp\transitionlog_2015-01-20_153021</t>
  </si>
  <si>
    <t>2015-1-21 11:50:45.293: TransitionLogger - flushFile - flushing file</t>
  </si>
  <si>
    <t>2015-1-21 11:50:45.295: TransitionLogger - openTransitionFile - opening file C:\temp\transitionlog_2015-01-20_153021</t>
  </si>
  <si>
    <t>2015-1-21 11:51:45.187: TransitionLogger - flushFile - flushing file</t>
  </si>
  <si>
    <t>2015-1-21 11:51:45.189: TransitionLogger - openTransitionFile - opening file C:\temp\transitionlog_2015-01-20_153021</t>
  </si>
  <si>
    <t>2015-1-21 11:51:45.194: TransitionLogger - flushFile - flushing file</t>
  </si>
  <si>
    <t>2015-1-21 11:51:45.195: TransitionLogger - openTransitionFile - opening file C:\temp\transitionlog_2015-01-20_153021</t>
  </si>
  <si>
    <t>2015-1-21 11:52:45.97: TransitionLogger - flushFile - flushing file</t>
  </si>
  <si>
    <t>2015-1-21 11:52:45.99: TransitionLogger - openTransitionFile - opening file C:\temp\transitionlog_2015-01-20_153021</t>
  </si>
  <si>
    <t>2015-1-21 11:52:45.105: TransitionLogger - flushFile - flushing file</t>
  </si>
  <si>
    <t>2015-1-21 11:52:45.106: TransitionLogger - openTransitionFile - opening file C:\temp\transitionlog_2015-01-20_153021</t>
  </si>
  <si>
    <t>2015-1-21 11:53:45.416: TransitionLogger - flushFile - flushing file</t>
  </si>
  <si>
    <t>2015-1-21 11:53:45.417: TransitionLogger - openTransitionFile - opening file C:\temp\transitionlog_2015-01-20_153021</t>
  </si>
  <si>
    <t>2015-1-21 11:53:45.424: TransitionLogger - flushFile - flushing file</t>
  </si>
  <si>
    <t>2015-1-21 11:53:45.425: TransitionLogger - openTransitionFile - opening file C:\temp\transitionlog_2015-01-20_153021</t>
  </si>
  <si>
    <t>2015-1-21 11:54:45.429: TransitionLogger - flushFile - flushing file</t>
  </si>
  <si>
    <t>2015-1-21 11:54:45.431: TransitionLogger - openTransitionFile - opening file C:\temp\transitionlog_2015-01-20_153021</t>
  </si>
  <si>
    <t>2015-1-21 11:54:45.437: TransitionLogger - flushFile - flushing file</t>
  </si>
  <si>
    <t>2015-1-21 11:54:45.438: TransitionLogger - openTransitionFile - opening file C:\temp\transitionlog_2015-01-20_153021</t>
  </si>
  <si>
    <t>2015-1-21 11:55:45.441: TransitionLogger - flushFile - flushing file</t>
  </si>
  <si>
    <t>2015-1-21 11:55:45.443: TransitionLogger - openTransitionFile - opening file C:\temp\transitionlog_2015-01-20_153021</t>
  </si>
  <si>
    <t>2015-1-21 11:55:45.449: TransitionLogger - flushFile - flushing file</t>
  </si>
  <si>
    <t>2015-1-21 11:55:45.450: TransitionLogger - openTransitionFile - opening file C:\temp\transitionlog_2015-01-20_153021</t>
  </si>
  <si>
    <t>2015-1-21 11:56:45.457: TransitionLogger - flushFile - flushing file</t>
  </si>
  <si>
    <t>2015-1-21 11:56:45.459: TransitionLogger - openTransitionFile - opening file C:\temp\transitionlog_2015-01-20_153021</t>
  </si>
  <si>
    <t>2015-1-21 11:56:45.465: TransitionLogger - flushFile - flushing file</t>
  </si>
  <si>
    <t>2015-1-21 11:56:45.467: TransitionLogger - openTransitionFile - opening file C:\temp\transitionlog_2015-01-20_153021</t>
  </si>
  <si>
    <t>2015-1-21 11:57:45.470: TransitionLogger - flushFile - flushing file</t>
  </si>
  <si>
    <t>2015-1-21 11:57:45.471: TransitionLogger - openTransitionFile - opening file C:\temp\transitionlog_2015-01-20_153021</t>
  </si>
  <si>
    <t>2015-1-21 11:57:45.477: TransitionLogger - flushFile - flushing file</t>
  </si>
  <si>
    <t>2015-1-21 11:57:45.478: TransitionLogger - openTransitionFile - opening file C:\temp\transitionlog_2015-01-20_153021</t>
  </si>
  <si>
    <t>2015-1-21 11:58:45.484: TransitionLogger - flushFile - flushing file</t>
  </si>
  <si>
    <t>2015-1-21 11:58:45.486: TransitionLogger - openTransitionFile - opening file C:\temp\transitionlog_2015-01-20_153021</t>
  </si>
  <si>
    <t>2015-1-21 11:58:45.492: TransitionLogger - flushFile - flushing file</t>
  </si>
  <si>
    <t>2015-1-21 11:58:45.493: TransitionLogger - openTransitionFile - opening file C:\temp\transitionlog_2015-01-20_153021</t>
  </si>
  <si>
    <t>2015-1-21 11:59:45.426: TransitionLogger - flushFile - flushing file</t>
  </si>
  <si>
    <t>2015-1-21 11:59:45.427: TransitionLogger - openTransitionFile - opening file C:\temp\transitionlog_2015-01-20_153021</t>
  </si>
  <si>
    <t>2015-1-21 11:59:45.434: TransitionLogger - flushFile - flushing file</t>
  </si>
  <si>
    <t>2015-1-21 11:59:45.435: TransitionLogger - openTransitionFile - opening file C:\temp\transitionlog_2015-01-20_153021</t>
  </si>
  <si>
    <t>2015-1-21 12:0:45.329: TransitionLogger - flushFile - flushing file</t>
  </si>
  <si>
    <t>2015-1-21 12:0:45.331: TransitionLogger - openTransitionFile - opening file C:\temp\transitionlog_2015-01-20_153021</t>
  </si>
  <si>
    <t>2015-1-21 12:0:45.338: TransitionLogger - flushFile - flushing file</t>
  </si>
  <si>
    <t>2015-1-21 12:0:45.339: TransitionLogger - openTransitionFile - opening file C:\temp\transitionlog_2015-01-20_153021</t>
  </si>
  <si>
    <t>2015-1-21 12:1:45.233: TransitionLogger - flushFile - flushing file</t>
  </si>
  <si>
    <t>2015-1-21 12:1:45.235: TransitionLogger - openTransitionFile - opening file C:\temp\transitionlog_2015-01-20_153021</t>
  </si>
  <si>
    <t>2015-1-21 12:1:45.242: TransitionLogger - flushFile - flushing file</t>
  </si>
  <si>
    <t>2015-1-21 12:1:45.243: TransitionLogger - openTransitionFile - opening file C:\temp\transitionlog_2015-01-20_153021</t>
  </si>
  <si>
    <t>2015-1-21 12:2:45.260: TransitionLogger - flushFile - flushing file</t>
  </si>
  <si>
    <t>2015-1-21 12:2:45.261: TransitionLogger - openTransitionFile - opening file C:\temp\transitionlog_2015-01-20_153021</t>
  </si>
  <si>
    <t>2015-1-21 12:2:45.264: TransitionLogger - flushFile - flushing file</t>
  </si>
  <si>
    <t>2015-1-21 12:2:45.264: TransitionLogger - openTransitionFile - opening file C:\temp\transitionlog_2015-01-20_153021</t>
  </si>
  <si>
    <t>2015-1-21 12:3:45.38: TransitionLogger - flushFile - flushing file</t>
  </si>
  <si>
    <t>2015-1-21 12:3:45.40: TransitionLogger - openTransitionFile - opening file C:\temp\transitionlog_2015-01-20_153021</t>
  </si>
  <si>
    <t>2015-1-21 12:3:45.45: TransitionLogger - flushFile - flushing file</t>
  </si>
  <si>
    <t>2015-1-21 12:3:45.46: TransitionLogger - openTransitionFile - opening file C:\temp\transitionlog_2015-01-20_153021</t>
  </si>
  <si>
    <t>2015-1-21 12:4:45.519: TransitionLogger - flushFile - flushing file</t>
  </si>
  <si>
    <t>2015-1-21 12:4:45.520: TransitionLogger - openTransitionFile - opening file C:\temp\transitionlog_2015-01-20_153021</t>
  </si>
  <si>
    <t>2015-1-21 12:4:45.538: TransitionLogger - flushFile - flushing file</t>
  </si>
  <si>
    <t>2015-1-21 12:4:45.539: TransitionLogger - openTransitionFile - opening file C:\temp\transitionlog_2015-01-20_153021</t>
  </si>
  <si>
    <t>2015-1-21 12:5:45.469: TransitionLogger - flushFile - flushing file</t>
  </si>
  <si>
    <t>2015-1-21 12:5:45.471: TransitionLogger - openTransitionFile - opening file C:\temp\transitionlog_2015-01-20_153021</t>
  </si>
  <si>
    <t>2015-1-21 12:5:45.476: TransitionLogger - flushFile - flushing file</t>
  </si>
  <si>
    <t>2015-1-21 12:5:45.477: TransitionLogger - openTransitionFile - opening file C:\temp\transitionlog_2015-01-20_153021</t>
  </si>
  <si>
    <t>2015-1-21 12:6:45.423: TransitionLogger - flushFile - flushing file</t>
  </si>
  <si>
    <t>2015-1-21 12:6:45.425: TransitionLogger - openTransitionFile - opening file C:\temp\transitionlog_2015-01-20_153021</t>
  </si>
  <si>
    <t>2015-1-21 12:6:45.431: TransitionLogger - flushFile - flushing file</t>
  </si>
  <si>
    <t>2015-1-21 12:6:45.432: TransitionLogger - openTransitionFile - opening file C:\temp\transitionlog_2015-01-20_153021</t>
  </si>
  <si>
    <t>2015-1-21 12:7:45.374: TransitionLogger - flushFile - flushing file</t>
  </si>
  <si>
    <t>2015-1-21 12:7:45.375: TransitionLogger - openTransitionFile - opening file C:\temp\transitionlog_2015-01-20_153021</t>
  </si>
  <si>
    <t>2015-1-21 12:7:45.382: TransitionLogger - flushFile - flushing file</t>
  </si>
  <si>
    <t>2015-1-21 12:7:45.383: TransitionLogger - openTransitionFile - opening file C:\temp\transitionlog_2015-01-20_153021</t>
  </si>
  <si>
    <t>2015-1-21 12:8:45.332: TransitionLogger - flushFile - flushing file</t>
  </si>
  <si>
    <t>2015-1-21 12:8:45.334: TransitionLogger - openTransitionFile - opening file C:\temp\transitionlog_2015-01-20_153021</t>
  </si>
  <si>
    <t>2015-1-21 12:8:45.341: TransitionLogger - flushFile - flushing file</t>
  </si>
  <si>
    <t>2015-1-21 12:8:45.342: TransitionLogger - openTransitionFile - opening file C:\temp\transitionlog_2015-01-20_153021</t>
  </si>
  <si>
    <t>2015-1-21 12:9:45.275: TransitionLogger - flushFile - flushing file</t>
  </si>
  <si>
    <t>2015-1-21 12:9:45.277: TransitionLogger - openTransitionFile - opening file C:\temp\transitionlog_2015-01-20_153021</t>
  </si>
  <si>
    <t>2015-1-21 12:9:45.283: TransitionLogger - flushFile - flushing file</t>
  </si>
  <si>
    <t>2015-1-21 12:9:45.284: TransitionLogger - openTransitionFile - opening file C:\temp\transitionlog_2015-01-20_153021</t>
  </si>
  <si>
    <t>2015-1-21 12:10:45.233: TransitionLogger - flushFile - flushing file</t>
  </si>
  <si>
    <t>2015-1-21 12:10:45.234: TransitionLogger - openTransitionFile - opening file C:\temp\transitionlog_2015-01-20_153021</t>
  </si>
  <si>
    <t>2015-1-21 12:10:45.241: TransitionLogger - flushFile - flushing file</t>
  </si>
  <si>
    <t>2015-1-21 12:10:45.242: TransitionLogger - openTransitionFile - opening file C:\temp\transitionlog_2015-01-20_153021</t>
  </si>
  <si>
    <t>2015-1-21 12:11:45.185: TransitionLogger - flushFile - flushing file</t>
  </si>
  <si>
    <t>2015-1-21 12:11:45.187: TransitionLogger - openTransitionFile - opening file C:\temp\transitionlog_2015-01-20_153021</t>
  </si>
  <si>
    <t>2015-1-21 12:11:45.193: TransitionLogger - flushFile - flushing file</t>
  </si>
  <si>
    <t>2015-1-21 12:11:45.194: TransitionLogger - openTransitionFile - opening file C:\temp\transitionlog_2015-01-20_153021</t>
  </si>
  <si>
    <t>2015-1-21 12:12:45.180: TransitionLogger - flushFile - flushing file</t>
  </si>
  <si>
    <t>2015-1-21 12:12:45.182: TransitionLogger - openTransitionFile - opening file C:\temp\transitionlog_2015-01-20_153021</t>
  </si>
  <si>
    <t>2015-1-21 12:12:45.190: TransitionLogger - flushFile - flushing file</t>
  </si>
  <si>
    <t>2015-1-21 12:12:45.191: TransitionLogger - openTransitionFile - opening file C:\temp\transitionlog_2015-01-20_153021</t>
  </si>
  <si>
    <t>2015-1-21 12:13:45.180: TransitionLogger - flushFile - flushing file</t>
  </si>
  <si>
    <t>2015-1-21 12:13:45.180: TransitionLogger - openTransitionFile - opening file C:\temp\transitionlog_2015-01-20_153021</t>
  </si>
  <si>
    <t>2015-1-21 12:13:45.182: TransitionLogger - flushFile - flushing file</t>
  </si>
  <si>
    <t>2015-1-21 12:13:45.182: TransitionLogger - openTransitionFile - opening file C:\temp\transitionlog_2015-01-20_153021</t>
  </si>
  <si>
    <t>2015-1-21 12:14:45.701: TransitionLogger - flushFile - flushing file</t>
  </si>
  <si>
    <t>2015-1-21 12:14:45.703: TransitionLogger - openTransitionFile - opening file C:\temp\transitionlog_2015-01-20_153021</t>
  </si>
  <si>
    <t>2015-1-21 12:14:45.708: TransitionLogger - flushFile - flushing file</t>
  </si>
  <si>
    <t>2015-1-21 12:14:45.709: TransitionLogger - openTransitionFile - opening file C:\temp\transitionlog_2015-01-20_153021</t>
  </si>
  <si>
    <t>2015-1-21 12:15:45.714: TransitionLogger - flushFile - flushing file</t>
  </si>
  <si>
    <t>2015-1-21 12:15:45.715: TransitionLogger - openTransitionFile - opening file C:\temp\transitionlog_2015-01-20_153021</t>
  </si>
  <si>
    <t>2015-1-21 12:15:45.721: TransitionLogger - flushFile - flushing file</t>
  </si>
  <si>
    <t>2015-1-21 12:15:45.722: TransitionLogger - openTransitionFile - opening file C:\temp\transitionlog_2015-01-20_153021</t>
  </si>
  <si>
    <t>2015-1-21 12:16:45.353: TransitionLogger - flushFile - flushing file</t>
  </si>
  <si>
    <t>2015-1-21 12:16:45.355: TransitionLogger - openTransitionFile - opening file C:\temp\transitionlog_2015-01-20_153021</t>
  </si>
  <si>
    <t>2015-1-21 12:16:45.361: TransitionLogger - flushFile - flushing file</t>
  </si>
  <si>
    <t>2015-1-21 12:16:45.362: TransitionLogger - openTransitionFile - opening file C:\temp\transitionlog_2015-01-20_153021</t>
  </si>
  <si>
    <t>2015-1-21 12:17:45.697: TransitionLogger - flushFile - flushing file</t>
  </si>
  <si>
    <t>2015-1-21 12:17:45.699: TransitionLogger - openTransitionFile - opening file C:\temp\transitionlog_2015-01-20_153021</t>
  </si>
  <si>
    <t>2015-1-21 12:17:45.705: TransitionLogger - flushFile - flushing file</t>
  </si>
  <si>
    <t>2015-1-21 12:17:45.707: TransitionLogger - openTransitionFile - opening file C:\temp\transitionlog_2015-01-20_153021</t>
  </si>
  <si>
    <t>2015-1-21 12:18:45.605: TransitionLogger - flushFile - flushing file</t>
  </si>
  <si>
    <t>2015-1-21 12:18:45.606: TransitionLogger - openTransitionFile - opening file C:\temp\transitionlog_2015-01-20_153021</t>
  </si>
  <si>
    <t>2015-1-21 12:18:45.614: TransitionLogger - flushFile - flushing file</t>
  </si>
  <si>
    <t>2015-1-21 12:18:45.615: TransitionLogger - openTransitionFile - opening file C:\temp\transitionlog_2015-01-20_153021</t>
  </si>
  <si>
    <t>2015-1-21 12:19:45.504: TransitionLogger - flushFile - flushing file</t>
  </si>
  <si>
    <t>2015-1-21 12:19:45.506: TransitionLogger - openTransitionFile - opening file C:\temp\transitionlog_2015-01-20_153021</t>
  </si>
  <si>
    <t>2015-1-21 12:19:45.512: TransitionLogger - flushFile - flushing file</t>
  </si>
  <si>
    <t>2015-1-21 12:19:45.513: TransitionLogger - openTransitionFile - opening file C:\temp\transitionlog_2015-01-20_153021</t>
  </si>
  <si>
    <t>2015-1-21 12:20:45.414: TransitionLogger - flushFile - flushing file</t>
  </si>
  <si>
    <t>2015-1-21 12:20:45.415: TransitionLogger - openTransitionFile - opening file C:\temp\transitionlog_2015-01-20_153021</t>
  </si>
  <si>
    <t>2015-1-21 12:20:45.422: TransitionLogger - flushFile - flushing file</t>
  </si>
  <si>
    <t>2015-1-21 12:20:45.423: TransitionLogger - openTransitionFile - opening file C:\temp\transitionlog_2015-01-20_153021</t>
  </si>
  <si>
    <t>2015-1-21 12:21:45.314: TransitionLogger - flushFile - flushing file</t>
  </si>
  <si>
    <t>2015-1-21 12:21:45.316: TransitionLogger - openTransitionFile - opening file C:\temp\transitionlog_2015-01-20_153021</t>
  </si>
  <si>
    <t>2015-1-21 12:21:45.323: TransitionLogger - flushFile - flushing file</t>
  </si>
  <si>
    <t>2015-1-21 12:21:45.324: TransitionLogger - openTransitionFile - opening file C:\temp\transitionlog_2015-01-20_153021</t>
  </si>
  <si>
    <t>2015-1-21 12:22:45.219: TransitionLogger - flushFile - flushing file</t>
  </si>
  <si>
    <t>2015-1-21 12:22:45.219: TransitionLogger - openTransitionFile - opening file C:\temp\transitionlog_2015-01-20_153021</t>
  </si>
  <si>
    <t>2015-1-21 12:22:45.221: TransitionLogger - flushFile - flushing file</t>
  </si>
  <si>
    <t>2015-1-21 12:22:45.221: TransitionLogger - openTransitionFile - opening file C:\temp\transitionlog_2015-01-20_153021</t>
  </si>
  <si>
    <t>2015-1-21 12:23:45.124: TransitionLogger - flushFile - flushing file</t>
  </si>
  <si>
    <t>2015-1-21 12:23:45.125: TransitionLogger - openTransitionFile - opening file C:\temp\transitionlog_2015-01-20_153021</t>
  </si>
  <si>
    <t>2015-1-21 12:23:45.131: TransitionLogger - flushFile - flushing file</t>
  </si>
  <si>
    <t>2015-1-21 12:23:45.132: TransitionLogger - openTransitionFile - opening file C:\temp\transitionlog_2015-01-20_153021</t>
  </si>
  <si>
    <t>2015-1-21 12:24:45.28: TransitionLogger - flushFile - flushing file</t>
  </si>
  <si>
    <t>2015-1-21 12:24:45.29: TransitionLogger - openTransitionFile - opening file C:\temp\transitionlog_2015-01-20_153021</t>
  </si>
  <si>
    <t>2015-1-21 12:24:45.35: TransitionLogger - flushFile - flushing file</t>
  </si>
  <si>
    <t>2015-1-21 12:24:45.36: TransitionLogger - openTransitionFile - opening file C:\temp\transitionlog_2015-01-20_153021</t>
  </si>
  <si>
    <t>2015-1-21 12:25:45.851: TransitionLogger - flushFile - flushing file</t>
  </si>
  <si>
    <t>2015-1-21 12:25:45.852: TransitionLogger - openTransitionFile - opening file C:\temp\transitionlog_2015-01-20_153021</t>
  </si>
  <si>
    <t>2015-1-21 12:25:45.859: TransitionLogger - flushFile - flushing file</t>
  </si>
  <si>
    <t>2015-1-21 12:25:45.860: TransitionLogger - openTransitionFile - opening file C:\temp\transitionlog_2015-01-20_153021</t>
  </si>
  <si>
    <t>2015-1-21 12:26:45.840: TransitionLogger - flushFile - flushing file</t>
  </si>
  <si>
    <t>2015-1-21 12:26:45.841: TransitionLogger - openTransitionFile - opening file C:\temp\transitionlog_2015-01-20_153021</t>
  </si>
  <si>
    <t>2015-1-21 12:26:45.847: TransitionLogger - flushFile - flushing file</t>
  </si>
  <si>
    <t>2015-1-21 12:26:45.848: TransitionLogger - openTransitionFile - opening file C:\temp\transitionlog_2015-01-20_153021</t>
  </si>
  <si>
    <t>2015-1-21 12:27:45.738: TransitionLogger - flushFile - flushing file</t>
  </si>
  <si>
    <t>2015-1-21 12:27:45.740: TransitionLogger - openTransitionFile - opening file C:\temp\transitionlog_2015-01-20_153021</t>
  </si>
  <si>
    <t>2015-1-21 12:27:45.747: TransitionLogger - flushFile - flushing file</t>
  </si>
  <si>
    <t>2015-1-21 12:27:45.748: TransitionLogger - openTransitionFile - opening file C:\temp\transitionlog_2015-01-20_153021</t>
  </si>
  <si>
    <t>2015-1-21 12:28:45.648: TransitionLogger - flushFile - flushing file</t>
  </si>
  <si>
    <t>2015-1-21 12:28:45.650: TransitionLogger - openTransitionFile - opening file C:\temp\transitionlog_2015-01-20_153021</t>
  </si>
  <si>
    <t>2015-1-21 12:28:45.658: TransitionLogger - flushFile - flushing file</t>
  </si>
  <si>
    <t>2015-1-21 12:28:45.659: TransitionLogger - openTransitionFile - opening file C:\temp\transitionlog_2015-01-20_153021</t>
  </si>
  <si>
    <t>2015-1-21 12:29:45.546: TransitionLogger - flushFile - flushing file</t>
  </si>
  <si>
    <t>2015-1-21 12:29:45.547: TransitionLogger - openTransitionFile - opening file C:\temp\transitionlog_2015-01-20_153021</t>
  </si>
  <si>
    <t>2015-1-21 12:29:45.553: TransitionLogger - flushFile - flushing file</t>
  </si>
  <si>
    <t>2015-1-21 12:29:45.554: TransitionLogger - openTransitionFile - opening file C:\temp\transitionlog_2015-01-20_153021</t>
  </si>
  <si>
    <t>2015-1-21 12:30:45.450: TransitionLogger - flushFile - flushing file</t>
  </si>
  <si>
    <t>2015-1-21 12:30:45.452: TransitionLogger - openTransitionFile - opening file C:\temp\transitionlog_2015-01-20_153021</t>
  </si>
  <si>
    <t>2015-1-21 12:30:45.459: TransitionLogger - flushFile - flushing file</t>
  </si>
  <si>
    <t>2015-1-21 12:30:45.460: TransitionLogger - openTransitionFile - opening file C:\temp\transitionlog_2015-01-20_153021</t>
  </si>
  <si>
    <t>2015-1-21 12:31:45.356: TransitionLogger - flushFile - flushing file</t>
  </si>
  <si>
    <t>2015-1-21 12:31:45.358: TransitionLogger - openTransitionFile - opening file C:\temp\transitionlog_2015-01-20_153021</t>
  </si>
  <si>
    <t>2015-1-21 12:31:45.364: TransitionLogger - flushFile - flushing file</t>
  </si>
  <si>
    <t>2015-1-21 12:31:45.365: TransitionLogger - openTransitionFile - opening file C:\temp\transitionlog_2015-01-20_153021</t>
  </si>
  <si>
    <t>2015-1-21 12:32:45.258: TransitionLogger - flushFile - flushing file</t>
  </si>
  <si>
    <t>2015-1-21 12:32:45.260: TransitionLogger - openTransitionFile - opening file C:\temp\transitionlog_2015-01-20_153021</t>
  </si>
  <si>
    <t>2015-1-21 12:32:45.266: TransitionLogger - flushFile - flushing file</t>
  </si>
  <si>
    <t>2015-1-21 12:32:45.267: TransitionLogger - openTransitionFile - opening file C:\temp\transitionlog_2015-01-20_153021</t>
  </si>
  <si>
    <t>2015-1-21 12:33:45.170: TransitionLogger - flushFile - flushing file</t>
  </si>
  <si>
    <t>2015-1-21 12:33:45.172: TransitionLogger - openTransitionFile - opening file C:\temp\transitionlog_2015-01-20_153021</t>
  </si>
  <si>
    <t>2015-1-21 12:33:45.177: TransitionLogger - flushFile - flushing file</t>
  </si>
  <si>
    <t>2015-1-21 12:33:45.179: TransitionLogger - openTransitionFile - opening file C:\temp\transitionlog_2015-01-20_153021</t>
  </si>
  <si>
    <t>2015-1-21 12:34:45.70: TransitionLogger - flushFile - flushing file</t>
  </si>
  <si>
    <t>2015-1-21 12:34:45.72: TransitionLogger - openTransitionFile - opening file C:\temp\transitionlog_2015-01-20_153021</t>
  </si>
  <si>
    <t>2015-1-21 12:34:45.78: TransitionLogger - flushFile - flushing file</t>
  </si>
  <si>
    <t>2015-1-21 12:34:45.79: TransitionLogger - openTransitionFile - opening file C:\temp\transitionlog_2015-01-20_153021</t>
  </si>
  <si>
    <t>2015-1-21 12:35:45.974: TransitionLogger - flushFile - flushing file</t>
  </si>
  <si>
    <t>2015-1-21 12:35:45.975: TransitionLogger - openTransitionFile - opening file C:\temp\transitionlog_2015-01-20_153021</t>
  </si>
  <si>
    <t>2015-1-21 12:35:45.981: TransitionLogger - flushFile - flushing file</t>
  </si>
  <si>
    <t>2015-1-21 12:35:45.984: TransitionLogger - openTransitionFile - opening file C:\temp\transitionlog_2015-01-20_153021</t>
  </si>
  <si>
    <t>2015-1-21 12:36:45.882: TransitionLogger - flushFile - flushing file</t>
  </si>
  <si>
    <t>2015-1-21 12:36:45.883: TransitionLogger - openTransitionFile - opening file C:\temp\transitionlog_2015-01-20_153021</t>
  </si>
  <si>
    <t>2015-1-21 12:36:45.891: TransitionLogger - flushFile - flushing file</t>
  </si>
  <si>
    <t>2015-1-21 12:36:45.892: TransitionLogger - openTransitionFile - opening file C:\temp\transitionlog_2015-01-20_153021</t>
  </si>
  <si>
    <t>2015-1-21 12:37:45.782: TransitionLogger - flushFile - flushing file</t>
  </si>
  <si>
    <t>2015-1-21 12:37:45.782: TransitionLogger - openTransitionFile - opening file C:\temp\transitionlog_2015-01-20_153021</t>
  </si>
  <si>
    <t>2015-1-21 12:37:45.784: TransitionLogger - flushFile - flushing file</t>
  </si>
  <si>
    <t>2015-1-21 12:37:45.784: TransitionLogger - openTransitionFile - opening file C:\temp\transitionlog_2015-01-20_153021</t>
  </si>
  <si>
    <t>2015-1-21 12:38:45.686: TransitionLogger - flushFile - flushing file</t>
  </si>
  <si>
    <t>2015-1-21 12:38:45.688: TransitionLogger - openTransitionFile - opening file C:\temp\transitionlog_2015-01-20_153021</t>
  </si>
  <si>
    <t>2015-1-21 12:38:45.694: TransitionLogger - flushFile - flushing file</t>
  </si>
  <si>
    <t>2015-1-21 12:38:45.696: TransitionLogger - openTransitionFile - opening file C:\temp\transitionlog_2015-01-20_153021</t>
  </si>
  <si>
    <t>2015-1-21 12:39:45.590: TransitionLogger - flushFile - flushing file</t>
  </si>
  <si>
    <t>2015-1-21 12:39:45.591: TransitionLogger - openTransitionFile - opening file C:\temp\transitionlog_2015-01-20_153021</t>
  </si>
  <si>
    <t>2015-1-21 12:39:45.597: TransitionLogger - flushFile - flushing file</t>
  </si>
  <si>
    <t>2015-1-21 12:39:45.598: TransitionLogger - openTransitionFile - opening file C:\temp\transitionlog_2015-01-20_153021</t>
  </si>
  <si>
    <t>2015-1-21 12:40:45.489: TransitionLogger - flushFile - flushing file</t>
  </si>
  <si>
    <t>2015-1-21 12:40:45.489: TransitionLogger - openTransitionFile - opening file C:\temp\transitionlog_2015-01-20_153021</t>
  </si>
  <si>
    <t>2015-1-21 12:40:45.491: TransitionLogger - flushFile - flushing file</t>
  </si>
  <si>
    <t>2015-1-21 12:40:45.491: TransitionLogger - openTransitionFile - opening file C:\temp\transitionlog_2015-01-20_153021</t>
  </si>
  <si>
    <t>2015-1-21 12:41:45.403: TransitionLogger - flushFile - flushing file</t>
  </si>
  <si>
    <t>2015-1-21 12:41:45.405: TransitionLogger - openTransitionFile - opening file C:\temp\transitionlog_2015-01-20_153021</t>
  </si>
  <si>
    <t>2015-1-21 12:41:45.412: TransitionLogger - flushFile - flushing file</t>
  </si>
  <si>
    <t>2015-1-21 12:41:45.413: TransitionLogger - openTransitionFile - opening file C:\temp\transitionlog_2015-01-20_153021</t>
  </si>
  <si>
    <t>2015-1-21 12:42:45.304: TransitionLogger - flushFile - flushing file</t>
  </si>
  <si>
    <t>2015-1-21 12:42:45.305: TransitionLogger - openTransitionFile - opening file C:\temp\transitionlog_2015-01-20_153021</t>
  </si>
  <si>
    <t>2015-1-21 12:42:45.311: TransitionLogger - flushFile - flushing file</t>
  </si>
  <si>
    <t>2015-1-21 12:42:45.312: TransitionLogger - openTransitionFile - opening file C:\temp\transitionlog_2015-01-20_153021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</si>
</sst>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0" formatCode="0.000E+00"/>
    <numFmt numFmtId="171" formatCode="_-[$$-409]* #,##0.00_ ;_-[$$-409]* \-#,##0.00\ ;_-[$$-409]* &quot;-&quot;??_ ;_-@_ "/>
    <numFmt numFmtId="172" formatCode="_-[$$-409]* #,##0.0000_ ;_-[$$-409]* \-#,##0.0000\ ;_-[$$-409]* &quot;-&quot;??_ ;_-@_ "/>
    <numFmt numFmtId="173" formatCode="0.0"/>
    <numFmt numFmtId="174" formatCode="_-* #,##0.0_-;\-* #,##0.0_-;_-* &quot;-&quot;??_-;_-@_-"/>
    <numFmt numFmtId="176" formatCode="_-[$$-409]* #,##0_ ;_-[$$-409]* \-#,##0\ ;_-[$$-409]* &quot;-&quot;??_ ;_-@_ 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640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5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0" fillId="6" borderId="7" xfId="0" quotePrefix="1" applyFill="1" applyBorder="1"/>
    <xf numFmtId="0" fontId="0" fillId="6" borderId="8" xfId="0" applyFill="1" applyBorder="1"/>
    <xf numFmtId="0" fontId="0" fillId="6" borderId="9" xfId="0" applyFill="1" applyBorder="1"/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8" fillId="7" borderId="5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6" fillId="4" borderId="3" xfId="0" applyFont="1" applyFill="1" applyBorder="1" applyAlignment="1">
      <alignment wrapText="1"/>
    </xf>
    <xf numFmtId="0" fontId="6" fillId="4" borderId="14" xfId="0" applyFont="1" applyFill="1" applyBorder="1" applyAlignment="1">
      <alignment horizontal="center" wrapText="1"/>
    </xf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3" xfId="0" applyBorder="1" applyAlignment="1"/>
    <xf numFmtId="0" fontId="0" fillId="6" borderId="7" xfId="0" applyFill="1" applyBorder="1"/>
    <xf numFmtId="0" fontId="0" fillId="6" borderId="10" xfId="0" applyFill="1" applyBorder="1"/>
    <xf numFmtId="0" fontId="10" fillId="0" borderId="0" xfId="0" applyFont="1"/>
    <xf numFmtId="164" fontId="3" fillId="3" borderId="1" xfId="1" applyFont="1" applyFill="1" applyBorder="1"/>
    <xf numFmtId="165" fontId="0" fillId="0" borderId="0" xfId="0" applyNumberFormat="1"/>
    <xf numFmtId="0" fontId="3" fillId="3" borderId="2" xfId="0" applyFont="1" applyFill="1" applyBorder="1" applyAlignment="1"/>
    <xf numFmtId="0" fontId="3" fillId="3" borderId="13" xfId="0" applyFont="1" applyFill="1" applyBorder="1" applyAlignment="1"/>
    <xf numFmtId="166" fontId="8" fillId="7" borderId="0" xfId="0" applyNumberFormat="1" applyFont="1" applyFill="1" applyBorder="1" applyAlignment="1"/>
    <xf numFmtId="0" fontId="2" fillId="2" borderId="15" xfId="0" applyFont="1" applyFill="1" applyBorder="1" applyAlignment="1"/>
    <xf numFmtId="0" fontId="12" fillId="0" borderId="0" xfId="0" applyFont="1"/>
    <xf numFmtId="167" fontId="3" fillId="3" borderId="1" xfId="0" applyNumberFormat="1" applyFont="1" applyFill="1" applyBorder="1"/>
    <xf numFmtId="168" fontId="3" fillId="3" borderId="1" xfId="2" applyNumberFormat="1" applyFont="1" applyFill="1" applyBorder="1"/>
    <xf numFmtId="0" fontId="2" fillId="2" borderId="4" xfId="0" applyFont="1" applyFill="1" applyBorder="1" applyAlignment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wrapText="1"/>
    </xf>
    <xf numFmtId="0" fontId="15" fillId="0" borderId="0" xfId="0" applyFont="1"/>
    <xf numFmtId="0" fontId="15" fillId="0" borderId="0" xfId="0" applyFont="1" applyAlignment="1">
      <alignment wrapText="1"/>
    </xf>
    <xf numFmtId="167" fontId="0" fillId="0" borderId="0" xfId="0" applyNumberFormat="1"/>
    <xf numFmtId="170" fontId="0" fillId="0" borderId="0" xfId="0" applyNumberFormat="1"/>
    <xf numFmtId="172" fontId="0" fillId="0" borderId="0" xfId="0" applyNumberFormat="1"/>
    <xf numFmtId="172" fontId="14" fillId="0" borderId="0" xfId="0" applyNumberFormat="1" applyFont="1"/>
    <xf numFmtId="0" fontId="12" fillId="0" borderId="0" xfId="0" applyFont="1" applyAlignment="1">
      <alignment wrapText="1"/>
    </xf>
    <xf numFmtId="1" fontId="16" fillId="0" borderId="0" xfId="0" applyNumberFormat="1" applyFont="1" applyAlignment="1">
      <alignment wrapText="1"/>
    </xf>
    <xf numFmtId="0" fontId="2" fillId="2" borderId="1" xfId="0" applyFont="1" applyFill="1" applyBorder="1" applyAlignment="1"/>
    <xf numFmtId="171" fontId="0" fillId="0" borderId="0" xfId="0" applyNumberFormat="1"/>
    <xf numFmtId="173" fontId="0" fillId="0" borderId="0" xfId="0" applyNumberFormat="1"/>
    <xf numFmtId="0" fontId="2" fillId="2" borderId="4" xfId="0" applyFont="1" applyFill="1" applyBorder="1" applyAlignment="1">
      <alignment wrapText="1"/>
    </xf>
    <xf numFmtId="174" fontId="0" fillId="0" borderId="0" xfId="2" applyNumberFormat="1" applyFont="1"/>
    <xf numFmtId="0" fontId="3" fillId="11" borderId="1" xfId="0" applyFont="1" applyFill="1" applyBorder="1"/>
    <xf numFmtId="10" fontId="3" fillId="3" borderId="1" xfId="3" applyNumberFormat="1" applyFont="1" applyFill="1" applyBorder="1"/>
    <xf numFmtId="165" fontId="3" fillId="3" borderId="1" xfId="0" applyNumberFormat="1" applyFont="1" applyFill="1" applyBorder="1"/>
    <xf numFmtId="165" fontId="3" fillId="3" borderId="1" xfId="2" applyNumberFormat="1" applyFont="1" applyFill="1" applyBorder="1"/>
    <xf numFmtId="10" fontId="2" fillId="2" borderId="15" xfId="0" applyNumberFormat="1" applyFont="1" applyFill="1" applyBorder="1" applyAlignment="1"/>
    <xf numFmtId="10" fontId="0" fillId="0" borderId="0" xfId="0" applyNumberFormat="1"/>
    <xf numFmtId="169" fontId="0" fillId="0" borderId="0" xfId="0" applyNumberFormat="1"/>
    <xf numFmtId="43" fontId="0" fillId="0" borderId="0" xfId="2" applyNumberFormat="1" applyFont="1"/>
    <xf numFmtId="43" fontId="2" fillId="2" borderId="4" xfId="2" applyNumberFormat="1" applyFont="1" applyFill="1" applyBorder="1" applyAlignment="1"/>
    <xf numFmtId="0" fontId="5" fillId="5" borderId="2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0" borderId="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17" fillId="0" borderId="0" xfId="0" applyFont="1"/>
    <xf numFmtId="0" fontId="6" fillId="4" borderId="2" xfId="0" applyFont="1" applyFill="1" applyBorder="1" applyAlignment="1">
      <alignment wrapText="1"/>
    </xf>
    <xf numFmtId="0" fontId="7" fillId="2" borderId="0" xfId="0" applyFont="1" applyFill="1" applyBorder="1" applyAlignment="1"/>
    <xf numFmtId="0" fontId="2" fillId="2" borderId="1" xfId="0" applyFont="1" applyFill="1" applyBorder="1" applyAlignment="1"/>
    <xf numFmtId="0" fontId="3" fillId="3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2" fillId="2" borderId="6" xfId="0" applyFont="1" applyFill="1" applyBorder="1" applyAlignment="1"/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7" fillId="2" borderId="4" xfId="0" applyFont="1" applyFill="1" applyBorder="1" applyAlignment="1"/>
    <xf numFmtId="0" fontId="7" fillId="2" borderId="0" xfId="0" applyFont="1" applyFill="1" applyBorder="1" applyAlignment="1"/>
    <xf numFmtId="0" fontId="2" fillId="6" borderId="11" xfId="0" applyFont="1" applyFill="1" applyBorder="1" applyAlignment="1"/>
    <xf numFmtId="0" fontId="2" fillId="6" borderId="12" xfId="0" applyFont="1" applyFill="1" applyBorder="1" applyAlignment="1"/>
    <xf numFmtId="0" fontId="11" fillId="9" borderId="0" xfId="0" applyFont="1" applyFill="1" applyAlignment="1">
      <alignment horizontal="center"/>
    </xf>
    <xf numFmtId="0" fontId="6" fillId="4" borderId="3" xfId="0" applyFont="1" applyFill="1" applyBorder="1" applyAlignment="1">
      <alignment horizontal="center" wrapText="1"/>
    </xf>
    <xf numFmtId="0" fontId="6" fillId="4" borderId="13" xfId="0" applyFont="1" applyFill="1" applyBorder="1" applyAlignment="1">
      <alignment horizontal="center" wrapText="1"/>
    </xf>
    <xf numFmtId="0" fontId="2" fillId="6" borderId="10" xfId="0" applyFont="1" applyFill="1" applyBorder="1" applyAlignment="1"/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12" borderId="0" xfId="0" applyFill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0" fillId="0" borderId="11" xfId="0" applyBorder="1" applyAlignment="1"/>
    <xf numFmtId="0" fontId="18" fillId="0" borderId="0" xfId="0" applyFont="1"/>
    <xf numFmtId="0" fontId="20" fillId="6" borderId="8" xfId="0" applyFont="1" applyFill="1" applyBorder="1" applyAlignment="1">
      <alignment horizontal="center"/>
    </xf>
    <xf numFmtId="2" fontId="19" fillId="10" borderId="0" xfId="0" applyNumberFormat="1" applyFont="1" applyFill="1"/>
    <xf numFmtId="2" fontId="8" fillId="7" borderId="0" xfId="0" applyNumberFormat="1" applyFont="1" applyFill="1" applyBorder="1" applyAlignment="1"/>
    <xf numFmtId="173" fontId="8" fillId="7" borderId="0" xfId="0" applyNumberFormat="1" applyFont="1" applyFill="1" applyBorder="1" applyAlignment="1"/>
    <xf numFmtId="1" fontId="8" fillId="7" borderId="0" xfId="0" applyNumberFormat="1" applyFont="1" applyFill="1" applyBorder="1" applyAlignment="1"/>
    <xf numFmtId="176" fontId="8" fillId="7" borderId="0" xfId="0" applyNumberFormat="1" applyFont="1" applyFill="1" applyBorder="1" applyAlignment="1"/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5"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0</xdr:col>
          <xdr:colOff>800100</xdr:colOff>
          <xdr:row>1</xdr:row>
          <xdr:rowOff>114300</xdr:rowOff>
        </xdr:to>
        <xdr:sp macro="" textlink="">
          <xdr:nvSpPr>
            <xdr:cNvPr id="14337" name="cmbConnec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0</xdr:row>
          <xdr:rowOff>0</xdr:rowOff>
        </xdr:from>
        <xdr:to>
          <xdr:col>2</xdr:col>
          <xdr:colOff>219075</xdr:colOff>
          <xdr:row>1</xdr:row>
          <xdr:rowOff>114300</xdr:rowOff>
        </xdr:to>
        <xdr:sp macro="" textlink="">
          <xdr:nvSpPr>
            <xdr:cNvPr id="14338" name="cmbSubscribeAccountInf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0</xdr:row>
          <xdr:rowOff>0</xdr:rowOff>
        </xdr:from>
        <xdr:to>
          <xdr:col>3</xdr:col>
          <xdr:colOff>266700</xdr:colOff>
          <xdr:row>1</xdr:row>
          <xdr:rowOff>114300</xdr:rowOff>
        </xdr:to>
        <xdr:sp macro="" textlink="">
          <xdr:nvSpPr>
            <xdr:cNvPr id="14339" name="cmbSubscribePortfolio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9525</xdr:colOff>
          <xdr:row>3</xdr:row>
          <xdr:rowOff>82795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19</xdr:row>
          <xdr:rowOff>9525</xdr:rowOff>
        </xdr:from>
        <xdr:to>
          <xdr:col>15</xdr:col>
          <xdr:colOff>590550</xdr:colOff>
          <xdr:row>19</xdr:row>
          <xdr:rowOff>266700</xdr:rowOff>
        </xdr:to>
        <xdr:sp macro="" textlink="">
          <xdr:nvSpPr>
            <xdr:cNvPr id="14341" name="obRebalanceOnStartup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76200</xdr:rowOff>
        </xdr:from>
        <xdr:to>
          <xdr:col>15</xdr:col>
          <xdr:colOff>590550</xdr:colOff>
          <xdr:row>21</xdr:row>
          <xdr:rowOff>142875</xdr:rowOff>
        </xdr:to>
        <xdr:sp macro="" textlink="">
          <xdr:nvSpPr>
            <xdr:cNvPr id="14342" name="obNoRebalanceOnStartup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9525</xdr:rowOff>
        </xdr:from>
        <xdr:to>
          <xdr:col>4</xdr:col>
          <xdr:colOff>200025</xdr:colOff>
          <xdr:row>1</xdr:row>
          <xdr:rowOff>114300</xdr:rowOff>
        </xdr:to>
        <xdr:sp macro="" textlink="">
          <xdr:nvSpPr>
            <xdr:cNvPr id="14343" name="cmbEnableAutoHedge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21</xdr:col>
          <xdr:colOff>1196486</xdr:colOff>
          <xdr:row>1</xdr:row>
          <xdr:rowOff>152400</xdr:rowOff>
        </xdr:to>
        <xdr:sp macro="" textlink="">
          <xdr:nvSpPr>
            <xdr:cNvPr id="14344" name="cmbDumpContracts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2</xdr:col>
          <xdr:colOff>180975</xdr:colOff>
          <xdr:row>25</xdr:row>
          <xdr:rowOff>0</xdr:rowOff>
        </xdr:to>
        <xdr:sp macro="" textlink="">
          <xdr:nvSpPr>
            <xdr:cNvPr id="14345" name="cbPreserveContract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1057275</xdr:colOff>
          <xdr:row>0</xdr:row>
          <xdr:rowOff>133350</xdr:rowOff>
        </xdr:from>
        <xdr:to>
          <xdr:col>6</xdr:col>
          <xdr:colOff>571500</xdr:colOff>
          <xdr:row>2</xdr:row>
          <xdr:rowOff>171450</xdr:rowOff>
        </xdr:to>
        <xdr:sp macro="" textlink="">
          <xdr:nvSpPr>
            <xdr:cNvPr id="14346" name="CommandButton21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3313" name="cmbSubscribeWatchlist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K1007"/>
  <sheetViews>
    <sheetView tabSelected="1" zoomScale="65" zoomScaleNormal="65" workbookViewId="0">
      <selection activeCell="I2" sqref="I2"/>
    </sheetView>
  </sheetViews>
  <sheetFormatPr defaultRowHeight="15" x14ac:dyDescent="0.25"/>
  <cols>
    <col min="1" max="1" width="17.7109375" customWidth="1"/>
    <col min="2" max="2" width="8.85546875" customWidth="1"/>
    <col min="3" max="3" width="25.42578125" customWidth="1"/>
    <col min="4" max="4" width="20.42578125" customWidth="1"/>
    <col min="5" max="5" width="16" customWidth="1"/>
    <col min="6" max="6" width="17.7109375" customWidth="1"/>
    <col min="7" max="7" width="15.7109375" customWidth="1"/>
    <col min="8" max="8" width="9.28515625" bestFit="1" customWidth="1"/>
    <col min="9" max="9" width="16" customWidth="1"/>
    <col min="10" max="10" width="15" customWidth="1"/>
    <col min="11" max="11" width="16.28515625" customWidth="1"/>
    <col min="12" max="12" width="9.28515625" bestFit="1" customWidth="1"/>
    <col min="13" max="13" width="15.7109375" customWidth="1"/>
    <col min="14" max="14" width="17.7109375" customWidth="1"/>
    <col min="15" max="15" width="21" customWidth="1"/>
    <col min="16" max="16" width="15" customWidth="1"/>
    <col min="17" max="17" width="16.5703125" customWidth="1"/>
    <col min="18" max="18" width="12.28515625" customWidth="1"/>
    <col min="19" max="19" width="15.5703125" bestFit="1" customWidth="1"/>
    <col min="20" max="20" width="17.28515625" customWidth="1"/>
    <col min="21" max="21" width="12.5703125" customWidth="1"/>
    <col min="22" max="22" width="20.28515625" bestFit="1" customWidth="1"/>
    <col min="23" max="23" width="19.28515625" bestFit="1" customWidth="1"/>
    <col min="24" max="24" width="11" customWidth="1"/>
    <col min="25" max="25" width="16.7109375" customWidth="1"/>
    <col min="26" max="26" width="14.140625" bestFit="1" customWidth="1"/>
    <col min="27" max="27" width="20.28515625" customWidth="1"/>
    <col min="28" max="28" width="20.7109375" customWidth="1"/>
    <col min="29" max="29" width="18" bestFit="1" customWidth="1"/>
    <col min="30" max="30" width="22.42578125" customWidth="1"/>
    <col min="31" max="31" width="15.140625" customWidth="1"/>
    <col min="32" max="32" width="16.5703125" customWidth="1"/>
    <col min="33" max="33" width="12.5703125" bestFit="1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1" spans="1:32" x14ac:dyDescent="0.25">
      <c r="B1" t="s">
        <v>194</v>
      </c>
      <c r="C1">
        <v>3</v>
      </c>
      <c r="D1" t="s">
        <v>195</v>
      </c>
    </row>
    <row r="5" spans="1:32" x14ac:dyDescent="0.25">
      <c r="A5" s="65" t="s">
        <v>14</v>
      </c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AF5" s="40"/>
    </row>
    <row r="6" spans="1:32" x14ac:dyDescent="0.25">
      <c r="A6" s="79" t="s">
        <v>124</v>
      </c>
      <c r="B6" s="79"/>
      <c r="C6" s="79" t="s">
        <v>125</v>
      </c>
      <c r="D6" s="79"/>
      <c r="E6" s="79" t="s">
        <v>126</v>
      </c>
      <c r="F6" s="79"/>
      <c r="G6" s="79" t="s">
        <v>127</v>
      </c>
      <c r="H6" s="79"/>
      <c r="I6" s="79" t="s">
        <v>128</v>
      </c>
      <c r="J6" s="79"/>
      <c r="K6" s="79" t="s">
        <v>129</v>
      </c>
      <c r="L6" s="79"/>
      <c r="M6" s="79" t="s">
        <v>130</v>
      </c>
      <c r="N6" s="79"/>
      <c r="O6" s="79"/>
      <c r="P6" s="79"/>
      <c r="Q6" s="79"/>
      <c r="R6" s="79"/>
      <c r="S6" s="79"/>
      <c r="T6" s="79"/>
      <c r="U6" s="66"/>
      <c r="V6" s="66"/>
      <c r="W6" s="66"/>
      <c r="AF6" s="40"/>
    </row>
    <row r="7" spans="1:32" x14ac:dyDescent="0.25">
      <c r="A7" s="80" t="s">
        <v>131</v>
      </c>
      <c r="B7" s="80"/>
      <c r="C7" s="80">
        <v>7497</v>
      </c>
      <c r="D7" s="80"/>
      <c r="E7" s="80">
        <v>6</v>
      </c>
      <c r="F7" s="80"/>
      <c r="G7" s="80">
        <v>5</v>
      </c>
      <c r="H7" s="80"/>
      <c r="I7" s="81">
        <v>0.96388888888888891</v>
      </c>
      <c r="J7" s="82"/>
      <c r="K7" s="83" t="s">
        <v>196</v>
      </c>
      <c r="L7" s="84"/>
      <c r="M7" s="85"/>
      <c r="N7" s="86"/>
      <c r="O7" s="85"/>
      <c r="P7" s="86"/>
      <c r="Q7" s="85"/>
      <c r="R7" s="86"/>
      <c r="S7" s="85"/>
      <c r="T7" s="86"/>
      <c r="U7" s="67"/>
      <c r="V7" s="68"/>
      <c r="W7" s="68"/>
      <c r="AF7" s="40"/>
    </row>
    <row r="11" spans="1:32" ht="23.25" x14ac:dyDescent="0.35">
      <c r="A11" s="17" t="s">
        <v>135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AB11" s="43"/>
    </row>
    <row r="12" spans="1:32" ht="23.25" x14ac:dyDescent="0.35">
      <c r="A12" s="87" t="s">
        <v>137</v>
      </c>
      <c r="B12" s="87"/>
      <c r="C12" s="87" t="s">
        <v>138</v>
      </c>
      <c r="D12" s="87"/>
      <c r="E12" s="70" t="s">
        <v>139</v>
      </c>
      <c r="F12" s="70"/>
      <c r="G12" s="87" t="s">
        <v>140</v>
      </c>
      <c r="H12" s="87"/>
      <c r="I12" s="87" t="s">
        <v>141</v>
      </c>
      <c r="J12" s="87"/>
      <c r="K12" s="79" t="s">
        <v>142</v>
      </c>
      <c r="L12" s="79"/>
      <c r="M12" s="79" t="s">
        <v>143</v>
      </c>
      <c r="N12" s="79"/>
      <c r="O12" s="66" t="s">
        <v>144</v>
      </c>
      <c r="P12" s="66"/>
      <c r="Q12" s="66" t="s">
        <v>145</v>
      </c>
      <c r="R12" s="66"/>
      <c r="S12" s="66"/>
      <c r="T12" s="66"/>
      <c r="U12" s="66"/>
      <c r="V12" s="66"/>
      <c r="W12" s="66"/>
      <c r="AB12" s="43"/>
    </row>
    <row r="13" spans="1:32" ht="23.25" x14ac:dyDescent="0.35">
      <c r="A13" s="5">
        <v>1166841.67</v>
      </c>
      <c r="B13" s="3"/>
      <c r="C13" s="5">
        <v>839020.78</v>
      </c>
      <c r="D13" s="3"/>
      <c r="E13" s="5">
        <v>682222.11</v>
      </c>
      <c r="F13" s="5"/>
      <c r="G13" s="5">
        <v>327820.89</v>
      </c>
      <c r="H13" s="5"/>
      <c r="I13" s="5">
        <v>37767</v>
      </c>
      <c r="J13" s="5"/>
      <c r="K13" s="6">
        <v>-22524</v>
      </c>
      <c r="L13" s="4"/>
      <c r="M13" s="67" t="s">
        <v>197</v>
      </c>
      <c r="N13" s="68"/>
      <c r="O13" s="67" t="b">
        <v>1</v>
      </c>
      <c r="P13" s="68"/>
      <c r="Q13" s="71"/>
      <c r="R13" s="72"/>
      <c r="S13" s="67"/>
      <c r="T13" s="68"/>
      <c r="U13" s="67"/>
      <c r="V13" s="68"/>
      <c r="W13" s="68"/>
      <c r="Y13" s="43"/>
      <c r="Z13" s="43"/>
      <c r="AA13" s="43"/>
      <c r="AB13" s="43"/>
    </row>
    <row r="14" spans="1:32" ht="23.25" x14ac:dyDescent="0.35">
      <c r="Y14" s="43"/>
      <c r="Z14" s="43"/>
      <c r="AA14" s="43"/>
      <c r="AB14" s="43"/>
    </row>
    <row r="15" spans="1:32" ht="23.25" x14ac:dyDescent="0.35">
      <c r="Y15" s="43"/>
      <c r="Z15" s="43"/>
      <c r="AA15" s="43"/>
      <c r="AB15" s="43"/>
    </row>
    <row r="16" spans="1:32" ht="23.25" x14ac:dyDescent="0.35">
      <c r="Y16" s="43"/>
      <c r="Z16" s="43"/>
      <c r="AA16" s="43"/>
      <c r="AB16" s="43"/>
    </row>
    <row r="17" spans="1:37" ht="23.25" x14ac:dyDescent="0.35">
      <c r="Y17" s="43"/>
      <c r="Z17" s="43"/>
      <c r="AA17" s="43"/>
      <c r="AB17" s="43"/>
    </row>
    <row r="18" spans="1:37" ht="23.25" x14ac:dyDescent="0.35">
      <c r="Y18" s="43"/>
      <c r="Z18" s="43"/>
      <c r="AA18" s="43"/>
      <c r="AB18" s="43"/>
    </row>
    <row r="19" spans="1:37" ht="23.25" x14ac:dyDescent="0.35">
      <c r="A19" s="88" t="s">
        <v>147</v>
      </c>
      <c r="B19" s="89"/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Y19" s="43"/>
      <c r="Z19" s="43"/>
      <c r="AA19" s="43"/>
      <c r="AB19" s="43"/>
    </row>
    <row r="20" spans="1:37" s="11" customFormat="1" ht="46.5" x14ac:dyDescent="0.35">
      <c r="A20" s="10" t="s">
        <v>148</v>
      </c>
      <c r="B20" s="10" t="s">
        <v>149</v>
      </c>
      <c r="C20" s="10"/>
      <c r="D20" s="10"/>
      <c r="E20" s="10" t="s">
        <v>150</v>
      </c>
      <c r="F20" s="10"/>
      <c r="G20" s="10" t="s">
        <v>151</v>
      </c>
      <c r="H20" s="10" t="s">
        <v>152</v>
      </c>
      <c r="I20" s="10" t="s">
        <v>153</v>
      </c>
      <c r="J20" s="10"/>
      <c r="K20" s="10" t="s">
        <v>154</v>
      </c>
      <c r="L20" s="10"/>
      <c r="M20" s="10" t="s">
        <v>155</v>
      </c>
      <c r="N20" s="10" t="s">
        <v>156</v>
      </c>
      <c r="Y20" s="43"/>
      <c r="Z20" s="43"/>
      <c r="AA20" s="43"/>
      <c r="AB20" s="44"/>
      <c r="AC20"/>
      <c r="AD20"/>
      <c r="AE20"/>
      <c r="AF20"/>
      <c r="AG20"/>
      <c r="AH20"/>
      <c r="AI20"/>
      <c r="AJ20"/>
    </row>
    <row r="21" spans="1:37" x14ac:dyDescent="0.25">
      <c r="A21" s="32">
        <v>1</v>
      </c>
      <c r="B21" s="32">
        <v>1</v>
      </c>
      <c r="C21" s="32"/>
      <c r="D21" s="33"/>
      <c r="E21" s="80">
        <v>5</v>
      </c>
      <c r="F21" s="80"/>
      <c r="G21" s="69">
        <v>5</v>
      </c>
      <c r="H21" s="69">
        <v>10</v>
      </c>
      <c r="I21" s="69">
        <v>0.2</v>
      </c>
      <c r="J21" s="69"/>
      <c r="K21" s="85">
        <v>8</v>
      </c>
      <c r="L21" s="86"/>
      <c r="M21" s="67">
        <v>1</v>
      </c>
      <c r="N21" s="68" t="s">
        <v>100</v>
      </c>
    </row>
    <row r="23" spans="1:37" ht="18.75" x14ac:dyDescent="0.3">
      <c r="Y23" s="41"/>
      <c r="Z23" s="41"/>
      <c r="AA23" s="41"/>
      <c r="AB23" s="41"/>
    </row>
    <row r="24" spans="1:37" ht="18.75" x14ac:dyDescent="0.3">
      <c r="Y24" s="41"/>
      <c r="Z24" s="41"/>
      <c r="AA24" s="41"/>
      <c r="AB24" s="41"/>
    </row>
    <row r="25" spans="1:37" ht="18.75" x14ac:dyDescent="0.3">
      <c r="A25" s="17" t="s">
        <v>157</v>
      </c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Y25" s="41"/>
      <c r="Z25" s="48"/>
      <c r="AA25" s="41"/>
      <c r="AB25" s="41"/>
    </row>
    <row r="26" spans="1:37" s="11" customFormat="1" ht="30.75" x14ac:dyDescent="0.3">
      <c r="A26" s="10" t="s">
        <v>0</v>
      </c>
      <c r="B26" s="10" t="s">
        <v>1</v>
      </c>
      <c r="C26" s="10"/>
      <c r="D26" s="10" t="s">
        <v>5</v>
      </c>
      <c r="E26" s="10"/>
      <c r="F26" s="10" t="s">
        <v>7</v>
      </c>
      <c r="G26" s="10" t="s">
        <v>8</v>
      </c>
      <c r="H26" s="10" t="s">
        <v>9</v>
      </c>
      <c r="I26" s="10" t="s">
        <v>10</v>
      </c>
      <c r="J26" s="10" t="s">
        <v>11</v>
      </c>
      <c r="K26" s="10" t="s">
        <v>19</v>
      </c>
      <c r="L26" s="10" t="s">
        <v>21</v>
      </c>
      <c r="M26" s="10" t="s">
        <v>22</v>
      </c>
      <c r="N26" s="10" t="s">
        <v>18</v>
      </c>
      <c r="O26" s="10" t="s">
        <v>20</v>
      </c>
      <c r="P26" s="10" t="s">
        <v>158</v>
      </c>
      <c r="Q26" s="10"/>
      <c r="R26" s="10" t="s">
        <v>159</v>
      </c>
      <c r="S26" s="10" t="s">
        <v>160</v>
      </c>
      <c r="T26" s="10" t="s">
        <v>161</v>
      </c>
      <c r="U26" s="10" t="s">
        <v>162</v>
      </c>
      <c r="V26" s="10" t="s">
        <v>163</v>
      </c>
      <c r="W26" s="10"/>
      <c r="X26" s="11" t="s">
        <v>164</v>
      </c>
      <c r="Y26" s="42"/>
      <c r="Z26" s="42"/>
      <c r="AA26" s="42"/>
      <c r="AB26" s="42"/>
      <c r="AC26"/>
      <c r="AD26"/>
      <c r="AE26"/>
      <c r="AF26"/>
      <c r="AG26"/>
      <c r="AH26"/>
      <c r="AI26"/>
      <c r="AJ26"/>
    </row>
    <row r="27" spans="1:37" ht="18.75" x14ac:dyDescent="0.3">
      <c r="A27" s="69" t="s">
        <v>15</v>
      </c>
      <c r="B27" s="69" t="s">
        <v>24</v>
      </c>
      <c r="C27" s="69">
        <v>20150316</v>
      </c>
      <c r="D27" s="69">
        <v>62500</v>
      </c>
      <c r="E27" s="69"/>
      <c r="F27" s="69" t="s">
        <v>17</v>
      </c>
      <c r="G27" s="69" t="s">
        <v>16</v>
      </c>
      <c r="H27" s="69" t="s">
        <v>190</v>
      </c>
      <c r="I27" s="69" t="s">
        <v>25</v>
      </c>
      <c r="J27" s="69">
        <v>101</v>
      </c>
      <c r="K27" s="69">
        <v>1.5150999999999999</v>
      </c>
      <c r="L27" s="69"/>
      <c r="M27" s="69">
        <v>11</v>
      </c>
      <c r="N27" s="69">
        <v>1.5150999999999999</v>
      </c>
      <c r="O27" s="69">
        <v>1.5152000000000001</v>
      </c>
      <c r="P27" s="69">
        <v>2</v>
      </c>
      <c r="Q27" s="69"/>
      <c r="R27" s="69">
        <v>1.5152499500000001</v>
      </c>
      <c r="S27" s="69">
        <v>9565015.4199999999</v>
      </c>
      <c r="T27" s="69">
        <v>94730.123468799997</v>
      </c>
      <c r="U27" s="69">
        <v>-2727.05</v>
      </c>
      <c r="V27" s="69">
        <v>-22523.71</v>
      </c>
      <c r="W27" s="69"/>
      <c r="X27">
        <f>(N27+O27)/2</f>
        <v>1.51515</v>
      </c>
      <c r="Y27" s="41"/>
      <c r="Z27" s="41"/>
      <c r="AA27" s="41"/>
      <c r="AB27" s="41"/>
    </row>
    <row r="28" spans="1:37" ht="18.75" x14ac:dyDescent="0.3">
      <c r="C28" s="7"/>
      <c r="D28" s="8"/>
      <c r="E28" s="8"/>
      <c r="F28" s="8"/>
      <c r="G28" s="8"/>
      <c r="H28" s="8"/>
      <c r="I28" s="8"/>
      <c r="J28" s="8"/>
      <c r="K28" s="8"/>
      <c r="L28" s="8"/>
      <c r="M28" s="8"/>
      <c r="N28" s="9"/>
      <c r="O28" s="8"/>
      <c r="P28" s="8"/>
      <c r="Q28" s="8"/>
      <c r="R28" s="9"/>
      <c r="S28" s="8"/>
      <c r="T28" s="9"/>
      <c r="U28" s="8"/>
      <c r="V28" s="9"/>
      <c r="W28" s="27"/>
      <c r="Y28" s="41"/>
      <c r="Z28" s="41"/>
      <c r="AA28" s="41"/>
      <c r="AB28" s="41"/>
      <c r="AC28" s="41"/>
      <c r="AD28" s="41"/>
      <c r="AE28" s="41"/>
    </row>
    <row r="29" spans="1:37" ht="18.75" x14ac:dyDescent="0.3">
      <c r="C29" s="90" t="s">
        <v>165</v>
      </c>
      <c r="D29" s="91"/>
      <c r="E29" s="12">
        <v>1.5149999999999999</v>
      </c>
      <c r="F29" s="12"/>
      <c r="G29" s="91" t="s">
        <v>166</v>
      </c>
      <c r="H29" s="91"/>
      <c r="I29" s="12">
        <v>1.52</v>
      </c>
      <c r="J29" s="12"/>
      <c r="K29" s="91" t="s">
        <v>167</v>
      </c>
      <c r="L29" s="91"/>
      <c r="M29" s="12">
        <v>100</v>
      </c>
      <c r="N29" s="13"/>
      <c r="O29" s="91" t="s">
        <v>168</v>
      </c>
      <c r="P29" s="91"/>
      <c r="Q29" s="34">
        <v>1.515115044911729</v>
      </c>
      <c r="R29" s="13"/>
      <c r="S29" s="12"/>
      <c r="T29" s="13"/>
      <c r="U29" s="12"/>
      <c r="V29" s="13"/>
      <c r="W29" s="13"/>
      <c r="Y29" s="41"/>
      <c r="Z29" s="41"/>
      <c r="AA29" s="41"/>
      <c r="AB29" s="41"/>
      <c r="AC29" s="41"/>
      <c r="AD29" s="41"/>
      <c r="AE29" s="41"/>
    </row>
    <row r="30" spans="1:37" ht="18.75" x14ac:dyDescent="0.3">
      <c r="C30" s="90" t="s">
        <v>169</v>
      </c>
      <c r="D30" s="91"/>
      <c r="E30" s="12">
        <v>2</v>
      </c>
      <c r="F30" s="12"/>
      <c r="G30" s="91" t="s">
        <v>170</v>
      </c>
      <c r="H30" s="91"/>
      <c r="I30" s="12">
        <v>49</v>
      </c>
      <c r="J30" s="12"/>
      <c r="K30" s="91" t="s">
        <v>171</v>
      </c>
      <c r="L30" s="91"/>
      <c r="M30" s="12">
        <v>101</v>
      </c>
      <c r="N30" s="13"/>
      <c r="O30" s="91" t="s">
        <v>172</v>
      </c>
      <c r="P30" s="91"/>
      <c r="Q30" s="34">
        <v>1.5151141665761902</v>
      </c>
      <c r="R30" s="13"/>
      <c r="S30" s="12"/>
      <c r="T30" s="13"/>
      <c r="U30" s="12"/>
      <c r="V30" s="13"/>
      <c r="W30" s="13"/>
      <c r="Y30" s="41"/>
      <c r="Z30" s="41"/>
      <c r="AA30" s="41"/>
      <c r="AB30" s="41"/>
      <c r="AC30" s="41"/>
      <c r="AD30" s="41"/>
      <c r="AE30" s="41"/>
      <c r="AI30" s="46"/>
      <c r="AK30" s="46"/>
    </row>
    <row r="31" spans="1:37" ht="18.75" x14ac:dyDescent="0.3">
      <c r="C31" s="90" t="s">
        <v>173</v>
      </c>
      <c r="D31" s="91"/>
      <c r="E31" s="12">
        <v>1</v>
      </c>
      <c r="F31" s="12"/>
      <c r="G31" s="91" t="s">
        <v>174</v>
      </c>
      <c r="H31" s="91"/>
      <c r="I31" s="12">
        <v>48</v>
      </c>
      <c r="J31" s="12"/>
      <c r="K31" s="91" t="s">
        <v>175</v>
      </c>
      <c r="L31" s="91"/>
      <c r="M31" s="12">
        <v>-1</v>
      </c>
      <c r="N31" s="13"/>
      <c r="O31" s="91" t="s">
        <v>99</v>
      </c>
      <c r="P31" s="91"/>
      <c r="Q31" s="12">
        <v>-1</v>
      </c>
      <c r="R31" s="13"/>
      <c r="S31" s="12"/>
      <c r="T31" s="13"/>
      <c r="U31" s="12"/>
      <c r="V31" s="13"/>
      <c r="W31" s="13"/>
      <c r="Y31" s="41"/>
      <c r="Z31" s="41"/>
      <c r="AA31" s="41"/>
      <c r="AB31" s="41"/>
      <c r="AC31" s="41"/>
      <c r="AD31" s="41"/>
      <c r="AE31" s="41"/>
      <c r="AI31" s="45"/>
    </row>
    <row r="32" spans="1:37" ht="2.25" customHeight="1" x14ac:dyDescent="0.3">
      <c r="C32" s="97"/>
      <c r="D32" s="92"/>
      <c r="E32" s="92"/>
      <c r="F32" s="92"/>
      <c r="G32" s="92"/>
      <c r="H32" s="92"/>
      <c r="I32" s="92"/>
      <c r="J32" s="92"/>
      <c r="K32" s="92"/>
      <c r="L32" s="92"/>
      <c r="M32" s="92"/>
      <c r="N32" s="93"/>
      <c r="O32" s="92"/>
      <c r="P32" s="92"/>
      <c r="Q32" s="92"/>
      <c r="R32" s="93"/>
      <c r="S32" s="92"/>
      <c r="T32" s="93"/>
      <c r="U32" s="92"/>
      <c r="V32" s="93"/>
      <c r="W32" s="28"/>
      <c r="Y32" s="41"/>
      <c r="Z32" s="41"/>
      <c r="AA32" s="41"/>
      <c r="AB32" s="41"/>
      <c r="AC32" s="41"/>
      <c r="AD32" s="41"/>
      <c r="AE32" s="41"/>
      <c r="AI32" s="47"/>
    </row>
    <row r="33" spans="1:33" ht="18.75" x14ac:dyDescent="0.3">
      <c r="Y33" s="41"/>
      <c r="Z33" s="41"/>
      <c r="AA33" s="41"/>
      <c r="AB33" s="41"/>
      <c r="AC33" s="41"/>
      <c r="AD33" s="41"/>
      <c r="AE33" s="41"/>
    </row>
    <row r="34" spans="1:33" ht="18.75" customHeight="1" x14ac:dyDescent="0.3">
      <c r="A34" s="88" t="s">
        <v>176</v>
      </c>
      <c r="B34" s="89"/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Q34" s="109" t="s">
        <v>403</v>
      </c>
      <c r="R34" s="109"/>
      <c r="S34" s="109"/>
      <c r="T34" s="109"/>
      <c r="U34" s="109"/>
      <c r="V34" s="109"/>
      <c r="W34" s="109"/>
    </row>
    <row r="35" spans="1:33" s="11" customFormat="1" ht="39" customHeight="1" x14ac:dyDescent="0.3">
      <c r="A35" s="77" t="s">
        <v>26</v>
      </c>
      <c r="B35" s="95" t="s">
        <v>27</v>
      </c>
      <c r="C35" s="95"/>
      <c r="D35" s="95"/>
      <c r="E35" s="95"/>
      <c r="F35" s="20"/>
      <c r="G35" s="95" t="s">
        <v>28</v>
      </c>
      <c r="H35" s="95"/>
      <c r="I35" s="95"/>
      <c r="J35" s="95"/>
      <c r="K35" s="95"/>
      <c r="L35" s="20"/>
      <c r="M35" s="95" t="s">
        <v>177</v>
      </c>
      <c r="N35" s="95"/>
      <c r="O35" s="96"/>
      <c r="Q35" s="78" t="s">
        <v>103</v>
      </c>
      <c r="R35" s="78" t="s">
        <v>104</v>
      </c>
      <c r="S35" s="78" t="s">
        <v>105</v>
      </c>
      <c r="T35" s="78" t="s">
        <v>109</v>
      </c>
      <c r="U35" s="78" t="s">
        <v>110</v>
      </c>
      <c r="V35" s="78" t="s">
        <v>111</v>
      </c>
      <c r="W35" s="78" t="s">
        <v>120</v>
      </c>
      <c r="X35" s="42"/>
      <c r="Y35" s="42"/>
      <c r="AC35" s="42"/>
    </row>
    <row r="36" spans="1:33" s="11" customFormat="1" ht="42" customHeight="1" x14ac:dyDescent="0.4">
      <c r="A36" s="21" t="s">
        <v>0</v>
      </c>
      <c r="B36" s="1" t="s">
        <v>32</v>
      </c>
      <c r="C36" s="1" t="s">
        <v>33</v>
      </c>
      <c r="D36" s="1" t="s">
        <v>34</v>
      </c>
      <c r="E36" s="1" t="s">
        <v>35</v>
      </c>
      <c r="F36" s="1" t="s">
        <v>36</v>
      </c>
      <c r="G36" s="1" t="s">
        <v>12</v>
      </c>
      <c r="H36" s="1" t="s">
        <v>37</v>
      </c>
      <c r="I36" s="1" t="s">
        <v>38</v>
      </c>
      <c r="J36" s="1" t="s">
        <v>39</v>
      </c>
      <c r="K36" s="1" t="s">
        <v>40</v>
      </c>
      <c r="L36" s="1" t="s">
        <v>178</v>
      </c>
      <c r="M36" s="1" t="s">
        <v>179</v>
      </c>
      <c r="N36" s="1" t="s">
        <v>180</v>
      </c>
      <c r="O36" s="1" t="s">
        <v>181</v>
      </c>
      <c r="Q36" s="112">
        <f>SUM(U45:U65)+J27</f>
        <v>120.82821206704124</v>
      </c>
      <c r="R36" s="113">
        <f>SUM(X45:X65)</f>
        <v>-8914.6379808415513</v>
      </c>
      <c r="S36" s="111">
        <f>SUM(W45:W65)</f>
        <v>0.38708886109539248</v>
      </c>
      <c r="T36" s="113">
        <f>S36*62500</f>
        <v>24193.053818462031</v>
      </c>
      <c r="U36" s="110">
        <v>1</v>
      </c>
      <c r="V36" s="114">
        <f>-1*U36*W36</f>
        <v>-122875.00000000006</v>
      </c>
      <c r="W36" s="114">
        <f>AG43</f>
        <v>122875.00000000006</v>
      </c>
      <c r="X36" s="50"/>
      <c r="Y36" s="50"/>
      <c r="AC36" s="42"/>
    </row>
    <row r="37" spans="1:33" ht="18.75" x14ac:dyDescent="0.3">
      <c r="A37" s="2"/>
      <c r="B37" s="16"/>
      <c r="C37" s="16"/>
      <c r="D37" s="16"/>
      <c r="E37" s="16"/>
      <c r="F37" s="2"/>
      <c r="G37" s="18"/>
      <c r="H37" s="2"/>
      <c r="I37" s="2"/>
      <c r="J37" s="2"/>
      <c r="K37" s="2"/>
      <c r="L37" s="2"/>
      <c r="M37" s="2"/>
      <c r="N37" s="2"/>
      <c r="O37" s="2"/>
      <c r="Q37" s="78" t="s">
        <v>132</v>
      </c>
      <c r="R37" s="113">
        <f>ticksUpToLoss(V36,Q36,R36)</f>
        <v>385.49527351516178</v>
      </c>
      <c r="S37" s="113">
        <f>ticksDownToLoss(V36,Q36,R36)</f>
        <v>-114.41704840559896</v>
      </c>
      <c r="T37" s="113"/>
      <c r="U37" s="113"/>
      <c r="V37" s="113"/>
      <c r="W37" s="113"/>
      <c r="X37" s="41"/>
      <c r="Y37" s="41"/>
      <c r="Z37" s="41"/>
      <c r="AA37" s="41"/>
      <c r="AB37" s="41"/>
      <c r="AC37" s="41"/>
    </row>
    <row r="38" spans="1:33" ht="23.25" x14ac:dyDescent="0.35">
      <c r="A38" s="2"/>
      <c r="B38" s="16"/>
      <c r="C38" s="16"/>
      <c r="D38" s="16"/>
      <c r="E38" s="16"/>
      <c r="F38" s="2"/>
      <c r="G38" s="18"/>
      <c r="H38" s="2"/>
      <c r="I38" s="2"/>
      <c r="J38" s="2"/>
      <c r="K38" s="2"/>
      <c r="L38" s="2"/>
      <c r="M38" s="2"/>
      <c r="N38" s="2"/>
      <c r="O38" s="2"/>
      <c r="Q38" s="78" t="s">
        <v>133</v>
      </c>
      <c r="R38" s="113">
        <f>Q36+R36*(R37*0.0001)</f>
        <v>-222.82686860427509</v>
      </c>
      <c r="S38" s="113">
        <f>Q36+R36*(S37*0.0001)</f>
        <v>222.82686860427512</v>
      </c>
      <c r="T38" s="113"/>
      <c r="U38" s="113"/>
      <c r="V38" s="113"/>
      <c r="W38" s="113"/>
      <c r="Y38" s="36"/>
      <c r="Z38" s="36"/>
      <c r="AA38" s="36"/>
      <c r="AB38" s="36"/>
      <c r="AC38" s="49"/>
      <c r="AD38" s="49"/>
      <c r="AE38" s="49"/>
    </row>
    <row r="39" spans="1:33" ht="18.75" x14ac:dyDescent="0.3">
      <c r="A39" s="2"/>
      <c r="B39" s="16"/>
      <c r="C39" s="16"/>
      <c r="D39" s="16"/>
      <c r="E39" s="16"/>
      <c r="F39" s="2"/>
      <c r="G39" s="18"/>
      <c r="H39" s="2"/>
      <c r="I39" s="2"/>
      <c r="J39" s="2"/>
      <c r="K39" s="2"/>
      <c r="L39" s="2"/>
      <c r="M39" s="2"/>
      <c r="N39" s="2"/>
      <c r="O39" s="2"/>
      <c r="Q39" s="109" t="s">
        <v>134</v>
      </c>
      <c r="R39" s="109"/>
      <c r="S39" s="109"/>
      <c r="T39" s="109"/>
      <c r="U39" s="109"/>
      <c r="V39" s="109"/>
      <c r="W39" s="109"/>
      <c r="Y39" s="41"/>
      <c r="Z39" s="41"/>
      <c r="AA39" s="41"/>
      <c r="AB39" s="41"/>
      <c r="AC39" s="41"/>
    </row>
    <row r="40" spans="1:33" ht="18.75" x14ac:dyDescent="0.3">
      <c r="A40" s="2"/>
      <c r="B40" s="16"/>
      <c r="C40" s="16"/>
      <c r="D40" s="16"/>
      <c r="E40" s="16"/>
      <c r="F40" s="2"/>
      <c r="G40" s="18"/>
      <c r="H40" s="2"/>
      <c r="I40" s="2"/>
      <c r="J40" s="2"/>
      <c r="K40" s="2"/>
      <c r="L40" s="2"/>
      <c r="M40" s="2"/>
      <c r="N40" s="2"/>
      <c r="O40" s="2"/>
      <c r="Q40" s="78" t="s">
        <v>136</v>
      </c>
      <c r="R40" s="113">
        <f>$X$27+R37/10000</f>
        <v>1.5536995273515162</v>
      </c>
      <c r="S40" s="113">
        <f>ROUND(-R38,0)</f>
        <v>223</v>
      </c>
      <c r="T40" s="113"/>
      <c r="U40" s="113"/>
      <c r="V40" s="113"/>
      <c r="W40" s="113"/>
      <c r="Y40" s="41"/>
      <c r="Z40" s="41"/>
      <c r="AA40" s="41"/>
      <c r="AB40" s="41"/>
      <c r="AC40" s="41"/>
    </row>
    <row r="41" spans="1:33" ht="18.75" x14ac:dyDescent="0.3">
      <c r="A41" s="2"/>
      <c r="B41" s="16"/>
      <c r="C41" s="16"/>
      <c r="D41" s="16"/>
      <c r="E41" s="16"/>
      <c r="F41" s="2"/>
      <c r="G41" s="18"/>
      <c r="H41" s="2"/>
      <c r="I41" s="2"/>
      <c r="J41" s="2"/>
      <c r="K41" s="2"/>
      <c r="L41" s="2"/>
      <c r="M41" s="2"/>
      <c r="N41" s="2"/>
      <c r="O41" s="2"/>
      <c r="Q41" s="78" t="s">
        <v>146</v>
      </c>
      <c r="R41" s="113">
        <f>$X$27+S37/10000</f>
        <v>1.50370829515944</v>
      </c>
      <c r="S41" s="113">
        <f>ROUND(-S38,0)</f>
        <v>-223</v>
      </c>
      <c r="T41" s="113"/>
      <c r="U41" s="113"/>
      <c r="V41" s="113"/>
      <c r="W41" s="113"/>
      <c r="X41" s="41"/>
      <c r="Y41" s="41"/>
      <c r="Z41" s="41"/>
      <c r="AA41" s="41"/>
      <c r="AB41" s="41"/>
      <c r="AC41" s="41"/>
    </row>
    <row r="43" spans="1:33" x14ac:dyDescent="0.25">
      <c r="A43" s="89" t="s">
        <v>13</v>
      </c>
      <c r="B43" s="89"/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94" t="s">
        <v>101</v>
      </c>
      <c r="O43" s="94"/>
      <c r="P43" s="94"/>
      <c r="Q43" s="94"/>
      <c r="R43" s="94"/>
      <c r="S43" s="94"/>
      <c r="T43" s="94" t="s">
        <v>108</v>
      </c>
      <c r="U43" s="94"/>
      <c r="V43" s="94"/>
      <c r="W43" s="94"/>
      <c r="AG43" s="52">
        <f>SUM(AD45:AD65)</f>
        <v>122875.00000000006</v>
      </c>
    </row>
    <row r="44" spans="1:33" ht="30" x14ac:dyDescent="0.25">
      <c r="A44" s="1" t="s">
        <v>9</v>
      </c>
      <c r="B44" s="1" t="s">
        <v>11</v>
      </c>
      <c r="C44" s="1" t="s">
        <v>182</v>
      </c>
      <c r="D44" s="1" t="s">
        <v>160</v>
      </c>
      <c r="E44" s="1" t="s">
        <v>161</v>
      </c>
      <c r="F44" s="1" t="s">
        <v>189</v>
      </c>
      <c r="G44" s="1" t="s">
        <v>183</v>
      </c>
      <c r="H44" s="66" t="s">
        <v>19</v>
      </c>
      <c r="I44" s="66" t="s">
        <v>21</v>
      </c>
      <c r="J44" s="66" t="s">
        <v>22</v>
      </c>
      <c r="K44" s="66" t="s">
        <v>18</v>
      </c>
      <c r="L44" s="66" t="s">
        <v>20</v>
      </c>
      <c r="M44" s="66" t="s">
        <v>23</v>
      </c>
      <c r="N44" s="35" t="s">
        <v>102</v>
      </c>
      <c r="O44" s="35" t="s">
        <v>103</v>
      </c>
      <c r="P44" s="35" t="s">
        <v>104</v>
      </c>
      <c r="Q44" s="35" t="s">
        <v>105</v>
      </c>
      <c r="R44" s="35" t="s">
        <v>106</v>
      </c>
      <c r="S44" s="35" t="s">
        <v>107</v>
      </c>
      <c r="T44" s="39" t="s">
        <v>112</v>
      </c>
      <c r="U44" s="35" t="s">
        <v>103</v>
      </c>
      <c r="V44" s="35" t="s">
        <v>104</v>
      </c>
      <c r="W44" s="35" t="s">
        <v>105</v>
      </c>
      <c r="X44" s="39" t="s">
        <v>113</v>
      </c>
      <c r="Y44" s="39" t="s">
        <v>114</v>
      </c>
      <c r="Z44" s="39" t="s">
        <v>119</v>
      </c>
      <c r="AA44" s="54" t="s">
        <v>118</v>
      </c>
      <c r="AB44" s="54" t="s">
        <v>115</v>
      </c>
      <c r="AC44" s="54" t="s">
        <v>116</v>
      </c>
      <c r="AD44" s="54" t="s">
        <v>117</v>
      </c>
    </row>
    <row r="45" spans="1:33" x14ac:dyDescent="0.25">
      <c r="A45" s="2" t="s">
        <v>198</v>
      </c>
      <c r="B45" s="2">
        <v>-100</v>
      </c>
      <c r="C45" s="2">
        <v>6.1045500000000003E-3</v>
      </c>
      <c r="D45" s="2">
        <v>-38153.57</v>
      </c>
      <c r="E45" s="2">
        <v>635.04</v>
      </c>
      <c r="F45" s="30">
        <v>25350.43</v>
      </c>
      <c r="G45" s="2">
        <v>0</v>
      </c>
      <c r="H45" s="2">
        <v>6.7000000000000002E-3</v>
      </c>
      <c r="I45" s="2">
        <v>1</v>
      </c>
      <c r="J45" s="2">
        <v>60</v>
      </c>
      <c r="K45" s="2">
        <v>5.7000000000000002E-3</v>
      </c>
      <c r="L45" s="2">
        <v>6.1000000000000004E-3</v>
      </c>
      <c r="M45" s="2">
        <v>35</v>
      </c>
      <c r="N45" s="2">
        <v>0.11045768790337886</v>
      </c>
      <c r="O45" s="2">
        <v>0.50459288793875368</v>
      </c>
      <c r="P45" s="2">
        <v>0</v>
      </c>
      <c r="Q45" s="37">
        <v>-1.0195889442668846E-3</v>
      </c>
      <c r="R45" s="2">
        <v>5.4714415862793485E-4</v>
      </c>
      <c r="S45" s="2">
        <v>1.5150999999999999</v>
      </c>
      <c r="T45" s="2">
        <v>22.309041770354735</v>
      </c>
      <c r="U45" s="2">
        <f t="shared" ref="U45:U65" si="0">O45*B45</f>
        <v>-50.459288793875366</v>
      </c>
      <c r="V45" s="2">
        <v>1.5804</v>
      </c>
      <c r="W45" s="2">
        <f t="shared" ref="W45:W65" si="1">Q45*B45</f>
        <v>0.10195889442668846</v>
      </c>
      <c r="X45">
        <f>IF(ISERR(T45),0,T45*B45)</f>
        <v>-2230.9041770354734</v>
      </c>
      <c r="Y45">
        <f t="shared" ref="Y45:Y65" si="2">IF(X45 = 0,0,(W45*-10000)/X45)</f>
        <v>0.45702946579344372</v>
      </c>
      <c r="Z45" s="55">
        <f>IF(K45=-1,V30/2,(K45+L45)/2)* 10000</f>
        <v>59.000000000000007</v>
      </c>
      <c r="AA45">
        <f>IF(rightFromSymbol(A45)="C",MAX(0,$N$27-strikeFromSymbol(A45)),MAX(0,strikeFromSymbol(A45)-$N$27))*10000</f>
        <v>0.99999999999988987</v>
      </c>
      <c r="AB45" s="53">
        <f>MAX(0,Z45-AA45)</f>
        <v>58.000000000000114</v>
      </c>
      <c r="AC45" s="53">
        <f t="shared" ref="AC45:AC65" si="3">-AB45*B45</f>
        <v>5800.0000000000109</v>
      </c>
      <c r="AD45" s="52">
        <f t="shared" ref="AD45:AD53" si="4">MAX(0,AC45*6.25)</f>
        <v>36250.000000000065</v>
      </c>
    </row>
    <row r="46" spans="1:33" x14ac:dyDescent="0.25">
      <c r="A46" s="2" t="s">
        <v>199</v>
      </c>
      <c r="B46" s="2">
        <v>-200</v>
      </c>
      <c r="C46" s="2">
        <v>5.9055000000000002E-3</v>
      </c>
      <c r="D46" s="2">
        <v>-73818.97</v>
      </c>
      <c r="E46" s="2">
        <v>344.41500000000002</v>
      </c>
      <c r="F46" s="30">
        <v>-4935.97</v>
      </c>
      <c r="G46" s="2">
        <v>0</v>
      </c>
      <c r="H46" s="2">
        <v>6.0000000000000001E-3</v>
      </c>
      <c r="I46" s="2">
        <v>1</v>
      </c>
      <c r="J46" s="2">
        <v>39</v>
      </c>
      <c r="K46" s="2">
        <v>5.5999999999999999E-3</v>
      </c>
      <c r="L46" s="2">
        <v>5.8999999999999999E-3</v>
      </c>
      <c r="M46" s="2">
        <v>24</v>
      </c>
      <c r="N46" s="2">
        <v>0.10759190743029023</v>
      </c>
      <c r="O46" s="2">
        <v>-0.49556530606085769</v>
      </c>
      <c r="P46" s="2">
        <v>0</v>
      </c>
      <c r="Q46" s="37">
        <v>-9.9311962902398458E-4</v>
      </c>
      <c r="R46" s="2">
        <v>5.471460445794097E-4</v>
      </c>
      <c r="S46" s="2">
        <v>1.5150999999999999</v>
      </c>
      <c r="T46" s="2">
        <v>22.523545639658717</v>
      </c>
      <c r="U46" s="2">
        <f t="shared" si="0"/>
        <v>99.113061212171544</v>
      </c>
      <c r="V46" s="2">
        <v>1.5804</v>
      </c>
      <c r="W46" s="2">
        <f t="shared" si="1"/>
        <v>0.19862392580479693</v>
      </c>
      <c r="X46">
        <f t="shared" ref="X46:X65" si="5">IF(ISERR(T46),0,T46*B46)</f>
        <v>-4504.7091279317438</v>
      </c>
      <c r="Y46">
        <f t="shared" si="2"/>
        <v>0.44092508564696503</v>
      </c>
      <c r="Z46" s="55">
        <f>IF(K46=-1,V31/2,(K46+L46)/2)* 10000</f>
        <v>57.5</v>
      </c>
      <c r="AA46">
        <f>IF(rightFromSymbol(A46)="C",MAX(0,$N$27-strikeFromSymbol(A46)),MAX(0,strikeFromSymbol(A46)-$N$27))*10000</f>
        <v>0</v>
      </c>
      <c r="AB46" s="53">
        <f t="shared" ref="AB46:AB65" si="6">MAX(0,Z46-AA46)</f>
        <v>57.5</v>
      </c>
      <c r="AC46" s="53">
        <f t="shared" si="3"/>
        <v>11500</v>
      </c>
      <c r="AD46" s="52">
        <f t="shared" si="4"/>
        <v>71875</v>
      </c>
    </row>
    <row r="47" spans="1:33" x14ac:dyDescent="0.25">
      <c r="A47" s="2" t="s">
        <v>200</v>
      </c>
      <c r="B47" s="2">
        <v>-10</v>
      </c>
      <c r="C47" s="2">
        <v>3.8038999999999998E-3</v>
      </c>
      <c r="D47" s="2">
        <v>-2377.44</v>
      </c>
      <c r="E47" s="2">
        <v>460.04</v>
      </c>
      <c r="F47" s="30">
        <v>2222.96</v>
      </c>
      <c r="G47" s="2">
        <v>0</v>
      </c>
      <c r="H47" s="2">
        <v>3.7000000000000002E-3</v>
      </c>
      <c r="I47" s="2">
        <v>1</v>
      </c>
      <c r="J47" s="2">
        <v>27</v>
      </c>
      <c r="K47" s="2">
        <v>3.5000000000000001E-3</v>
      </c>
      <c r="L47" s="2">
        <v>3.7000000000000002E-3</v>
      </c>
      <c r="M47" s="2">
        <v>20</v>
      </c>
      <c r="N47" s="2">
        <v>0.10587296173223137</v>
      </c>
      <c r="O47" s="2">
        <v>0.37049338466764642</v>
      </c>
      <c r="P47" s="2">
        <v>0</v>
      </c>
      <c r="Q47" s="37">
        <v>-9.2051848062550917E-4</v>
      </c>
      <c r="R47" s="2">
        <v>5.0588938301076745E-4</v>
      </c>
      <c r="S47" s="2">
        <v>1.5150999999999999</v>
      </c>
      <c r="T47" s="2">
        <v>22.081214950947608</v>
      </c>
      <c r="U47" s="2">
        <f t="shared" si="0"/>
        <v>-3.7049338466764641</v>
      </c>
      <c r="V47" s="2">
        <v>1.5804</v>
      </c>
      <c r="W47" s="2">
        <f t="shared" si="1"/>
        <v>9.2051848062550921E-3</v>
      </c>
      <c r="X47">
        <f t="shared" si="5"/>
        <v>-220.81214950947609</v>
      </c>
      <c r="Y47">
        <f t="shared" si="2"/>
        <v>0.4168785470683557</v>
      </c>
      <c r="Z47" s="55">
        <f>IF(K47=-1,V32/2,(K47+L47)/2)* 10000</f>
        <v>36</v>
      </c>
      <c r="AA47">
        <f>IF(rightFromSymbol(A47)="C",MAX(0,$N$27-strikeFromSymbol(A47)),MAX(0,strikeFromSymbol(A47)-$N$27))*10000</f>
        <v>0</v>
      </c>
      <c r="AB47" s="53">
        <f t="shared" si="6"/>
        <v>36</v>
      </c>
      <c r="AC47" s="53">
        <f t="shared" si="3"/>
        <v>360</v>
      </c>
      <c r="AD47" s="52">
        <f t="shared" si="4"/>
        <v>2250</v>
      </c>
    </row>
    <row r="48" spans="1:33" x14ac:dyDescent="0.25">
      <c r="A48" s="2" t="s">
        <v>201</v>
      </c>
      <c r="B48" s="2">
        <v>-100</v>
      </c>
      <c r="C48" s="2">
        <v>2.2036500000000001E-3</v>
      </c>
      <c r="D48" s="2">
        <v>-13772.73</v>
      </c>
      <c r="E48" s="2">
        <v>316.29000000000002</v>
      </c>
      <c r="F48" s="30">
        <v>17856.27</v>
      </c>
      <c r="G48" s="2">
        <v>0</v>
      </c>
      <c r="H48" s="2">
        <v>2.8E-3</v>
      </c>
      <c r="I48" s="2">
        <v>1</v>
      </c>
      <c r="J48" s="2">
        <v>44</v>
      </c>
      <c r="K48" s="2">
        <v>1.9E-3</v>
      </c>
      <c r="L48" s="2">
        <v>2.0999999999999999E-3</v>
      </c>
      <c r="M48" s="2">
        <v>20</v>
      </c>
      <c r="N48" s="2">
        <v>0.10585739738849043</v>
      </c>
      <c r="O48" s="2">
        <v>0.2512062650457848</v>
      </c>
      <c r="P48" s="2">
        <v>0</v>
      </c>
      <c r="Q48" s="37">
        <v>-7.7300856057651961E-4</v>
      </c>
      <c r="R48" s="2">
        <v>4.3165097718545669E-4</v>
      </c>
      <c r="S48" s="2">
        <v>1.5150999999999999</v>
      </c>
      <c r="T48" s="2">
        <v>19.582125263648585</v>
      </c>
      <c r="U48" s="2">
        <f t="shared" si="0"/>
        <v>-25.120626504578482</v>
      </c>
      <c r="V48" s="2">
        <v>1.5804</v>
      </c>
      <c r="W48" s="2">
        <f t="shared" si="1"/>
        <v>7.7300856057651968E-2</v>
      </c>
      <c r="X48">
        <f t="shared" si="5"/>
        <v>-1958.2125263648586</v>
      </c>
      <c r="Y48">
        <f t="shared" si="2"/>
        <v>0.39475212734518633</v>
      </c>
      <c r="Z48" s="55">
        <f>IF(K48=-1,V33/2,(K48+L48)/2)* 10000</f>
        <v>20</v>
      </c>
      <c r="AA48">
        <f>IF(rightFromSymbol(A48)="C",MAX(0,$N$27-strikeFromSymbol(A48)),MAX(0,strikeFromSymbol(A48)-$N$27))*10000</f>
        <v>0</v>
      </c>
      <c r="AB48" s="53">
        <f t="shared" si="6"/>
        <v>20</v>
      </c>
      <c r="AC48" s="53">
        <f t="shared" si="3"/>
        <v>2000</v>
      </c>
      <c r="AD48" s="52">
        <f t="shared" si="4"/>
        <v>12500</v>
      </c>
    </row>
    <row r="49" spans="1:30" x14ac:dyDescent="0.25">
      <c r="A49" s="2"/>
      <c r="B49" s="2"/>
      <c r="C49" s="2"/>
      <c r="D49" s="2"/>
      <c r="E49" s="2"/>
      <c r="F49" s="30"/>
      <c r="G49" s="2"/>
      <c r="H49" s="2"/>
      <c r="I49" s="2"/>
      <c r="J49" s="2"/>
      <c r="K49" s="2"/>
      <c r="L49" s="2"/>
      <c r="M49" s="2"/>
      <c r="N49" s="2"/>
      <c r="O49" s="2"/>
      <c r="P49" s="38"/>
      <c r="Q49" s="37"/>
      <c r="R49" s="2"/>
      <c r="S49" s="2"/>
      <c r="T49" s="2"/>
      <c r="U49" s="2">
        <f t="shared" si="0"/>
        <v>0</v>
      </c>
      <c r="V49" s="2">
        <v>1.5804</v>
      </c>
      <c r="W49" s="2">
        <f t="shared" si="1"/>
        <v>0</v>
      </c>
      <c r="X49">
        <f t="shared" si="5"/>
        <v>0</v>
      </c>
      <c r="Y49">
        <f t="shared" si="2"/>
        <v>0</v>
      </c>
      <c r="Z49" s="55">
        <f>IF(K49=-1,#REF!/2,(K49+L49)/2)* 10000</f>
        <v>0</v>
      </c>
      <c r="AA49">
        <f>IF(rightFromSymbol(A49)="C",MAX(0,$N$27-strikeFromSymbol(A49)),MAX(0,strikeFromSymbol(A49)-$N$27))*10000</f>
        <v>0</v>
      </c>
      <c r="AB49" s="53">
        <f t="shared" si="6"/>
        <v>0</v>
      </c>
      <c r="AC49" s="53">
        <f t="shared" si="3"/>
        <v>0</v>
      </c>
      <c r="AD49" s="52">
        <f t="shared" si="4"/>
        <v>0</v>
      </c>
    </row>
    <row r="50" spans="1:30" x14ac:dyDescent="0.25">
      <c r="A50" s="2"/>
      <c r="B50" s="2"/>
      <c r="C50" s="2"/>
      <c r="D50" s="2"/>
      <c r="E50" s="2"/>
      <c r="F50" s="30"/>
      <c r="G50" s="2"/>
      <c r="H50" s="2"/>
      <c r="I50" s="2"/>
      <c r="J50" s="2"/>
      <c r="K50" s="2"/>
      <c r="L50" s="2"/>
      <c r="M50" s="2"/>
      <c r="N50" s="2"/>
      <c r="O50" s="2"/>
      <c r="P50" s="2"/>
      <c r="Q50" s="37"/>
      <c r="R50" s="2"/>
      <c r="S50" s="2"/>
      <c r="T50" s="2"/>
      <c r="U50" s="2">
        <f t="shared" si="0"/>
        <v>0</v>
      </c>
      <c r="V50" s="2">
        <v>1.5804</v>
      </c>
      <c r="W50" s="2">
        <f t="shared" si="1"/>
        <v>0</v>
      </c>
      <c r="X50">
        <f t="shared" si="5"/>
        <v>0</v>
      </c>
      <c r="Y50">
        <f t="shared" si="2"/>
        <v>0</v>
      </c>
      <c r="Z50" s="55">
        <f>IF(K50=-1,#REF!/2,(K50+L50)/2)* 10000</f>
        <v>0</v>
      </c>
      <c r="AA50">
        <f>IF(rightFromSymbol(A50)="C",MAX(0,$N$27-strikeFromSymbol(A50)),MAX(0,strikeFromSymbol(A50)-$N$27))*10000</f>
        <v>0</v>
      </c>
      <c r="AB50" s="53">
        <f t="shared" si="6"/>
        <v>0</v>
      </c>
      <c r="AC50" s="53">
        <f t="shared" si="3"/>
        <v>0</v>
      </c>
      <c r="AD50" s="52">
        <f t="shared" si="4"/>
        <v>0</v>
      </c>
    </row>
    <row r="51" spans="1:30" x14ac:dyDescent="0.25">
      <c r="A51" s="2"/>
      <c r="B51" s="2"/>
      <c r="C51" s="2"/>
      <c r="D51" s="2"/>
      <c r="E51" s="2"/>
      <c r="F51" s="30"/>
      <c r="G51" s="2"/>
      <c r="H51" s="2"/>
      <c r="I51" s="2"/>
      <c r="J51" s="2"/>
      <c r="K51" s="2"/>
      <c r="L51" s="2"/>
      <c r="M51" s="2"/>
      <c r="N51" s="2"/>
      <c r="O51" s="2"/>
      <c r="P51" s="2"/>
      <c r="Q51" s="37"/>
      <c r="R51" s="2"/>
      <c r="S51" s="2"/>
      <c r="T51" s="2"/>
      <c r="U51" s="2">
        <f t="shared" si="0"/>
        <v>0</v>
      </c>
      <c r="V51" s="2">
        <v>1.5804</v>
      </c>
      <c r="W51" s="2">
        <f t="shared" si="1"/>
        <v>0</v>
      </c>
      <c r="X51">
        <f t="shared" si="5"/>
        <v>0</v>
      </c>
      <c r="Y51">
        <f t="shared" si="2"/>
        <v>0</v>
      </c>
      <c r="Z51" s="55">
        <f>IF(K51=-1,#REF!/2,(K51+L51)/2)* 10000</f>
        <v>0</v>
      </c>
      <c r="AA51">
        <f>IF(rightFromSymbol(A51)="C",MAX(0,$N$27-strikeFromSymbol(A51)),MAX(0,strikeFromSymbol(A51)-$N$27))*10000</f>
        <v>0</v>
      </c>
      <c r="AB51" s="53">
        <f t="shared" si="6"/>
        <v>0</v>
      </c>
      <c r="AC51" s="53">
        <f t="shared" si="3"/>
        <v>0</v>
      </c>
      <c r="AD51" s="52">
        <f t="shared" si="4"/>
        <v>0</v>
      </c>
    </row>
    <row r="52" spans="1:30" x14ac:dyDescent="0.25">
      <c r="A52" s="2"/>
      <c r="B52" s="2"/>
      <c r="C52" s="2"/>
      <c r="D52" s="2"/>
      <c r="E52" s="2"/>
      <c r="F52" s="30"/>
      <c r="G52" s="2"/>
      <c r="H52" s="2"/>
      <c r="I52" s="2"/>
      <c r="J52" s="2"/>
      <c r="K52" s="2"/>
      <c r="L52" s="2"/>
      <c r="M52" s="2"/>
      <c r="N52" s="2"/>
      <c r="O52" s="2"/>
      <c r="P52" s="2"/>
      <c r="Q52" s="37"/>
      <c r="R52" s="2"/>
      <c r="S52" s="2"/>
      <c r="T52" s="2"/>
      <c r="U52" s="2">
        <f t="shared" si="0"/>
        <v>0</v>
      </c>
      <c r="V52" s="2">
        <v>1.5804</v>
      </c>
      <c r="W52" s="2">
        <f t="shared" si="1"/>
        <v>0</v>
      </c>
      <c r="X52">
        <f t="shared" si="5"/>
        <v>0</v>
      </c>
      <c r="Y52">
        <f t="shared" si="2"/>
        <v>0</v>
      </c>
      <c r="Z52" s="55">
        <f>IF(K52=-1,#REF!/2,(K52+L52)/2)* 10000</f>
        <v>0</v>
      </c>
      <c r="AA52">
        <f>IF(rightFromSymbol(A52)="C",MAX(0,$N$27-strikeFromSymbol(A52)),MAX(0,strikeFromSymbol(A52)-$N$27))*10000</f>
        <v>0</v>
      </c>
      <c r="AB52" s="53">
        <f t="shared" si="6"/>
        <v>0</v>
      </c>
      <c r="AC52" s="53">
        <f t="shared" si="3"/>
        <v>0</v>
      </c>
      <c r="AD52" s="52">
        <f t="shared" si="4"/>
        <v>0</v>
      </c>
    </row>
    <row r="53" spans="1:30" x14ac:dyDescent="0.25">
      <c r="A53" s="2"/>
      <c r="B53" s="2"/>
      <c r="C53" s="2"/>
      <c r="D53" s="2"/>
      <c r="E53" s="2"/>
      <c r="F53" s="30"/>
      <c r="G53" s="2"/>
      <c r="H53" s="2"/>
      <c r="I53" s="2"/>
      <c r="J53" s="2"/>
      <c r="K53" s="2"/>
      <c r="L53" s="2"/>
      <c r="M53" s="2"/>
      <c r="N53" s="2"/>
      <c r="O53" s="2"/>
      <c r="P53" s="2"/>
      <c r="Q53" s="37"/>
      <c r="R53" s="2"/>
      <c r="S53" s="2"/>
      <c r="T53" s="2"/>
      <c r="U53" s="2">
        <f t="shared" si="0"/>
        <v>0</v>
      </c>
      <c r="V53" s="2">
        <v>1.5804</v>
      </c>
      <c r="W53" s="2">
        <f t="shared" si="1"/>
        <v>0</v>
      </c>
      <c r="X53">
        <f t="shared" si="5"/>
        <v>0</v>
      </c>
      <c r="Y53">
        <f t="shared" si="2"/>
        <v>0</v>
      </c>
      <c r="Z53" s="55">
        <f t="shared" ref="Z53" si="7">IF(K53=-1,V42/2,(K53+L53)/2)* 10000</f>
        <v>0</v>
      </c>
      <c r="AA53">
        <f>IF(rightFromSymbol(A53)="C",MAX(0,$N$27-strikeFromSymbol(A53)),MAX(0,strikeFromSymbol(A53)-$N$27))*10000</f>
        <v>0</v>
      </c>
      <c r="AB53" s="53">
        <f t="shared" si="6"/>
        <v>0</v>
      </c>
      <c r="AC53" s="53">
        <f t="shared" si="3"/>
        <v>0</v>
      </c>
      <c r="AD53" s="52">
        <f t="shared" si="4"/>
        <v>0</v>
      </c>
    </row>
    <row r="54" spans="1:30" x14ac:dyDescent="0.25">
      <c r="A54" s="2"/>
      <c r="B54" s="2"/>
      <c r="C54" s="2"/>
      <c r="D54" s="2"/>
      <c r="E54" s="2"/>
      <c r="F54" s="30"/>
      <c r="G54" s="2"/>
      <c r="H54" s="2"/>
      <c r="I54" s="2"/>
      <c r="J54" s="2"/>
      <c r="K54" s="2"/>
      <c r="L54" s="2"/>
      <c r="M54" s="2"/>
      <c r="N54" s="2"/>
      <c r="O54" s="2"/>
      <c r="P54" s="2"/>
      <c r="Q54" s="37"/>
      <c r="R54" s="2"/>
      <c r="S54" s="2"/>
      <c r="T54" s="2"/>
      <c r="U54" s="2">
        <f t="shared" si="0"/>
        <v>0</v>
      </c>
      <c r="V54" s="2">
        <v>1.5804</v>
      </c>
      <c r="W54" s="2">
        <f t="shared" si="1"/>
        <v>0</v>
      </c>
      <c r="X54">
        <f t="shared" si="5"/>
        <v>0</v>
      </c>
      <c r="Y54">
        <f t="shared" si="2"/>
        <v>0</v>
      </c>
      <c r="Z54" s="55">
        <f>IF(K54=-1,M43/2,(K54+L54)/2)* 10000</f>
        <v>0</v>
      </c>
      <c r="AA54">
        <f>IF(rightFromSymbol(A54)="C",MAX(0,$N$27-strikeFromSymbol(A54)),MAX(0,strikeFromSymbol(A54)-$N$27))*10000</f>
        <v>0</v>
      </c>
      <c r="AB54" s="53">
        <f t="shared" si="6"/>
        <v>0</v>
      </c>
      <c r="AC54" s="53">
        <f t="shared" si="3"/>
        <v>0</v>
      </c>
      <c r="AD54" s="52">
        <f>MAX(0,AC54*6.25)</f>
        <v>0</v>
      </c>
    </row>
    <row r="55" spans="1:30" x14ac:dyDescent="0.25">
      <c r="A55" s="2"/>
      <c r="B55" s="2"/>
      <c r="C55" s="2"/>
      <c r="D55" s="2"/>
      <c r="E55" s="2"/>
      <c r="F55" s="30"/>
      <c r="G55" s="2"/>
      <c r="H55" s="2"/>
      <c r="I55" s="2"/>
      <c r="J55" s="2"/>
      <c r="K55" s="2"/>
      <c r="L55" s="2"/>
      <c r="M55" s="2"/>
      <c r="N55" s="2"/>
      <c r="O55" s="2"/>
      <c r="P55" s="2"/>
      <c r="Q55" s="37"/>
      <c r="R55" s="2"/>
      <c r="S55" s="2"/>
      <c r="T55" s="2"/>
      <c r="U55" s="2">
        <f t="shared" si="0"/>
        <v>0</v>
      </c>
      <c r="V55" s="2">
        <v>1.5804</v>
      </c>
      <c r="W55" s="2">
        <f t="shared" si="1"/>
        <v>0</v>
      </c>
      <c r="X55">
        <f t="shared" si="5"/>
        <v>0</v>
      </c>
      <c r="Y55">
        <f t="shared" si="2"/>
        <v>0</v>
      </c>
      <c r="Z55" s="55">
        <v>0</v>
      </c>
      <c r="AA55">
        <f>IF(rightFromSymbol(A55)="C",MAX(0,$N$27-strikeFromSymbol(A55)),MAX(0,strikeFromSymbol(A55)-$N$27))*10000</f>
        <v>0</v>
      </c>
      <c r="AB55" s="53">
        <f t="shared" si="6"/>
        <v>0</v>
      </c>
      <c r="AC55" s="53">
        <f t="shared" si="3"/>
        <v>0</v>
      </c>
      <c r="AD55" s="52">
        <f t="shared" ref="AD55:AD65" si="8">MAX(0,AC55*6.25)</f>
        <v>0</v>
      </c>
    </row>
    <row r="56" spans="1:30" x14ac:dyDescent="0.25">
      <c r="A56" s="2"/>
      <c r="B56" s="2"/>
      <c r="C56" s="2"/>
      <c r="D56" s="2"/>
      <c r="E56" s="2"/>
      <c r="F56" s="30"/>
      <c r="G56" s="2"/>
      <c r="H56" s="2"/>
      <c r="I56" s="2"/>
      <c r="J56" s="2"/>
      <c r="K56" s="2"/>
      <c r="L56" s="2"/>
      <c r="M56" s="2"/>
      <c r="N56" s="2"/>
      <c r="O56" s="2"/>
      <c r="P56" s="2"/>
      <c r="Q56" s="37"/>
      <c r="R56" s="2"/>
      <c r="S56" s="2"/>
      <c r="T56" s="2"/>
      <c r="U56" s="2">
        <f t="shared" si="0"/>
        <v>0</v>
      </c>
      <c r="V56" s="2"/>
      <c r="W56" s="2">
        <f t="shared" si="1"/>
        <v>0</v>
      </c>
      <c r="X56">
        <f t="shared" si="5"/>
        <v>0</v>
      </c>
      <c r="Y56">
        <f t="shared" si="2"/>
        <v>0</v>
      </c>
      <c r="Z56" s="55">
        <f t="shared" ref="Z56:Z65" si="9">IF(K56=-1,L45/2,(K56+L56)/2)* 10000</f>
        <v>0</v>
      </c>
      <c r="AA56">
        <f>IF(rightFromSymbol(A56)="C",MAX(0,$N$27-strikeFromSymbol(A56)),MAX(0,strikeFromSymbol(A56)-$N$27))*10000</f>
        <v>0</v>
      </c>
      <c r="AB56" s="53">
        <f t="shared" si="6"/>
        <v>0</v>
      </c>
      <c r="AC56" s="53">
        <f t="shared" si="3"/>
        <v>0</v>
      </c>
      <c r="AD56" s="52">
        <f t="shared" si="8"/>
        <v>0</v>
      </c>
    </row>
    <row r="57" spans="1:30" x14ac:dyDescent="0.25">
      <c r="A57" s="2"/>
      <c r="B57" s="2"/>
      <c r="C57" s="2"/>
      <c r="D57" s="2"/>
      <c r="E57" s="2"/>
      <c r="F57" s="30"/>
      <c r="G57" s="2"/>
      <c r="H57" s="2"/>
      <c r="I57" s="2"/>
      <c r="J57" s="2"/>
      <c r="K57" s="2"/>
      <c r="L57" s="2"/>
      <c r="M57" s="2"/>
      <c r="N57" s="2"/>
      <c r="O57" s="2"/>
      <c r="P57" s="2"/>
      <c r="Q57" s="37"/>
      <c r="R57" s="2"/>
      <c r="S57" s="2"/>
      <c r="T57" s="2"/>
      <c r="U57" s="2">
        <f t="shared" si="0"/>
        <v>0</v>
      </c>
      <c r="V57" s="2"/>
      <c r="W57" s="2">
        <f t="shared" si="1"/>
        <v>0</v>
      </c>
      <c r="X57">
        <f t="shared" si="5"/>
        <v>0</v>
      </c>
      <c r="Y57">
        <f t="shared" si="2"/>
        <v>0</v>
      </c>
      <c r="Z57" s="55">
        <f t="shared" si="9"/>
        <v>0</v>
      </c>
      <c r="AA57">
        <f>IF(rightFromSymbol(A57)="C",MAX(0,$N$27-strikeFromSymbol(A57)),MAX(0,strikeFromSymbol(A57)-$N$27))*10000</f>
        <v>0</v>
      </c>
      <c r="AB57" s="53">
        <f t="shared" si="6"/>
        <v>0</v>
      </c>
      <c r="AC57" s="53">
        <f t="shared" si="3"/>
        <v>0</v>
      </c>
      <c r="AD57" s="52">
        <f t="shared" si="8"/>
        <v>0</v>
      </c>
    </row>
    <row r="58" spans="1:30" x14ac:dyDescent="0.25">
      <c r="A58" s="2"/>
      <c r="B58" s="2"/>
      <c r="C58" s="2"/>
      <c r="D58" s="2"/>
      <c r="E58" s="2"/>
      <c r="F58" s="30"/>
      <c r="G58" s="2"/>
      <c r="H58" s="2"/>
      <c r="I58" s="2"/>
      <c r="J58" s="2"/>
      <c r="K58" s="2"/>
      <c r="L58" s="2"/>
      <c r="M58" s="2"/>
      <c r="N58" s="2"/>
      <c r="O58" s="2"/>
      <c r="P58" s="2"/>
      <c r="Q58" s="37"/>
      <c r="R58" s="2"/>
      <c r="S58" s="2"/>
      <c r="T58" s="2"/>
      <c r="U58" s="2">
        <f t="shared" si="0"/>
        <v>0</v>
      </c>
      <c r="V58" s="2"/>
      <c r="W58" s="2">
        <f t="shared" si="1"/>
        <v>0</v>
      </c>
      <c r="X58">
        <f t="shared" si="5"/>
        <v>0</v>
      </c>
      <c r="Y58">
        <f t="shared" si="2"/>
        <v>0</v>
      </c>
      <c r="Z58" s="55">
        <f t="shared" si="9"/>
        <v>0</v>
      </c>
      <c r="AA58">
        <f>IF(rightFromSymbol(A58)="C",MAX(0,$N$27-strikeFromSymbol(A58)),MAX(0,strikeFromSymbol(A58)-$N$27))*10000</f>
        <v>0</v>
      </c>
      <c r="AB58" s="53">
        <f t="shared" si="6"/>
        <v>0</v>
      </c>
      <c r="AC58" s="53">
        <f t="shared" si="3"/>
        <v>0</v>
      </c>
      <c r="AD58" s="52">
        <f t="shared" si="8"/>
        <v>0</v>
      </c>
    </row>
    <row r="59" spans="1:30" x14ac:dyDescent="0.25">
      <c r="A59" s="2"/>
      <c r="B59" s="2"/>
      <c r="C59" s="2"/>
      <c r="D59" s="2"/>
      <c r="E59" s="2"/>
      <c r="F59" s="30"/>
      <c r="G59" s="2"/>
      <c r="H59" s="2"/>
      <c r="I59" s="2"/>
      <c r="J59" s="2"/>
      <c r="K59" s="2"/>
      <c r="L59" s="2"/>
      <c r="M59" s="2"/>
      <c r="N59" s="2"/>
      <c r="O59" s="2"/>
      <c r="P59" s="2"/>
      <c r="Q59" s="37"/>
      <c r="R59" s="2"/>
      <c r="S59" s="2"/>
      <c r="T59" s="2"/>
      <c r="U59" s="2">
        <f t="shared" si="0"/>
        <v>0</v>
      </c>
      <c r="V59" s="2"/>
      <c r="W59" s="2">
        <f t="shared" si="1"/>
        <v>0</v>
      </c>
      <c r="X59">
        <f t="shared" si="5"/>
        <v>0</v>
      </c>
      <c r="Y59">
        <f t="shared" si="2"/>
        <v>0</v>
      </c>
      <c r="Z59" s="55">
        <f t="shared" si="9"/>
        <v>0</v>
      </c>
      <c r="AA59">
        <f>IF(rightFromSymbol(A59)="C",MAX(0,$N$27-strikeFromSymbol(A59)),MAX(0,strikeFromSymbol(A59)-$N$27))*10000</f>
        <v>0</v>
      </c>
      <c r="AB59" s="53">
        <f t="shared" si="6"/>
        <v>0</v>
      </c>
      <c r="AC59" s="53">
        <f t="shared" si="3"/>
        <v>0</v>
      </c>
      <c r="AD59" s="52">
        <f t="shared" si="8"/>
        <v>0</v>
      </c>
    </row>
    <row r="60" spans="1:30" x14ac:dyDescent="0.25">
      <c r="A60" s="2"/>
      <c r="B60" s="2"/>
      <c r="C60" s="2"/>
      <c r="D60" s="2"/>
      <c r="E60" s="2"/>
      <c r="F60" s="30"/>
      <c r="G60" s="2"/>
      <c r="H60" s="2"/>
      <c r="I60" s="2"/>
      <c r="J60" s="2"/>
      <c r="K60" s="2"/>
      <c r="L60" s="2"/>
      <c r="M60" s="2"/>
      <c r="N60" s="2"/>
      <c r="O60" s="2"/>
      <c r="P60" s="2"/>
      <c r="Q60" s="37"/>
      <c r="R60" s="2"/>
      <c r="S60" s="2"/>
      <c r="T60" s="2"/>
      <c r="U60" s="2">
        <f t="shared" si="0"/>
        <v>0</v>
      </c>
      <c r="V60" s="2"/>
      <c r="W60" s="2">
        <f t="shared" si="1"/>
        <v>0</v>
      </c>
      <c r="X60">
        <f t="shared" si="5"/>
        <v>0</v>
      </c>
      <c r="Y60">
        <f t="shared" si="2"/>
        <v>0</v>
      </c>
      <c r="Z60" s="55">
        <f t="shared" si="9"/>
        <v>0</v>
      </c>
      <c r="AA60">
        <f>IF(rightFromSymbol(A60)="C",MAX(0,$N$27-strikeFromSymbol(A60)),MAX(0,strikeFromSymbol(A60)-$N$27))*10000</f>
        <v>0</v>
      </c>
      <c r="AB60" s="53">
        <f t="shared" si="6"/>
        <v>0</v>
      </c>
      <c r="AC60" s="53">
        <f t="shared" si="3"/>
        <v>0</v>
      </c>
      <c r="AD60" s="52">
        <f t="shared" si="8"/>
        <v>0</v>
      </c>
    </row>
    <row r="61" spans="1:30" x14ac:dyDescent="0.25">
      <c r="A61" s="2"/>
      <c r="B61" s="2"/>
      <c r="C61" s="2"/>
      <c r="D61" s="2"/>
      <c r="E61" s="2"/>
      <c r="F61" s="30"/>
      <c r="G61" s="2"/>
      <c r="H61" s="2"/>
      <c r="I61" s="2"/>
      <c r="J61" s="2"/>
      <c r="K61" s="2"/>
      <c r="L61" s="2"/>
      <c r="M61" s="2"/>
      <c r="N61" s="2"/>
      <c r="O61" s="2"/>
      <c r="P61" s="2"/>
      <c r="Q61" s="37"/>
      <c r="R61" s="2"/>
      <c r="S61" s="2"/>
      <c r="T61" s="2"/>
      <c r="U61" s="2">
        <f t="shared" si="0"/>
        <v>0</v>
      </c>
      <c r="V61" s="2"/>
      <c r="W61" s="2">
        <f t="shared" si="1"/>
        <v>0</v>
      </c>
      <c r="X61">
        <f t="shared" si="5"/>
        <v>0</v>
      </c>
      <c r="Y61">
        <f t="shared" si="2"/>
        <v>0</v>
      </c>
      <c r="Z61" s="55">
        <f t="shared" si="9"/>
        <v>0</v>
      </c>
      <c r="AA61">
        <f>IF(rightFromSymbol(A61)="C",MAX(0,$N$27-strikeFromSymbol(A61)),MAX(0,strikeFromSymbol(A61)-$N$27))*10000</f>
        <v>0</v>
      </c>
      <c r="AB61" s="53">
        <f t="shared" si="6"/>
        <v>0</v>
      </c>
      <c r="AC61" s="53">
        <f t="shared" si="3"/>
        <v>0</v>
      </c>
      <c r="AD61" s="52">
        <f t="shared" si="8"/>
        <v>0</v>
      </c>
    </row>
    <row r="62" spans="1:30" x14ac:dyDescent="0.25">
      <c r="A62" s="2"/>
      <c r="B62" s="2"/>
      <c r="C62" s="2"/>
      <c r="D62" s="2"/>
      <c r="E62" s="2"/>
      <c r="F62" s="30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>
        <f t="shared" si="0"/>
        <v>0</v>
      </c>
      <c r="V62" s="2"/>
      <c r="W62" s="2">
        <f t="shared" si="1"/>
        <v>0</v>
      </c>
      <c r="X62">
        <f t="shared" si="5"/>
        <v>0</v>
      </c>
      <c r="Y62">
        <f t="shared" si="2"/>
        <v>0</v>
      </c>
      <c r="Z62" s="55">
        <f t="shared" si="9"/>
        <v>0</v>
      </c>
      <c r="AA62">
        <f>IF(rightFromSymbol(A62)="C",MAX(0,$N$27-strikeFromSymbol(A62)),MAX(0,strikeFromSymbol(A62)-$N$27))*10000</f>
        <v>0</v>
      </c>
      <c r="AB62" s="53">
        <f t="shared" si="6"/>
        <v>0</v>
      </c>
      <c r="AC62" s="53">
        <f t="shared" si="3"/>
        <v>0</v>
      </c>
      <c r="AD62" s="52">
        <f t="shared" si="8"/>
        <v>0</v>
      </c>
    </row>
    <row r="63" spans="1:30" x14ac:dyDescent="0.25">
      <c r="A63" s="2"/>
      <c r="B63" s="2"/>
      <c r="C63" s="2"/>
      <c r="D63" s="2"/>
      <c r="E63" s="2"/>
      <c r="F63" s="30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>
        <f t="shared" si="0"/>
        <v>0</v>
      </c>
      <c r="V63" s="2"/>
      <c r="W63" s="2">
        <f t="shared" si="1"/>
        <v>0</v>
      </c>
      <c r="X63">
        <f t="shared" si="5"/>
        <v>0</v>
      </c>
      <c r="Y63">
        <f t="shared" si="2"/>
        <v>0</v>
      </c>
      <c r="Z63" s="55">
        <f t="shared" si="9"/>
        <v>0</v>
      </c>
      <c r="AA63">
        <f>IF(rightFromSymbol(A63)="C",MAX(0,$N$27-strikeFromSymbol(A63)),MAX(0,strikeFromSymbol(A63)-$N$27))*10000</f>
        <v>0</v>
      </c>
      <c r="AB63" s="53">
        <f t="shared" si="6"/>
        <v>0</v>
      </c>
      <c r="AC63" s="53">
        <f t="shared" si="3"/>
        <v>0</v>
      </c>
      <c r="AD63" s="52">
        <f t="shared" si="8"/>
        <v>0</v>
      </c>
    </row>
    <row r="64" spans="1:30" x14ac:dyDescent="0.25">
      <c r="A64" s="2"/>
      <c r="B64" s="2"/>
      <c r="C64" s="2"/>
      <c r="D64" s="2"/>
      <c r="E64" s="2"/>
      <c r="F64" s="30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>
        <f t="shared" si="0"/>
        <v>0</v>
      </c>
      <c r="V64" s="2"/>
      <c r="W64" s="2">
        <f t="shared" si="1"/>
        <v>0</v>
      </c>
      <c r="X64">
        <f t="shared" si="5"/>
        <v>0</v>
      </c>
      <c r="Y64">
        <f t="shared" si="2"/>
        <v>0</v>
      </c>
      <c r="Z64" s="55">
        <f t="shared" si="9"/>
        <v>0</v>
      </c>
      <c r="AA64">
        <f>IF(rightFromSymbol(A64)="C",MAX(0,$N$27-strikeFromSymbol(A64)),MAX(0,strikeFromSymbol(A64)-$N$27))*10000</f>
        <v>0</v>
      </c>
      <c r="AB64" s="53">
        <f t="shared" si="6"/>
        <v>0</v>
      </c>
      <c r="AC64" s="53">
        <f t="shared" si="3"/>
        <v>0</v>
      </c>
      <c r="AD64" s="52">
        <f t="shared" si="8"/>
        <v>0</v>
      </c>
    </row>
    <row r="65" spans="1:30" x14ac:dyDescent="0.25">
      <c r="A65" s="2"/>
      <c r="B65" s="2"/>
      <c r="C65" s="2"/>
      <c r="D65" s="2"/>
      <c r="E65" s="2"/>
      <c r="F65" s="30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>
        <f t="shared" si="0"/>
        <v>0</v>
      </c>
      <c r="V65" s="2"/>
      <c r="W65" s="2">
        <f t="shared" si="1"/>
        <v>0</v>
      </c>
      <c r="X65">
        <f t="shared" si="5"/>
        <v>0</v>
      </c>
      <c r="Y65">
        <f t="shared" si="2"/>
        <v>0</v>
      </c>
      <c r="Z65" s="55">
        <f t="shared" si="9"/>
        <v>0</v>
      </c>
      <c r="AA65">
        <f>IF(rightFromSymbol(A65)="C",MAX(0,$N$27-strikeFromSymbol(A65)),MAX(0,strikeFromSymbol(A65)-$N$27))*10000</f>
        <v>0</v>
      </c>
      <c r="AB65" s="53">
        <f t="shared" si="6"/>
        <v>0</v>
      </c>
      <c r="AC65" s="53">
        <f t="shared" si="3"/>
        <v>0</v>
      </c>
      <c r="AD65" s="52">
        <f t="shared" si="8"/>
        <v>0</v>
      </c>
    </row>
    <row r="71" spans="1:30" x14ac:dyDescent="0.25">
      <c r="A71" s="98" t="s">
        <v>184</v>
      </c>
      <c r="B71" s="99"/>
      <c r="C71" s="99"/>
      <c r="D71" s="99"/>
      <c r="E71" s="99"/>
      <c r="F71" s="99"/>
      <c r="G71" s="99"/>
      <c r="H71" s="99"/>
      <c r="I71" s="99"/>
      <c r="J71" s="99"/>
      <c r="K71" s="99"/>
      <c r="L71" s="99"/>
      <c r="M71" s="99"/>
    </row>
    <row r="72" spans="1:30" x14ac:dyDescent="0.25">
      <c r="A72" s="100" t="s">
        <v>41</v>
      </c>
      <c r="B72" s="101"/>
      <c r="C72" s="101"/>
      <c r="D72" s="101"/>
      <c r="E72" s="101"/>
      <c r="F72" s="101"/>
      <c r="G72" s="101"/>
      <c r="H72" s="101"/>
      <c r="I72" s="101"/>
      <c r="J72" s="101"/>
      <c r="K72" s="101"/>
      <c r="L72" s="101"/>
      <c r="M72" s="101"/>
    </row>
    <row r="73" spans="1:30" x14ac:dyDescent="0.25">
      <c r="A73" s="75" t="s">
        <v>9</v>
      </c>
      <c r="B73" s="74" t="s">
        <v>42</v>
      </c>
      <c r="C73" s="74" t="s">
        <v>43</v>
      </c>
      <c r="D73" s="74" t="s">
        <v>44</v>
      </c>
      <c r="E73" s="74" t="s">
        <v>45</v>
      </c>
      <c r="F73" s="74" t="s">
        <v>33</v>
      </c>
      <c r="G73" s="74" t="s">
        <v>46</v>
      </c>
      <c r="H73" s="74" t="s">
        <v>47</v>
      </c>
      <c r="I73" s="74" t="s">
        <v>48</v>
      </c>
      <c r="J73" s="74" t="s">
        <v>49</v>
      </c>
      <c r="K73" s="74" t="s">
        <v>50</v>
      </c>
      <c r="L73" s="74" t="s">
        <v>51</v>
      </c>
      <c r="M73" s="74" t="s">
        <v>52</v>
      </c>
    </row>
    <row r="74" spans="1:30" x14ac:dyDescent="0.25">
      <c r="A74" s="2"/>
      <c r="B74" s="16"/>
      <c r="C74" s="22"/>
      <c r="D74" s="16"/>
      <c r="E74" s="16"/>
      <c r="F74" s="16"/>
      <c r="G74" s="16"/>
      <c r="H74" s="16"/>
      <c r="I74" s="16"/>
      <c r="J74" s="16"/>
      <c r="K74" s="16"/>
      <c r="L74" s="16"/>
      <c r="M74" s="16"/>
    </row>
    <row r="75" spans="1:30" x14ac:dyDescent="0.25">
      <c r="A75" s="2"/>
      <c r="B75" s="16"/>
      <c r="C75" s="22"/>
      <c r="D75" s="16"/>
      <c r="E75" s="16"/>
      <c r="F75" s="16"/>
      <c r="G75" s="16"/>
      <c r="H75" s="16"/>
      <c r="I75" s="16"/>
      <c r="J75" s="16"/>
      <c r="K75" s="16"/>
      <c r="L75" s="16"/>
      <c r="M75" s="16"/>
    </row>
    <row r="76" spans="1:30" x14ac:dyDescent="0.25">
      <c r="A76" s="2"/>
      <c r="B76" s="16"/>
      <c r="C76" s="22"/>
      <c r="D76" s="16"/>
      <c r="E76" s="16"/>
      <c r="F76" s="16"/>
      <c r="G76" s="16"/>
      <c r="H76" s="16"/>
      <c r="I76" s="16"/>
      <c r="J76" s="16"/>
      <c r="K76" s="16"/>
      <c r="L76" s="16"/>
      <c r="M76" s="16"/>
    </row>
    <row r="77" spans="1:30" x14ac:dyDescent="0.25">
      <c r="A77" s="2"/>
      <c r="B77" s="16"/>
      <c r="C77" s="22"/>
      <c r="D77" s="16"/>
      <c r="E77" s="16"/>
      <c r="F77" s="16"/>
      <c r="G77" s="16"/>
      <c r="H77" s="16"/>
      <c r="I77" s="16"/>
      <c r="J77" s="16"/>
      <c r="K77" s="16"/>
      <c r="L77" s="16"/>
      <c r="M77" s="16"/>
    </row>
    <row r="78" spans="1:30" x14ac:dyDescent="0.25">
      <c r="A78" s="2"/>
      <c r="B78" s="16"/>
      <c r="C78" s="24"/>
      <c r="D78" s="16"/>
      <c r="E78" s="16"/>
      <c r="F78" s="16"/>
      <c r="G78" s="16"/>
      <c r="H78" s="16"/>
      <c r="I78" s="16"/>
      <c r="J78" s="16"/>
      <c r="K78" s="16"/>
      <c r="L78" s="16"/>
      <c r="M78" s="16"/>
    </row>
    <row r="79" spans="1:30" x14ac:dyDescent="0.25">
      <c r="A79" s="2"/>
      <c r="B79" s="16"/>
      <c r="C79" s="24"/>
      <c r="D79" s="16"/>
      <c r="E79" s="16"/>
      <c r="F79" s="16"/>
      <c r="G79" s="16"/>
      <c r="H79" s="16"/>
      <c r="I79" s="16"/>
      <c r="J79" s="16"/>
      <c r="K79" s="16"/>
      <c r="L79" s="16"/>
      <c r="M79" s="16"/>
    </row>
    <row r="80" spans="1:30" x14ac:dyDescent="0.25">
      <c r="A80" s="2"/>
      <c r="B80" s="16"/>
      <c r="C80" s="24"/>
      <c r="D80" s="16"/>
      <c r="E80" s="16"/>
      <c r="F80" s="16"/>
      <c r="G80" s="16"/>
      <c r="H80" s="16"/>
      <c r="I80" s="16"/>
      <c r="J80" s="16"/>
      <c r="K80" s="16"/>
      <c r="L80" s="16"/>
      <c r="M80" s="16"/>
    </row>
    <row r="81" spans="1:13" x14ac:dyDescent="0.25">
      <c r="A81" s="2"/>
      <c r="B81" s="16"/>
      <c r="C81" s="22"/>
      <c r="D81" s="16"/>
      <c r="E81" s="16"/>
      <c r="F81" s="16"/>
      <c r="G81" s="16"/>
      <c r="H81" s="16"/>
      <c r="I81" s="16"/>
      <c r="J81" s="16"/>
      <c r="K81" s="16"/>
      <c r="L81" s="16"/>
      <c r="M81" s="16"/>
    </row>
    <row r="82" spans="1:13" x14ac:dyDescent="0.25">
      <c r="A82" s="2"/>
      <c r="B82" s="16"/>
      <c r="C82" s="24"/>
      <c r="D82" s="16"/>
      <c r="E82" s="16"/>
      <c r="F82" s="16"/>
      <c r="G82" s="16"/>
      <c r="H82" s="16"/>
      <c r="I82" s="16"/>
      <c r="J82" s="16"/>
      <c r="K82" s="16"/>
      <c r="L82" s="16"/>
      <c r="M82" s="16"/>
    </row>
    <row r="83" spans="1:13" x14ac:dyDescent="0.25">
      <c r="A83" s="2"/>
      <c r="B83" s="16"/>
      <c r="C83" s="22"/>
      <c r="D83" s="16"/>
      <c r="E83" s="16"/>
      <c r="F83" s="16"/>
      <c r="G83" s="16"/>
      <c r="H83" s="16"/>
      <c r="I83" s="16"/>
      <c r="J83" s="16"/>
      <c r="K83" s="16"/>
      <c r="L83" s="16"/>
      <c r="M83" s="16"/>
    </row>
    <row r="84" spans="1:13" x14ac:dyDescent="0.25">
      <c r="A84" s="2"/>
      <c r="B84" s="16"/>
      <c r="C84" s="24"/>
      <c r="D84" s="16"/>
      <c r="E84" s="16"/>
      <c r="F84" s="16"/>
      <c r="G84" s="16"/>
      <c r="H84" s="16"/>
      <c r="I84" s="16"/>
      <c r="J84" s="16"/>
      <c r="K84" s="16"/>
      <c r="L84" s="16"/>
      <c r="M84" s="16"/>
    </row>
    <row r="85" spans="1:13" x14ac:dyDescent="0.25">
      <c r="A85" s="2"/>
      <c r="B85" s="16"/>
      <c r="C85" s="22"/>
      <c r="D85" s="16"/>
      <c r="E85" s="16"/>
      <c r="F85" s="16"/>
      <c r="G85" s="16"/>
      <c r="H85" s="16"/>
      <c r="I85" s="16"/>
      <c r="J85" s="16"/>
      <c r="K85" s="16"/>
      <c r="L85" s="16"/>
      <c r="M85" s="16"/>
    </row>
    <row r="86" spans="1:13" x14ac:dyDescent="0.25">
      <c r="A86" s="2"/>
      <c r="B86" s="16"/>
      <c r="C86" s="24"/>
      <c r="D86" s="16"/>
      <c r="E86" s="16"/>
      <c r="F86" s="16"/>
      <c r="G86" s="16"/>
      <c r="H86" s="16"/>
      <c r="I86" s="16"/>
      <c r="J86" s="16"/>
      <c r="K86" s="16"/>
      <c r="L86" s="16"/>
      <c r="M86" s="16"/>
    </row>
    <row r="87" spans="1:13" x14ac:dyDescent="0.25">
      <c r="A87" s="2"/>
      <c r="B87" s="16"/>
      <c r="C87" s="22"/>
      <c r="D87" s="16"/>
      <c r="E87" s="16"/>
      <c r="F87" s="16"/>
      <c r="G87" s="16"/>
      <c r="H87" s="16"/>
      <c r="I87" s="16"/>
      <c r="J87" s="16"/>
      <c r="K87" s="16"/>
      <c r="L87" s="16"/>
      <c r="M87" s="16"/>
    </row>
    <row r="88" spans="1:13" x14ac:dyDescent="0.25">
      <c r="A88" s="2"/>
      <c r="B88" s="16"/>
      <c r="C88" s="24"/>
      <c r="D88" s="16"/>
      <c r="E88" s="16"/>
      <c r="F88" s="16"/>
      <c r="G88" s="16"/>
      <c r="H88" s="16"/>
      <c r="I88" s="16"/>
      <c r="J88" s="16"/>
      <c r="K88" s="16"/>
      <c r="L88" s="16"/>
      <c r="M88" s="16"/>
    </row>
    <row r="89" spans="1:13" x14ac:dyDescent="0.25">
      <c r="A89" s="2"/>
      <c r="B89" s="16"/>
      <c r="C89" s="24"/>
      <c r="D89" s="16"/>
      <c r="E89" s="16"/>
      <c r="F89" s="16"/>
      <c r="G89" s="16"/>
      <c r="H89" s="16"/>
      <c r="I89" s="16"/>
      <c r="J89" s="16"/>
      <c r="K89" s="16"/>
      <c r="L89" s="16"/>
      <c r="M89" s="16"/>
    </row>
    <row r="90" spans="1:13" x14ac:dyDescent="0.25">
      <c r="A90" s="2"/>
      <c r="B90" s="16"/>
      <c r="C90" s="24"/>
      <c r="D90" s="16"/>
      <c r="E90" s="16"/>
      <c r="F90" s="16"/>
      <c r="G90" s="16"/>
      <c r="H90" s="16"/>
      <c r="I90" s="16"/>
      <c r="J90" s="16"/>
      <c r="K90" s="16"/>
      <c r="L90" s="16"/>
      <c r="M90" s="16"/>
    </row>
    <row r="91" spans="1:13" x14ac:dyDescent="0.25">
      <c r="A91" s="2"/>
      <c r="B91" s="16"/>
      <c r="C91" s="22"/>
      <c r="D91" s="16"/>
      <c r="E91" s="16"/>
      <c r="F91" s="16"/>
      <c r="G91" s="16"/>
      <c r="H91" s="16"/>
      <c r="I91" s="16"/>
      <c r="J91" s="16"/>
      <c r="K91" s="16"/>
      <c r="L91" s="16"/>
      <c r="M91" s="16"/>
    </row>
    <row r="92" spans="1:13" x14ac:dyDescent="0.25">
      <c r="A92" s="2"/>
      <c r="B92" s="16"/>
      <c r="C92" s="22"/>
      <c r="D92" s="16"/>
      <c r="E92" s="16"/>
      <c r="F92" s="16"/>
      <c r="G92" s="16"/>
      <c r="H92" s="16"/>
      <c r="I92" s="16"/>
      <c r="J92" s="16"/>
      <c r="K92" s="16"/>
      <c r="L92" s="16"/>
      <c r="M92" s="16"/>
    </row>
    <row r="93" spans="1:13" x14ac:dyDescent="0.25">
      <c r="A93" s="2"/>
      <c r="B93" s="16"/>
      <c r="C93" s="22"/>
      <c r="D93" s="16"/>
      <c r="E93" s="16"/>
      <c r="F93" s="16"/>
      <c r="G93" s="16"/>
      <c r="H93" s="16"/>
      <c r="I93" s="16"/>
      <c r="J93" s="16"/>
      <c r="K93" s="16"/>
      <c r="L93" s="16"/>
      <c r="M93" s="16"/>
    </row>
    <row r="94" spans="1:13" x14ac:dyDescent="0.25">
      <c r="A94" s="2"/>
      <c r="B94" s="16"/>
      <c r="C94" s="22"/>
      <c r="D94" s="16"/>
      <c r="E94" s="16"/>
      <c r="F94" s="16"/>
      <c r="G94" s="16"/>
      <c r="H94" s="16"/>
      <c r="I94" s="16"/>
      <c r="J94" s="16"/>
      <c r="K94" s="16"/>
      <c r="L94" s="16"/>
      <c r="M94" s="16"/>
    </row>
    <row r="95" spans="1:13" x14ac:dyDescent="0.25">
      <c r="A95" s="2"/>
      <c r="B95" s="16"/>
      <c r="C95" s="24"/>
      <c r="D95" s="16"/>
      <c r="E95" s="16"/>
      <c r="F95" s="16"/>
      <c r="G95" s="16"/>
      <c r="H95" s="16"/>
      <c r="I95" s="16"/>
      <c r="J95" s="16"/>
      <c r="K95" s="16"/>
      <c r="L95" s="16"/>
      <c r="M95" s="16"/>
    </row>
    <row r="96" spans="1:13" x14ac:dyDescent="0.25">
      <c r="A96" s="2"/>
      <c r="B96" s="16"/>
      <c r="C96" s="24"/>
      <c r="D96" s="16"/>
      <c r="E96" s="16"/>
      <c r="F96" s="16"/>
      <c r="G96" s="16"/>
      <c r="H96" s="16"/>
      <c r="I96" s="16"/>
      <c r="J96" s="16"/>
      <c r="K96" s="16"/>
      <c r="L96" s="16"/>
      <c r="M96" s="16"/>
    </row>
    <row r="97" spans="1:13" x14ac:dyDescent="0.25">
      <c r="A97" s="2"/>
      <c r="B97" s="16"/>
      <c r="C97" s="24"/>
      <c r="D97" s="16"/>
      <c r="E97" s="16"/>
      <c r="F97" s="16"/>
      <c r="G97" s="16"/>
      <c r="H97" s="16"/>
      <c r="I97" s="16"/>
      <c r="J97" s="16"/>
      <c r="K97" s="16"/>
      <c r="L97" s="16"/>
      <c r="M97" s="16"/>
    </row>
    <row r="98" spans="1:13" x14ac:dyDescent="0.25">
      <c r="A98" s="2"/>
      <c r="B98" s="16"/>
      <c r="C98" s="24"/>
      <c r="D98" s="16"/>
      <c r="E98" s="16"/>
      <c r="F98" s="16"/>
      <c r="G98" s="16"/>
      <c r="H98" s="16"/>
      <c r="I98" s="16"/>
      <c r="J98" s="16"/>
      <c r="K98" s="16"/>
      <c r="L98" s="16"/>
      <c r="M98" s="16"/>
    </row>
    <row r="99" spans="1:13" x14ac:dyDescent="0.25">
      <c r="A99" s="2"/>
      <c r="B99" s="16"/>
      <c r="C99" s="24"/>
      <c r="D99" s="16"/>
      <c r="E99" s="16"/>
      <c r="F99" s="16"/>
      <c r="G99" s="16"/>
      <c r="H99" s="16"/>
      <c r="I99" s="16"/>
      <c r="J99" s="16"/>
      <c r="K99" s="16"/>
      <c r="L99" s="16"/>
      <c r="M99" s="16"/>
    </row>
    <row r="100" spans="1:13" x14ac:dyDescent="0.25">
      <c r="A100" s="2"/>
      <c r="B100" s="16"/>
      <c r="C100" s="24"/>
      <c r="D100" s="16"/>
      <c r="E100" s="16"/>
      <c r="F100" s="16"/>
      <c r="G100" s="16"/>
      <c r="H100" s="16"/>
      <c r="I100" s="16"/>
      <c r="J100" s="16"/>
      <c r="K100" s="16"/>
      <c r="L100" s="16"/>
      <c r="M100" s="16"/>
    </row>
    <row r="101" spans="1:13" x14ac:dyDescent="0.25">
      <c r="A101" s="2"/>
      <c r="B101" s="16"/>
      <c r="C101" s="22"/>
      <c r="D101" s="16"/>
      <c r="E101" s="16"/>
      <c r="F101" s="16"/>
      <c r="G101" s="16"/>
      <c r="H101" s="16"/>
      <c r="I101" s="16"/>
      <c r="J101" s="16"/>
      <c r="K101" s="16"/>
      <c r="L101" s="16"/>
      <c r="M101" s="16"/>
    </row>
    <row r="102" spans="1:13" x14ac:dyDescent="0.25">
      <c r="A102" s="2"/>
      <c r="B102" s="16"/>
      <c r="C102" s="22"/>
      <c r="D102" s="16"/>
      <c r="E102" s="16"/>
      <c r="F102" s="16"/>
      <c r="G102" s="16"/>
      <c r="H102" s="16"/>
      <c r="I102" s="16"/>
      <c r="J102" s="16"/>
      <c r="K102" s="16"/>
      <c r="L102" s="16"/>
      <c r="M102" s="16"/>
    </row>
    <row r="103" spans="1:13" x14ac:dyDescent="0.25">
      <c r="A103" s="2"/>
      <c r="B103" s="16"/>
      <c r="C103" s="24"/>
      <c r="D103" s="16"/>
      <c r="E103" s="16"/>
      <c r="F103" s="16"/>
      <c r="G103" s="16"/>
      <c r="H103" s="16"/>
      <c r="I103" s="16"/>
      <c r="J103" s="16"/>
      <c r="K103" s="16"/>
      <c r="L103" s="16"/>
      <c r="M103" s="16"/>
    </row>
    <row r="104" spans="1:13" x14ac:dyDescent="0.25">
      <c r="A104" s="2"/>
      <c r="B104" s="16"/>
      <c r="C104" s="22"/>
      <c r="D104" s="16"/>
      <c r="E104" s="16"/>
      <c r="F104" s="16"/>
      <c r="G104" s="16"/>
      <c r="H104" s="16"/>
      <c r="I104" s="16"/>
      <c r="J104" s="16"/>
      <c r="K104" s="16"/>
      <c r="L104" s="16"/>
      <c r="M104" s="16"/>
    </row>
    <row r="105" spans="1:13" x14ac:dyDescent="0.25">
      <c r="A105" s="2"/>
      <c r="B105" s="16"/>
      <c r="C105" s="24"/>
      <c r="D105" s="16"/>
      <c r="E105" s="16"/>
      <c r="F105" s="16"/>
      <c r="G105" s="16"/>
      <c r="H105" s="16"/>
      <c r="I105" s="16"/>
      <c r="J105" s="16"/>
      <c r="K105" s="16"/>
      <c r="L105" s="16"/>
      <c r="M105" s="16"/>
    </row>
    <row r="106" spans="1:13" x14ac:dyDescent="0.25">
      <c r="A106" s="2"/>
      <c r="B106" s="16"/>
      <c r="C106" s="24"/>
      <c r="D106" s="16"/>
      <c r="E106" s="16"/>
      <c r="F106" s="16"/>
      <c r="G106" s="16"/>
      <c r="H106" s="16"/>
      <c r="I106" s="16"/>
      <c r="J106" s="16"/>
      <c r="K106" s="16"/>
      <c r="L106" s="16"/>
      <c r="M106" s="16"/>
    </row>
    <row r="107" spans="1:13" x14ac:dyDescent="0.25">
      <c r="A107" s="2"/>
      <c r="B107" s="16"/>
      <c r="C107" s="24"/>
      <c r="D107" s="16"/>
      <c r="E107" s="16"/>
      <c r="F107" s="16"/>
      <c r="G107" s="16"/>
      <c r="H107" s="16"/>
      <c r="I107" s="16"/>
      <c r="J107" s="16"/>
      <c r="K107" s="16"/>
      <c r="L107" s="16"/>
      <c r="M107" s="16"/>
    </row>
    <row r="108" spans="1:13" x14ac:dyDescent="0.25">
      <c r="A108" s="2"/>
      <c r="B108" s="16"/>
      <c r="C108" s="24"/>
      <c r="D108" s="16"/>
      <c r="E108" s="16"/>
      <c r="F108" s="16"/>
      <c r="G108" s="16"/>
      <c r="H108" s="16"/>
      <c r="I108" s="16"/>
      <c r="J108" s="16"/>
      <c r="K108" s="16"/>
      <c r="L108" s="16"/>
      <c r="M108" s="16"/>
    </row>
    <row r="109" spans="1:13" x14ac:dyDescent="0.25">
      <c r="A109" s="2"/>
      <c r="B109" s="16"/>
      <c r="C109" s="24"/>
      <c r="D109" s="16"/>
      <c r="E109" s="16"/>
      <c r="F109" s="16"/>
      <c r="G109" s="16"/>
      <c r="H109" s="16"/>
      <c r="I109" s="16"/>
      <c r="J109" s="16"/>
      <c r="K109" s="16"/>
      <c r="L109" s="16"/>
      <c r="M109" s="16"/>
    </row>
    <row r="110" spans="1:13" x14ac:dyDescent="0.25">
      <c r="A110" s="2"/>
      <c r="B110" s="16"/>
      <c r="C110" s="24"/>
      <c r="D110" s="16"/>
      <c r="E110" s="16"/>
      <c r="F110" s="16"/>
      <c r="G110" s="16"/>
      <c r="H110" s="16"/>
      <c r="I110" s="16"/>
      <c r="J110" s="16"/>
      <c r="K110" s="16"/>
      <c r="L110" s="16"/>
      <c r="M110" s="16"/>
    </row>
    <row r="111" spans="1:13" x14ac:dyDescent="0.25">
      <c r="A111" s="2"/>
      <c r="B111" s="16"/>
      <c r="C111" s="24"/>
      <c r="D111" s="16"/>
      <c r="E111" s="16"/>
      <c r="F111" s="16"/>
      <c r="G111" s="16"/>
      <c r="H111" s="16"/>
      <c r="I111" s="16"/>
      <c r="J111" s="16"/>
      <c r="K111" s="16"/>
      <c r="L111" s="16"/>
      <c r="M111" s="16"/>
    </row>
    <row r="112" spans="1:13" x14ac:dyDescent="0.25">
      <c r="A112" s="2"/>
      <c r="B112" s="16"/>
      <c r="C112" s="24"/>
      <c r="D112" s="16"/>
      <c r="E112" s="16"/>
      <c r="F112" s="16"/>
      <c r="G112" s="16"/>
      <c r="H112" s="16"/>
      <c r="I112" s="16"/>
      <c r="J112" s="16"/>
      <c r="K112" s="16"/>
      <c r="L112" s="16"/>
      <c r="M112" s="16"/>
    </row>
    <row r="113" spans="1:13" x14ac:dyDescent="0.25">
      <c r="A113" s="2"/>
      <c r="B113" s="16"/>
      <c r="C113" s="24"/>
      <c r="D113" s="16"/>
      <c r="E113" s="16"/>
      <c r="F113" s="16"/>
      <c r="G113" s="16"/>
      <c r="H113" s="16"/>
      <c r="I113" s="16"/>
      <c r="J113" s="16"/>
      <c r="K113" s="16"/>
      <c r="L113" s="16"/>
      <c r="M113" s="16"/>
    </row>
    <row r="114" spans="1:13" x14ac:dyDescent="0.25">
      <c r="A114" s="2"/>
      <c r="B114" s="16"/>
      <c r="C114" s="24"/>
      <c r="D114" s="16"/>
      <c r="E114" s="16"/>
      <c r="F114" s="16"/>
      <c r="G114" s="16"/>
      <c r="H114" s="16"/>
      <c r="I114" s="16"/>
      <c r="J114" s="16"/>
      <c r="K114" s="16"/>
      <c r="L114" s="16"/>
      <c r="M114" s="16"/>
    </row>
    <row r="115" spans="1:13" x14ac:dyDescent="0.25">
      <c r="A115" s="2"/>
      <c r="B115" s="16"/>
      <c r="C115" s="24"/>
      <c r="D115" s="16"/>
      <c r="E115" s="16"/>
      <c r="F115" s="16"/>
      <c r="G115" s="16"/>
      <c r="H115" s="16"/>
      <c r="I115" s="16"/>
      <c r="J115" s="16"/>
      <c r="K115" s="16"/>
      <c r="L115" s="16"/>
      <c r="M115" s="16"/>
    </row>
    <row r="116" spans="1:13" x14ac:dyDescent="0.25">
      <c r="A116" s="2"/>
      <c r="B116" s="16"/>
      <c r="C116" s="24"/>
      <c r="D116" s="16"/>
      <c r="E116" s="16"/>
      <c r="F116" s="16"/>
      <c r="G116" s="16"/>
      <c r="H116" s="16"/>
      <c r="I116" s="16"/>
      <c r="J116" s="16"/>
      <c r="K116" s="16"/>
      <c r="L116" s="16"/>
      <c r="M116" s="16"/>
    </row>
    <row r="117" spans="1:13" x14ac:dyDescent="0.25">
      <c r="A117" s="2"/>
      <c r="B117" s="16"/>
      <c r="C117" s="24"/>
      <c r="D117" s="16"/>
      <c r="E117" s="16"/>
      <c r="F117" s="16"/>
      <c r="G117" s="16"/>
      <c r="H117" s="16"/>
      <c r="I117" s="16"/>
      <c r="J117" s="16"/>
      <c r="K117" s="16"/>
      <c r="L117" s="16"/>
      <c r="M117" s="16"/>
    </row>
    <row r="118" spans="1:13" x14ac:dyDescent="0.25">
      <c r="A118" s="2"/>
      <c r="B118" s="16"/>
      <c r="C118" s="24"/>
      <c r="D118" s="16"/>
      <c r="E118" s="16"/>
      <c r="F118" s="16"/>
      <c r="G118" s="16"/>
      <c r="H118" s="16"/>
      <c r="I118" s="16"/>
      <c r="J118" s="16"/>
      <c r="K118" s="16"/>
      <c r="L118" s="16"/>
      <c r="M118" s="16"/>
    </row>
    <row r="119" spans="1:13" x14ac:dyDescent="0.25">
      <c r="A119" s="2"/>
      <c r="B119" s="16"/>
      <c r="C119" s="24"/>
      <c r="D119" s="16"/>
      <c r="E119" s="16"/>
      <c r="F119" s="16"/>
      <c r="G119" s="16"/>
      <c r="H119" s="16"/>
      <c r="I119" s="16"/>
      <c r="J119" s="16"/>
      <c r="K119" s="16"/>
      <c r="L119" s="16"/>
      <c r="M119" s="16"/>
    </row>
    <row r="120" spans="1:13" x14ac:dyDescent="0.25">
      <c r="A120" s="2"/>
      <c r="B120" s="16"/>
      <c r="C120" s="24"/>
      <c r="D120" s="16"/>
      <c r="E120" s="16"/>
      <c r="F120" s="16"/>
      <c r="G120" s="16"/>
      <c r="H120" s="16"/>
      <c r="I120" s="16"/>
      <c r="J120" s="16"/>
      <c r="K120" s="16"/>
      <c r="L120" s="16"/>
      <c r="M120" s="16"/>
    </row>
    <row r="121" spans="1:13" x14ac:dyDescent="0.25">
      <c r="A121" s="2"/>
      <c r="B121" s="16"/>
      <c r="C121" s="24"/>
      <c r="D121" s="16"/>
      <c r="E121" s="16"/>
      <c r="F121" s="16"/>
      <c r="G121" s="16"/>
      <c r="H121" s="16"/>
      <c r="I121" s="16"/>
      <c r="J121" s="16"/>
      <c r="K121" s="16"/>
      <c r="L121" s="16"/>
      <c r="M121" s="16"/>
    </row>
    <row r="122" spans="1:13" x14ac:dyDescent="0.25">
      <c r="A122" s="2"/>
      <c r="B122" s="16"/>
      <c r="C122" s="24"/>
      <c r="D122" s="16"/>
      <c r="E122" s="16"/>
      <c r="F122" s="16"/>
      <c r="G122" s="16"/>
      <c r="H122" s="16"/>
      <c r="I122" s="16"/>
      <c r="J122" s="16"/>
      <c r="K122" s="16"/>
      <c r="L122" s="16"/>
      <c r="M122" s="16"/>
    </row>
    <row r="123" spans="1:13" x14ac:dyDescent="0.25">
      <c r="A123" s="2"/>
      <c r="B123" s="16"/>
      <c r="C123" s="24"/>
      <c r="D123" s="16"/>
      <c r="E123" s="16"/>
      <c r="F123" s="16"/>
      <c r="G123" s="16"/>
      <c r="H123" s="16"/>
      <c r="I123" s="16"/>
      <c r="J123" s="16"/>
      <c r="K123" s="16"/>
      <c r="L123" s="16"/>
      <c r="M123" s="16"/>
    </row>
    <row r="124" spans="1:13" x14ac:dyDescent="0.25">
      <c r="A124" s="2"/>
      <c r="B124" s="16"/>
      <c r="C124" s="24"/>
      <c r="D124" s="16"/>
      <c r="E124" s="16"/>
      <c r="F124" s="16"/>
      <c r="G124" s="16"/>
      <c r="H124" s="16"/>
      <c r="I124" s="16"/>
      <c r="J124" s="16"/>
      <c r="K124" s="16"/>
      <c r="L124" s="16"/>
      <c r="M124" s="16"/>
    </row>
    <row r="125" spans="1:13" x14ac:dyDescent="0.25">
      <c r="A125" s="2"/>
      <c r="B125" s="16"/>
      <c r="C125" s="24"/>
      <c r="D125" s="16"/>
      <c r="E125" s="16"/>
      <c r="F125" s="16"/>
      <c r="G125" s="16"/>
      <c r="H125" s="16"/>
      <c r="I125" s="16"/>
      <c r="J125" s="16"/>
      <c r="K125" s="16"/>
      <c r="L125" s="16"/>
      <c r="M125" s="16"/>
    </row>
    <row r="126" spans="1:13" x14ac:dyDescent="0.25">
      <c r="A126" s="2"/>
      <c r="B126" s="16"/>
      <c r="C126" s="24"/>
      <c r="D126" s="16"/>
      <c r="E126" s="16"/>
      <c r="F126" s="16"/>
      <c r="G126" s="16"/>
      <c r="H126" s="16"/>
      <c r="I126" s="16"/>
      <c r="J126" s="16"/>
      <c r="K126" s="16"/>
      <c r="L126" s="16"/>
      <c r="M126" s="16"/>
    </row>
    <row r="127" spans="1:13" x14ac:dyDescent="0.25">
      <c r="A127" s="2"/>
      <c r="B127" s="16"/>
      <c r="C127" s="24"/>
      <c r="D127" s="16"/>
      <c r="E127" s="16"/>
      <c r="F127" s="16"/>
      <c r="G127" s="16"/>
      <c r="H127" s="16"/>
      <c r="I127" s="16"/>
      <c r="J127" s="16"/>
      <c r="K127" s="16"/>
      <c r="L127" s="16"/>
      <c r="M127" s="16"/>
    </row>
    <row r="128" spans="1:13" x14ac:dyDescent="0.25">
      <c r="A128" s="2"/>
      <c r="B128" s="16"/>
      <c r="C128" s="24"/>
      <c r="D128" s="16"/>
      <c r="E128" s="16"/>
      <c r="F128" s="16"/>
      <c r="G128" s="16"/>
      <c r="H128" s="16"/>
      <c r="I128" s="16"/>
      <c r="J128" s="16"/>
      <c r="K128" s="16"/>
      <c r="L128" s="16"/>
      <c r="M128" s="16"/>
    </row>
    <row r="129" spans="1:13" x14ac:dyDescent="0.25">
      <c r="A129" s="2"/>
      <c r="B129" s="16"/>
      <c r="C129" s="24"/>
      <c r="D129" s="16"/>
      <c r="E129" s="16"/>
      <c r="F129" s="16"/>
      <c r="G129" s="16"/>
      <c r="H129" s="16"/>
      <c r="I129" s="16"/>
      <c r="J129" s="16"/>
      <c r="K129" s="16"/>
      <c r="L129" s="16"/>
      <c r="M129" s="16"/>
    </row>
    <row r="130" spans="1:13" x14ac:dyDescent="0.25">
      <c r="A130" s="2"/>
      <c r="B130" s="16"/>
      <c r="C130" s="24"/>
      <c r="D130" s="16"/>
      <c r="E130" s="16"/>
      <c r="F130" s="16"/>
      <c r="G130" s="16"/>
      <c r="H130" s="16"/>
      <c r="I130" s="16"/>
      <c r="J130" s="16"/>
      <c r="K130" s="16"/>
      <c r="L130" s="16"/>
      <c r="M130" s="16"/>
    </row>
    <row r="131" spans="1:13" x14ac:dyDescent="0.25">
      <c r="A131" s="2"/>
      <c r="B131" s="16"/>
      <c r="C131" s="24"/>
      <c r="D131" s="16"/>
      <c r="E131" s="16"/>
      <c r="F131" s="16"/>
      <c r="G131" s="16"/>
      <c r="H131" s="16"/>
      <c r="I131" s="16"/>
      <c r="J131" s="16"/>
      <c r="K131" s="16"/>
      <c r="L131" s="16"/>
      <c r="M131" s="16"/>
    </row>
    <row r="132" spans="1:13" x14ac:dyDescent="0.25">
      <c r="A132" s="2"/>
      <c r="B132" s="16"/>
      <c r="C132" s="24"/>
      <c r="D132" s="16"/>
      <c r="E132" s="16"/>
      <c r="F132" s="16"/>
      <c r="G132" s="16"/>
      <c r="H132" s="16"/>
      <c r="I132" s="16"/>
      <c r="J132" s="16"/>
      <c r="K132" s="16"/>
      <c r="L132" s="16"/>
      <c r="M132" s="16"/>
    </row>
    <row r="133" spans="1:13" x14ac:dyDescent="0.25">
      <c r="A133" s="2"/>
      <c r="B133" s="16"/>
      <c r="C133" s="24"/>
      <c r="D133" s="16"/>
      <c r="E133" s="16"/>
      <c r="F133" s="16"/>
      <c r="G133" s="16"/>
      <c r="H133" s="16"/>
      <c r="I133" s="16"/>
      <c r="J133" s="16"/>
      <c r="K133" s="16"/>
      <c r="L133" s="16"/>
      <c r="M133" s="16"/>
    </row>
    <row r="134" spans="1:13" x14ac:dyDescent="0.25">
      <c r="A134" s="2"/>
      <c r="B134" s="16"/>
      <c r="C134" s="24"/>
      <c r="D134" s="16"/>
      <c r="E134" s="23"/>
      <c r="F134" s="16"/>
      <c r="G134" s="16"/>
      <c r="H134" s="16"/>
      <c r="I134" s="16"/>
      <c r="J134" s="16"/>
      <c r="K134" s="16"/>
      <c r="L134" s="16"/>
      <c r="M134" s="16"/>
    </row>
    <row r="135" spans="1:13" x14ac:dyDescent="0.25">
      <c r="A135" s="2"/>
      <c r="B135" s="16"/>
      <c r="C135" s="24"/>
      <c r="D135" s="16"/>
      <c r="E135" s="23"/>
      <c r="F135" s="16"/>
      <c r="G135" s="16"/>
      <c r="H135" s="16"/>
      <c r="I135" s="16"/>
      <c r="J135" s="16"/>
      <c r="K135" s="16"/>
      <c r="L135" s="16"/>
      <c r="M135" s="16"/>
    </row>
    <row r="136" spans="1:13" x14ac:dyDescent="0.25">
      <c r="A136" s="2"/>
      <c r="B136" s="16"/>
      <c r="C136" s="24"/>
      <c r="D136" s="16"/>
      <c r="E136" s="23"/>
      <c r="F136" s="16"/>
      <c r="G136" s="16"/>
      <c r="H136" s="16"/>
      <c r="I136" s="16"/>
      <c r="J136" s="16"/>
      <c r="K136" s="16"/>
      <c r="L136" s="16"/>
      <c r="M136" s="16"/>
    </row>
    <row r="137" spans="1:13" x14ac:dyDescent="0.25">
      <c r="A137" s="2"/>
      <c r="B137" s="16"/>
      <c r="C137" s="24"/>
      <c r="D137" s="16"/>
      <c r="E137" s="23"/>
      <c r="F137" s="16"/>
      <c r="G137" s="16"/>
      <c r="H137" s="16"/>
      <c r="I137" s="16"/>
      <c r="J137" s="16"/>
      <c r="K137" s="16"/>
      <c r="L137" s="16"/>
      <c r="M137" s="16"/>
    </row>
    <row r="138" spans="1:13" x14ac:dyDescent="0.25">
      <c r="A138" s="2"/>
      <c r="B138" s="16"/>
      <c r="C138" s="24"/>
      <c r="D138" s="16"/>
      <c r="E138" s="23"/>
      <c r="F138" s="16"/>
      <c r="G138" s="16"/>
      <c r="H138" s="16"/>
      <c r="I138" s="16"/>
      <c r="J138" s="16"/>
      <c r="K138" s="16"/>
      <c r="L138" s="16"/>
      <c r="M138" s="16"/>
    </row>
    <row r="139" spans="1:13" x14ac:dyDescent="0.25">
      <c r="A139" s="2"/>
      <c r="B139" s="16"/>
      <c r="C139" s="24"/>
      <c r="D139" s="16"/>
      <c r="E139" s="23"/>
      <c r="F139" s="16"/>
      <c r="G139" s="16"/>
      <c r="H139" s="16"/>
      <c r="I139" s="16"/>
      <c r="J139" s="16"/>
      <c r="K139" s="16"/>
      <c r="L139" s="16"/>
      <c r="M139" s="16"/>
    </row>
    <row r="140" spans="1:13" x14ac:dyDescent="0.25">
      <c r="A140" s="2"/>
      <c r="B140" s="16"/>
      <c r="C140" s="24"/>
      <c r="D140" s="16"/>
      <c r="E140" s="23"/>
      <c r="F140" s="16"/>
      <c r="G140" s="16"/>
      <c r="H140" s="16"/>
      <c r="I140" s="16"/>
      <c r="J140" s="16"/>
      <c r="K140" s="16"/>
      <c r="L140" s="16"/>
      <c r="M140" s="16"/>
    </row>
    <row r="141" spans="1:13" x14ac:dyDescent="0.25">
      <c r="A141" s="2"/>
      <c r="B141" s="16"/>
      <c r="C141" s="24"/>
      <c r="D141" s="16"/>
      <c r="E141" s="23"/>
      <c r="F141" s="16"/>
      <c r="G141" s="16"/>
      <c r="H141" s="16"/>
      <c r="I141" s="16"/>
      <c r="J141" s="16"/>
      <c r="K141" s="16"/>
      <c r="L141" s="16"/>
      <c r="M141" s="16"/>
    </row>
    <row r="142" spans="1:13" x14ac:dyDescent="0.25">
      <c r="A142" s="2"/>
      <c r="B142" s="16"/>
      <c r="C142" s="24"/>
      <c r="D142" s="16"/>
      <c r="E142" s="23"/>
      <c r="F142" s="16"/>
      <c r="G142" s="16"/>
      <c r="H142" s="16"/>
      <c r="I142" s="16"/>
      <c r="J142" s="16"/>
      <c r="K142" s="16"/>
      <c r="L142" s="16"/>
      <c r="M142" s="16"/>
    </row>
    <row r="143" spans="1:13" x14ac:dyDescent="0.25">
      <c r="A143" s="2"/>
      <c r="B143" s="16"/>
      <c r="C143" s="24"/>
      <c r="D143" s="16"/>
      <c r="E143" s="23"/>
      <c r="F143" s="16"/>
      <c r="G143" s="16"/>
      <c r="H143" s="16"/>
      <c r="I143" s="16"/>
      <c r="J143" s="16"/>
      <c r="K143" s="16"/>
      <c r="L143" s="16"/>
      <c r="M143" s="16"/>
    </row>
    <row r="144" spans="1:13" x14ac:dyDescent="0.25">
      <c r="A144" s="2"/>
      <c r="B144" s="16"/>
      <c r="C144" s="24"/>
      <c r="D144" s="16"/>
      <c r="E144" s="23"/>
      <c r="F144" s="16"/>
      <c r="G144" s="16"/>
      <c r="H144" s="16"/>
      <c r="I144" s="16"/>
      <c r="J144" s="16"/>
      <c r="K144" s="16"/>
      <c r="L144" s="16"/>
      <c r="M144" s="16"/>
    </row>
    <row r="145" spans="1:13" x14ac:dyDescent="0.25">
      <c r="A145" s="2"/>
      <c r="B145" s="16"/>
      <c r="C145" s="24"/>
      <c r="D145" s="16"/>
      <c r="E145" s="23"/>
      <c r="F145" s="16"/>
      <c r="G145" s="16"/>
      <c r="H145" s="16"/>
      <c r="I145" s="16"/>
      <c r="J145" s="16"/>
      <c r="K145" s="16"/>
      <c r="L145" s="16"/>
      <c r="M145" s="16"/>
    </row>
    <row r="146" spans="1:13" x14ac:dyDescent="0.25">
      <c r="A146" s="2"/>
      <c r="B146" s="16"/>
      <c r="C146" s="24"/>
      <c r="D146" s="16"/>
      <c r="E146" s="23"/>
      <c r="F146" s="16"/>
      <c r="G146" s="16"/>
      <c r="H146" s="16"/>
      <c r="I146" s="16"/>
      <c r="J146" s="16"/>
      <c r="K146" s="16"/>
      <c r="L146" s="16"/>
      <c r="M146" s="16"/>
    </row>
    <row r="147" spans="1:13" x14ac:dyDescent="0.25">
      <c r="A147" s="2"/>
      <c r="B147" s="16"/>
      <c r="C147" s="24"/>
      <c r="D147" s="16"/>
      <c r="E147" s="23"/>
      <c r="F147" s="16"/>
      <c r="G147" s="16"/>
      <c r="H147" s="16"/>
      <c r="I147" s="16"/>
      <c r="J147" s="16"/>
      <c r="K147" s="16"/>
      <c r="L147" s="16"/>
      <c r="M147" s="16"/>
    </row>
    <row r="148" spans="1:13" x14ac:dyDescent="0.25">
      <c r="A148" s="2"/>
      <c r="B148" s="16"/>
      <c r="C148" s="24"/>
      <c r="D148" s="16"/>
      <c r="E148" s="23"/>
      <c r="F148" s="16"/>
      <c r="G148" s="16"/>
      <c r="H148" s="16"/>
      <c r="I148" s="16"/>
      <c r="J148" s="16"/>
      <c r="K148" s="16"/>
      <c r="L148" s="16"/>
      <c r="M148" s="16"/>
    </row>
    <row r="149" spans="1:13" x14ac:dyDescent="0.25">
      <c r="A149" s="2"/>
      <c r="B149" s="16"/>
      <c r="C149" s="24"/>
      <c r="D149" s="16"/>
      <c r="E149" s="23"/>
      <c r="F149" s="16"/>
      <c r="G149" s="16"/>
      <c r="H149" s="16"/>
      <c r="I149" s="16"/>
      <c r="J149" s="16"/>
      <c r="K149" s="16"/>
      <c r="L149" s="16"/>
      <c r="M149" s="16"/>
    </row>
    <row r="150" spans="1:13" x14ac:dyDescent="0.25">
      <c r="A150" s="2"/>
      <c r="B150" s="16"/>
      <c r="C150" s="24"/>
      <c r="D150" s="16"/>
      <c r="E150" s="23"/>
      <c r="F150" s="16"/>
      <c r="G150" s="16"/>
      <c r="H150" s="16"/>
      <c r="I150" s="16"/>
      <c r="J150" s="16"/>
      <c r="K150" s="16"/>
      <c r="L150" s="16"/>
      <c r="M150" s="16"/>
    </row>
    <row r="151" spans="1:13" x14ac:dyDescent="0.25">
      <c r="A151" s="2"/>
      <c r="B151" s="16"/>
      <c r="C151" s="24"/>
      <c r="D151" s="16"/>
      <c r="E151" s="23"/>
      <c r="F151" s="16"/>
      <c r="G151" s="16"/>
      <c r="H151" s="16"/>
      <c r="I151" s="16"/>
      <c r="J151" s="16"/>
      <c r="K151" s="16"/>
      <c r="L151" s="16"/>
      <c r="M151" s="16"/>
    </row>
    <row r="152" spans="1:13" x14ac:dyDescent="0.25">
      <c r="A152" s="2"/>
      <c r="B152" s="16"/>
      <c r="C152" s="24"/>
      <c r="D152" s="16"/>
      <c r="E152" s="23"/>
      <c r="F152" s="16"/>
      <c r="G152" s="16"/>
      <c r="H152" s="16"/>
      <c r="I152" s="16"/>
      <c r="J152" s="16"/>
      <c r="K152" s="16"/>
      <c r="L152" s="16"/>
      <c r="M152" s="16"/>
    </row>
    <row r="153" spans="1:13" x14ac:dyDescent="0.25">
      <c r="A153" s="2"/>
      <c r="B153" s="16"/>
      <c r="C153" s="24"/>
      <c r="D153" s="16"/>
      <c r="E153" s="23"/>
      <c r="F153" s="16"/>
      <c r="G153" s="16"/>
      <c r="H153" s="16"/>
      <c r="I153" s="16"/>
      <c r="J153" s="16"/>
      <c r="K153" s="16"/>
      <c r="L153" s="16"/>
      <c r="M153" s="16"/>
    </row>
    <row r="154" spans="1:13" x14ac:dyDescent="0.25">
      <c r="A154" s="2"/>
      <c r="B154" s="16"/>
      <c r="C154" s="24"/>
      <c r="D154" s="16"/>
      <c r="E154" s="23"/>
      <c r="F154" s="16"/>
      <c r="G154" s="16"/>
      <c r="H154" s="16"/>
      <c r="I154" s="16"/>
      <c r="J154" s="16"/>
      <c r="K154" s="16"/>
      <c r="L154" s="16"/>
      <c r="M154" s="16"/>
    </row>
    <row r="155" spans="1:13" x14ac:dyDescent="0.25">
      <c r="A155" s="2"/>
      <c r="B155" s="16"/>
      <c r="C155" s="24"/>
      <c r="D155" s="16"/>
      <c r="E155" s="23"/>
      <c r="F155" s="16"/>
      <c r="G155" s="16"/>
      <c r="H155" s="16"/>
      <c r="I155" s="16"/>
      <c r="J155" s="16"/>
      <c r="K155" s="16"/>
      <c r="L155" s="16"/>
      <c r="M155" s="16"/>
    </row>
    <row r="156" spans="1:13" x14ac:dyDescent="0.25">
      <c r="A156" s="2"/>
      <c r="B156" s="16"/>
      <c r="C156" s="24"/>
      <c r="D156" s="16"/>
      <c r="E156" s="23"/>
      <c r="F156" s="16"/>
      <c r="G156" s="16"/>
      <c r="H156" s="16"/>
      <c r="I156" s="16"/>
      <c r="J156" s="16"/>
      <c r="K156" s="16"/>
      <c r="L156" s="16"/>
      <c r="M156" s="16"/>
    </row>
    <row r="157" spans="1:13" x14ac:dyDescent="0.25">
      <c r="A157" s="2"/>
      <c r="B157" s="16"/>
      <c r="C157" s="24"/>
      <c r="D157" s="16"/>
      <c r="E157" s="23"/>
      <c r="F157" s="16"/>
      <c r="G157" s="16"/>
      <c r="H157" s="16"/>
      <c r="I157" s="16"/>
      <c r="J157" s="16"/>
      <c r="K157" s="16"/>
      <c r="L157" s="16"/>
      <c r="M157" s="16"/>
    </row>
    <row r="158" spans="1:13" x14ac:dyDescent="0.25">
      <c r="A158" s="2"/>
      <c r="B158" s="16"/>
      <c r="C158" s="24"/>
      <c r="D158" s="16"/>
      <c r="E158" s="23"/>
      <c r="F158" s="16"/>
      <c r="G158" s="16"/>
      <c r="H158" s="16"/>
      <c r="I158" s="16"/>
      <c r="J158" s="16"/>
      <c r="K158" s="16"/>
      <c r="L158" s="16"/>
      <c r="M158" s="16"/>
    </row>
    <row r="159" spans="1:13" x14ac:dyDescent="0.25">
      <c r="A159" s="2"/>
      <c r="B159" s="16"/>
      <c r="C159" s="24"/>
      <c r="D159" s="16"/>
      <c r="E159" s="23"/>
      <c r="F159" s="16"/>
      <c r="G159" s="16"/>
      <c r="H159" s="16"/>
      <c r="I159" s="16"/>
      <c r="J159" s="16"/>
      <c r="K159" s="16"/>
      <c r="L159" s="16"/>
      <c r="M159" s="16"/>
    </row>
    <row r="160" spans="1:13" x14ac:dyDescent="0.25">
      <c r="A160" s="2"/>
      <c r="B160" s="16"/>
      <c r="C160" s="24"/>
      <c r="D160" s="16"/>
      <c r="E160" s="23"/>
      <c r="F160" s="16"/>
      <c r="G160" s="16"/>
      <c r="H160" s="16"/>
      <c r="I160" s="16"/>
      <c r="J160" s="16"/>
      <c r="K160" s="16"/>
      <c r="L160" s="16"/>
      <c r="M160" s="16"/>
    </row>
    <row r="161" spans="1:13" x14ac:dyDescent="0.25">
      <c r="A161" s="2"/>
      <c r="B161" s="16"/>
      <c r="C161" s="24"/>
      <c r="D161" s="16"/>
      <c r="E161" s="23"/>
      <c r="F161" s="16"/>
      <c r="G161" s="16"/>
      <c r="H161" s="16"/>
      <c r="I161" s="16"/>
      <c r="J161" s="16"/>
      <c r="K161" s="16"/>
      <c r="L161" s="16"/>
      <c r="M161" s="16"/>
    </row>
    <row r="162" spans="1:13" x14ac:dyDescent="0.25">
      <c r="A162" s="2"/>
      <c r="B162" s="16"/>
      <c r="C162" s="24"/>
      <c r="D162" s="16"/>
      <c r="E162" s="23"/>
      <c r="F162" s="16"/>
      <c r="G162" s="16"/>
      <c r="H162" s="16"/>
      <c r="I162" s="16"/>
      <c r="J162" s="16"/>
      <c r="K162" s="16"/>
      <c r="L162" s="16"/>
      <c r="M162" s="16"/>
    </row>
    <row r="163" spans="1:13" x14ac:dyDescent="0.25">
      <c r="A163" s="2"/>
      <c r="B163" s="16"/>
      <c r="C163" s="24"/>
      <c r="D163" s="16"/>
      <c r="E163" s="23"/>
      <c r="F163" s="16"/>
      <c r="G163" s="16"/>
      <c r="H163" s="16"/>
      <c r="I163" s="16"/>
      <c r="J163" s="16"/>
      <c r="K163" s="16"/>
      <c r="L163" s="16"/>
      <c r="M163" s="16"/>
    </row>
    <row r="164" spans="1:13" x14ac:dyDescent="0.25">
      <c r="A164" s="2"/>
      <c r="B164" s="16"/>
      <c r="C164" s="24"/>
      <c r="D164" s="16"/>
      <c r="E164" s="23"/>
      <c r="F164" s="16"/>
      <c r="G164" s="16"/>
      <c r="H164" s="16"/>
      <c r="I164" s="16"/>
      <c r="J164" s="16"/>
      <c r="K164" s="16"/>
      <c r="L164" s="16"/>
      <c r="M164" s="16"/>
    </row>
    <row r="165" spans="1:13" x14ac:dyDescent="0.25">
      <c r="A165" s="2"/>
      <c r="B165" s="16"/>
      <c r="C165" s="24"/>
      <c r="D165" s="16"/>
      <c r="E165" s="23"/>
      <c r="F165" s="16"/>
      <c r="G165" s="16"/>
      <c r="H165" s="16"/>
      <c r="I165" s="16"/>
      <c r="J165" s="16"/>
      <c r="K165" s="16"/>
      <c r="L165" s="16"/>
      <c r="M165" s="16"/>
    </row>
    <row r="166" spans="1:13" x14ac:dyDescent="0.25">
      <c r="A166" s="2"/>
      <c r="B166" s="16"/>
      <c r="C166" s="24"/>
      <c r="D166" s="16"/>
      <c r="E166" s="23"/>
      <c r="F166" s="16"/>
      <c r="G166" s="16"/>
      <c r="H166" s="16"/>
      <c r="I166" s="16"/>
      <c r="J166" s="16"/>
      <c r="K166" s="16"/>
      <c r="L166" s="16"/>
      <c r="M166" s="16"/>
    </row>
    <row r="167" spans="1:13" x14ac:dyDescent="0.25">
      <c r="A167" s="2"/>
      <c r="B167" s="16"/>
      <c r="C167" s="24"/>
      <c r="D167" s="16"/>
      <c r="E167" s="23"/>
      <c r="F167" s="16"/>
      <c r="G167" s="16"/>
      <c r="H167" s="16"/>
      <c r="I167" s="16"/>
      <c r="J167" s="16"/>
      <c r="K167" s="16"/>
      <c r="L167" s="16"/>
      <c r="M167" s="16"/>
    </row>
    <row r="168" spans="1:13" x14ac:dyDescent="0.25">
      <c r="A168" s="2"/>
      <c r="B168" s="16"/>
      <c r="C168" s="24"/>
      <c r="D168" s="16"/>
      <c r="E168" s="23"/>
      <c r="F168" s="16"/>
      <c r="G168" s="16"/>
      <c r="H168" s="16"/>
      <c r="I168" s="16"/>
      <c r="J168" s="16"/>
      <c r="K168" s="16"/>
      <c r="L168" s="16"/>
      <c r="M168" s="16"/>
    </row>
    <row r="169" spans="1:13" x14ac:dyDescent="0.25">
      <c r="A169" s="2"/>
      <c r="B169" s="16"/>
      <c r="C169" s="24"/>
      <c r="D169" s="16"/>
      <c r="E169" s="23"/>
      <c r="F169" s="16"/>
      <c r="G169" s="16"/>
      <c r="H169" s="16"/>
      <c r="I169" s="16"/>
      <c r="J169" s="16"/>
      <c r="K169" s="16"/>
      <c r="L169" s="16"/>
      <c r="M169" s="16"/>
    </row>
    <row r="170" spans="1:13" x14ac:dyDescent="0.25">
      <c r="A170" s="2"/>
      <c r="B170" s="16"/>
      <c r="C170" s="24"/>
      <c r="D170" s="16"/>
      <c r="E170" s="23"/>
      <c r="F170" s="16"/>
      <c r="G170" s="16"/>
      <c r="H170" s="16"/>
      <c r="I170" s="16"/>
      <c r="J170" s="16"/>
      <c r="K170" s="16"/>
      <c r="L170" s="16"/>
      <c r="M170" s="16"/>
    </row>
    <row r="171" spans="1:13" x14ac:dyDescent="0.25">
      <c r="A171" s="2"/>
      <c r="B171" s="16"/>
      <c r="C171" s="24"/>
      <c r="D171" s="16"/>
      <c r="E171" s="23"/>
      <c r="F171" s="16"/>
      <c r="G171" s="16"/>
      <c r="H171" s="16"/>
      <c r="I171" s="16"/>
      <c r="J171" s="16"/>
      <c r="K171" s="16"/>
      <c r="L171" s="16"/>
      <c r="M171" s="16"/>
    </row>
    <row r="172" spans="1:13" x14ac:dyDescent="0.25">
      <c r="A172" s="2"/>
      <c r="B172" s="16"/>
      <c r="C172" s="24"/>
      <c r="D172" s="16"/>
      <c r="E172" s="23"/>
      <c r="F172" s="16"/>
      <c r="G172" s="16"/>
      <c r="H172" s="16"/>
      <c r="I172" s="16"/>
      <c r="J172" s="16"/>
      <c r="K172" s="16"/>
      <c r="L172" s="16"/>
      <c r="M172" s="16"/>
    </row>
    <row r="173" spans="1:13" x14ac:dyDescent="0.25">
      <c r="A173" s="2"/>
      <c r="B173" s="16"/>
      <c r="C173" s="24"/>
      <c r="D173" s="16"/>
      <c r="E173" s="23"/>
      <c r="F173" s="16"/>
      <c r="G173" s="16"/>
      <c r="H173" s="16"/>
      <c r="I173" s="16"/>
      <c r="J173" s="16"/>
      <c r="K173" s="16"/>
      <c r="L173" s="16"/>
      <c r="M173" s="16"/>
    </row>
    <row r="174" spans="1:13" x14ac:dyDescent="0.25">
      <c r="A174" s="2"/>
      <c r="B174" s="16"/>
      <c r="C174" s="24"/>
      <c r="D174" s="16"/>
      <c r="E174" s="23"/>
      <c r="F174" s="16"/>
      <c r="G174" s="16"/>
      <c r="H174" s="16"/>
      <c r="I174" s="16"/>
      <c r="J174" s="16"/>
      <c r="K174" s="16"/>
      <c r="L174" s="16"/>
      <c r="M174" s="16"/>
    </row>
    <row r="175" spans="1:13" x14ac:dyDescent="0.25">
      <c r="A175" s="2"/>
      <c r="B175" s="16"/>
      <c r="C175" s="24"/>
      <c r="D175" s="16"/>
      <c r="E175" s="23"/>
      <c r="F175" s="16"/>
      <c r="G175" s="16"/>
      <c r="H175" s="16"/>
      <c r="I175" s="16"/>
      <c r="J175" s="16"/>
      <c r="K175" s="16"/>
      <c r="L175" s="16"/>
      <c r="M175" s="16"/>
    </row>
    <row r="176" spans="1:13" x14ac:dyDescent="0.25">
      <c r="A176" s="2"/>
      <c r="B176" s="16"/>
      <c r="C176" s="24"/>
      <c r="D176" s="16"/>
      <c r="E176" s="23"/>
      <c r="F176" s="16"/>
      <c r="G176" s="16"/>
      <c r="H176" s="16"/>
      <c r="I176" s="16"/>
      <c r="J176" s="16"/>
      <c r="K176" s="16"/>
      <c r="L176" s="16"/>
      <c r="M176" s="16"/>
    </row>
    <row r="177" spans="1:13" x14ac:dyDescent="0.25">
      <c r="A177" s="2"/>
      <c r="B177" s="16"/>
      <c r="C177" s="24"/>
      <c r="D177" s="16"/>
      <c r="E177" s="23"/>
      <c r="F177" s="16"/>
      <c r="G177" s="16"/>
      <c r="H177" s="16"/>
      <c r="I177" s="16"/>
      <c r="J177" s="16"/>
      <c r="K177" s="16"/>
      <c r="L177" s="16"/>
      <c r="M177" s="16"/>
    </row>
    <row r="178" spans="1:13" x14ac:dyDescent="0.25">
      <c r="A178" s="2"/>
      <c r="B178" s="16"/>
      <c r="C178" s="24"/>
      <c r="D178" s="16"/>
      <c r="E178" s="23"/>
      <c r="F178" s="16"/>
      <c r="G178" s="16"/>
      <c r="H178" s="16"/>
      <c r="I178" s="16"/>
      <c r="J178" s="16"/>
      <c r="K178" s="16"/>
      <c r="L178" s="16"/>
      <c r="M178" s="16"/>
    </row>
    <row r="179" spans="1:13" x14ac:dyDescent="0.25">
      <c r="A179" s="2"/>
      <c r="B179" s="16"/>
      <c r="C179" s="24"/>
      <c r="D179" s="16"/>
      <c r="E179" s="23"/>
      <c r="F179" s="16"/>
      <c r="G179" s="16"/>
      <c r="H179" s="16"/>
      <c r="I179" s="16"/>
      <c r="J179" s="16"/>
      <c r="K179" s="16"/>
      <c r="L179" s="16"/>
      <c r="M179" s="16"/>
    </row>
    <row r="180" spans="1:13" x14ac:dyDescent="0.25">
      <c r="A180" s="2"/>
      <c r="B180" s="16"/>
      <c r="C180" s="24"/>
      <c r="D180" s="16"/>
      <c r="E180" s="23"/>
      <c r="F180" s="16"/>
      <c r="G180" s="16"/>
      <c r="H180" s="16"/>
      <c r="I180" s="16"/>
      <c r="J180" s="16"/>
      <c r="K180" s="16"/>
      <c r="L180" s="16"/>
      <c r="M180" s="16"/>
    </row>
    <row r="181" spans="1:13" x14ac:dyDescent="0.25">
      <c r="A181" s="2"/>
      <c r="B181" s="16"/>
      <c r="C181" s="24"/>
      <c r="D181" s="16"/>
      <c r="E181" s="23"/>
      <c r="F181" s="16"/>
      <c r="G181" s="16"/>
      <c r="H181" s="16"/>
      <c r="I181" s="16"/>
      <c r="J181" s="16"/>
      <c r="K181" s="16"/>
      <c r="L181" s="16"/>
      <c r="M181" s="16"/>
    </row>
    <row r="182" spans="1:13" x14ac:dyDescent="0.25">
      <c r="A182" s="2"/>
      <c r="B182" s="16"/>
      <c r="C182" s="24"/>
      <c r="D182" s="16"/>
      <c r="E182" s="23"/>
      <c r="F182" s="16"/>
      <c r="G182" s="16"/>
      <c r="H182" s="16"/>
      <c r="I182" s="16"/>
      <c r="J182" s="16"/>
      <c r="K182" s="16"/>
      <c r="L182" s="16"/>
      <c r="M182" s="16"/>
    </row>
    <row r="183" spans="1:13" x14ac:dyDescent="0.25">
      <c r="A183" s="2"/>
      <c r="B183" s="16"/>
      <c r="C183" s="24"/>
      <c r="D183" s="16"/>
      <c r="E183" s="23"/>
      <c r="F183" s="16"/>
      <c r="G183" s="16"/>
      <c r="H183" s="16"/>
      <c r="I183" s="16"/>
      <c r="J183" s="16"/>
      <c r="K183" s="16"/>
      <c r="L183" s="16"/>
      <c r="M183" s="16"/>
    </row>
    <row r="184" spans="1:13" x14ac:dyDescent="0.25">
      <c r="A184" s="2"/>
      <c r="B184" s="16"/>
      <c r="C184" s="24"/>
      <c r="D184" s="16"/>
      <c r="E184" s="23"/>
      <c r="F184" s="16"/>
      <c r="G184" s="16"/>
      <c r="H184" s="16"/>
      <c r="I184" s="16"/>
      <c r="J184" s="16"/>
      <c r="K184" s="16"/>
      <c r="L184" s="16"/>
      <c r="M184" s="16"/>
    </row>
    <row r="185" spans="1:13" x14ac:dyDescent="0.25">
      <c r="A185" s="2"/>
      <c r="B185" s="16"/>
      <c r="C185" s="24"/>
      <c r="D185" s="16"/>
      <c r="E185" s="23"/>
      <c r="F185" s="16"/>
      <c r="G185" s="16"/>
      <c r="H185" s="16"/>
      <c r="I185" s="16"/>
      <c r="J185" s="16"/>
      <c r="K185" s="16"/>
      <c r="L185" s="16"/>
      <c r="M185" s="16"/>
    </row>
    <row r="186" spans="1:13" x14ac:dyDescent="0.25">
      <c r="A186" s="2"/>
      <c r="B186" s="16"/>
      <c r="C186" s="24"/>
      <c r="D186" s="16"/>
      <c r="E186" s="23"/>
      <c r="F186" s="16"/>
      <c r="G186" s="16"/>
      <c r="H186" s="16"/>
      <c r="I186" s="16"/>
      <c r="J186" s="16"/>
      <c r="K186" s="16"/>
      <c r="L186" s="16"/>
      <c r="M186" s="16"/>
    </row>
    <row r="187" spans="1:13" x14ac:dyDescent="0.25">
      <c r="A187" s="2"/>
      <c r="B187" s="16"/>
      <c r="C187" s="24"/>
      <c r="D187" s="16"/>
      <c r="E187" s="23"/>
      <c r="F187" s="16"/>
      <c r="G187" s="16"/>
      <c r="H187" s="16"/>
      <c r="I187" s="16"/>
      <c r="J187" s="16"/>
      <c r="K187" s="16"/>
      <c r="L187" s="16"/>
      <c r="M187" s="16"/>
    </row>
    <row r="188" spans="1:13" x14ac:dyDescent="0.25">
      <c r="A188" s="2"/>
      <c r="B188" s="16"/>
      <c r="C188" s="24"/>
      <c r="D188" s="16"/>
      <c r="E188" s="23"/>
      <c r="F188" s="16"/>
      <c r="G188" s="16"/>
      <c r="H188" s="16"/>
      <c r="I188" s="16"/>
      <c r="J188" s="16"/>
      <c r="K188" s="16"/>
      <c r="L188" s="16"/>
      <c r="M188" s="16"/>
    </row>
    <row r="189" spans="1:13" x14ac:dyDescent="0.25">
      <c r="A189" s="2"/>
      <c r="B189" s="16"/>
      <c r="C189" s="24"/>
      <c r="D189" s="16"/>
      <c r="E189" s="23"/>
      <c r="F189" s="16"/>
      <c r="G189" s="16"/>
      <c r="H189" s="16"/>
      <c r="I189" s="16"/>
      <c r="J189" s="16"/>
      <c r="K189" s="16"/>
      <c r="L189" s="16"/>
      <c r="M189" s="16"/>
    </row>
    <row r="190" spans="1:13" x14ac:dyDescent="0.25">
      <c r="A190" s="2"/>
      <c r="B190" s="16"/>
      <c r="C190" s="24"/>
      <c r="D190" s="16"/>
      <c r="E190" s="23"/>
      <c r="F190" s="16"/>
      <c r="G190" s="16"/>
      <c r="H190" s="16"/>
      <c r="I190" s="16"/>
      <c r="J190" s="16"/>
      <c r="K190" s="16"/>
      <c r="L190" s="16"/>
      <c r="M190" s="16"/>
    </row>
    <row r="191" spans="1:13" x14ac:dyDescent="0.25">
      <c r="A191" s="2"/>
      <c r="B191" s="16"/>
      <c r="C191" s="24"/>
      <c r="D191" s="16"/>
      <c r="E191" s="23"/>
      <c r="F191" s="16"/>
      <c r="G191" s="16"/>
      <c r="H191" s="16"/>
      <c r="I191" s="16"/>
      <c r="J191" s="16"/>
      <c r="K191" s="16"/>
      <c r="L191" s="16"/>
      <c r="M191" s="16"/>
    </row>
    <row r="192" spans="1:13" x14ac:dyDescent="0.25">
      <c r="A192" s="2"/>
      <c r="B192" s="16"/>
      <c r="C192" s="24"/>
      <c r="D192" s="16"/>
      <c r="E192" s="23"/>
      <c r="F192" s="16"/>
      <c r="G192" s="16"/>
      <c r="H192" s="16"/>
      <c r="I192" s="16"/>
      <c r="J192" s="16"/>
      <c r="K192" s="16"/>
      <c r="L192" s="16"/>
      <c r="M192" s="16"/>
    </row>
    <row r="193" spans="1:13" x14ac:dyDescent="0.25">
      <c r="A193" s="2"/>
      <c r="B193" s="16"/>
      <c r="C193" s="24"/>
      <c r="D193" s="16"/>
      <c r="E193" s="23"/>
      <c r="F193" s="16"/>
      <c r="G193" s="16"/>
      <c r="H193" s="16"/>
      <c r="I193" s="16"/>
      <c r="J193" s="16"/>
      <c r="K193" s="16"/>
      <c r="L193" s="16"/>
      <c r="M193" s="16"/>
    </row>
    <row r="194" spans="1:13" x14ac:dyDescent="0.25">
      <c r="A194" s="2"/>
      <c r="B194" s="16"/>
      <c r="C194" s="24"/>
      <c r="D194" s="16"/>
      <c r="E194" s="23"/>
      <c r="F194" s="16"/>
      <c r="G194" s="16"/>
      <c r="H194" s="16"/>
      <c r="I194" s="16"/>
      <c r="J194" s="16"/>
      <c r="K194" s="16"/>
      <c r="L194" s="16"/>
      <c r="M194" s="16"/>
    </row>
    <row r="195" spans="1:13" x14ac:dyDescent="0.25">
      <c r="A195" s="2"/>
      <c r="B195" s="16"/>
      <c r="C195" s="24"/>
      <c r="D195" s="16"/>
      <c r="E195" s="23"/>
      <c r="F195" s="16"/>
      <c r="G195" s="16"/>
      <c r="H195" s="16"/>
      <c r="I195" s="16"/>
      <c r="J195" s="16"/>
      <c r="K195" s="16"/>
      <c r="L195" s="16"/>
      <c r="M195" s="16"/>
    </row>
    <row r="196" spans="1:13" x14ac:dyDescent="0.25">
      <c r="A196" s="2"/>
      <c r="B196" s="16"/>
      <c r="C196" s="24"/>
      <c r="D196" s="16"/>
      <c r="E196" s="23"/>
      <c r="F196" s="16"/>
      <c r="G196" s="16"/>
      <c r="H196" s="16"/>
      <c r="I196" s="16"/>
      <c r="J196" s="16"/>
      <c r="K196" s="16"/>
      <c r="L196" s="16"/>
      <c r="M196" s="16"/>
    </row>
    <row r="197" spans="1:13" x14ac:dyDescent="0.25">
      <c r="A197" s="2"/>
      <c r="B197" s="16"/>
      <c r="C197" s="24"/>
      <c r="D197" s="16"/>
      <c r="E197" s="23"/>
      <c r="F197" s="16"/>
      <c r="G197" s="16"/>
      <c r="H197" s="16"/>
      <c r="I197" s="16"/>
      <c r="J197" s="16"/>
      <c r="K197" s="16"/>
      <c r="L197" s="16"/>
      <c r="M197" s="16"/>
    </row>
    <row r="198" spans="1:13" x14ac:dyDescent="0.25">
      <c r="A198" s="2"/>
      <c r="B198" s="16"/>
      <c r="C198" s="24"/>
      <c r="D198" s="16"/>
      <c r="E198" s="23"/>
      <c r="F198" s="16"/>
      <c r="G198" s="16"/>
      <c r="H198" s="16"/>
      <c r="I198" s="16"/>
      <c r="J198" s="16"/>
      <c r="K198" s="16"/>
      <c r="L198" s="16"/>
      <c r="M198" s="16"/>
    </row>
    <row r="199" spans="1:13" x14ac:dyDescent="0.25">
      <c r="A199" s="2"/>
      <c r="B199" s="16"/>
      <c r="C199" s="24"/>
      <c r="D199" s="16"/>
      <c r="E199" s="23"/>
      <c r="F199" s="16"/>
      <c r="G199" s="16"/>
      <c r="H199" s="16"/>
      <c r="I199" s="16"/>
      <c r="J199" s="16"/>
      <c r="K199" s="16"/>
      <c r="L199" s="16"/>
      <c r="M199" s="16"/>
    </row>
    <row r="200" spans="1:13" x14ac:dyDescent="0.25">
      <c r="A200" s="2"/>
      <c r="B200" s="16"/>
      <c r="C200" s="24"/>
      <c r="D200" s="16"/>
      <c r="E200" s="23"/>
      <c r="F200" s="16"/>
      <c r="G200" s="16"/>
      <c r="H200" s="16"/>
      <c r="I200" s="16"/>
      <c r="J200" s="16"/>
      <c r="K200" s="16"/>
      <c r="L200" s="16"/>
      <c r="M200" s="16"/>
    </row>
    <row r="201" spans="1:13" x14ac:dyDescent="0.25">
      <c r="A201" s="2"/>
      <c r="B201" s="16"/>
      <c r="C201" s="24"/>
      <c r="D201" s="16"/>
      <c r="E201" s="23"/>
      <c r="F201" s="16"/>
      <c r="G201" s="16"/>
      <c r="H201" s="16"/>
      <c r="I201" s="16"/>
      <c r="J201" s="16"/>
      <c r="K201" s="16"/>
      <c r="L201" s="16"/>
      <c r="M201" s="16"/>
    </row>
    <row r="202" spans="1:13" x14ac:dyDescent="0.25">
      <c r="A202" s="2"/>
      <c r="B202" s="16"/>
      <c r="C202" s="24"/>
      <c r="D202" s="16"/>
      <c r="E202" s="23"/>
      <c r="F202" s="16"/>
      <c r="G202" s="16"/>
      <c r="H202" s="16"/>
      <c r="I202" s="16"/>
      <c r="J202" s="16"/>
      <c r="K202" s="16"/>
      <c r="L202" s="16"/>
      <c r="M202" s="16"/>
    </row>
    <row r="203" spans="1:13" x14ac:dyDescent="0.25">
      <c r="A203" s="2"/>
      <c r="B203" s="16"/>
      <c r="C203" s="24"/>
      <c r="D203" s="16"/>
      <c r="E203" s="23"/>
      <c r="F203" s="16"/>
      <c r="G203" s="16"/>
      <c r="H203" s="16"/>
      <c r="I203" s="16"/>
      <c r="J203" s="16"/>
      <c r="K203" s="16"/>
      <c r="L203" s="16"/>
      <c r="M203" s="16"/>
    </row>
    <row r="204" spans="1:13" x14ac:dyDescent="0.25">
      <c r="A204" s="2"/>
      <c r="B204" s="16"/>
      <c r="C204" s="24"/>
      <c r="D204" s="16"/>
      <c r="E204" s="23"/>
      <c r="F204" s="16"/>
      <c r="G204" s="16"/>
      <c r="H204" s="16"/>
      <c r="I204" s="16"/>
      <c r="J204" s="16"/>
      <c r="K204" s="16"/>
      <c r="L204" s="16"/>
      <c r="M204" s="16"/>
    </row>
    <row r="205" spans="1:13" x14ac:dyDescent="0.25">
      <c r="A205" s="2"/>
      <c r="B205" s="16"/>
      <c r="C205" s="24"/>
      <c r="D205" s="16"/>
      <c r="E205" s="23"/>
      <c r="F205" s="16"/>
      <c r="G205" s="16"/>
      <c r="H205" s="16"/>
      <c r="I205" s="16"/>
      <c r="J205" s="16"/>
      <c r="K205" s="16"/>
      <c r="L205" s="16"/>
      <c r="M205" s="16"/>
    </row>
    <row r="206" spans="1:13" x14ac:dyDescent="0.25">
      <c r="A206" s="2"/>
      <c r="B206" s="16"/>
      <c r="C206" s="24"/>
      <c r="D206" s="16"/>
      <c r="E206" s="23"/>
      <c r="F206" s="16"/>
      <c r="G206" s="16"/>
      <c r="H206" s="16"/>
      <c r="I206" s="16"/>
      <c r="J206" s="16"/>
      <c r="K206" s="16"/>
      <c r="L206" s="16"/>
      <c r="M206" s="16"/>
    </row>
    <row r="207" spans="1:13" x14ac:dyDescent="0.25">
      <c r="A207" s="2"/>
      <c r="B207" s="16"/>
      <c r="C207" s="24"/>
      <c r="D207" s="16"/>
      <c r="E207" s="23"/>
      <c r="F207" s="16"/>
      <c r="G207" s="16"/>
      <c r="H207" s="16"/>
      <c r="I207" s="16"/>
      <c r="J207" s="16"/>
      <c r="K207" s="16"/>
      <c r="L207" s="16"/>
      <c r="M207" s="16"/>
    </row>
    <row r="208" spans="1:13" x14ac:dyDescent="0.25">
      <c r="A208" s="2"/>
      <c r="B208" s="16"/>
      <c r="C208" s="24"/>
      <c r="D208" s="16"/>
      <c r="E208" s="23"/>
      <c r="F208" s="16"/>
      <c r="G208" s="16"/>
      <c r="H208" s="16"/>
      <c r="I208" s="16"/>
      <c r="J208" s="16"/>
      <c r="K208" s="16"/>
      <c r="L208" s="16"/>
      <c r="M208" s="16"/>
    </row>
    <row r="209" spans="1:13" x14ac:dyDescent="0.25">
      <c r="A209" s="2"/>
      <c r="B209" s="16"/>
      <c r="C209" s="24"/>
      <c r="D209" s="16"/>
      <c r="E209" s="23"/>
      <c r="F209" s="16"/>
      <c r="G209" s="16"/>
      <c r="H209" s="16"/>
      <c r="I209" s="16"/>
      <c r="J209" s="16"/>
      <c r="K209" s="16"/>
      <c r="L209" s="16"/>
      <c r="M209" s="16"/>
    </row>
    <row r="210" spans="1:13" x14ac:dyDescent="0.25">
      <c r="A210" s="2"/>
      <c r="B210" s="16"/>
      <c r="C210" s="24"/>
      <c r="D210" s="16"/>
      <c r="E210" s="23"/>
      <c r="F210" s="16"/>
      <c r="G210" s="16"/>
      <c r="H210" s="16"/>
      <c r="I210" s="16"/>
      <c r="J210" s="16"/>
      <c r="K210" s="16"/>
      <c r="L210" s="16"/>
      <c r="M210" s="16"/>
    </row>
    <row r="211" spans="1:13" x14ac:dyDescent="0.25">
      <c r="A211" s="2"/>
      <c r="B211" s="16"/>
      <c r="C211" s="24"/>
      <c r="D211" s="16"/>
      <c r="E211" s="23"/>
      <c r="F211" s="16"/>
      <c r="G211" s="16"/>
      <c r="H211" s="16"/>
      <c r="I211" s="16"/>
      <c r="J211" s="16"/>
      <c r="K211" s="16"/>
      <c r="L211" s="16"/>
      <c r="M211" s="16"/>
    </row>
    <row r="212" spans="1:13" x14ac:dyDescent="0.25">
      <c r="A212" s="2"/>
      <c r="B212" s="16"/>
      <c r="C212" s="24"/>
      <c r="D212" s="16"/>
      <c r="E212" s="23"/>
      <c r="F212" s="16"/>
      <c r="G212" s="16"/>
      <c r="H212" s="16"/>
      <c r="I212" s="16"/>
      <c r="J212" s="16"/>
      <c r="K212" s="16"/>
      <c r="L212" s="16"/>
      <c r="M212" s="16"/>
    </row>
    <row r="213" spans="1:13" x14ac:dyDescent="0.25">
      <c r="A213" s="2"/>
      <c r="B213" s="16"/>
      <c r="C213" s="24"/>
      <c r="D213" s="16"/>
      <c r="E213" s="23"/>
      <c r="F213" s="16"/>
      <c r="G213" s="16"/>
      <c r="H213" s="16"/>
      <c r="I213" s="16"/>
      <c r="J213" s="16"/>
      <c r="K213" s="16"/>
      <c r="L213" s="16"/>
      <c r="M213" s="16"/>
    </row>
    <row r="214" spans="1:13" x14ac:dyDescent="0.25">
      <c r="A214" s="2"/>
      <c r="B214" s="16"/>
      <c r="C214" s="24"/>
      <c r="D214" s="16"/>
      <c r="E214" s="23"/>
      <c r="F214" s="16"/>
      <c r="G214" s="16"/>
      <c r="H214" s="16"/>
      <c r="I214" s="16"/>
      <c r="J214" s="16"/>
      <c r="K214" s="16"/>
      <c r="L214" s="16"/>
      <c r="M214" s="16"/>
    </row>
    <row r="215" spans="1:13" x14ac:dyDescent="0.25">
      <c r="A215" s="2"/>
      <c r="B215" s="16"/>
      <c r="C215" s="24"/>
      <c r="D215" s="16"/>
      <c r="E215" s="23"/>
      <c r="F215" s="16"/>
      <c r="G215" s="16"/>
      <c r="H215" s="16"/>
      <c r="I215" s="16"/>
      <c r="J215" s="16"/>
      <c r="K215" s="16"/>
      <c r="L215" s="16"/>
      <c r="M215" s="16"/>
    </row>
    <row r="216" spans="1:13" x14ac:dyDescent="0.25">
      <c r="A216" s="2"/>
      <c r="B216" s="16"/>
      <c r="C216" s="24"/>
      <c r="D216" s="16"/>
      <c r="E216" s="23"/>
      <c r="F216" s="16"/>
      <c r="G216" s="16"/>
      <c r="H216" s="16"/>
      <c r="I216" s="16"/>
      <c r="J216" s="16"/>
      <c r="K216" s="16"/>
      <c r="L216" s="16"/>
      <c r="M216" s="16"/>
    </row>
    <row r="217" spans="1:13" x14ac:dyDescent="0.25">
      <c r="A217" s="2"/>
      <c r="B217" s="16"/>
      <c r="C217" s="24"/>
      <c r="D217" s="16"/>
      <c r="E217" s="23"/>
      <c r="F217" s="16"/>
      <c r="G217" s="16"/>
      <c r="H217" s="16"/>
      <c r="I217" s="16"/>
      <c r="J217" s="16"/>
      <c r="K217" s="16"/>
      <c r="L217" s="16"/>
      <c r="M217" s="16"/>
    </row>
    <row r="218" spans="1:13" x14ac:dyDescent="0.25">
      <c r="A218" s="2"/>
      <c r="B218" s="16"/>
      <c r="C218" s="24"/>
      <c r="D218" s="16"/>
      <c r="E218" s="23"/>
      <c r="F218" s="16"/>
      <c r="G218" s="16"/>
      <c r="H218" s="16"/>
      <c r="I218" s="16"/>
      <c r="J218" s="16"/>
      <c r="K218" s="16"/>
      <c r="L218" s="16"/>
      <c r="M218" s="16"/>
    </row>
    <row r="219" spans="1:13" x14ac:dyDescent="0.25">
      <c r="A219" s="2"/>
      <c r="B219" s="16"/>
      <c r="C219" s="24"/>
      <c r="D219" s="16"/>
      <c r="E219" s="23"/>
      <c r="F219" s="16"/>
      <c r="G219" s="16"/>
      <c r="H219" s="16"/>
      <c r="I219" s="16"/>
      <c r="J219" s="16"/>
      <c r="K219" s="16"/>
      <c r="L219" s="16"/>
      <c r="M219" s="16"/>
    </row>
    <row r="220" spans="1:13" x14ac:dyDescent="0.25">
      <c r="A220" s="2"/>
      <c r="B220" s="16"/>
      <c r="C220" s="24"/>
      <c r="D220" s="16"/>
      <c r="E220" s="23"/>
      <c r="F220" s="16"/>
      <c r="G220" s="16"/>
      <c r="H220" s="16"/>
      <c r="I220" s="16"/>
      <c r="J220" s="16"/>
      <c r="K220" s="16"/>
      <c r="L220" s="16"/>
      <c r="M220" s="16"/>
    </row>
    <row r="221" spans="1:13" x14ac:dyDescent="0.25">
      <c r="A221" s="2"/>
      <c r="B221" s="16"/>
      <c r="C221" s="24"/>
      <c r="D221" s="16"/>
      <c r="E221" s="23"/>
      <c r="F221" s="16"/>
      <c r="G221" s="16"/>
      <c r="H221" s="16"/>
      <c r="I221" s="16"/>
      <c r="J221" s="16"/>
      <c r="K221" s="16"/>
      <c r="L221" s="16"/>
      <c r="M221" s="16"/>
    </row>
    <row r="222" spans="1:13" x14ac:dyDescent="0.25">
      <c r="A222" s="2"/>
      <c r="B222" s="16"/>
      <c r="C222" s="24"/>
      <c r="D222" s="16"/>
      <c r="E222" s="23"/>
      <c r="F222" s="16"/>
      <c r="G222" s="16"/>
      <c r="H222" s="16"/>
      <c r="I222" s="16"/>
      <c r="J222" s="16"/>
      <c r="K222" s="16"/>
      <c r="L222" s="16"/>
      <c r="M222" s="16"/>
    </row>
    <row r="223" spans="1:13" x14ac:dyDescent="0.25">
      <c r="A223" s="2"/>
      <c r="B223" s="16"/>
      <c r="C223" s="24"/>
      <c r="D223" s="16"/>
      <c r="E223" s="23"/>
      <c r="F223" s="16"/>
      <c r="G223" s="16"/>
      <c r="H223" s="16"/>
      <c r="I223" s="16"/>
      <c r="J223" s="16"/>
      <c r="K223" s="16"/>
      <c r="L223" s="16"/>
      <c r="M223" s="16"/>
    </row>
    <row r="224" spans="1:13" x14ac:dyDescent="0.25">
      <c r="A224" s="2"/>
      <c r="B224" s="16"/>
      <c r="C224" s="24"/>
      <c r="D224" s="16"/>
      <c r="E224" s="23"/>
      <c r="F224" s="16"/>
      <c r="G224" s="16"/>
      <c r="H224" s="16"/>
      <c r="I224" s="16"/>
      <c r="J224" s="16"/>
      <c r="K224" s="16"/>
      <c r="L224" s="16"/>
      <c r="M224" s="16"/>
    </row>
    <row r="225" spans="1:13" x14ac:dyDescent="0.25">
      <c r="A225" s="2"/>
      <c r="B225" s="16"/>
      <c r="C225" s="24"/>
      <c r="D225" s="16"/>
      <c r="E225" s="23"/>
      <c r="F225" s="16"/>
      <c r="G225" s="16"/>
      <c r="H225" s="16"/>
      <c r="I225" s="16"/>
      <c r="J225" s="16"/>
      <c r="K225" s="16"/>
      <c r="L225" s="16"/>
      <c r="M225" s="16"/>
    </row>
    <row r="226" spans="1:13" x14ac:dyDescent="0.25">
      <c r="A226" s="2"/>
      <c r="B226" s="16"/>
      <c r="C226" s="24"/>
      <c r="D226" s="16"/>
      <c r="E226" s="23"/>
      <c r="F226" s="16"/>
      <c r="G226" s="16"/>
      <c r="H226" s="16"/>
      <c r="I226" s="16"/>
      <c r="J226" s="16"/>
      <c r="K226" s="16"/>
      <c r="L226" s="16"/>
      <c r="M226" s="16"/>
    </row>
    <row r="227" spans="1:13" x14ac:dyDescent="0.25">
      <c r="A227" s="2"/>
      <c r="B227" s="16"/>
      <c r="C227" s="24"/>
      <c r="D227" s="16"/>
      <c r="E227" s="23"/>
      <c r="F227" s="16"/>
      <c r="G227" s="16"/>
      <c r="H227" s="16"/>
      <c r="I227" s="16"/>
      <c r="J227" s="16"/>
      <c r="K227" s="16"/>
      <c r="L227" s="16"/>
      <c r="M227" s="16"/>
    </row>
    <row r="228" spans="1:13" x14ac:dyDescent="0.25">
      <c r="A228" s="2"/>
      <c r="B228" s="16"/>
      <c r="C228" s="24"/>
      <c r="D228" s="16"/>
      <c r="E228" s="23"/>
      <c r="F228" s="16"/>
      <c r="G228" s="16"/>
      <c r="H228" s="16"/>
      <c r="I228" s="16"/>
      <c r="J228" s="16"/>
      <c r="K228" s="16"/>
      <c r="L228" s="16"/>
      <c r="M228" s="16"/>
    </row>
    <row r="229" spans="1:13" x14ac:dyDescent="0.25">
      <c r="A229" s="2"/>
      <c r="B229" s="16"/>
      <c r="C229" s="24"/>
      <c r="D229" s="16"/>
      <c r="E229" s="23"/>
      <c r="F229" s="16"/>
      <c r="G229" s="16"/>
      <c r="H229" s="16"/>
      <c r="I229" s="16"/>
      <c r="J229" s="16"/>
      <c r="K229" s="16"/>
      <c r="L229" s="16"/>
      <c r="M229" s="16"/>
    </row>
    <row r="230" spans="1:13" x14ac:dyDescent="0.25">
      <c r="A230" s="2"/>
      <c r="B230" s="16"/>
      <c r="C230" s="24"/>
      <c r="D230" s="16"/>
      <c r="E230" s="23"/>
      <c r="F230" s="16"/>
      <c r="G230" s="16"/>
      <c r="H230" s="16"/>
      <c r="I230" s="16"/>
      <c r="J230" s="16"/>
      <c r="K230" s="16"/>
      <c r="L230" s="16"/>
      <c r="M230" s="16"/>
    </row>
    <row r="231" spans="1:13" x14ac:dyDescent="0.25">
      <c r="A231" s="2"/>
      <c r="B231" s="16"/>
      <c r="C231" s="24"/>
      <c r="D231" s="16"/>
      <c r="E231" s="23"/>
      <c r="F231" s="16"/>
      <c r="G231" s="16"/>
      <c r="H231" s="16"/>
      <c r="I231" s="16"/>
      <c r="J231" s="16"/>
      <c r="K231" s="16"/>
      <c r="L231" s="16"/>
      <c r="M231" s="16"/>
    </row>
    <row r="232" spans="1:13" x14ac:dyDescent="0.25">
      <c r="A232" s="2"/>
      <c r="B232" s="16"/>
      <c r="C232" s="24"/>
      <c r="D232" s="16"/>
      <c r="E232" s="23"/>
      <c r="F232" s="16"/>
      <c r="G232" s="16"/>
      <c r="H232" s="16"/>
      <c r="I232" s="16"/>
      <c r="J232" s="16"/>
      <c r="K232" s="16"/>
      <c r="L232" s="16"/>
      <c r="M232" s="16"/>
    </row>
    <row r="233" spans="1:13" x14ac:dyDescent="0.25">
      <c r="A233" s="2"/>
      <c r="B233" s="16"/>
      <c r="C233" s="24"/>
      <c r="D233" s="16"/>
      <c r="E233" s="23"/>
      <c r="F233" s="16"/>
      <c r="G233" s="16"/>
      <c r="H233" s="16"/>
      <c r="I233" s="16"/>
      <c r="J233" s="16"/>
      <c r="K233" s="16"/>
      <c r="L233" s="16"/>
      <c r="M233" s="16"/>
    </row>
    <row r="234" spans="1:13" x14ac:dyDescent="0.25">
      <c r="A234" s="2"/>
      <c r="B234" s="16"/>
      <c r="C234" s="24"/>
      <c r="D234" s="16"/>
      <c r="E234" s="23"/>
      <c r="F234" s="16"/>
      <c r="G234" s="16"/>
      <c r="H234" s="16"/>
      <c r="I234" s="16"/>
      <c r="J234" s="16"/>
      <c r="K234" s="16"/>
      <c r="L234" s="16"/>
      <c r="M234" s="16"/>
    </row>
    <row r="235" spans="1:13" x14ac:dyDescent="0.25">
      <c r="A235" s="2"/>
      <c r="B235" s="16"/>
      <c r="C235" s="24"/>
      <c r="D235" s="16"/>
      <c r="E235" s="23"/>
      <c r="F235" s="16"/>
      <c r="G235" s="16"/>
      <c r="H235" s="16"/>
      <c r="I235" s="16"/>
      <c r="J235" s="16"/>
      <c r="K235" s="16"/>
      <c r="L235" s="16"/>
      <c r="M235" s="16"/>
    </row>
    <row r="236" spans="1:13" x14ac:dyDescent="0.25">
      <c r="A236" s="2"/>
      <c r="B236" s="16"/>
      <c r="C236" s="24"/>
      <c r="D236" s="16"/>
      <c r="E236" s="23"/>
      <c r="F236" s="16"/>
      <c r="G236" s="16"/>
      <c r="H236" s="16"/>
      <c r="I236" s="16"/>
      <c r="J236" s="16"/>
      <c r="K236" s="16"/>
      <c r="L236" s="16"/>
      <c r="M236" s="16"/>
    </row>
    <row r="237" spans="1:13" x14ac:dyDescent="0.25">
      <c r="A237" s="2"/>
      <c r="B237" s="16"/>
      <c r="C237" s="24"/>
      <c r="D237" s="16"/>
      <c r="E237" s="23"/>
      <c r="F237" s="16"/>
      <c r="G237" s="16"/>
      <c r="H237" s="16"/>
      <c r="I237" s="16"/>
      <c r="J237" s="16"/>
      <c r="K237" s="16"/>
      <c r="L237" s="16"/>
      <c r="M237" s="16"/>
    </row>
    <row r="238" spans="1:13" x14ac:dyDescent="0.25">
      <c r="A238" s="2"/>
      <c r="B238" s="16"/>
      <c r="C238" s="24"/>
      <c r="D238" s="16"/>
      <c r="E238" s="23"/>
      <c r="F238" s="16"/>
      <c r="G238" s="16"/>
      <c r="H238" s="16"/>
      <c r="I238" s="16"/>
      <c r="J238" s="16"/>
      <c r="K238" s="16"/>
      <c r="L238" s="16"/>
      <c r="M238" s="16"/>
    </row>
    <row r="239" spans="1:13" x14ac:dyDescent="0.25">
      <c r="A239" s="2"/>
      <c r="B239" s="16"/>
      <c r="C239" s="24"/>
      <c r="D239" s="16"/>
      <c r="E239" s="23"/>
      <c r="F239" s="16"/>
      <c r="G239" s="16"/>
      <c r="H239" s="16"/>
      <c r="I239" s="16"/>
      <c r="J239" s="16"/>
      <c r="K239" s="16"/>
      <c r="L239" s="16"/>
      <c r="M239" s="16"/>
    </row>
    <row r="240" spans="1:13" x14ac:dyDescent="0.25">
      <c r="A240" s="2"/>
      <c r="B240" s="16"/>
      <c r="C240" s="24"/>
      <c r="D240" s="16"/>
      <c r="E240" s="23"/>
      <c r="F240" s="16"/>
      <c r="G240" s="16"/>
      <c r="H240" s="16"/>
      <c r="I240" s="16"/>
      <c r="J240" s="16"/>
      <c r="K240" s="16"/>
      <c r="L240" s="16"/>
      <c r="M240" s="16"/>
    </row>
    <row r="241" spans="1:13" x14ac:dyDescent="0.25">
      <c r="A241" s="2"/>
      <c r="B241" s="16"/>
      <c r="C241" s="24"/>
      <c r="D241" s="16"/>
      <c r="E241" s="23"/>
      <c r="F241" s="16"/>
      <c r="G241" s="16"/>
      <c r="H241" s="16"/>
      <c r="I241" s="16"/>
      <c r="J241" s="16"/>
      <c r="K241" s="16"/>
      <c r="L241" s="16"/>
      <c r="M241" s="16"/>
    </row>
    <row r="242" spans="1:13" x14ac:dyDescent="0.25">
      <c r="A242" s="2"/>
      <c r="B242" s="16"/>
      <c r="C242" s="24"/>
      <c r="D242" s="16"/>
      <c r="E242" s="23"/>
      <c r="F242" s="16"/>
      <c r="G242" s="16"/>
      <c r="H242" s="16"/>
      <c r="I242" s="16"/>
      <c r="J242" s="16"/>
      <c r="K242" s="16"/>
      <c r="L242" s="16"/>
      <c r="M242" s="16"/>
    </row>
    <row r="243" spans="1:13" x14ac:dyDescent="0.25">
      <c r="A243" s="2"/>
      <c r="B243" s="16"/>
      <c r="C243" s="24"/>
      <c r="D243" s="16"/>
      <c r="E243" s="23"/>
      <c r="F243" s="16"/>
      <c r="G243" s="16"/>
      <c r="H243" s="16"/>
      <c r="I243" s="16"/>
      <c r="J243" s="16"/>
      <c r="K243" s="16"/>
      <c r="L243" s="16"/>
      <c r="M243" s="16"/>
    </row>
    <row r="244" spans="1:13" x14ac:dyDescent="0.25">
      <c r="A244" s="2"/>
      <c r="B244" s="16"/>
      <c r="C244" s="24"/>
      <c r="D244" s="16"/>
      <c r="E244" s="23"/>
      <c r="F244" s="16"/>
      <c r="G244" s="16"/>
      <c r="H244" s="16"/>
      <c r="I244" s="16"/>
      <c r="J244" s="16"/>
      <c r="K244" s="16"/>
      <c r="L244" s="16"/>
      <c r="M244" s="16"/>
    </row>
    <row r="245" spans="1:13" x14ac:dyDescent="0.25">
      <c r="A245" s="2"/>
      <c r="B245" s="16"/>
      <c r="C245" s="24"/>
      <c r="D245" s="16"/>
      <c r="E245" s="23"/>
      <c r="F245" s="16"/>
      <c r="G245" s="16"/>
      <c r="H245" s="16"/>
      <c r="I245" s="16"/>
      <c r="J245" s="16"/>
      <c r="K245" s="16"/>
      <c r="L245" s="16"/>
      <c r="M245" s="16"/>
    </row>
    <row r="246" spans="1:13" x14ac:dyDescent="0.25">
      <c r="A246" s="2"/>
      <c r="B246" s="16"/>
      <c r="C246" s="24"/>
      <c r="D246" s="16"/>
      <c r="E246" s="23"/>
      <c r="F246" s="16"/>
      <c r="G246" s="16"/>
      <c r="H246" s="16"/>
      <c r="I246" s="16"/>
      <c r="J246" s="16"/>
      <c r="K246" s="16"/>
      <c r="L246" s="16"/>
      <c r="M246" s="16"/>
    </row>
    <row r="247" spans="1:13" x14ac:dyDescent="0.25">
      <c r="A247" s="2"/>
      <c r="B247" s="16"/>
      <c r="C247" s="24"/>
      <c r="D247" s="16"/>
      <c r="E247" s="23"/>
      <c r="F247" s="16"/>
      <c r="G247" s="16"/>
      <c r="H247" s="16"/>
      <c r="I247" s="16"/>
      <c r="J247" s="16"/>
      <c r="K247" s="16"/>
      <c r="L247" s="16"/>
      <c r="M247" s="16"/>
    </row>
    <row r="248" spans="1:13" x14ac:dyDescent="0.25">
      <c r="A248" s="2"/>
      <c r="B248" s="16"/>
      <c r="C248" s="24"/>
      <c r="D248" s="16"/>
      <c r="E248" s="23"/>
      <c r="F248" s="16"/>
      <c r="G248" s="16"/>
      <c r="H248" s="16"/>
      <c r="I248" s="16"/>
      <c r="J248" s="16"/>
      <c r="K248" s="16"/>
      <c r="L248" s="16"/>
      <c r="M248" s="16"/>
    </row>
    <row r="249" spans="1:13" x14ac:dyDescent="0.25">
      <c r="A249" s="2"/>
      <c r="B249" s="16"/>
      <c r="C249" s="24"/>
      <c r="D249" s="16"/>
      <c r="E249" s="23"/>
      <c r="F249" s="16"/>
      <c r="G249" s="16"/>
      <c r="H249" s="16"/>
      <c r="I249" s="16"/>
      <c r="J249" s="16"/>
      <c r="K249" s="16"/>
      <c r="L249" s="16"/>
      <c r="M249" s="16"/>
    </row>
    <row r="250" spans="1:13" x14ac:dyDescent="0.25">
      <c r="A250" s="2"/>
      <c r="B250" s="16"/>
      <c r="C250" s="24"/>
      <c r="D250" s="16"/>
      <c r="E250" s="23"/>
      <c r="F250" s="16"/>
      <c r="G250" s="16"/>
      <c r="H250" s="16"/>
      <c r="I250" s="16"/>
      <c r="J250" s="16"/>
      <c r="K250" s="16"/>
      <c r="L250" s="16"/>
      <c r="M250" s="16"/>
    </row>
    <row r="251" spans="1:13" x14ac:dyDescent="0.25">
      <c r="A251" s="2"/>
      <c r="B251" s="16"/>
      <c r="C251" s="24"/>
      <c r="D251" s="16"/>
      <c r="E251" s="23"/>
      <c r="F251" s="16"/>
      <c r="G251" s="16"/>
      <c r="H251" s="16"/>
      <c r="I251" s="16"/>
      <c r="J251" s="16"/>
      <c r="K251" s="16"/>
      <c r="L251" s="16"/>
      <c r="M251" s="16"/>
    </row>
    <row r="252" spans="1:13" x14ac:dyDescent="0.25">
      <c r="A252" s="2"/>
      <c r="B252" s="16"/>
      <c r="C252" s="24"/>
      <c r="D252" s="16"/>
      <c r="E252" s="23"/>
      <c r="F252" s="16"/>
      <c r="G252" s="16"/>
      <c r="H252" s="16"/>
      <c r="I252" s="16"/>
      <c r="J252" s="16"/>
      <c r="K252" s="16"/>
      <c r="L252" s="16"/>
      <c r="M252" s="16"/>
    </row>
    <row r="253" spans="1:13" x14ac:dyDescent="0.25">
      <c r="A253" s="2"/>
      <c r="B253" s="16"/>
      <c r="C253" s="24"/>
      <c r="D253" s="16"/>
      <c r="E253" s="23"/>
      <c r="F253" s="16"/>
      <c r="G253" s="16"/>
      <c r="H253" s="16"/>
      <c r="I253" s="16"/>
      <c r="J253" s="16"/>
      <c r="K253" s="16"/>
      <c r="L253" s="16"/>
      <c r="M253" s="16"/>
    </row>
    <row r="254" spans="1:13" x14ac:dyDescent="0.25">
      <c r="A254" s="2"/>
      <c r="B254" s="16"/>
      <c r="C254" s="24"/>
      <c r="D254" s="16"/>
      <c r="E254" s="23"/>
      <c r="F254" s="16"/>
      <c r="G254" s="16"/>
      <c r="H254" s="16"/>
      <c r="I254" s="16"/>
      <c r="J254" s="16"/>
      <c r="K254" s="16"/>
      <c r="L254" s="16"/>
      <c r="M254" s="16"/>
    </row>
    <row r="255" spans="1:13" x14ac:dyDescent="0.25">
      <c r="A255" s="2"/>
      <c r="B255" s="16"/>
      <c r="C255" s="24"/>
      <c r="D255" s="16"/>
      <c r="E255" s="23"/>
      <c r="F255" s="16"/>
      <c r="G255" s="16"/>
      <c r="H255" s="16"/>
      <c r="I255" s="16"/>
      <c r="J255" s="16"/>
      <c r="K255" s="16"/>
      <c r="L255" s="16"/>
      <c r="M255" s="16"/>
    </row>
    <row r="256" spans="1:13" x14ac:dyDescent="0.25">
      <c r="A256" s="2"/>
      <c r="B256" s="16"/>
      <c r="C256" s="24"/>
      <c r="D256" s="16"/>
      <c r="E256" s="23"/>
      <c r="F256" s="16"/>
      <c r="G256" s="16"/>
      <c r="H256" s="16"/>
      <c r="I256" s="16"/>
      <c r="J256" s="16"/>
      <c r="K256" s="16"/>
      <c r="L256" s="16"/>
      <c r="M256" s="16"/>
    </row>
    <row r="257" spans="1:13" x14ac:dyDescent="0.25">
      <c r="A257" s="2"/>
      <c r="B257" s="16"/>
      <c r="C257" s="24"/>
      <c r="D257" s="16"/>
      <c r="E257" s="23"/>
      <c r="F257" s="16"/>
      <c r="G257" s="16"/>
      <c r="H257" s="16"/>
      <c r="I257" s="16"/>
      <c r="J257" s="16"/>
      <c r="K257" s="16"/>
      <c r="L257" s="16"/>
      <c r="M257" s="16"/>
    </row>
    <row r="258" spans="1:13" x14ac:dyDescent="0.25">
      <c r="A258" s="2"/>
      <c r="B258" s="16"/>
      <c r="C258" s="24"/>
      <c r="D258" s="16"/>
      <c r="E258" s="23"/>
      <c r="F258" s="16"/>
      <c r="G258" s="16"/>
      <c r="H258" s="16"/>
      <c r="I258" s="16"/>
      <c r="J258" s="16"/>
      <c r="K258" s="16"/>
      <c r="L258" s="16"/>
      <c r="M258" s="16"/>
    </row>
    <row r="259" spans="1:13" x14ac:dyDescent="0.25">
      <c r="A259" s="2"/>
      <c r="B259" s="16"/>
      <c r="C259" s="24"/>
      <c r="D259" s="16"/>
      <c r="E259" s="23"/>
      <c r="F259" s="16"/>
      <c r="G259" s="16"/>
      <c r="H259" s="16"/>
      <c r="I259" s="16"/>
      <c r="J259" s="16"/>
      <c r="K259" s="16"/>
      <c r="L259" s="16"/>
      <c r="M259" s="16"/>
    </row>
    <row r="260" spans="1:13" x14ac:dyDescent="0.25">
      <c r="A260" s="2"/>
      <c r="B260" s="16"/>
      <c r="C260" s="24"/>
      <c r="D260" s="16"/>
      <c r="E260" s="23"/>
      <c r="F260" s="16"/>
      <c r="G260" s="16"/>
      <c r="H260" s="16"/>
      <c r="I260" s="16"/>
      <c r="J260" s="16"/>
      <c r="K260" s="16"/>
      <c r="L260" s="16"/>
      <c r="M260" s="16"/>
    </row>
    <row r="261" spans="1:13" x14ac:dyDescent="0.25">
      <c r="A261" s="2"/>
      <c r="B261" s="16"/>
      <c r="C261" s="24"/>
      <c r="D261" s="16"/>
      <c r="E261" s="23"/>
      <c r="F261" s="16"/>
      <c r="G261" s="16"/>
      <c r="H261" s="16"/>
      <c r="I261" s="16"/>
      <c r="J261" s="16"/>
      <c r="K261" s="16"/>
      <c r="L261" s="16"/>
      <c r="M261" s="16"/>
    </row>
    <row r="262" spans="1:13" x14ac:dyDescent="0.25">
      <c r="A262" s="2"/>
      <c r="B262" s="16"/>
      <c r="C262" s="24"/>
      <c r="D262" s="16"/>
      <c r="E262" s="23"/>
      <c r="F262" s="16"/>
      <c r="G262" s="16"/>
      <c r="H262" s="16"/>
      <c r="I262" s="16"/>
      <c r="J262" s="16"/>
      <c r="K262" s="16"/>
      <c r="L262" s="16"/>
      <c r="M262" s="16"/>
    </row>
    <row r="263" spans="1:13" x14ac:dyDescent="0.25">
      <c r="A263" s="2"/>
      <c r="B263" s="16"/>
      <c r="C263" s="24"/>
      <c r="D263" s="16"/>
      <c r="E263" s="23"/>
      <c r="F263" s="16"/>
      <c r="G263" s="16"/>
      <c r="H263" s="16"/>
      <c r="I263" s="16"/>
      <c r="J263" s="16"/>
      <c r="K263" s="16"/>
      <c r="L263" s="16"/>
      <c r="M263" s="16"/>
    </row>
    <row r="264" spans="1:13" x14ac:dyDescent="0.25">
      <c r="A264" s="2"/>
      <c r="B264" s="16"/>
      <c r="C264" s="24"/>
      <c r="D264" s="16"/>
      <c r="E264" s="23"/>
      <c r="F264" s="16"/>
      <c r="G264" s="16"/>
      <c r="H264" s="16"/>
      <c r="I264" s="16"/>
      <c r="J264" s="16"/>
      <c r="K264" s="16"/>
      <c r="L264" s="16"/>
      <c r="M264" s="16"/>
    </row>
    <row r="265" spans="1:13" x14ac:dyDescent="0.25">
      <c r="A265" s="2"/>
      <c r="B265" s="16"/>
      <c r="C265" s="24"/>
      <c r="D265" s="16"/>
      <c r="E265" s="23"/>
      <c r="F265" s="16"/>
      <c r="G265" s="16"/>
      <c r="H265" s="16"/>
      <c r="I265" s="16"/>
      <c r="J265" s="16"/>
      <c r="K265" s="16"/>
      <c r="L265" s="16"/>
      <c r="M265" s="16"/>
    </row>
    <row r="266" spans="1:13" x14ac:dyDescent="0.25">
      <c r="A266" s="2"/>
      <c r="B266" s="16"/>
      <c r="C266" s="24"/>
      <c r="D266" s="16"/>
      <c r="E266" s="23"/>
      <c r="F266" s="16"/>
      <c r="G266" s="16"/>
      <c r="H266" s="16"/>
      <c r="I266" s="16"/>
      <c r="J266" s="16"/>
      <c r="K266" s="16"/>
      <c r="L266" s="16"/>
      <c r="M266" s="16"/>
    </row>
    <row r="267" spans="1:13" x14ac:dyDescent="0.25">
      <c r="A267" s="2"/>
      <c r="B267" s="16"/>
      <c r="C267" s="24"/>
      <c r="D267" s="16"/>
      <c r="E267" s="23"/>
      <c r="F267" s="16"/>
      <c r="G267" s="16"/>
      <c r="H267" s="16"/>
      <c r="I267" s="16"/>
      <c r="J267" s="16"/>
      <c r="K267" s="16"/>
      <c r="L267" s="16"/>
      <c r="M267" s="16"/>
    </row>
    <row r="268" spans="1:13" x14ac:dyDescent="0.25">
      <c r="A268" s="2"/>
      <c r="B268" s="16"/>
      <c r="C268" s="24"/>
      <c r="D268" s="16"/>
      <c r="E268" s="23"/>
      <c r="F268" s="16"/>
      <c r="G268" s="16"/>
      <c r="H268" s="16"/>
      <c r="I268" s="16"/>
      <c r="J268" s="16"/>
      <c r="K268" s="16"/>
      <c r="L268" s="16"/>
      <c r="M268" s="16"/>
    </row>
    <row r="269" spans="1:13" x14ac:dyDescent="0.25">
      <c r="A269" s="2"/>
      <c r="B269" s="16"/>
      <c r="C269" s="24"/>
      <c r="D269" s="16"/>
      <c r="E269" s="23"/>
      <c r="F269" s="16"/>
      <c r="G269" s="16"/>
      <c r="H269" s="16"/>
      <c r="I269" s="16"/>
      <c r="J269" s="16"/>
      <c r="K269" s="16"/>
      <c r="L269" s="16"/>
      <c r="M269" s="16"/>
    </row>
    <row r="270" spans="1:13" x14ac:dyDescent="0.25">
      <c r="A270" s="2"/>
      <c r="B270" s="16"/>
      <c r="C270" s="24"/>
      <c r="D270" s="16"/>
      <c r="E270" s="23"/>
      <c r="F270" s="16"/>
      <c r="G270" s="16"/>
      <c r="H270" s="16"/>
      <c r="I270" s="16"/>
      <c r="J270" s="16"/>
      <c r="K270" s="16"/>
      <c r="L270" s="16"/>
      <c r="M270" s="16"/>
    </row>
    <row r="271" spans="1:13" x14ac:dyDescent="0.25">
      <c r="A271" s="2"/>
      <c r="B271" s="16"/>
      <c r="C271" s="24"/>
      <c r="D271" s="16"/>
      <c r="E271" s="23"/>
      <c r="F271" s="16"/>
      <c r="G271" s="16"/>
      <c r="H271" s="16"/>
      <c r="I271" s="16"/>
      <c r="J271" s="16"/>
      <c r="K271" s="16"/>
      <c r="L271" s="16"/>
      <c r="M271" s="16"/>
    </row>
    <row r="272" spans="1:13" x14ac:dyDescent="0.25">
      <c r="A272" s="2"/>
      <c r="B272" s="16"/>
      <c r="C272" s="24"/>
      <c r="D272" s="16"/>
      <c r="E272" s="23"/>
      <c r="F272" s="16"/>
      <c r="G272" s="16"/>
      <c r="H272" s="16"/>
      <c r="I272" s="16"/>
      <c r="J272" s="16"/>
      <c r="K272" s="16"/>
      <c r="L272" s="16"/>
      <c r="M272" s="16"/>
    </row>
    <row r="273" spans="1:13" x14ac:dyDescent="0.25">
      <c r="A273" s="2"/>
      <c r="B273" s="16"/>
      <c r="C273" s="24"/>
      <c r="D273" s="16"/>
      <c r="E273" s="23"/>
      <c r="F273" s="16"/>
      <c r="G273" s="16"/>
      <c r="H273" s="16"/>
      <c r="I273" s="16"/>
      <c r="J273" s="16"/>
      <c r="K273" s="16"/>
      <c r="L273" s="16"/>
      <c r="M273" s="16"/>
    </row>
    <row r="274" spans="1:13" x14ac:dyDescent="0.25">
      <c r="A274" s="2"/>
      <c r="B274" s="16"/>
      <c r="C274" s="24"/>
      <c r="D274" s="16"/>
      <c r="E274" s="23"/>
      <c r="F274" s="16"/>
      <c r="G274" s="16"/>
      <c r="H274" s="16"/>
      <c r="I274" s="16"/>
      <c r="J274" s="16"/>
      <c r="K274" s="16"/>
      <c r="L274" s="16"/>
      <c r="M274" s="16"/>
    </row>
    <row r="275" spans="1:13" x14ac:dyDescent="0.25">
      <c r="A275" s="2"/>
      <c r="B275" s="16"/>
      <c r="C275" s="24"/>
      <c r="D275" s="16"/>
      <c r="E275" s="23"/>
      <c r="F275" s="16"/>
      <c r="G275" s="16"/>
      <c r="H275" s="16"/>
      <c r="I275" s="16"/>
      <c r="J275" s="16"/>
      <c r="K275" s="16"/>
      <c r="L275" s="16"/>
      <c r="M275" s="16"/>
    </row>
    <row r="276" spans="1:13" x14ac:dyDescent="0.25">
      <c r="A276" s="2"/>
      <c r="B276" s="16"/>
      <c r="C276" s="24"/>
      <c r="D276" s="16"/>
      <c r="E276" s="23"/>
      <c r="F276" s="16"/>
      <c r="G276" s="16"/>
      <c r="H276" s="16"/>
      <c r="I276" s="16"/>
      <c r="J276" s="16"/>
      <c r="K276" s="16"/>
      <c r="L276" s="16"/>
      <c r="M276" s="16"/>
    </row>
    <row r="277" spans="1:13" x14ac:dyDescent="0.25">
      <c r="A277" s="2"/>
      <c r="B277" s="16"/>
      <c r="C277" s="24"/>
      <c r="D277" s="16"/>
      <c r="E277" s="23"/>
      <c r="F277" s="16"/>
      <c r="G277" s="16"/>
      <c r="H277" s="16"/>
      <c r="I277" s="16"/>
      <c r="J277" s="16"/>
      <c r="K277" s="16"/>
      <c r="L277" s="16"/>
      <c r="M277" s="16"/>
    </row>
    <row r="278" spans="1:13" x14ac:dyDescent="0.25">
      <c r="A278" s="2"/>
      <c r="B278" s="16"/>
      <c r="C278" s="24"/>
      <c r="D278" s="16"/>
      <c r="E278" s="23"/>
      <c r="F278" s="16"/>
      <c r="G278" s="16"/>
      <c r="H278" s="16"/>
      <c r="I278" s="16"/>
      <c r="J278" s="16"/>
      <c r="K278" s="16"/>
      <c r="L278" s="16"/>
      <c r="M278" s="16"/>
    </row>
    <row r="279" spans="1:13" x14ac:dyDescent="0.25">
      <c r="A279" s="2"/>
      <c r="B279" s="16"/>
      <c r="C279" s="24"/>
      <c r="D279" s="16"/>
      <c r="E279" s="23"/>
      <c r="F279" s="16"/>
      <c r="G279" s="16"/>
      <c r="H279" s="16"/>
      <c r="I279" s="16"/>
      <c r="J279" s="16"/>
      <c r="K279" s="16"/>
      <c r="L279" s="16"/>
      <c r="M279" s="16"/>
    </row>
    <row r="280" spans="1:13" x14ac:dyDescent="0.25">
      <c r="A280" s="2"/>
      <c r="B280" s="16"/>
      <c r="C280" s="24"/>
      <c r="D280" s="16"/>
      <c r="E280" s="23"/>
      <c r="F280" s="16"/>
      <c r="G280" s="16"/>
      <c r="H280" s="16"/>
      <c r="I280" s="16"/>
      <c r="J280" s="16"/>
      <c r="K280" s="16"/>
      <c r="L280" s="16"/>
      <c r="M280" s="16"/>
    </row>
    <row r="281" spans="1:13" x14ac:dyDescent="0.25">
      <c r="A281" s="2"/>
      <c r="B281" s="16"/>
      <c r="C281" s="24"/>
      <c r="D281" s="16"/>
      <c r="E281" s="23"/>
      <c r="F281" s="16"/>
      <c r="G281" s="16"/>
      <c r="H281" s="16"/>
      <c r="I281" s="16"/>
      <c r="J281" s="16"/>
      <c r="K281" s="16"/>
      <c r="L281" s="16"/>
      <c r="M281" s="16"/>
    </row>
    <row r="282" spans="1:13" x14ac:dyDescent="0.25">
      <c r="A282" s="2"/>
      <c r="B282" s="16"/>
      <c r="C282" s="24"/>
      <c r="D282" s="16"/>
      <c r="E282" s="23"/>
      <c r="F282" s="16"/>
      <c r="G282" s="16"/>
      <c r="H282" s="16"/>
      <c r="I282" s="16"/>
      <c r="J282" s="16"/>
      <c r="K282" s="16"/>
      <c r="L282" s="16"/>
      <c r="M282" s="16"/>
    </row>
    <row r="283" spans="1:13" x14ac:dyDescent="0.25">
      <c r="A283" s="2"/>
      <c r="B283" s="16"/>
      <c r="C283" s="24"/>
      <c r="D283" s="16"/>
      <c r="E283" s="23"/>
      <c r="F283" s="16"/>
      <c r="G283" s="16"/>
      <c r="H283" s="16"/>
      <c r="I283" s="16"/>
      <c r="J283" s="16"/>
      <c r="K283" s="16"/>
      <c r="L283" s="16"/>
      <c r="M283" s="16"/>
    </row>
    <row r="284" spans="1:13" x14ac:dyDescent="0.25">
      <c r="A284" s="2"/>
      <c r="B284" s="16"/>
      <c r="C284" s="24"/>
      <c r="D284" s="16"/>
      <c r="E284" s="23"/>
      <c r="F284" s="16"/>
      <c r="G284" s="16"/>
      <c r="H284" s="16"/>
      <c r="I284" s="16"/>
      <c r="J284" s="16"/>
      <c r="K284" s="16"/>
      <c r="L284" s="16"/>
      <c r="M284" s="16"/>
    </row>
    <row r="285" spans="1:13" x14ac:dyDescent="0.25">
      <c r="A285" s="2"/>
      <c r="B285" s="16"/>
      <c r="C285" s="24"/>
      <c r="D285" s="16"/>
      <c r="E285" s="23"/>
      <c r="F285" s="16"/>
      <c r="G285" s="16"/>
      <c r="H285" s="16"/>
      <c r="I285" s="16"/>
      <c r="J285" s="16"/>
      <c r="K285" s="16"/>
      <c r="L285" s="16"/>
      <c r="M285" s="16"/>
    </row>
    <row r="286" spans="1:13" x14ac:dyDescent="0.25">
      <c r="A286" s="2"/>
      <c r="B286" s="16"/>
      <c r="C286" s="24"/>
      <c r="D286" s="16"/>
      <c r="E286" s="23"/>
      <c r="F286" s="16"/>
      <c r="G286" s="16"/>
      <c r="H286" s="16"/>
      <c r="I286" s="16"/>
      <c r="J286" s="16"/>
      <c r="K286" s="16"/>
      <c r="L286" s="16"/>
      <c r="M286" s="16"/>
    </row>
    <row r="287" spans="1:13" x14ac:dyDescent="0.25">
      <c r="A287" s="2"/>
      <c r="B287" s="16"/>
      <c r="C287" s="24"/>
      <c r="D287" s="16"/>
      <c r="E287" s="23"/>
      <c r="F287" s="16"/>
      <c r="G287" s="16"/>
      <c r="H287" s="16"/>
      <c r="I287" s="16"/>
      <c r="J287" s="16"/>
      <c r="K287" s="16"/>
      <c r="L287" s="16"/>
      <c r="M287" s="16"/>
    </row>
    <row r="288" spans="1:13" x14ac:dyDescent="0.25">
      <c r="A288" s="2"/>
      <c r="B288" s="16"/>
      <c r="C288" s="24"/>
      <c r="D288" s="16"/>
      <c r="E288" s="23"/>
      <c r="F288" s="16"/>
      <c r="G288" s="16"/>
      <c r="H288" s="16"/>
      <c r="I288" s="16"/>
      <c r="J288" s="16"/>
      <c r="K288" s="16"/>
      <c r="L288" s="16"/>
      <c r="M288" s="16"/>
    </row>
    <row r="289" spans="1:13" x14ac:dyDescent="0.25">
      <c r="A289" s="2"/>
      <c r="B289" s="16"/>
      <c r="C289" s="24"/>
      <c r="D289" s="16"/>
      <c r="E289" s="23"/>
      <c r="F289" s="16"/>
      <c r="G289" s="16"/>
      <c r="H289" s="16"/>
      <c r="I289" s="16"/>
      <c r="J289" s="16"/>
      <c r="K289" s="16"/>
      <c r="L289" s="16"/>
      <c r="M289" s="16"/>
    </row>
    <row r="290" spans="1:13" x14ac:dyDescent="0.25">
      <c r="A290" s="2"/>
      <c r="B290" s="16"/>
      <c r="C290" s="24"/>
      <c r="D290" s="16"/>
      <c r="E290" s="23"/>
      <c r="F290" s="16"/>
      <c r="G290" s="16"/>
      <c r="H290" s="16"/>
      <c r="I290" s="16"/>
      <c r="J290" s="16"/>
      <c r="K290" s="16"/>
      <c r="L290" s="16"/>
      <c r="M290" s="16"/>
    </row>
    <row r="291" spans="1:13" x14ac:dyDescent="0.25">
      <c r="A291" s="2"/>
      <c r="B291" s="16"/>
      <c r="C291" s="24"/>
      <c r="D291" s="16"/>
      <c r="E291" s="23"/>
      <c r="F291" s="16"/>
      <c r="G291" s="16"/>
      <c r="H291" s="16"/>
      <c r="I291" s="16"/>
      <c r="J291" s="16"/>
      <c r="K291" s="16"/>
      <c r="L291" s="16"/>
      <c r="M291" s="16"/>
    </row>
    <row r="292" spans="1:13" x14ac:dyDescent="0.25">
      <c r="A292" s="2"/>
      <c r="B292" s="16"/>
      <c r="C292" s="24"/>
      <c r="D292" s="16"/>
      <c r="E292" s="23"/>
      <c r="F292" s="16"/>
      <c r="G292" s="16"/>
      <c r="H292" s="16"/>
      <c r="I292" s="16"/>
      <c r="J292" s="16"/>
      <c r="K292" s="16"/>
      <c r="L292" s="16"/>
      <c r="M292" s="16"/>
    </row>
    <row r="293" spans="1:13" x14ac:dyDescent="0.25">
      <c r="A293" s="2"/>
      <c r="B293" s="16"/>
      <c r="C293" s="24"/>
      <c r="D293" s="16"/>
      <c r="E293" s="23"/>
      <c r="F293" s="16"/>
      <c r="G293" s="16"/>
      <c r="H293" s="16"/>
      <c r="I293" s="16"/>
      <c r="J293" s="16"/>
      <c r="K293" s="16"/>
      <c r="L293" s="16"/>
      <c r="M293" s="16"/>
    </row>
    <row r="294" spans="1:13" x14ac:dyDescent="0.25">
      <c r="A294" s="2"/>
      <c r="B294" s="16"/>
      <c r="C294" s="24"/>
      <c r="D294" s="16"/>
      <c r="E294" s="23"/>
      <c r="F294" s="16"/>
      <c r="G294" s="16"/>
      <c r="H294" s="16"/>
      <c r="I294" s="16"/>
      <c r="J294" s="16"/>
      <c r="K294" s="16"/>
      <c r="L294" s="16"/>
      <c r="M294" s="16"/>
    </row>
    <row r="295" spans="1:13" x14ac:dyDescent="0.25">
      <c r="A295" s="2"/>
      <c r="B295" s="16"/>
      <c r="C295" s="24"/>
      <c r="D295" s="16"/>
      <c r="E295" s="23"/>
      <c r="F295" s="16"/>
      <c r="G295" s="16"/>
      <c r="H295" s="16"/>
      <c r="I295" s="16"/>
      <c r="J295" s="16"/>
      <c r="K295" s="16"/>
      <c r="L295" s="16"/>
      <c r="M295" s="16"/>
    </row>
    <row r="296" spans="1:13" x14ac:dyDescent="0.25">
      <c r="A296" s="2"/>
      <c r="B296" s="16"/>
      <c r="C296" s="24"/>
      <c r="D296" s="16"/>
      <c r="E296" s="23"/>
      <c r="F296" s="16"/>
      <c r="G296" s="16"/>
      <c r="H296" s="16"/>
      <c r="I296" s="16"/>
      <c r="J296" s="16"/>
      <c r="K296" s="16"/>
      <c r="L296" s="16"/>
      <c r="M296" s="16"/>
    </row>
    <row r="297" spans="1:13" x14ac:dyDescent="0.25">
      <c r="A297" s="2"/>
      <c r="B297" s="16"/>
      <c r="C297" s="24"/>
      <c r="D297" s="16"/>
      <c r="E297" s="23"/>
      <c r="F297" s="16"/>
      <c r="G297" s="16"/>
      <c r="H297" s="16"/>
      <c r="I297" s="16"/>
      <c r="J297" s="16"/>
      <c r="K297" s="16"/>
      <c r="L297" s="16"/>
      <c r="M297" s="16"/>
    </row>
    <row r="298" spans="1:13" x14ac:dyDescent="0.25">
      <c r="A298" s="2"/>
      <c r="B298" s="16"/>
      <c r="C298" s="24"/>
      <c r="D298" s="16"/>
      <c r="E298" s="23"/>
      <c r="F298" s="16"/>
      <c r="G298" s="16"/>
      <c r="H298" s="16"/>
      <c r="I298" s="16"/>
      <c r="J298" s="16"/>
      <c r="K298" s="16"/>
      <c r="L298" s="16"/>
      <c r="M298" s="16"/>
    </row>
    <row r="299" spans="1:13" x14ac:dyDescent="0.25">
      <c r="A299" s="2"/>
      <c r="B299" s="16"/>
      <c r="C299" s="24"/>
      <c r="D299" s="16"/>
      <c r="E299" s="23"/>
      <c r="F299" s="16"/>
      <c r="G299" s="16"/>
      <c r="H299" s="16"/>
      <c r="I299" s="16"/>
      <c r="J299" s="16"/>
      <c r="K299" s="16"/>
      <c r="L299" s="16"/>
      <c r="M299" s="16"/>
    </row>
    <row r="300" spans="1:13" x14ac:dyDescent="0.25">
      <c r="A300" s="2"/>
      <c r="B300" s="16"/>
      <c r="C300" s="24"/>
      <c r="D300" s="16"/>
      <c r="E300" s="23"/>
      <c r="F300" s="16"/>
      <c r="G300" s="16"/>
      <c r="H300" s="16"/>
      <c r="I300" s="16"/>
      <c r="J300" s="16"/>
      <c r="K300" s="16"/>
      <c r="L300" s="16"/>
      <c r="M300" s="16"/>
    </row>
    <row r="301" spans="1:13" x14ac:dyDescent="0.25">
      <c r="A301" s="2"/>
      <c r="B301" s="16"/>
      <c r="C301" s="24"/>
      <c r="D301" s="16"/>
      <c r="E301" s="23"/>
      <c r="F301" s="16"/>
      <c r="G301" s="16"/>
      <c r="H301" s="16"/>
      <c r="I301" s="16"/>
      <c r="J301" s="16"/>
      <c r="K301" s="16"/>
      <c r="L301" s="16"/>
      <c r="M301" s="16"/>
    </row>
    <row r="302" spans="1:13" x14ac:dyDescent="0.25">
      <c r="A302" s="2"/>
      <c r="B302" s="16"/>
      <c r="C302" s="24"/>
      <c r="D302" s="16"/>
      <c r="E302" s="23"/>
      <c r="F302" s="16"/>
      <c r="G302" s="16"/>
      <c r="H302" s="16"/>
      <c r="I302" s="16"/>
      <c r="J302" s="16"/>
      <c r="K302" s="16"/>
      <c r="L302" s="16"/>
      <c r="M302" s="16"/>
    </row>
    <row r="303" spans="1:13" x14ac:dyDescent="0.25">
      <c r="A303" s="2"/>
      <c r="B303" s="16"/>
      <c r="C303" s="24"/>
      <c r="D303" s="16"/>
      <c r="E303" s="23"/>
      <c r="F303" s="16"/>
      <c r="G303" s="16"/>
      <c r="H303" s="16"/>
      <c r="I303" s="16"/>
      <c r="J303" s="16"/>
      <c r="K303" s="16"/>
      <c r="L303" s="16"/>
      <c r="M303" s="16"/>
    </row>
    <row r="304" spans="1:13" x14ac:dyDescent="0.25">
      <c r="A304" s="2"/>
      <c r="B304" s="16"/>
      <c r="C304" s="24"/>
      <c r="D304" s="16"/>
      <c r="E304" s="23"/>
      <c r="F304" s="16"/>
      <c r="G304" s="16"/>
      <c r="H304" s="16"/>
      <c r="I304" s="16"/>
      <c r="J304" s="16"/>
      <c r="K304" s="16"/>
      <c r="L304" s="16"/>
      <c r="M304" s="16"/>
    </row>
    <row r="305" spans="1:13" x14ac:dyDescent="0.25">
      <c r="A305" s="2"/>
      <c r="B305" s="16"/>
      <c r="C305" s="24"/>
      <c r="D305" s="16"/>
      <c r="E305" s="23"/>
      <c r="F305" s="16"/>
      <c r="G305" s="16"/>
      <c r="H305" s="16"/>
      <c r="I305" s="16"/>
      <c r="J305" s="16"/>
      <c r="K305" s="16"/>
      <c r="L305" s="16"/>
      <c r="M305" s="16"/>
    </row>
    <row r="306" spans="1:13" x14ac:dyDescent="0.25">
      <c r="A306" s="2"/>
      <c r="B306" s="16"/>
      <c r="C306" s="24"/>
      <c r="D306" s="16"/>
      <c r="E306" s="23"/>
      <c r="F306" s="16"/>
      <c r="G306" s="16"/>
      <c r="H306" s="16"/>
      <c r="I306" s="16"/>
      <c r="J306" s="16"/>
      <c r="K306" s="16"/>
      <c r="L306" s="16"/>
      <c r="M306" s="16"/>
    </row>
    <row r="307" spans="1:13" x14ac:dyDescent="0.25">
      <c r="A307" s="2"/>
      <c r="B307" s="16"/>
      <c r="C307" s="24"/>
      <c r="D307" s="16"/>
      <c r="E307" s="23"/>
      <c r="F307" s="16"/>
      <c r="G307" s="16"/>
      <c r="H307" s="16"/>
      <c r="I307" s="16"/>
      <c r="J307" s="16"/>
      <c r="K307" s="16"/>
      <c r="L307" s="16"/>
      <c r="M307" s="16"/>
    </row>
    <row r="308" spans="1:13" x14ac:dyDescent="0.25">
      <c r="A308" s="2"/>
      <c r="B308" s="16"/>
      <c r="C308" s="24"/>
      <c r="D308" s="16"/>
      <c r="E308" s="23"/>
      <c r="F308" s="16"/>
      <c r="G308" s="16"/>
      <c r="H308" s="16"/>
      <c r="I308" s="16"/>
      <c r="J308" s="16"/>
      <c r="K308" s="16"/>
      <c r="L308" s="16"/>
      <c r="M308" s="16"/>
    </row>
    <row r="309" spans="1:13" x14ac:dyDescent="0.25">
      <c r="A309" s="2"/>
      <c r="B309" s="16"/>
      <c r="C309" s="24"/>
      <c r="D309" s="16"/>
      <c r="E309" s="23"/>
      <c r="F309" s="16"/>
      <c r="G309" s="16"/>
      <c r="H309" s="16"/>
      <c r="I309" s="16"/>
      <c r="J309" s="16"/>
      <c r="K309" s="16"/>
      <c r="L309" s="16"/>
      <c r="M309" s="16"/>
    </row>
    <row r="310" spans="1:13" x14ac:dyDescent="0.25">
      <c r="A310" s="2"/>
      <c r="B310" s="16"/>
      <c r="C310" s="24"/>
      <c r="D310" s="16"/>
      <c r="E310" s="23"/>
      <c r="F310" s="16"/>
      <c r="G310" s="16"/>
      <c r="H310" s="16"/>
      <c r="I310" s="16"/>
      <c r="J310" s="16"/>
      <c r="K310" s="16"/>
      <c r="L310" s="16"/>
      <c r="M310" s="16"/>
    </row>
    <row r="311" spans="1:13" x14ac:dyDescent="0.25">
      <c r="A311" s="2"/>
      <c r="B311" s="16"/>
      <c r="C311" s="24"/>
      <c r="D311" s="16"/>
      <c r="E311" s="23"/>
      <c r="F311" s="16"/>
      <c r="G311" s="16"/>
      <c r="H311" s="16"/>
      <c r="I311" s="16"/>
      <c r="J311" s="16"/>
      <c r="K311" s="16"/>
      <c r="L311" s="16"/>
      <c r="M311" s="16"/>
    </row>
    <row r="312" spans="1:13" x14ac:dyDescent="0.25">
      <c r="A312" s="2"/>
      <c r="B312" s="16"/>
      <c r="C312" s="24"/>
      <c r="D312" s="16"/>
      <c r="E312" s="23"/>
      <c r="F312" s="16"/>
      <c r="G312" s="16"/>
      <c r="H312" s="16"/>
      <c r="I312" s="16"/>
      <c r="J312" s="16"/>
      <c r="K312" s="16"/>
      <c r="L312" s="16"/>
      <c r="M312" s="16"/>
    </row>
    <row r="313" spans="1:13" x14ac:dyDescent="0.25">
      <c r="A313" s="2"/>
      <c r="B313" s="16"/>
      <c r="C313" s="24"/>
      <c r="D313" s="16"/>
      <c r="E313" s="23"/>
      <c r="F313" s="16"/>
      <c r="G313" s="16"/>
      <c r="H313" s="16"/>
      <c r="I313" s="16"/>
      <c r="J313" s="16"/>
      <c r="K313" s="16"/>
      <c r="L313" s="16"/>
      <c r="M313" s="16"/>
    </row>
    <row r="314" spans="1:13" x14ac:dyDescent="0.25">
      <c r="A314" s="2"/>
      <c r="B314" s="16"/>
      <c r="C314" s="24"/>
      <c r="D314" s="16"/>
      <c r="E314" s="23"/>
      <c r="F314" s="16"/>
      <c r="G314" s="16"/>
      <c r="H314" s="16"/>
      <c r="I314" s="16"/>
      <c r="J314" s="16"/>
      <c r="K314" s="16"/>
      <c r="L314" s="16"/>
      <c r="M314" s="16"/>
    </row>
    <row r="315" spans="1:13" x14ac:dyDescent="0.25">
      <c r="A315" s="2"/>
      <c r="B315" s="16"/>
      <c r="C315" s="24"/>
      <c r="D315" s="16"/>
      <c r="E315" s="23"/>
      <c r="F315" s="16"/>
      <c r="G315" s="16"/>
      <c r="H315" s="16"/>
      <c r="I315" s="16"/>
      <c r="J315" s="16"/>
      <c r="K315" s="16"/>
      <c r="L315" s="16"/>
      <c r="M315" s="16"/>
    </row>
    <row r="316" spans="1:13" x14ac:dyDescent="0.25">
      <c r="A316" s="2"/>
      <c r="B316" s="16"/>
      <c r="C316" s="24"/>
      <c r="D316" s="16"/>
      <c r="E316" s="23"/>
      <c r="F316" s="16"/>
      <c r="G316" s="16"/>
      <c r="H316" s="16"/>
      <c r="I316" s="16"/>
      <c r="J316" s="16"/>
      <c r="K316" s="16"/>
      <c r="L316" s="16"/>
      <c r="M316" s="16"/>
    </row>
    <row r="317" spans="1:13" x14ac:dyDescent="0.25">
      <c r="A317" s="2"/>
      <c r="B317" s="16"/>
      <c r="C317" s="24"/>
      <c r="D317" s="16"/>
      <c r="E317" s="23"/>
      <c r="F317" s="16"/>
      <c r="G317" s="16"/>
      <c r="H317" s="16"/>
      <c r="I317" s="16"/>
      <c r="J317" s="16"/>
      <c r="K317" s="16"/>
      <c r="L317" s="16"/>
      <c r="M317" s="16"/>
    </row>
    <row r="318" spans="1:13" x14ac:dyDescent="0.25">
      <c r="A318" s="2"/>
      <c r="B318" s="16"/>
      <c r="C318" s="24"/>
      <c r="D318" s="16"/>
      <c r="E318" s="23"/>
      <c r="F318" s="16"/>
      <c r="G318" s="16"/>
      <c r="H318" s="16"/>
      <c r="I318" s="16"/>
      <c r="J318" s="16"/>
      <c r="K318" s="16"/>
      <c r="L318" s="16"/>
      <c r="M318" s="16"/>
    </row>
    <row r="319" spans="1:13" x14ac:dyDescent="0.25">
      <c r="A319" s="2"/>
      <c r="B319" s="16"/>
      <c r="C319" s="24"/>
      <c r="D319" s="16"/>
      <c r="E319" s="23"/>
      <c r="F319" s="16"/>
      <c r="G319" s="16"/>
      <c r="H319" s="16"/>
      <c r="I319" s="16"/>
      <c r="J319" s="16"/>
      <c r="K319" s="16"/>
      <c r="L319" s="16"/>
      <c r="M319" s="16"/>
    </row>
    <row r="320" spans="1:13" x14ac:dyDescent="0.25">
      <c r="A320" s="2"/>
      <c r="B320" s="16"/>
      <c r="C320" s="24"/>
      <c r="D320" s="16"/>
      <c r="E320" s="23"/>
      <c r="F320" s="16"/>
      <c r="G320" s="16"/>
      <c r="H320" s="16"/>
      <c r="I320" s="16"/>
      <c r="J320" s="16"/>
      <c r="K320" s="16"/>
      <c r="L320" s="16"/>
      <c r="M320" s="16"/>
    </row>
    <row r="321" spans="1:13" x14ac:dyDescent="0.25">
      <c r="A321" s="2"/>
      <c r="B321" s="16"/>
      <c r="C321" s="24"/>
      <c r="D321" s="16"/>
      <c r="E321" s="23"/>
      <c r="F321" s="16"/>
      <c r="G321" s="16"/>
      <c r="H321" s="16"/>
      <c r="I321" s="16"/>
      <c r="J321" s="16"/>
      <c r="K321" s="16"/>
      <c r="L321" s="16"/>
      <c r="M321" s="16"/>
    </row>
    <row r="322" spans="1:13" x14ac:dyDescent="0.25">
      <c r="A322" s="2"/>
      <c r="B322" s="16"/>
      <c r="C322" s="24"/>
      <c r="D322" s="16"/>
      <c r="E322" s="23"/>
      <c r="F322" s="16"/>
      <c r="G322" s="16"/>
      <c r="H322" s="16"/>
      <c r="I322" s="16"/>
      <c r="J322" s="16"/>
      <c r="K322" s="16"/>
      <c r="L322" s="16"/>
      <c r="M322" s="16"/>
    </row>
    <row r="323" spans="1:13" x14ac:dyDescent="0.25">
      <c r="A323" s="2"/>
      <c r="B323" s="16"/>
      <c r="C323" s="24"/>
      <c r="D323" s="16"/>
      <c r="E323" s="23"/>
      <c r="F323" s="16"/>
      <c r="G323" s="16"/>
      <c r="H323" s="16"/>
      <c r="I323" s="16"/>
      <c r="J323" s="16"/>
      <c r="K323" s="16"/>
      <c r="L323" s="16"/>
      <c r="M323" s="16"/>
    </row>
    <row r="324" spans="1:13" x14ac:dyDescent="0.25">
      <c r="A324" s="2"/>
      <c r="B324" s="16"/>
      <c r="C324" s="24"/>
      <c r="D324" s="16"/>
      <c r="E324" s="23"/>
      <c r="F324" s="16"/>
      <c r="G324" s="16"/>
      <c r="H324" s="16"/>
      <c r="I324" s="16"/>
      <c r="J324" s="16"/>
      <c r="K324" s="16"/>
      <c r="L324" s="16"/>
      <c r="M324" s="16"/>
    </row>
    <row r="325" spans="1:13" x14ac:dyDescent="0.25">
      <c r="A325" s="2"/>
      <c r="B325" s="16"/>
      <c r="C325" s="24"/>
      <c r="D325" s="16"/>
      <c r="E325" s="23"/>
      <c r="F325" s="16"/>
      <c r="G325" s="16"/>
      <c r="H325" s="16"/>
      <c r="I325" s="16"/>
      <c r="J325" s="16"/>
      <c r="K325" s="16"/>
      <c r="L325" s="16"/>
      <c r="M325" s="16"/>
    </row>
    <row r="326" spans="1:13" x14ac:dyDescent="0.25">
      <c r="A326" s="2"/>
      <c r="B326" s="16"/>
      <c r="C326" s="24"/>
      <c r="D326" s="16"/>
      <c r="E326" s="23"/>
      <c r="F326" s="16"/>
      <c r="G326" s="16"/>
      <c r="H326" s="16"/>
      <c r="I326" s="16"/>
      <c r="J326" s="16"/>
      <c r="K326" s="16"/>
      <c r="L326" s="16"/>
      <c r="M326" s="16"/>
    </row>
    <row r="327" spans="1:13" x14ac:dyDescent="0.25">
      <c r="A327" s="2"/>
      <c r="B327" s="16"/>
      <c r="C327" s="24"/>
      <c r="D327" s="16"/>
      <c r="E327" s="23"/>
      <c r="F327" s="16"/>
      <c r="G327" s="16"/>
      <c r="H327" s="16"/>
      <c r="I327" s="16"/>
      <c r="J327" s="16"/>
      <c r="K327" s="16"/>
      <c r="L327" s="16"/>
      <c r="M327" s="16"/>
    </row>
    <row r="328" spans="1:13" x14ac:dyDescent="0.25">
      <c r="A328" s="2"/>
      <c r="B328" s="16"/>
      <c r="C328" s="24"/>
      <c r="D328" s="16"/>
      <c r="E328" s="23"/>
      <c r="F328" s="16"/>
      <c r="G328" s="16"/>
      <c r="H328" s="16"/>
      <c r="I328" s="16"/>
      <c r="J328" s="16"/>
      <c r="K328" s="16"/>
      <c r="L328" s="16"/>
      <c r="M328" s="16"/>
    </row>
    <row r="329" spans="1:13" x14ac:dyDescent="0.25">
      <c r="A329" s="2"/>
      <c r="B329" s="16"/>
      <c r="C329" s="24"/>
      <c r="D329" s="16"/>
      <c r="E329" s="23"/>
      <c r="F329" s="16"/>
      <c r="G329" s="16"/>
      <c r="H329" s="16"/>
      <c r="I329" s="16"/>
      <c r="J329" s="16"/>
      <c r="K329" s="16"/>
      <c r="L329" s="16"/>
      <c r="M329" s="16"/>
    </row>
    <row r="330" spans="1:13" x14ac:dyDescent="0.25">
      <c r="A330" s="2"/>
      <c r="B330" s="16"/>
      <c r="C330" s="24"/>
      <c r="D330" s="16"/>
      <c r="E330" s="23"/>
      <c r="F330" s="16"/>
      <c r="G330" s="16"/>
      <c r="H330" s="16"/>
      <c r="I330" s="16"/>
      <c r="J330" s="16"/>
      <c r="K330" s="16"/>
      <c r="L330" s="16"/>
      <c r="M330" s="16"/>
    </row>
    <row r="331" spans="1:13" x14ac:dyDescent="0.25">
      <c r="A331" s="2"/>
      <c r="B331" s="16"/>
      <c r="C331" s="24"/>
      <c r="D331" s="16"/>
      <c r="E331" s="23"/>
      <c r="F331" s="16"/>
      <c r="G331" s="16"/>
      <c r="H331" s="16"/>
      <c r="I331" s="16"/>
      <c r="J331" s="16"/>
      <c r="K331" s="16"/>
      <c r="L331" s="16"/>
      <c r="M331" s="16"/>
    </row>
    <row r="332" spans="1:13" x14ac:dyDescent="0.25">
      <c r="A332" s="2"/>
      <c r="B332" s="16"/>
      <c r="C332" s="24"/>
      <c r="D332" s="16"/>
      <c r="E332" s="23"/>
      <c r="F332" s="16"/>
      <c r="G332" s="16"/>
      <c r="H332" s="16"/>
      <c r="I332" s="16"/>
      <c r="J332" s="16"/>
      <c r="K332" s="16"/>
      <c r="L332" s="16"/>
      <c r="M332" s="16"/>
    </row>
    <row r="333" spans="1:13" x14ac:dyDescent="0.25">
      <c r="A333" s="2"/>
      <c r="B333" s="16"/>
      <c r="C333" s="24"/>
      <c r="D333" s="16"/>
      <c r="E333" s="23"/>
      <c r="F333" s="16"/>
      <c r="G333" s="16"/>
      <c r="H333" s="16"/>
      <c r="I333" s="16"/>
      <c r="J333" s="16"/>
      <c r="K333" s="16"/>
      <c r="L333" s="16"/>
      <c r="M333" s="16"/>
    </row>
    <row r="334" spans="1:13" x14ac:dyDescent="0.25">
      <c r="A334" s="2"/>
      <c r="B334" s="16"/>
      <c r="C334" s="24"/>
      <c r="D334" s="16"/>
      <c r="E334" s="23"/>
      <c r="F334" s="16"/>
      <c r="G334" s="16"/>
      <c r="H334" s="16"/>
      <c r="I334" s="16"/>
      <c r="J334" s="16"/>
      <c r="K334" s="16"/>
      <c r="L334" s="16"/>
      <c r="M334" s="16"/>
    </row>
    <row r="335" spans="1:13" x14ac:dyDescent="0.25">
      <c r="A335" s="2"/>
      <c r="B335" s="16"/>
      <c r="C335" s="24"/>
      <c r="D335" s="16"/>
      <c r="E335" s="23"/>
      <c r="F335" s="16"/>
      <c r="G335" s="16"/>
      <c r="H335" s="16"/>
      <c r="I335" s="16"/>
      <c r="J335" s="16"/>
      <c r="K335" s="16"/>
      <c r="L335" s="16"/>
      <c r="M335" s="16"/>
    </row>
    <row r="336" spans="1:13" x14ac:dyDescent="0.25">
      <c r="A336" s="2"/>
      <c r="B336" s="16"/>
      <c r="C336" s="24"/>
      <c r="D336" s="16"/>
      <c r="E336" s="23"/>
      <c r="F336" s="16"/>
      <c r="G336" s="16"/>
      <c r="H336" s="16"/>
      <c r="I336" s="16"/>
      <c r="J336" s="16"/>
      <c r="K336" s="16"/>
      <c r="L336" s="16"/>
      <c r="M336" s="16"/>
    </row>
    <row r="337" spans="1:13" x14ac:dyDescent="0.25">
      <c r="A337" s="2"/>
      <c r="B337" s="16"/>
      <c r="C337" s="24"/>
      <c r="D337" s="16"/>
      <c r="E337" s="23"/>
      <c r="F337" s="16"/>
      <c r="G337" s="16"/>
      <c r="H337" s="16"/>
      <c r="I337" s="16"/>
      <c r="J337" s="16"/>
      <c r="K337" s="16"/>
      <c r="L337" s="16"/>
      <c r="M337" s="16"/>
    </row>
    <row r="338" spans="1:13" x14ac:dyDescent="0.25">
      <c r="A338" s="2"/>
      <c r="B338" s="16"/>
      <c r="C338" s="24"/>
      <c r="D338" s="16"/>
      <c r="E338" s="23"/>
      <c r="F338" s="16"/>
      <c r="G338" s="16"/>
      <c r="H338" s="16"/>
      <c r="I338" s="16"/>
      <c r="J338" s="16"/>
      <c r="K338" s="16"/>
      <c r="L338" s="16"/>
      <c r="M338" s="16"/>
    </row>
    <row r="339" spans="1:13" x14ac:dyDescent="0.25">
      <c r="A339" s="2"/>
      <c r="B339" s="16"/>
      <c r="C339" s="24"/>
      <c r="D339" s="16"/>
      <c r="E339" s="23"/>
      <c r="F339" s="16"/>
      <c r="G339" s="16"/>
      <c r="H339" s="16"/>
      <c r="I339" s="16"/>
      <c r="J339" s="16"/>
      <c r="K339" s="16"/>
      <c r="L339" s="16"/>
      <c r="M339" s="16"/>
    </row>
    <row r="340" spans="1:13" x14ac:dyDescent="0.25">
      <c r="A340" s="2"/>
      <c r="B340" s="16"/>
      <c r="C340" s="24"/>
      <c r="D340" s="16"/>
      <c r="E340" s="23"/>
      <c r="F340" s="16"/>
      <c r="G340" s="16"/>
      <c r="H340" s="16"/>
      <c r="I340" s="16"/>
      <c r="J340" s="16"/>
      <c r="K340" s="16"/>
      <c r="L340" s="16"/>
      <c r="M340" s="16"/>
    </row>
    <row r="341" spans="1:13" x14ac:dyDescent="0.25">
      <c r="A341" s="2"/>
      <c r="B341" s="16"/>
      <c r="C341" s="24"/>
      <c r="D341" s="16"/>
      <c r="E341" s="23"/>
      <c r="F341" s="16"/>
      <c r="G341" s="16"/>
      <c r="H341" s="16"/>
      <c r="I341" s="16"/>
      <c r="J341" s="16"/>
      <c r="K341" s="16"/>
      <c r="L341" s="16"/>
      <c r="M341" s="16"/>
    </row>
    <row r="342" spans="1:13" x14ac:dyDescent="0.25">
      <c r="A342" s="2"/>
      <c r="B342" s="16"/>
      <c r="C342" s="24"/>
      <c r="D342" s="16"/>
      <c r="E342" s="23"/>
      <c r="F342" s="16"/>
      <c r="G342" s="16"/>
      <c r="H342" s="16"/>
      <c r="I342" s="16"/>
      <c r="J342" s="16"/>
      <c r="K342" s="16"/>
      <c r="L342" s="16"/>
      <c r="M342" s="16"/>
    </row>
    <row r="343" spans="1:13" x14ac:dyDescent="0.25">
      <c r="A343" s="2"/>
      <c r="B343" s="16"/>
      <c r="C343" s="24"/>
      <c r="D343" s="16"/>
      <c r="E343" s="23"/>
      <c r="F343" s="16"/>
      <c r="G343" s="16"/>
      <c r="H343" s="16"/>
      <c r="I343" s="16"/>
      <c r="J343" s="16"/>
      <c r="K343" s="16"/>
      <c r="L343" s="16"/>
      <c r="M343" s="16"/>
    </row>
    <row r="344" spans="1:13" x14ac:dyDescent="0.25">
      <c r="A344" s="2"/>
      <c r="B344" s="16"/>
      <c r="C344" s="24"/>
      <c r="D344" s="16"/>
      <c r="E344" s="23"/>
      <c r="F344" s="16"/>
      <c r="G344" s="16"/>
      <c r="H344" s="16"/>
      <c r="I344" s="16"/>
      <c r="J344" s="16"/>
      <c r="K344" s="16"/>
      <c r="L344" s="16"/>
      <c r="M344" s="16"/>
    </row>
    <row r="345" spans="1:13" x14ac:dyDescent="0.25">
      <c r="A345" s="2"/>
      <c r="B345" s="16"/>
      <c r="C345" s="24"/>
      <c r="D345" s="16"/>
      <c r="E345" s="23"/>
      <c r="F345" s="16"/>
      <c r="G345" s="16"/>
      <c r="H345" s="16"/>
      <c r="I345" s="16"/>
      <c r="J345" s="16"/>
      <c r="K345" s="16"/>
      <c r="L345" s="16"/>
      <c r="M345" s="16"/>
    </row>
    <row r="346" spans="1:13" x14ac:dyDescent="0.25">
      <c r="A346" s="2"/>
      <c r="B346" s="16"/>
      <c r="C346" s="24"/>
      <c r="D346" s="16"/>
      <c r="E346" s="23"/>
      <c r="F346" s="16"/>
      <c r="G346" s="16"/>
      <c r="H346" s="16"/>
      <c r="I346" s="16"/>
      <c r="J346" s="16"/>
      <c r="K346" s="16"/>
      <c r="L346" s="16"/>
      <c r="M346" s="16"/>
    </row>
    <row r="347" spans="1:13" x14ac:dyDescent="0.25">
      <c r="A347" s="2"/>
      <c r="B347" s="16"/>
      <c r="C347" s="24"/>
      <c r="D347" s="16"/>
      <c r="E347" s="23"/>
      <c r="F347" s="16"/>
      <c r="G347" s="16"/>
      <c r="H347" s="16"/>
      <c r="I347" s="16"/>
      <c r="J347" s="16"/>
      <c r="K347" s="16"/>
      <c r="L347" s="16"/>
      <c r="M347" s="16"/>
    </row>
    <row r="348" spans="1:13" x14ac:dyDescent="0.25">
      <c r="A348" s="2"/>
      <c r="B348" s="16"/>
      <c r="C348" s="24"/>
      <c r="D348" s="16"/>
      <c r="E348" s="23"/>
      <c r="F348" s="16"/>
      <c r="G348" s="16"/>
      <c r="H348" s="16"/>
      <c r="I348" s="16"/>
      <c r="J348" s="16"/>
      <c r="K348" s="16"/>
      <c r="L348" s="16"/>
      <c r="M348" s="16"/>
    </row>
    <row r="349" spans="1:13" x14ac:dyDescent="0.25">
      <c r="A349" s="2"/>
      <c r="B349" s="16"/>
      <c r="C349" s="24"/>
      <c r="D349" s="16"/>
      <c r="E349" s="23"/>
      <c r="F349" s="16"/>
      <c r="G349" s="16"/>
      <c r="H349" s="16"/>
      <c r="I349" s="16"/>
      <c r="J349" s="16"/>
      <c r="K349" s="16"/>
      <c r="L349" s="16"/>
      <c r="M349" s="16"/>
    </row>
    <row r="350" spans="1:13" x14ac:dyDescent="0.25">
      <c r="A350" s="2"/>
      <c r="B350" s="16"/>
      <c r="C350" s="24"/>
      <c r="D350" s="16"/>
      <c r="E350" s="23"/>
      <c r="F350" s="16"/>
      <c r="G350" s="16"/>
      <c r="H350" s="16"/>
      <c r="I350" s="16"/>
      <c r="J350" s="16"/>
      <c r="K350" s="16"/>
      <c r="L350" s="16"/>
      <c r="M350" s="16"/>
    </row>
    <row r="351" spans="1:13" x14ac:dyDescent="0.25">
      <c r="A351" s="2"/>
      <c r="B351" s="16"/>
      <c r="C351" s="24"/>
      <c r="D351" s="16"/>
      <c r="E351" s="23"/>
      <c r="F351" s="16"/>
      <c r="G351" s="16"/>
      <c r="H351" s="16"/>
      <c r="I351" s="16"/>
      <c r="J351" s="16"/>
      <c r="K351" s="16"/>
      <c r="L351" s="16"/>
      <c r="M351" s="16"/>
    </row>
    <row r="352" spans="1:13" x14ac:dyDescent="0.25">
      <c r="A352" s="2"/>
      <c r="B352" s="16"/>
      <c r="C352" s="24"/>
      <c r="D352" s="16"/>
      <c r="E352" s="23"/>
      <c r="F352" s="16"/>
      <c r="G352" s="16"/>
      <c r="H352" s="16"/>
      <c r="I352" s="16"/>
      <c r="J352" s="16"/>
      <c r="K352" s="16"/>
      <c r="L352" s="16"/>
      <c r="M352" s="16"/>
    </row>
    <row r="353" spans="1:13" x14ac:dyDescent="0.25">
      <c r="A353" s="2"/>
      <c r="B353" s="16"/>
      <c r="C353" s="24"/>
      <c r="D353" s="16"/>
      <c r="E353" s="23"/>
      <c r="F353" s="16"/>
      <c r="G353" s="16"/>
      <c r="H353" s="16"/>
      <c r="I353" s="16"/>
      <c r="J353" s="16"/>
      <c r="K353" s="16"/>
      <c r="L353" s="16"/>
      <c r="M353" s="16"/>
    </row>
    <row r="354" spans="1:13" x14ac:dyDescent="0.25">
      <c r="A354" s="2"/>
      <c r="B354" s="16"/>
      <c r="C354" s="24"/>
      <c r="D354" s="16"/>
      <c r="E354" s="23"/>
      <c r="F354" s="16"/>
      <c r="G354" s="16"/>
      <c r="H354" s="16"/>
      <c r="I354" s="16"/>
      <c r="J354" s="16"/>
      <c r="K354" s="16"/>
      <c r="L354" s="16"/>
      <c r="M354" s="16"/>
    </row>
    <row r="355" spans="1:13" x14ac:dyDescent="0.25">
      <c r="A355" s="2"/>
      <c r="B355" s="16"/>
      <c r="C355" s="24"/>
      <c r="D355" s="16"/>
      <c r="E355" s="23"/>
      <c r="F355" s="16"/>
      <c r="G355" s="16"/>
      <c r="H355" s="16"/>
      <c r="I355" s="16"/>
      <c r="J355" s="16"/>
      <c r="K355" s="16"/>
      <c r="L355" s="16"/>
      <c r="M355" s="16"/>
    </row>
    <row r="356" spans="1:13" x14ac:dyDescent="0.25">
      <c r="A356" s="2"/>
      <c r="B356" s="16"/>
      <c r="C356" s="24"/>
      <c r="D356" s="16"/>
      <c r="E356" s="23"/>
      <c r="F356" s="16"/>
      <c r="G356" s="16"/>
      <c r="H356" s="16"/>
      <c r="I356" s="16"/>
      <c r="J356" s="16"/>
      <c r="K356" s="16"/>
      <c r="L356" s="16"/>
      <c r="M356" s="16"/>
    </row>
    <row r="357" spans="1:13" x14ac:dyDescent="0.25">
      <c r="A357" s="2"/>
      <c r="B357" s="16"/>
      <c r="C357" s="24"/>
      <c r="D357" s="16"/>
      <c r="E357" s="23"/>
      <c r="F357" s="16"/>
      <c r="G357" s="16"/>
      <c r="H357" s="16"/>
      <c r="I357" s="16"/>
      <c r="J357" s="16"/>
      <c r="K357" s="16"/>
      <c r="L357" s="16"/>
      <c r="M357" s="16"/>
    </row>
    <row r="358" spans="1:13" x14ac:dyDescent="0.25">
      <c r="A358" s="2"/>
      <c r="B358" s="16"/>
      <c r="C358" s="24"/>
      <c r="D358" s="16"/>
      <c r="E358" s="23"/>
      <c r="F358" s="16"/>
      <c r="G358" s="16"/>
      <c r="H358" s="16"/>
      <c r="I358" s="16"/>
      <c r="J358" s="16"/>
      <c r="K358" s="16"/>
      <c r="L358" s="16"/>
      <c r="M358" s="16"/>
    </row>
    <row r="359" spans="1:13" x14ac:dyDescent="0.25">
      <c r="A359" s="2"/>
      <c r="B359" s="16"/>
      <c r="C359" s="24"/>
      <c r="D359" s="16"/>
      <c r="E359" s="23"/>
      <c r="F359" s="16"/>
      <c r="G359" s="16"/>
      <c r="H359" s="16"/>
      <c r="I359" s="16"/>
      <c r="J359" s="16"/>
      <c r="K359" s="16"/>
      <c r="L359" s="16"/>
      <c r="M359" s="16"/>
    </row>
    <row r="360" spans="1:13" x14ac:dyDescent="0.25">
      <c r="A360" s="2"/>
      <c r="B360" s="16"/>
      <c r="C360" s="24"/>
      <c r="D360" s="16"/>
      <c r="E360" s="23"/>
      <c r="F360" s="16"/>
      <c r="G360" s="16"/>
      <c r="H360" s="16"/>
      <c r="I360" s="16"/>
      <c r="J360" s="16"/>
      <c r="K360" s="16"/>
      <c r="L360" s="16"/>
      <c r="M360" s="16"/>
    </row>
    <row r="361" spans="1:13" x14ac:dyDescent="0.25">
      <c r="A361" s="2"/>
      <c r="B361" s="16"/>
      <c r="C361" s="24"/>
      <c r="D361" s="16"/>
      <c r="E361" s="23"/>
      <c r="F361" s="16"/>
      <c r="G361" s="16"/>
      <c r="H361" s="16"/>
      <c r="I361" s="16"/>
      <c r="J361" s="16"/>
      <c r="K361" s="16"/>
      <c r="L361" s="16"/>
      <c r="M361" s="16"/>
    </row>
    <row r="362" spans="1:13" x14ac:dyDescent="0.25">
      <c r="A362" s="2"/>
      <c r="B362" s="16"/>
      <c r="C362" s="24"/>
      <c r="D362" s="16"/>
      <c r="E362" s="23"/>
      <c r="F362" s="16"/>
      <c r="G362" s="16"/>
      <c r="H362" s="16"/>
      <c r="I362" s="16"/>
      <c r="J362" s="16"/>
      <c r="K362" s="16"/>
      <c r="L362" s="16"/>
      <c r="M362" s="16"/>
    </row>
    <row r="363" spans="1:13" x14ac:dyDescent="0.25">
      <c r="A363" s="2"/>
      <c r="B363" s="16"/>
      <c r="C363" s="24"/>
      <c r="D363" s="16"/>
      <c r="E363" s="23"/>
      <c r="F363" s="16"/>
      <c r="G363" s="16"/>
      <c r="H363" s="16"/>
      <c r="I363" s="16"/>
      <c r="J363" s="16"/>
      <c r="K363" s="16"/>
      <c r="L363" s="16"/>
      <c r="M363" s="16"/>
    </row>
    <row r="364" spans="1:13" x14ac:dyDescent="0.25">
      <c r="A364" s="2"/>
      <c r="B364" s="16"/>
      <c r="C364" s="24"/>
      <c r="D364" s="16"/>
      <c r="E364" s="23"/>
      <c r="F364" s="16"/>
      <c r="G364" s="16"/>
      <c r="H364" s="16"/>
      <c r="I364" s="16"/>
      <c r="J364" s="16"/>
      <c r="K364" s="16"/>
      <c r="L364" s="16"/>
      <c r="M364" s="16"/>
    </row>
    <row r="365" spans="1:13" x14ac:dyDescent="0.25">
      <c r="A365" s="2"/>
      <c r="B365" s="16"/>
      <c r="C365" s="24"/>
      <c r="D365" s="16"/>
      <c r="E365" s="23"/>
      <c r="F365" s="16"/>
      <c r="G365" s="16"/>
      <c r="H365" s="16"/>
      <c r="I365" s="16"/>
      <c r="J365" s="16"/>
      <c r="K365" s="16"/>
      <c r="L365" s="16"/>
      <c r="M365" s="16"/>
    </row>
    <row r="366" spans="1:13" x14ac:dyDescent="0.25">
      <c r="A366" s="2"/>
      <c r="B366" s="16"/>
      <c r="C366" s="24"/>
      <c r="D366" s="16"/>
      <c r="E366" s="23"/>
      <c r="F366" s="16"/>
      <c r="G366" s="16"/>
      <c r="H366" s="16"/>
      <c r="I366" s="16"/>
      <c r="J366" s="16"/>
      <c r="K366" s="16"/>
      <c r="L366" s="16"/>
      <c r="M366" s="16"/>
    </row>
    <row r="367" spans="1:13" x14ac:dyDescent="0.25">
      <c r="A367" s="2"/>
      <c r="B367" s="16"/>
      <c r="C367" s="24"/>
      <c r="D367" s="16"/>
      <c r="E367" s="23"/>
      <c r="F367" s="16"/>
      <c r="G367" s="16"/>
      <c r="H367" s="16"/>
      <c r="I367" s="16"/>
      <c r="J367" s="16"/>
      <c r="K367" s="16"/>
      <c r="L367" s="16"/>
      <c r="M367" s="16"/>
    </row>
    <row r="368" spans="1:13" x14ac:dyDescent="0.25">
      <c r="A368" s="2"/>
      <c r="B368" s="16"/>
      <c r="C368" s="24"/>
      <c r="D368" s="16"/>
      <c r="E368" s="23"/>
      <c r="F368" s="16"/>
      <c r="G368" s="16"/>
      <c r="H368" s="16"/>
      <c r="I368" s="16"/>
      <c r="J368" s="16"/>
      <c r="K368" s="16"/>
      <c r="L368" s="16"/>
      <c r="M368" s="16"/>
    </row>
    <row r="369" spans="1:13" x14ac:dyDescent="0.25">
      <c r="A369" s="2"/>
      <c r="B369" s="16"/>
      <c r="C369" s="24"/>
      <c r="D369" s="16"/>
      <c r="E369" s="23"/>
      <c r="F369" s="16"/>
      <c r="G369" s="16"/>
      <c r="H369" s="16"/>
      <c r="I369" s="16"/>
      <c r="J369" s="16"/>
      <c r="K369" s="16"/>
      <c r="L369" s="16"/>
      <c r="M369" s="16"/>
    </row>
    <row r="370" spans="1:13" x14ac:dyDescent="0.25">
      <c r="A370" s="2"/>
      <c r="B370" s="16"/>
      <c r="C370" s="24"/>
      <c r="D370" s="16"/>
      <c r="E370" s="23"/>
      <c r="F370" s="16"/>
      <c r="G370" s="16"/>
      <c r="H370" s="16"/>
      <c r="I370" s="16"/>
      <c r="J370" s="16"/>
      <c r="K370" s="16"/>
      <c r="L370" s="16"/>
      <c r="M370" s="16"/>
    </row>
    <row r="371" spans="1:13" x14ac:dyDescent="0.25">
      <c r="A371" s="2"/>
      <c r="B371" s="16"/>
      <c r="C371" s="24"/>
      <c r="D371" s="16"/>
      <c r="E371" s="23"/>
      <c r="F371" s="16"/>
      <c r="G371" s="16"/>
      <c r="H371" s="16"/>
      <c r="I371" s="16"/>
      <c r="J371" s="16"/>
      <c r="K371" s="16"/>
      <c r="L371" s="16"/>
      <c r="M371" s="16"/>
    </row>
    <row r="372" spans="1:13" x14ac:dyDescent="0.25">
      <c r="A372" s="2"/>
      <c r="B372" s="16"/>
      <c r="C372" s="24"/>
      <c r="D372" s="16"/>
      <c r="E372" s="23"/>
      <c r="F372" s="16"/>
      <c r="G372" s="16"/>
      <c r="H372" s="16"/>
      <c r="I372" s="16"/>
      <c r="J372" s="16"/>
      <c r="K372" s="16"/>
      <c r="L372" s="16"/>
      <c r="M372" s="16"/>
    </row>
    <row r="373" spans="1:13" x14ac:dyDescent="0.25">
      <c r="A373" s="2"/>
      <c r="B373" s="16"/>
      <c r="C373" s="24"/>
      <c r="D373" s="16"/>
      <c r="E373" s="23"/>
      <c r="F373" s="16"/>
      <c r="G373" s="16"/>
      <c r="H373" s="16"/>
      <c r="I373" s="16"/>
      <c r="J373" s="16"/>
      <c r="K373" s="16"/>
      <c r="L373" s="16"/>
      <c r="M373" s="16"/>
    </row>
    <row r="374" spans="1:13" x14ac:dyDescent="0.25">
      <c r="A374" s="2"/>
      <c r="B374" s="16"/>
      <c r="C374" s="24"/>
      <c r="D374" s="16"/>
      <c r="E374" s="23"/>
      <c r="F374" s="16"/>
      <c r="G374" s="16"/>
      <c r="H374" s="16"/>
      <c r="I374" s="16"/>
      <c r="J374" s="16"/>
      <c r="K374" s="16"/>
      <c r="L374" s="16"/>
      <c r="M374" s="16"/>
    </row>
    <row r="375" spans="1:13" x14ac:dyDescent="0.25">
      <c r="A375" s="2"/>
      <c r="B375" s="16"/>
      <c r="C375" s="24"/>
      <c r="D375" s="16"/>
      <c r="E375" s="23"/>
      <c r="F375" s="16"/>
      <c r="G375" s="16"/>
      <c r="H375" s="16"/>
      <c r="I375" s="16"/>
      <c r="J375" s="16"/>
      <c r="K375" s="16"/>
      <c r="L375" s="16"/>
      <c r="M375" s="16"/>
    </row>
    <row r="376" spans="1:13" x14ac:dyDescent="0.25">
      <c r="A376" s="2"/>
      <c r="B376" s="16"/>
      <c r="C376" s="24"/>
      <c r="D376" s="16"/>
      <c r="E376" s="23"/>
      <c r="F376" s="16"/>
      <c r="G376" s="16"/>
      <c r="H376" s="16"/>
      <c r="I376" s="16"/>
      <c r="J376" s="16"/>
      <c r="K376" s="16"/>
      <c r="L376" s="16"/>
      <c r="M376" s="16"/>
    </row>
    <row r="377" spans="1:13" x14ac:dyDescent="0.25">
      <c r="A377" s="2"/>
      <c r="B377" s="16"/>
      <c r="C377" s="24"/>
      <c r="D377" s="16"/>
      <c r="E377" s="23"/>
      <c r="F377" s="16"/>
      <c r="G377" s="16"/>
      <c r="H377" s="16"/>
      <c r="I377" s="16"/>
      <c r="J377" s="16"/>
      <c r="K377" s="16"/>
      <c r="L377" s="16"/>
      <c r="M377" s="16"/>
    </row>
    <row r="378" spans="1:13" x14ac:dyDescent="0.25">
      <c r="A378" s="2"/>
      <c r="B378" s="16"/>
      <c r="C378" s="24"/>
      <c r="D378" s="16"/>
      <c r="E378" s="23"/>
      <c r="F378" s="16"/>
      <c r="G378" s="16"/>
      <c r="H378" s="16"/>
      <c r="I378" s="16"/>
      <c r="J378" s="16"/>
      <c r="K378" s="16"/>
      <c r="L378" s="16"/>
      <c r="M378" s="16"/>
    </row>
    <row r="379" spans="1:13" x14ac:dyDescent="0.25">
      <c r="A379" s="2"/>
      <c r="B379" s="16"/>
      <c r="C379" s="24"/>
      <c r="D379" s="16"/>
      <c r="E379" s="23"/>
      <c r="F379" s="16"/>
      <c r="G379" s="16"/>
      <c r="H379" s="16"/>
      <c r="I379" s="16"/>
      <c r="J379" s="16"/>
      <c r="K379" s="16"/>
      <c r="L379" s="16"/>
      <c r="M379" s="16"/>
    </row>
    <row r="380" spans="1:13" x14ac:dyDescent="0.25">
      <c r="A380" s="2"/>
      <c r="B380" s="16"/>
      <c r="C380" s="24"/>
      <c r="D380" s="16"/>
      <c r="E380" s="23"/>
      <c r="F380" s="16"/>
      <c r="G380" s="16"/>
      <c r="H380" s="16"/>
      <c r="I380" s="16"/>
      <c r="J380" s="16"/>
      <c r="K380" s="16"/>
      <c r="L380" s="16"/>
      <c r="M380" s="16"/>
    </row>
    <row r="381" spans="1:13" x14ac:dyDescent="0.25">
      <c r="A381" s="2"/>
      <c r="B381" s="16"/>
      <c r="C381" s="24"/>
      <c r="D381" s="16"/>
      <c r="E381" s="23"/>
      <c r="F381" s="16"/>
      <c r="G381" s="16"/>
      <c r="H381" s="16"/>
      <c r="I381" s="16"/>
      <c r="J381" s="16"/>
      <c r="K381" s="16"/>
      <c r="L381" s="16"/>
      <c r="M381" s="16"/>
    </row>
    <row r="382" spans="1:13" x14ac:dyDescent="0.25">
      <c r="A382" s="2"/>
      <c r="B382" s="16"/>
      <c r="C382" s="24"/>
      <c r="D382" s="16"/>
      <c r="E382" s="23"/>
      <c r="F382" s="16"/>
      <c r="G382" s="16"/>
      <c r="H382" s="16"/>
      <c r="I382" s="16"/>
      <c r="J382" s="16"/>
      <c r="K382" s="16"/>
      <c r="L382" s="16"/>
      <c r="M382" s="16"/>
    </row>
    <row r="383" spans="1:13" x14ac:dyDescent="0.25">
      <c r="A383" s="2"/>
      <c r="B383" s="16"/>
      <c r="C383" s="24"/>
      <c r="D383" s="16"/>
      <c r="E383" s="23"/>
      <c r="F383" s="16"/>
      <c r="G383" s="16"/>
      <c r="H383" s="16"/>
      <c r="I383" s="16"/>
      <c r="J383" s="16"/>
      <c r="K383" s="16"/>
      <c r="L383" s="16"/>
      <c r="M383" s="16"/>
    </row>
    <row r="384" spans="1:13" x14ac:dyDescent="0.25">
      <c r="A384" s="2"/>
      <c r="B384" s="16"/>
      <c r="C384" s="24"/>
      <c r="D384" s="16"/>
      <c r="E384" s="23"/>
      <c r="F384" s="16"/>
      <c r="G384" s="16"/>
      <c r="H384" s="16"/>
      <c r="I384" s="16"/>
      <c r="J384" s="16"/>
      <c r="K384" s="16"/>
      <c r="L384" s="16"/>
      <c r="M384" s="16"/>
    </row>
    <row r="385" spans="1:13" x14ac:dyDescent="0.25">
      <c r="A385" s="2"/>
      <c r="B385" s="16"/>
      <c r="C385" s="24"/>
      <c r="D385" s="16"/>
      <c r="E385" s="23"/>
      <c r="F385" s="16"/>
      <c r="G385" s="16"/>
      <c r="H385" s="16"/>
      <c r="I385" s="16"/>
      <c r="J385" s="16"/>
      <c r="K385" s="16"/>
      <c r="L385" s="16"/>
      <c r="M385" s="16"/>
    </row>
    <row r="386" spans="1:13" x14ac:dyDescent="0.25">
      <c r="A386" s="2"/>
      <c r="B386" s="16"/>
      <c r="C386" s="24"/>
      <c r="D386" s="16"/>
      <c r="E386" s="23"/>
      <c r="F386" s="16"/>
      <c r="G386" s="16"/>
      <c r="H386" s="16"/>
      <c r="I386" s="16"/>
      <c r="J386" s="16"/>
      <c r="K386" s="16"/>
      <c r="L386" s="16"/>
      <c r="M386" s="16"/>
    </row>
    <row r="387" spans="1:13" x14ac:dyDescent="0.25">
      <c r="A387" s="2"/>
      <c r="B387" s="16"/>
      <c r="C387" s="24"/>
      <c r="D387" s="16"/>
      <c r="E387" s="23"/>
      <c r="F387" s="16"/>
      <c r="G387" s="16"/>
      <c r="H387" s="16"/>
      <c r="I387" s="16"/>
      <c r="J387" s="16"/>
      <c r="K387" s="16"/>
      <c r="L387" s="16"/>
      <c r="M387" s="16"/>
    </row>
    <row r="388" spans="1:13" x14ac:dyDescent="0.25">
      <c r="A388" s="2"/>
      <c r="B388" s="16"/>
      <c r="C388" s="24"/>
      <c r="D388" s="16"/>
      <c r="E388" s="23"/>
      <c r="F388" s="16"/>
      <c r="G388" s="16"/>
      <c r="H388" s="16"/>
      <c r="I388" s="16"/>
      <c r="J388" s="16"/>
      <c r="K388" s="16"/>
      <c r="L388" s="16"/>
      <c r="M388" s="16"/>
    </row>
    <row r="389" spans="1:13" x14ac:dyDescent="0.25">
      <c r="A389" s="2"/>
      <c r="B389" s="16"/>
      <c r="C389" s="24"/>
      <c r="D389" s="16"/>
      <c r="E389" s="23"/>
      <c r="F389" s="16"/>
      <c r="G389" s="16"/>
      <c r="H389" s="16"/>
      <c r="I389" s="16"/>
      <c r="J389" s="16"/>
      <c r="K389" s="16"/>
      <c r="L389" s="16"/>
      <c r="M389" s="16"/>
    </row>
    <row r="390" spans="1:13" x14ac:dyDescent="0.25">
      <c r="A390" s="2"/>
      <c r="B390" s="16"/>
      <c r="C390" s="24"/>
      <c r="D390" s="16"/>
      <c r="E390" s="23"/>
      <c r="F390" s="16"/>
      <c r="G390" s="16"/>
      <c r="H390" s="16"/>
      <c r="I390" s="16"/>
      <c r="J390" s="16"/>
      <c r="K390" s="16"/>
      <c r="L390" s="16"/>
      <c r="M390" s="16"/>
    </row>
    <row r="391" spans="1:13" x14ac:dyDescent="0.25">
      <c r="A391" s="2"/>
      <c r="B391" s="16"/>
      <c r="C391" s="24"/>
      <c r="D391" s="16"/>
      <c r="E391" s="23"/>
      <c r="F391" s="16"/>
      <c r="G391" s="16"/>
      <c r="H391" s="16"/>
      <c r="I391" s="16"/>
      <c r="J391" s="16"/>
      <c r="K391" s="16"/>
      <c r="L391" s="16"/>
      <c r="M391" s="16"/>
    </row>
    <row r="392" spans="1:13" x14ac:dyDescent="0.25">
      <c r="A392" s="2"/>
      <c r="B392" s="16"/>
      <c r="C392" s="24"/>
      <c r="D392" s="16"/>
      <c r="E392" s="23"/>
      <c r="F392" s="16"/>
      <c r="G392" s="16"/>
      <c r="H392" s="16"/>
      <c r="I392" s="16"/>
      <c r="J392" s="16"/>
      <c r="K392" s="16"/>
      <c r="L392" s="16"/>
      <c r="M392" s="16"/>
    </row>
    <row r="393" spans="1:13" x14ac:dyDescent="0.25">
      <c r="A393" s="2"/>
      <c r="B393" s="16"/>
      <c r="C393" s="24"/>
      <c r="D393" s="16"/>
      <c r="E393" s="23"/>
      <c r="F393" s="16"/>
      <c r="G393" s="16"/>
      <c r="H393" s="16"/>
      <c r="I393" s="16"/>
      <c r="J393" s="16"/>
      <c r="K393" s="16"/>
      <c r="L393" s="16"/>
      <c r="M393" s="16"/>
    </row>
    <row r="394" spans="1:13" x14ac:dyDescent="0.25">
      <c r="A394" s="2"/>
      <c r="B394" s="16"/>
      <c r="C394" s="24"/>
      <c r="D394" s="16"/>
      <c r="E394" s="23"/>
      <c r="F394" s="16"/>
      <c r="G394" s="16"/>
      <c r="H394" s="16"/>
      <c r="I394" s="16"/>
      <c r="J394" s="16"/>
      <c r="K394" s="16"/>
      <c r="L394" s="16"/>
      <c r="M394" s="16"/>
    </row>
    <row r="395" spans="1:13" x14ac:dyDescent="0.25">
      <c r="A395" s="2"/>
      <c r="B395" s="16"/>
      <c r="C395" s="24"/>
      <c r="D395" s="16"/>
      <c r="E395" s="23"/>
      <c r="F395" s="16"/>
      <c r="G395" s="16"/>
      <c r="H395" s="16"/>
      <c r="I395" s="16"/>
      <c r="J395" s="16"/>
      <c r="K395" s="16"/>
      <c r="L395" s="16"/>
      <c r="M395" s="16"/>
    </row>
    <row r="396" spans="1:13" x14ac:dyDescent="0.25">
      <c r="A396" s="2"/>
      <c r="B396" s="16"/>
      <c r="C396" s="24"/>
      <c r="D396" s="16"/>
      <c r="E396" s="23"/>
      <c r="F396" s="16"/>
      <c r="G396" s="16"/>
      <c r="H396" s="16"/>
      <c r="I396" s="16"/>
      <c r="J396" s="16"/>
      <c r="K396" s="16"/>
      <c r="L396" s="16"/>
      <c r="M396" s="16"/>
    </row>
    <row r="397" spans="1:13" x14ac:dyDescent="0.25">
      <c r="A397" s="2"/>
      <c r="B397" s="16"/>
      <c r="C397" s="24"/>
      <c r="D397" s="16"/>
      <c r="E397" s="23"/>
      <c r="F397" s="16"/>
      <c r="G397" s="16"/>
      <c r="H397" s="16"/>
      <c r="I397" s="16"/>
      <c r="J397" s="16"/>
      <c r="K397" s="16"/>
      <c r="L397" s="16"/>
      <c r="M397" s="16"/>
    </row>
    <row r="398" spans="1:13" x14ac:dyDescent="0.25">
      <c r="A398" s="2"/>
      <c r="B398" s="16"/>
      <c r="C398" s="24"/>
      <c r="D398" s="16"/>
      <c r="E398" s="23"/>
      <c r="F398" s="16"/>
      <c r="G398" s="16"/>
      <c r="H398" s="16"/>
      <c r="I398" s="16"/>
      <c r="J398" s="16"/>
      <c r="K398" s="16"/>
      <c r="L398" s="16"/>
      <c r="M398" s="16"/>
    </row>
    <row r="399" spans="1:13" x14ac:dyDescent="0.25">
      <c r="A399" s="2"/>
      <c r="B399" s="16"/>
      <c r="C399" s="24"/>
      <c r="D399" s="16"/>
      <c r="E399" s="23"/>
      <c r="F399" s="16"/>
      <c r="G399" s="16"/>
      <c r="H399" s="16"/>
      <c r="I399" s="16"/>
      <c r="J399" s="16"/>
      <c r="K399" s="16"/>
      <c r="L399" s="16"/>
      <c r="M399" s="16"/>
    </row>
    <row r="400" spans="1:13" x14ac:dyDescent="0.25">
      <c r="A400" s="2"/>
      <c r="B400" s="16"/>
      <c r="C400" s="24"/>
      <c r="D400" s="16"/>
      <c r="E400" s="23"/>
      <c r="F400" s="16"/>
      <c r="G400" s="16"/>
      <c r="H400" s="16"/>
      <c r="I400" s="16"/>
      <c r="J400" s="16"/>
      <c r="K400" s="16"/>
      <c r="L400" s="16"/>
      <c r="M400" s="16"/>
    </row>
    <row r="401" spans="1:13" x14ac:dyDescent="0.25">
      <c r="A401" s="2"/>
      <c r="B401" s="16"/>
      <c r="C401" s="24"/>
      <c r="D401" s="16"/>
      <c r="E401" s="23"/>
      <c r="F401" s="16"/>
      <c r="G401" s="16"/>
      <c r="H401" s="16"/>
      <c r="I401" s="16"/>
      <c r="J401" s="16"/>
      <c r="K401" s="16"/>
      <c r="L401" s="16"/>
      <c r="M401" s="16"/>
    </row>
    <row r="402" spans="1:13" x14ac:dyDescent="0.25">
      <c r="A402" s="2"/>
      <c r="B402" s="16"/>
      <c r="C402" s="24"/>
      <c r="D402" s="16"/>
      <c r="E402" s="23"/>
      <c r="F402" s="16"/>
      <c r="G402" s="16"/>
      <c r="H402" s="16"/>
      <c r="I402" s="16"/>
      <c r="J402" s="16"/>
      <c r="K402" s="16"/>
      <c r="L402" s="16"/>
      <c r="M402" s="16"/>
    </row>
    <row r="403" spans="1:13" x14ac:dyDescent="0.25">
      <c r="A403" s="2"/>
      <c r="B403" s="16"/>
      <c r="C403" s="24"/>
      <c r="D403" s="16"/>
      <c r="E403" s="23"/>
      <c r="F403" s="16"/>
      <c r="G403" s="16"/>
      <c r="H403" s="16"/>
      <c r="I403" s="16"/>
      <c r="J403" s="16"/>
      <c r="K403" s="16"/>
      <c r="L403" s="16"/>
      <c r="M403" s="16"/>
    </row>
    <row r="404" spans="1:13" x14ac:dyDescent="0.25">
      <c r="A404" s="2"/>
      <c r="B404" s="16"/>
      <c r="C404" s="24"/>
      <c r="D404" s="16"/>
      <c r="E404" s="23"/>
      <c r="F404" s="16"/>
      <c r="G404" s="16"/>
      <c r="H404" s="16"/>
      <c r="I404" s="16"/>
      <c r="J404" s="16"/>
      <c r="K404" s="16"/>
      <c r="L404" s="16"/>
      <c r="M404" s="16"/>
    </row>
    <row r="405" spans="1:13" x14ac:dyDescent="0.25">
      <c r="A405" s="2"/>
      <c r="B405" s="16"/>
      <c r="C405" s="24"/>
      <c r="D405" s="16"/>
      <c r="E405" s="23"/>
      <c r="F405" s="16"/>
      <c r="G405" s="16"/>
      <c r="H405" s="16"/>
      <c r="I405" s="16"/>
      <c r="J405" s="16"/>
      <c r="K405" s="16"/>
      <c r="L405" s="16"/>
      <c r="M405" s="16"/>
    </row>
    <row r="406" spans="1:13" x14ac:dyDescent="0.25">
      <c r="A406" s="2"/>
      <c r="B406" s="16"/>
      <c r="C406" s="24"/>
      <c r="D406" s="16"/>
      <c r="E406" s="23"/>
      <c r="F406" s="16"/>
      <c r="G406" s="16"/>
      <c r="H406" s="16"/>
      <c r="I406" s="16"/>
      <c r="J406" s="16"/>
      <c r="K406" s="16"/>
      <c r="L406" s="16"/>
      <c r="M406" s="16"/>
    </row>
    <row r="407" spans="1:13" x14ac:dyDescent="0.25">
      <c r="A407" s="2"/>
      <c r="B407" s="16"/>
      <c r="C407" s="24"/>
      <c r="D407" s="16"/>
      <c r="E407" s="23"/>
      <c r="F407" s="16"/>
      <c r="G407" s="16"/>
      <c r="H407" s="16"/>
      <c r="I407" s="16"/>
      <c r="J407" s="16"/>
      <c r="K407" s="16"/>
      <c r="L407" s="16"/>
      <c r="M407" s="16"/>
    </row>
    <row r="408" spans="1:13" x14ac:dyDescent="0.25">
      <c r="A408" s="2"/>
      <c r="B408" s="16"/>
      <c r="C408" s="24"/>
      <c r="D408" s="16"/>
      <c r="E408" s="23"/>
      <c r="F408" s="16"/>
      <c r="G408" s="16"/>
      <c r="H408" s="16"/>
      <c r="I408" s="16"/>
      <c r="J408" s="16"/>
      <c r="K408" s="16"/>
      <c r="L408" s="16"/>
      <c r="M408" s="16"/>
    </row>
    <row r="409" spans="1:13" x14ac:dyDescent="0.25">
      <c r="A409" s="2"/>
      <c r="B409" s="16"/>
      <c r="C409" s="24"/>
      <c r="D409" s="16"/>
      <c r="E409" s="23"/>
      <c r="F409" s="16"/>
      <c r="G409" s="16"/>
      <c r="H409" s="16"/>
      <c r="I409" s="16"/>
      <c r="J409" s="16"/>
      <c r="K409" s="16"/>
      <c r="L409" s="16"/>
      <c r="M409" s="16"/>
    </row>
    <row r="410" spans="1:13" x14ac:dyDescent="0.25">
      <c r="A410" s="2"/>
      <c r="B410" s="16"/>
      <c r="C410" s="24"/>
      <c r="D410" s="16"/>
      <c r="E410" s="23"/>
      <c r="F410" s="16"/>
      <c r="G410" s="16"/>
      <c r="H410" s="16"/>
      <c r="I410" s="16"/>
      <c r="J410" s="16"/>
      <c r="K410" s="16"/>
      <c r="L410" s="16"/>
      <c r="M410" s="16"/>
    </row>
    <row r="411" spans="1:13" x14ac:dyDescent="0.25">
      <c r="A411" s="2"/>
      <c r="B411" s="16"/>
      <c r="C411" s="24"/>
      <c r="D411" s="16"/>
      <c r="E411" s="23"/>
      <c r="F411" s="16"/>
      <c r="G411" s="16"/>
      <c r="H411" s="16"/>
      <c r="I411" s="16"/>
      <c r="J411" s="16"/>
      <c r="K411" s="16"/>
      <c r="L411" s="16"/>
      <c r="M411" s="16"/>
    </row>
    <row r="412" spans="1:13" x14ac:dyDescent="0.25">
      <c r="A412" s="2"/>
      <c r="B412" s="16"/>
      <c r="C412" s="24"/>
      <c r="D412" s="16"/>
      <c r="E412" s="23"/>
      <c r="F412" s="16"/>
      <c r="G412" s="16"/>
      <c r="H412" s="16"/>
      <c r="I412" s="16"/>
      <c r="J412" s="16"/>
      <c r="K412" s="16"/>
      <c r="L412" s="16"/>
      <c r="M412" s="16"/>
    </row>
    <row r="413" spans="1:13" x14ac:dyDescent="0.25">
      <c r="A413" s="2"/>
      <c r="B413" s="16"/>
      <c r="C413" s="24"/>
      <c r="D413" s="16"/>
      <c r="E413" s="23"/>
      <c r="F413" s="16"/>
      <c r="G413" s="16"/>
      <c r="H413" s="16"/>
      <c r="I413" s="16"/>
      <c r="J413" s="16"/>
      <c r="K413" s="16"/>
      <c r="L413" s="16"/>
      <c r="M413" s="16"/>
    </row>
    <row r="414" spans="1:13" x14ac:dyDescent="0.25">
      <c r="A414" s="2"/>
      <c r="B414" s="16"/>
      <c r="C414" s="24"/>
      <c r="D414" s="16"/>
      <c r="E414" s="23"/>
      <c r="F414" s="16"/>
      <c r="G414" s="16"/>
      <c r="H414" s="16"/>
      <c r="I414" s="16"/>
      <c r="J414" s="16"/>
      <c r="K414" s="16"/>
      <c r="L414" s="16"/>
      <c r="M414" s="16"/>
    </row>
    <row r="415" spans="1:13" x14ac:dyDescent="0.25">
      <c r="A415" s="2"/>
      <c r="B415" s="16"/>
      <c r="C415" s="24"/>
      <c r="D415" s="16"/>
      <c r="E415" s="23"/>
      <c r="F415" s="16"/>
      <c r="G415" s="16"/>
      <c r="H415" s="16"/>
      <c r="I415" s="16"/>
      <c r="J415" s="16"/>
      <c r="K415" s="16"/>
      <c r="L415" s="16"/>
      <c r="M415" s="16"/>
    </row>
    <row r="416" spans="1:13" x14ac:dyDescent="0.25">
      <c r="A416" s="2"/>
      <c r="B416" s="16"/>
      <c r="C416" s="24"/>
      <c r="D416" s="16"/>
      <c r="E416" s="23"/>
      <c r="F416" s="16"/>
      <c r="G416" s="16"/>
      <c r="H416" s="16"/>
      <c r="I416" s="16"/>
      <c r="J416" s="16"/>
      <c r="K416" s="16"/>
      <c r="L416" s="16"/>
      <c r="M416" s="16"/>
    </row>
    <row r="417" spans="1:13" x14ac:dyDescent="0.25">
      <c r="A417" s="2"/>
      <c r="B417" s="16"/>
      <c r="C417" s="24"/>
      <c r="D417" s="16"/>
      <c r="E417" s="23"/>
      <c r="F417" s="16"/>
      <c r="G417" s="16"/>
      <c r="H417" s="16"/>
      <c r="I417" s="16"/>
      <c r="J417" s="16"/>
      <c r="K417" s="16"/>
      <c r="L417" s="16"/>
      <c r="M417" s="16"/>
    </row>
    <row r="418" spans="1:13" x14ac:dyDescent="0.25">
      <c r="A418" s="2"/>
      <c r="B418" s="16"/>
      <c r="C418" s="24"/>
      <c r="D418" s="16"/>
      <c r="E418" s="23"/>
      <c r="F418" s="16"/>
      <c r="G418" s="16"/>
      <c r="H418" s="16"/>
      <c r="I418" s="16"/>
      <c r="J418" s="16"/>
      <c r="K418" s="16"/>
      <c r="L418" s="16"/>
      <c r="M418" s="16"/>
    </row>
    <row r="419" spans="1:13" x14ac:dyDescent="0.25">
      <c r="A419" s="2"/>
      <c r="B419" s="16"/>
      <c r="C419" s="24"/>
      <c r="D419" s="16"/>
      <c r="E419" s="23"/>
      <c r="F419" s="16"/>
      <c r="G419" s="16"/>
      <c r="H419" s="16"/>
      <c r="I419" s="16"/>
      <c r="J419" s="16"/>
      <c r="K419" s="16"/>
      <c r="L419" s="16"/>
      <c r="M419" s="16"/>
    </row>
    <row r="420" spans="1:13" x14ac:dyDescent="0.25">
      <c r="A420" s="2"/>
      <c r="B420" s="16"/>
      <c r="C420" s="24"/>
      <c r="D420" s="16"/>
      <c r="E420" s="23"/>
      <c r="F420" s="16"/>
      <c r="G420" s="16"/>
      <c r="H420" s="16"/>
      <c r="I420" s="16"/>
      <c r="J420" s="16"/>
      <c r="K420" s="16"/>
      <c r="L420" s="16"/>
      <c r="M420" s="16"/>
    </row>
    <row r="421" spans="1:13" x14ac:dyDescent="0.25">
      <c r="A421" s="2"/>
      <c r="B421" s="16"/>
      <c r="C421" s="24"/>
      <c r="D421" s="16"/>
      <c r="E421" s="23"/>
      <c r="F421" s="16"/>
      <c r="G421" s="16"/>
      <c r="H421" s="16"/>
      <c r="I421" s="16"/>
      <c r="J421" s="16"/>
      <c r="K421" s="16"/>
      <c r="L421" s="16"/>
      <c r="M421" s="16"/>
    </row>
    <row r="422" spans="1:13" x14ac:dyDescent="0.25">
      <c r="A422" s="2"/>
      <c r="B422" s="16"/>
      <c r="C422" s="24"/>
      <c r="D422" s="16"/>
      <c r="E422" s="23"/>
      <c r="F422" s="16"/>
      <c r="G422" s="16"/>
      <c r="H422" s="16"/>
      <c r="I422" s="16"/>
      <c r="J422" s="16"/>
      <c r="K422" s="16"/>
      <c r="L422" s="16"/>
      <c r="M422" s="16"/>
    </row>
    <row r="423" spans="1:13" x14ac:dyDescent="0.25">
      <c r="A423" s="2"/>
      <c r="B423" s="16"/>
      <c r="C423" s="24"/>
      <c r="D423" s="16"/>
      <c r="E423" s="23"/>
      <c r="F423" s="16"/>
      <c r="G423" s="16"/>
      <c r="H423" s="16"/>
      <c r="I423" s="16"/>
      <c r="J423" s="16"/>
      <c r="K423" s="16"/>
      <c r="L423" s="16"/>
      <c r="M423" s="16"/>
    </row>
    <row r="424" spans="1:13" x14ac:dyDescent="0.25">
      <c r="A424" s="2"/>
      <c r="B424" s="16"/>
      <c r="C424" s="24"/>
      <c r="D424" s="16"/>
      <c r="E424" s="23"/>
      <c r="F424" s="16"/>
      <c r="G424" s="16"/>
      <c r="H424" s="16"/>
      <c r="I424" s="16"/>
      <c r="J424" s="16"/>
      <c r="K424" s="16"/>
      <c r="L424" s="16"/>
      <c r="M424" s="16"/>
    </row>
    <row r="425" spans="1:13" x14ac:dyDescent="0.25">
      <c r="A425" s="2"/>
      <c r="B425" s="16"/>
      <c r="C425" s="24"/>
      <c r="D425" s="16"/>
      <c r="E425" s="23"/>
      <c r="F425" s="16"/>
      <c r="G425" s="16"/>
      <c r="H425" s="16"/>
      <c r="I425" s="16"/>
      <c r="J425" s="16"/>
      <c r="K425" s="16"/>
      <c r="L425" s="16"/>
      <c r="M425" s="16"/>
    </row>
    <row r="426" spans="1:13" x14ac:dyDescent="0.25">
      <c r="A426" s="2"/>
      <c r="B426" s="16"/>
      <c r="C426" s="24"/>
      <c r="D426" s="16"/>
      <c r="E426" s="23"/>
      <c r="F426" s="16"/>
      <c r="G426" s="16"/>
      <c r="H426" s="16"/>
      <c r="I426" s="16"/>
      <c r="J426" s="16"/>
      <c r="K426" s="16"/>
      <c r="L426" s="16"/>
      <c r="M426" s="16"/>
    </row>
    <row r="427" spans="1:13" x14ac:dyDescent="0.25">
      <c r="A427" s="2"/>
      <c r="B427" s="16"/>
      <c r="C427" s="24"/>
      <c r="D427" s="16"/>
      <c r="E427" s="23"/>
      <c r="F427" s="16"/>
      <c r="G427" s="16"/>
      <c r="H427" s="16"/>
      <c r="I427" s="16"/>
      <c r="J427" s="16"/>
      <c r="K427" s="16"/>
      <c r="L427" s="16"/>
      <c r="M427" s="16"/>
    </row>
    <row r="428" spans="1:13" x14ac:dyDescent="0.25">
      <c r="A428" s="2"/>
      <c r="B428" s="16"/>
      <c r="C428" s="24"/>
      <c r="D428" s="16"/>
      <c r="E428" s="23"/>
      <c r="F428" s="16"/>
      <c r="G428" s="16"/>
      <c r="H428" s="16"/>
      <c r="I428" s="16"/>
      <c r="J428" s="16"/>
      <c r="K428" s="16"/>
      <c r="L428" s="16"/>
      <c r="M428" s="16"/>
    </row>
    <row r="429" spans="1:13" x14ac:dyDescent="0.25">
      <c r="A429" s="2"/>
      <c r="B429" s="16"/>
      <c r="C429" s="24"/>
      <c r="D429" s="16"/>
      <c r="E429" s="23"/>
      <c r="F429" s="16"/>
      <c r="G429" s="16"/>
      <c r="H429" s="16"/>
      <c r="I429" s="16"/>
      <c r="J429" s="16"/>
      <c r="K429" s="16"/>
      <c r="L429" s="16"/>
      <c r="M429" s="16"/>
    </row>
    <row r="430" spans="1:13" x14ac:dyDescent="0.25">
      <c r="A430" s="2"/>
      <c r="B430" s="16"/>
      <c r="C430" s="24"/>
      <c r="D430" s="16"/>
      <c r="E430" s="23"/>
      <c r="F430" s="16"/>
      <c r="G430" s="16"/>
      <c r="H430" s="16"/>
      <c r="I430" s="16"/>
      <c r="J430" s="16"/>
      <c r="K430" s="16"/>
      <c r="L430" s="16"/>
      <c r="M430" s="16"/>
    </row>
    <row r="431" spans="1:13" x14ac:dyDescent="0.25">
      <c r="A431" s="2"/>
      <c r="B431" s="16"/>
      <c r="C431" s="24"/>
      <c r="D431" s="16"/>
      <c r="E431" s="23"/>
      <c r="F431" s="16"/>
      <c r="G431" s="16"/>
      <c r="H431" s="16"/>
      <c r="I431" s="16"/>
      <c r="J431" s="16"/>
      <c r="K431" s="16"/>
      <c r="L431" s="16"/>
      <c r="M431" s="16"/>
    </row>
    <row r="432" spans="1:13" x14ac:dyDescent="0.25">
      <c r="A432" s="2"/>
      <c r="B432" s="16"/>
      <c r="C432" s="24"/>
      <c r="D432" s="16"/>
      <c r="E432" s="23"/>
      <c r="F432" s="16"/>
      <c r="G432" s="16"/>
      <c r="H432" s="16"/>
      <c r="I432" s="16"/>
      <c r="J432" s="16"/>
      <c r="K432" s="16"/>
      <c r="L432" s="16"/>
      <c r="M432" s="16"/>
    </row>
    <row r="433" spans="1:13" x14ac:dyDescent="0.25">
      <c r="A433" s="2"/>
      <c r="B433" s="16"/>
      <c r="C433" s="24"/>
      <c r="D433" s="16"/>
      <c r="E433" s="23"/>
      <c r="F433" s="16"/>
      <c r="G433" s="16"/>
      <c r="H433" s="16"/>
      <c r="I433" s="16"/>
      <c r="J433" s="16"/>
      <c r="K433" s="16"/>
      <c r="L433" s="16"/>
      <c r="M433" s="16"/>
    </row>
    <row r="434" spans="1:13" x14ac:dyDescent="0.25">
      <c r="A434" s="2"/>
      <c r="B434" s="16"/>
      <c r="C434" s="24"/>
      <c r="D434" s="16"/>
      <c r="E434" s="23"/>
      <c r="F434" s="16"/>
      <c r="G434" s="16"/>
      <c r="H434" s="16"/>
      <c r="I434" s="16"/>
      <c r="J434" s="16"/>
      <c r="K434" s="16"/>
      <c r="L434" s="16"/>
      <c r="M434" s="16"/>
    </row>
    <row r="435" spans="1:13" x14ac:dyDescent="0.25">
      <c r="A435" s="2"/>
      <c r="B435" s="16"/>
      <c r="C435" s="24"/>
      <c r="D435" s="16"/>
      <c r="E435" s="23"/>
      <c r="F435" s="16"/>
      <c r="G435" s="16"/>
      <c r="H435" s="16"/>
      <c r="I435" s="16"/>
      <c r="J435" s="16"/>
      <c r="K435" s="16"/>
      <c r="L435" s="16"/>
      <c r="M435" s="16"/>
    </row>
    <row r="436" spans="1:13" x14ac:dyDescent="0.25">
      <c r="A436" s="2"/>
      <c r="B436" s="16"/>
      <c r="C436" s="24"/>
      <c r="D436" s="16"/>
      <c r="E436" s="23"/>
      <c r="F436" s="16"/>
      <c r="G436" s="16"/>
      <c r="H436" s="16"/>
      <c r="I436" s="16"/>
      <c r="J436" s="16"/>
      <c r="K436" s="16"/>
      <c r="L436" s="16"/>
      <c r="M436" s="16"/>
    </row>
    <row r="437" spans="1:13" x14ac:dyDescent="0.25">
      <c r="A437" s="2"/>
      <c r="B437" s="16"/>
      <c r="C437" s="24"/>
      <c r="D437" s="16"/>
      <c r="E437" s="23"/>
      <c r="F437" s="16"/>
      <c r="G437" s="16"/>
      <c r="H437" s="16"/>
      <c r="I437" s="16"/>
      <c r="J437" s="16"/>
      <c r="K437" s="16"/>
      <c r="L437" s="16"/>
      <c r="M437" s="16"/>
    </row>
    <row r="438" spans="1:13" x14ac:dyDescent="0.25">
      <c r="A438" s="2"/>
      <c r="B438" s="16"/>
      <c r="C438" s="24"/>
      <c r="D438" s="16"/>
      <c r="E438" s="23"/>
      <c r="F438" s="16"/>
      <c r="G438" s="16"/>
      <c r="H438" s="16"/>
      <c r="I438" s="16"/>
      <c r="J438" s="16"/>
      <c r="K438" s="16"/>
      <c r="L438" s="16"/>
      <c r="M438" s="16"/>
    </row>
    <row r="439" spans="1:13" x14ac:dyDescent="0.25">
      <c r="A439" s="2"/>
      <c r="B439" s="16"/>
      <c r="C439" s="24"/>
      <c r="D439" s="16"/>
      <c r="E439" s="23"/>
      <c r="F439" s="16"/>
      <c r="G439" s="16"/>
      <c r="H439" s="16"/>
      <c r="I439" s="16"/>
      <c r="J439" s="16"/>
      <c r="K439" s="16"/>
      <c r="L439" s="16"/>
      <c r="M439" s="16"/>
    </row>
    <row r="440" spans="1:13" x14ac:dyDescent="0.25">
      <c r="A440" s="2"/>
      <c r="B440" s="16"/>
      <c r="C440" s="24"/>
      <c r="D440" s="16"/>
      <c r="E440" s="23"/>
      <c r="F440" s="16"/>
      <c r="G440" s="16"/>
      <c r="H440" s="16"/>
      <c r="I440" s="16"/>
      <c r="J440" s="16"/>
      <c r="K440" s="16"/>
      <c r="L440" s="16"/>
      <c r="M440" s="16"/>
    </row>
    <row r="441" spans="1:13" x14ac:dyDescent="0.25">
      <c r="A441" s="2"/>
      <c r="B441" s="16"/>
      <c r="C441" s="24"/>
      <c r="D441" s="16"/>
      <c r="E441" s="23"/>
      <c r="F441" s="16"/>
      <c r="G441" s="16"/>
      <c r="H441" s="16"/>
      <c r="I441" s="16"/>
      <c r="J441" s="16"/>
      <c r="K441" s="16"/>
      <c r="L441" s="16"/>
      <c r="M441" s="16"/>
    </row>
    <row r="442" spans="1:13" x14ac:dyDescent="0.25">
      <c r="A442" s="2"/>
      <c r="B442" s="16"/>
      <c r="C442" s="24"/>
      <c r="D442" s="16"/>
      <c r="E442" s="23"/>
      <c r="F442" s="16"/>
      <c r="G442" s="16"/>
      <c r="H442" s="16"/>
      <c r="I442" s="16"/>
      <c r="J442" s="16"/>
      <c r="K442" s="16"/>
      <c r="L442" s="16"/>
      <c r="M442" s="16"/>
    </row>
    <row r="443" spans="1:13" x14ac:dyDescent="0.25">
      <c r="A443" s="2"/>
      <c r="B443" s="16"/>
      <c r="C443" s="24"/>
      <c r="D443" s="16"/>
      <c r="E443" s="23"/>
      <c r="F443" s="16"/>
      <c r="G443" s="16"/>
      <c r="H443" s="16"/>
      <c r="I443" s="16"/>
      <c r="J443" s="16"/>
      <c r="K443" s="16"/>
      <c r="L443" s="16"/>
      <c r="M443" s="16"/>
    </row>
    <row r="444" spans="1:13" x14ac:dyDescent="0.25">
      <c r="A444" s="2"/>
      <c r="B444" s="16"/>
      <c r="C444" s="24"/>
      <c r="D444" s="16"/>
      <c r="E444" s="23"/>
      <c r="F444" s="16"/>
      <c r="G444" s="16"/>
      <c r="H444" s="16"/>
      <c r="I444" s="16"/>
      <c r="J444" s="16"/>
      <c r="K444" s="16"/>
      <c r="L444" s="16"/>
      <c r="M444" s="16"/>
    </row>
    <row r="445" spans="1:13" x14ac:dyDescent="0.25">
      <c r="A445" s="2"/>
      <c r="B445" s="16"/>
      <c r="C445" s="24"/>
      <c r="D445" s="16"/>
      <c r="E445" s="23"/>
      <c r="F445" s="16"/>
      <c r="G445" s="16"/>
      <c r="H445" s="16"/>
      <c r="I445" s="16"/>
      <c r="J445" s="16"/>
      <c r="K445" s="16"/>
      <c r="L445" s="16"/>
      <c r="M445" s="16"/>
    </row>
    <row r="446" spans="1:13" x14ac:dyDescent="0.25">
      <c r="A446" s="2"/>
      <c r="B446" s="16"/>
      <c r="C446" s="24"/>
      <c r="D446" s="16"/>
      <c r="E446" s="23"/>
      <c r="F446" s="16"/>
      <c r="G446" s="16"/>
      <c r="H446" s="16"/>
      <c r="I446" s="16"/>
      <c r="J446" s="16"/>
      <c r="K446" s="16"/>
      <c r="L446" s="16"/>
      <c r="M446" s="16"/>
    </row>
    <row r="447" spans="1:13" x14ac:dyDescent="0.25">
      <c r="A447" s="2"/>
      <c r="B447" s="16"/>
      <c r="C447" s="24"/>
      <c r="D447" s="16"/>
      <c r="E447" s="23"/>
      <c r="F447" s="16"/>
      <c r="G447" s="16"/>
      <c r="H447" s="16"/>
      <c r="I447" s="16"/>
      <c r="J447" s="16"/>
      <c r="K447" s="16"/>
      <c r="L447" s="16"/>
      <c r="M447" s="16"/>
    </row>
    <row r="448" spans="1:13" x14ac:dyDescent="0.25">
      <c r="A448" s="2"/>
      <c r="B448" s="16"/>
      <c r="C448" s="24"/>
      <c r="D448" s="16"/>
      <c r="E448" s="23"/>
      <c r="F448" s="16"/>
      <c r="G448" s="16"/>
      <c r="H448" s="16"/>
      <c r="I448" s="16"/>
      <c r="J448" s="16"/>
      <c r="K448" s="16"/>
      <c r="L448" s="16"/>
      <c r="M448" s="16"/>
    </row>
    <row r="449" spans="1:13" x14ac:dyDescent="0.25">
      <c r="A449" s="2"/>
      <c r="B449" s="16"/>
      <c r="C449" s="24"/>
      <c r="D449" s="16"/>
      <c r="E449" s="23"/>
      <c r="F449" s="16"/>
      <c r="G449" s="16"/>
      <c r="H449" s="16"/>
      <c r="I449" s="16"/>
      <c r="J449" s="16"/>
      <c r="K449" s="16"/>
      <c r="L449" s="16"/>
      <c r="M449" s="16"/>
    </row>
    <row r="450" spans="1:13" x14ac:dyDescent="0.25">
      <c r="A450" s="2"/>
      <c r="B450" s="16"/>
      <c r="C450" s="24"/>
      <c r="D450" s="16"/>
      <c r="E450" s="23"/>
      <c r="F450" s="16"/>
      <c r="G450" s="16"/>
      <c r="H450" s="16"/>
      <c r="I450" s="16"/>
      <c r="J450" s="16"/>
      <c r="K450" s="16"/>
      <c r="L450" s="16"/>
      <c r="M450" s="16"/>
    </row>
    <row r="451" spans="1:13" x14ac:dyDescent="0.25">
      <c r="A451" s="2"/>
      <c r="B451" s="16"/>
      <c r="C451" s="24"/>
      <c r="D451" s="16"/>
      <c r="E451" s="23"/>
      <c r="F451" s="16"/>
      <c r="G451" s="16"/>
      <c r="H451" s="16"/>
      <c r="I451" s="16"/>
      <c r="J451" s="16"/>
      <c r="K451" s="16"/>
      <c r="L451" s="16"/>
      <c r="M451" s="16"/>
    </row>
    <row r="452" spans="1:13" x14ac:dyDescent="0.25">
      <c r="A452" s="2"/>
      <c r="B452" s="16"/>
      <c r="C452" s="24"/>
      <c r="D452" s="16"/>
      <c r="E452" s="23"/>
      <c r="F452" s="16"/>
      <c r="G452" s="16"/>
      <c r="H452" s="16"/>
      <c r="I452" s="16"/>
      <c r="J452" s="16"/>
      <c r="K452" s="16"/>
      <c r="L452" s="16"/>
      <c r="M452" s="16"/>
    </row>
    <row r="453" spans="1:13" x14ac:dyDescent="0.25">
      <c r="A453" s="2"/>
      <c r="B453" s="16"/>
      <c r="C453" s="24"/>
      <c r="D453" s="16"/>
      <c r="E453" s="23"/>
      <c r="F453" s="16"/>
      <c r="G453" s="16"/>
      <c r="H453" s="16"/>
      <c r="I453" s="16"/>
      <c r="J453" s="16"/>
      <c r="K453" s="16"/>
      <c r="L453" s="16"/>
      <c r="M453" s="16"/>
    </row>
    <row r="454" spans="1:13" x14ac:dyDescent="0.25">
      <c r="A454" s="2"/>
      <c r="B454" s="16"/>
      <c r="C454" s="24"/>
      <c r="D454" s="16"/>
      <c r="E454" s="23"/>
      <c r="F454" s="16"/>
      <c r="G454" s="16"/>
      <c r="H454" s="16"/>
      <c r="I454" s="16"/>
      <c r="J454" s="16"/>
      <c r="K454" s="16"/>
      <c r="L454" s="16"/>
      <c r="M454" s="16"/>
    </row>
    <row r="455" spans="1:13" x14ac:dyDescent="0.25">
      <c r="A455" s="2"/>
      <c r="B455" s="16"/>
      <c r="C455" s="24"/>
      <c r="D455" s="16"/>
      <c r="E455" s="23"/>
      <c r="F455" s="16"/>
      <c r="G455" s="16"/>
      <c r="H455" s="16"/>
      <c r="I455" s="16"/>
      <c r="J455" s="16"/>
      <c r="K455" s="16"/>
      <c r="L455" s="16"/>
      <c r="M455" s="16"/>
    </row>
    <row r="456" spans="1:13" x14ac:dyDescent="0.25">
      <c r="A456" s="2"/>
      <c r="B456" s="16"/>
      <c r="C456" s="24"/>
      <c r="D456" s="16"/>
      <c r="E456" s="23"/>
      <c r="F456" s="16"/>
      <c r="G456" s="16"/>
      <c r="H456" s="16"/>
      <c r="I456" s="16"/>
      <c r="J456" s="16"/>
      <c r="K456" s="16"/>
      <c r="L456" s="16"/>
      <c r="M456" s="16"/>
    </row>
    <row r="457" spans="1:13" x14ac:dyDescent="0.25">
      <c r="A457" s="2"/>
      <c r="B457" s="16"/>
      <c r="C457" s="24"/>
      <c r="D457" s="16"/>
      <c r="E457" s="23"/>
      <c r="F457" s="16"/>
      <c r="G457" s="16"/>
      <c r="H457" s="16"/>
      <c r="I457" s="16"/>
      <c r="J457" s="16"/>
      <c r="K457" s="16"/>
      <c r="L457" s="16"/>
      <c r="M457" s="16"/>
    </row>
    <row r="458" spans="1:13" x14ac:dyDescent="0.25">
      <c r="A458" s="2"/>
      <c r="B458" s="16"/>
      <c r="C458" s="24"/>
      <c r="D458" s="16"/>
      <c r="E458" s="23"/>
      <c r="F458" s="16"/>
      <c r="G458" s="16"/>
      <c r="H458" s="16"/>
      <c r="I458" s="16"/>
      <c r="J458" s="16"/>
      <c r="K458" s="16"/>
      <c r="L458" s="16"/>
      <c r="M458" s="16"/>
    </row>
    <row r="459" spans="1:13" x14ac:dyDescent="0.25">
      <c r="A459" s="2"/>
      <c r="B459" s="16"/>
      <c r="C459" s="24"/>
      <c r="D459" s="16"/>
      <c r="E459" s="23"/>
      <c r="F459" s="16"/>
      <c r="G459" s="16"/>
      <c r="H459" s="16"/>
      <c r="I459" s="16"/>
      <c r="J459" s="16"/>
      <c r="K459" s="16"/>
      <c r="L459" s="16"/>
      <c r="M459" s="16"/>
    </row>
    <row r="460" spans="1:13" x14ac:dyDescent="0.25">
      <c r="A460" s="2"/>
      <c r="B460" s="16"/>
      <c r="C460" s="24"/>
      <c r="D460" s="16"/>
      <c r="E460" s="23"/>
      <c r="F460" s="16"/>
      <c r="G460" s="16"/>
      <c r="H460" s="16"/>
      <c r="I460" s="16"/>
      <c r="J460" s="16"/>
      <c r="K460" s="16"/>
      <c r="L460" s="16"/>
      <c r="M460" s="16"/>
    </row>
    <row r="461" spans="1:13" x14ac:dyDescent="0.25">
      <c r="A461" s="2"/>
      <c r="B461" s="16"/>
      <c r="C461" s="24"/>
      <c r="D461" s="16"/>
      <c r="E461" s="23"/>
      <c r="F461" s="16"/>
      <c r="G461" s="16"/>
      <c r="H461" s="16"/>
      <c r="I461" s="16"/>
      <c r="J461" s="16"/>
      <c r="K461" s="16"/>
      <c r="L461" s="16"/>
      <c r="M461" s="16"/>
    </row>
    <row r="462" spans="1:13" x14ac:dyDescent="0.25">
      <c r="A462" s="2"/>
      <c r="B462" s="16"/>
      <c r="C462" s="24"/>
      <c r="D462" s="16"/>
      <c r="E462" s="23"/>
      <c r="F462" s="16"/>
      <c r="G462" s="16"/>
      <c r="H462" s="16"/>
      <c r="I462" s="16"/>
      <c r="J462" s="16"/>
      <c r="K462" s="16"/>
      <c r="L462" s="16"/>
      <c r="M462" s="16"/>
    </row>
    <row r="463" spans="1:13" x14ac:dyDescent="0.25">
      <c r="A463" s="2"/>
      <c r="B463" s="16"/>
      <c r="C463" s="24"/>
      <c r="D463" s="16"/>
      <c r="E463" s="23"/>
      <c r="F463" s="16"/>
      <c r="G463" s="16"/>
      <c r="H463" s="16"/>
      <c r="I463" s="16"/>
      <c r="J463" s="16"/>
      <c r="K463" s="16"/>
      <c r="L463" s="16"/>
      <c r="M463" s="16"/>
    </row>
    <row r="464" spans="1:13" x14ac:dyDescent="0.25">
      <c r="A464" s="2"/>
      <c r="B464" s="16"/>
      <c r="C464" s="24"/>
      <c r="D464" s="16"/>
      <c r="E464" s="23"/>
      <c r="F464" s="16"/>
      <c r="G464" s="16"/>
      <c r="H464" s="16"/>
      <c r="I464" s="16"/>
      <c r="J464" s="16"/>
      <c r="K464" s="16"/>
      <c r="L464" s="16"/>
      <c r="M464" s="16"/>
    </row>
    <row r="465" spans="1:13" x14ac:dyDescent="0.25">
      <c r="A465" s="2"/>
      <c r="B465" s="16"/>
      <c r="C465" s="24"/>
      <c r="D465" s="16"/>
      <c r="E465" s="23"/>
      <c r="F465" s="16"/>
      <c r="G465" s="16"/>
      <c r="H465" s="16"/>
      <c r="I465" s="16"/>
      <c r="J465" s="16"/>
      <c r="K465" s="16"/>
      <c r="L465" s="16"/>
      <c r="M465" s="16"/>
    </row>
    <row r="466" spans="1:13" x14ac:dyDescent="0.25">
      <c r="A466" s="2"/>
      <c r="B466" s="16"/>
      <c r="C466" s="24"/>
      <c r="D466" s="16"/>
      <c r="E466" s="23"/>
      <c r="F466" s="16"/>
      <c r="G466" s="16"/>
      <c r="H466" s="16"/>
      <c r="I466" s="16"/>
      <c r="J466" s="16"/>
      <c r="K466" s="16"/>
      <c r="L466" s="16"/>
      <c r="M466" s="16"/>
    </row>
    <row r="467" spans="1:13" x14ac:dyDescent="0.25">
      <c r="A467" s="2"/>
      <c r="B467" s="16"/>
      <c r="C467" s="24"/>
      <c r="D467" s="16"/>
      <c r="E467" s="23"/>
      <c r="F467" s="16"/>
      <c r="G467" s="16"/>
      <c r="H467" s="16"/>
      <c r="I467" s="16"/>
      <c r="J467" s="16"/>
      <c r="K467" s="16"/>
      <c r="L467" s="16"/>
      <c r="M467" s="16"/>
    </row>
    <row r="468" spans="1:13" x14ac:dyDescent="0.25">
      <c r="A468" s="2"/>
      <c r="B468" s="16"/>
      <c r="C468" s="24"/>
      <c r="D468" s="16"/>
      <c r="E468" s="23"/>
      <c r="F468" s="16"/>
      <c r="G468" s="16"/>
      <c r="H468" s="16"/>
      <c r="I468" s="16"/>
      <c r="J468" s="16"/>
      <c r="K468" s="16"/>
      <c r="L468" s="16"/>
      <c r="M468" s="16"/>
    </row>
    <row r="469" spans="1:13" x14ac:dyDescent="0.25">
      <c r="A469" s="2"/>
      <c r="B469" s="16"/>
      <c r="C469" s="24"/>
      <c r="D469" s="16"/>
      <c r="E469" s="23"/>
      <c r="F469" s="16"/>
      <c r="G469" s="16"/>
      <c r="H469" s="16"/>
      <c r="I469" s="16"/>
      <c r="J469" s="16"/>
      <c r="K469" s="16"/>
      <c r="L469" s="16"/>
      <c r="M469" s="16"/>
    </row>
    <row r="470" spans="1:13" x14ac:dyDescent="0.25">
      <c r="A470" s="2"/>
      <c r="B470" s="16"/>
      <c r="C470" s="24"/>
      <c r="D470" s="16"/>
      <c r="E470" s="23"/>
      <c r="F470" s="16"/>
      <c r="G470" s="16"/>
      <c r="H470" s="16"/>
      <c r="I470" s="16"/>
      <c r="J470" s="16"/>
      <c r="K470" s="16"/>
      <c r="L470" s="16"/>
      <c r="M470" s="16"/>
    </row>
    <row r="471" spans="1:13" x14ac:dyDescent="0.25">
      <c r="A471" s="2"/>
      <c r="B471" s="16"/>
      <c r="C471" s="24"/>
      <c r="D471" s="16"/>
      <c r="E471" s="23"/>
      <c r="F471" s="16"/>
      <c r="G471" s="16"/>
      <c r="H471" s="16"/>
      <c r="I471" s="16"/>
      <c r="J471" s="16"/>
      <c r="K471" s="16"/>
      <c r="L471" s="16"/>
      <c r="M471" s="16"/>
    </row>
    <row r="472" spans="1:13" x14ac:dyDescent="0.25">
      <c r="A472" s="2"/>
      <c r="B472" s="16"/>
      <c r="C472" s="24"/>
      <c r="D472" s="16"/>
      <c r="E472" s="23"/>
      <c r="F472" s="16"/>
      <c r="G472" s="16"/>
      <c r="H472" s="16"/>
      <c r="I472" s="16"/>
      <c r="J472" s="16"/>
      <c r="K472" s="16"/>
      <c r="L472" s="16"/>
      <c r="M472" s="16"/>
    </row>
    <row r="473" spans="1:13" x14ac:dyDescent="0.25">
      <c r="A473" s="2"/>
      <c r="B473" s="16"/>
      <c r="C473" s="24"/>
      <c r="D473" s="16"/>
      <c r="E473" s="23"/>
      <c r="F473" s="16"/>
      <c r="G473" s="16"/>
      <c r="H473" s="16"/>
      <c r="I473" s="16"/>
      <c r="J473" s="16"/>
      <c r="K473" s="16"/>
      <c r="L473" s="16"/>
      <c r="M473" s="16"/>
    </row>
    <row r="474" spans="1:13" x14ac:dyDescent="0.25">
      <c r="A474" s="2"/>
      <c r="B474" s="16"/>
      <c r="C474" s="24"/>
      <c r="D474" s="16"/>
      <c r="E474" s="23"/>
      <c r="F474" s="16"/>
      <c r="G474" s="16"/>
      <c r="H474" s="16"/>
      <c r="I474" s="16"/>
      <c r="J474" s="16"/>
      <c r="K474" s="16"/>
      <c r="L474" s="16"/>
      <c r="M474" s="16"/>
    </row>
    <row r="475" spans="1:13" x14ac:dyDescent="0.25">
      <c r="A475" s="2"/>
      <c r="B475" s="16"/>
      <c r="C475" s="24"/>
      <c r="D475" s="16"/>
      <c r="E475" s="23"/>
      <c r="F475" s="16"/>
      <c r="G475" s="16"/>
      <c r="H475" s="16"/>
      <c r="I475" s="16"/>
      <c r="J475" s="16"/>
      <c r="K475" s="16"/>
      <c r="L475" s="16"/>
      <c r="M475" s="16"/>
    </row>
    <row r="476" spans="1:13" x14ac:dyDescent="0.25">
      <c r="A476" s="2"/>
      <c r="B476" s="16"/>
      <c r="C476" s="24"/>
      <c r="D476" s="16"/>
      <c r="E476" s="23"/>
      <c r="F476" s="16"/>
      <c r="G476" s="16"/>
      <c r="H476" s="16"/>
      <c r="I476" s="16"/>
      <c r="J476" s="16"/>
      <c r="K476" s="16"/>
      <c r="L476" s="16"/>
      <c r="M476" s="16"/>
    </row>
    <row r="477" spans="1:13" x14ac:dyDescent="0.25">
      <c r="A477" s="2"/>
      <c r="B477" s="16"/>
      <c r="C477" s="24"/>
      <c r="D477" s="16"/>
      <c r="E477" s="23"/>
      <c r="F477" s="16"/>
      <c r="G477" s="16"/>
      <c r="H477" s="16"/>
      <c r="I477" s="16"/>
      <c r="J477" s="16"/>
      <c r="K477" s="16"/>
      <c r="L477" s="16"/>
      <c r="M477" s="16"/>
    </row>
    <row r="478" spans="1:13" x14ac:dyDescent="0.25">
      <c r="A478" s="2"/>
      <c r="B478" s="16"/>
      <c r="C478" s="24"/>
      <c r="D478" s="16"/>
      <c r="E478" s="23"/>
      <c r="F478" s="16"/>
      <c r="G478" s="16"/>
      <c r="H478" s="16"/>
      <c r="I478" s="16"/>
      <c r="J478" s="16"/>
      <c r="K478" s="16"/>
      <c r="L478" s="16"/>
      <c r="M478" s="16"/>
    </row>
    <row r="479" spans="1:13" x14ac:dyDescent="0.25">
      <c r="A479" s="2"/>
      <c r="B479" s="16"/>
      <c r="C479" s="24"/>
      <c r="D479" s="16"/>
      <c r="E479" s="23"/>
      <c r="F479" s="16"/>
      <c r="G479" s="16"/>
      <c r="H479" s="16"/>
      <c r="I479" s="16"/>
      <c r="J479" s="16"/>
      <c r="K479" s="16"/>
      <c r="L479" s="16"/>
      <c r="M479" s="16"/>
    </row>
    <row r="480" spans="1:13" x14ac:dyDescent="0.25">
      <c r="A480" s="2"/>
      <c r="B480" s="16"/>
      <c r="C480" s="24"/>
      <c r="D480" s="16"/>
      <c r="E480" s="23"/>
      <c r="F480" s="16"/>
      <c r="G480" s="16"/>
      <c r="H480" s="16"/>
      <c r="I480" s="16"/>
      <c r="J480" s="16"/>
      <c r="K480" s="16"/>
      <c r="L480" s="16"/>
      <c r="M480" s="16"/>
    </row>
    <row r="481" spans="1:13" x14ac:dyDescent="0.25">
      <c r="A481" s="2"/>
      <c r="B481" s="16"/>
      <c r="C481" s="24"/>
      <c r="D481" s="16"/>
      <c r="E481" s="23"/>
      <c r="F481" s="16"/>
      <c r="G481" s="16"/>
      <c r="H481" s="16"/>
      <c r="I481" s="16"/>
      <c r="J481" s="16"/>
      <c r="K481" s="16"/>
      <c r="L481" s="16"/>
      <c r="M481" s="16"/>
    </row>
    <row r="482" spans="1:13" x14ac:dyDescent="0.25">
      <c r="A482" s="2"/>
      <c r="B482" s="16"/>
      <c r="C482" s="24"/>
      <c r="D482" s="16"/>
      <c r="E482" s="23"/>
      <c r="F482" s="16"/>
      <c r="G482" s="16"/>
      <c r="H482" s="16"/>
      <c r="I482" s="16"/>
      <c r="J482" s="16"/>
      <c r="K482" s="16"/>
      <c r="L482" s="16"/>
      <c r="M482" s="16"/>
    </row>
    <row r="483" spans="1:13" x14ac:dyDescent="0.25">
      <c r="A483" s="2"/>
      <c r="B483" s="16"/>
      <c r="C483" s="24"/>
      <c r="D483" s="16"/>
      <c r="E483" s="23"/>
      <c r="F483" s="16"/>
      <c r="G483" s="16"/>
      <c r="H483" s="16"/>
      <c r="I483" s="16"/>
      <c r="J483" s="16"/>
      <c r="K483" s="16"/>
      <c r="L483" s="16"/>
      <c r="M483" s="16"/>
    </row>
    <row r="484" spans="1:13" x14ac:dyDescent="0.25">
      <c r="A484" s="2"/>
      <c r="B484" s="16"/>
      <c r="C484" s="24"/>
      <c r="D484" s="16"/>
      <c r="E484" s="23"/>
      <c r="F484" s="16"/>
      <c r="G484" s="16"/>
      <c r="H484" s="16"/>
      <c r="I484" s="16"/>
      <c r="J484" s="16"/>
      <c r="K484" s="16"/>
      <c r="L484" s="16"/>
      <c r="M484" s="16"/>
    </row>
    <row r="485" spans="1:13" x14ac:dyDescent="0.25">
      <c r="A485" s="2"/>
      <c r="B485" s="16"/>
      <c r="C485" s="24"/>
      <c r="D485" s="16"/>
      <c r="E485" s="23"/>
      <c r="F485" s="16"/>
      <c r="G485" s="16"/>
      <c r="H485" s="16"/>
      <c r="I485" s="16"/>
      <c r="J485" s="16"/>
      <c r="K485" s="16"/>
      <c r="L485" s="16"/>
      <c r="M485" s="16"/>
    </row>
    <row r="486" spans="1:13" x14ac:dyDescent="0.25">
      <c r="A486" s="2"/>
      <c r="B486" s="16"/>
      <c r="C486" s="24"/>
      <c r="D486" s="16"/>
      <c r="E486" s="23"/>
      <c r="F486" s="16"/>
      <c r="G486" s="16"/>
      <c r="H486" s="16"/>
      <c r="I486" s="16"/>
      <c r="J486" s="16"/>
      <c r="K486" s="16"/>
      <c r="L486" s="16"/>
      <c r="M486" s="16"/>
    </row>
    <row r="487" spans="1:13" x14ac:dyDescent="0.25">
      <c r="A487" s="2"/>
      <c r="B487" s="16"/>
      <c r="C487" s="24"/>
      <c r="D487" s="16"/>
      <c r="E487" s="23"/>
      <c r="F487" s="16"/>
      <c r="G487" s="16"/>
      <c r="H487" s="16"/>
      <c r="I487" s="16"/>
      <c r="J487" s="16"/>
      <c r="K487" s="16"/>
      <c r="L487" s="16"/>
      <c r="M487" s="16"/>
    </row>
    <row r="488" spans="1:13" x14ac:dyDescent="0.25">
      <c r="A488" s="2"/>
      <c r="B488" s="16"/>
      <c r="C488" s="24"/>
      <c r="D488" s="16"/>
      <c r="E488" s="23"/>
      <c r="F488" s="16"/>
      <c r="G488" s="16"/>
      <c r="H488" s="16"/>
      <c r="I488" s="16"/>
      <c r="J488" s="16"/>
      <c r="K488" s="16"/>
      <c r="L488" s="16"/>
      <c r="M488" s="16"/>
    </row>
    <row r="489" spans="1:13" x14ac:dyDescent="0.25">
      <c r="A489" s="2"/>
      <c r="B489" s="16"/>
      <c r="C489" s="24"/>
      <c r="D489" s="16"/>
      <c r="E489" s="23"/>
      <c r="F489" s="16"/>
      <c r="G489" s="16"/>
      <c r="H489" s="16"/>
      <c r="I489" s="16"/>
      <c r="J489" s="16"/>
      <c r="K489" s="16"/>
      <c r="L489" s="16"/>
      <c r="M489" s="16"/>
    </row>
    <row r="490" spans="1:13" x14ac:dyDescent="0.25">
      <c r="A490" s="2"/>
      <c r="B490" s="16"/>
      <c r="C490" s="24"/>
      <c r="D490" s="16"/>
      <c r="E490" s="23"/>
      <c r="F490" s="16"/>
      <c r="G490" s="16"/>
      <c r="H490" s="16"/>
      <c r="I490" s="16"/>
      <c r="J490" s="16"/>
      <c r="K490" s="16"/>
      <c r="L490" s="16"/>
      <c r="M490" s="16"/>
    </row>
    <row r="491" spans="1:13" x14ac:dyDescent="0.25">
      <c r="A491" s="2"/>
      <c r="B491" s="16"/>
      <c r="C491" s="24"/>
      <c r="D491" s="16"/>
      <c r="E491" s="23"/>
      <c r="F491" s="16"/>
      <c r="G491" s="16"/>
      <c r="H491" s="16"/>
      <c r="I491" s="16"/>
      <c r="J491" s="16"/>
      <c r="K491" s="16"/>
      <c r="L491" s="16"/>
      <c r="M491" s="16"/>
    </row>
    <row r="492" spans="1:13" x14ac:dyDescent="0.25">
      <c r="A492" s="2"/>
      <c r="B492" s="16"/>
      <c r="C492" s="24"/>
      <c r="D492" s="16"/>
      <c r="E492" s="23"/>
      <c r="F492" s="16"/>
      <c r="G492" s="16"/>
      <c r="H492" s="16"/>
      <c r="I492" s="16"/>
      <c r="J492" s="16"/>
      <c r="K492" s="16"/>
      <c r="L492" s="16"/>
      <c r="M492" s="16"/>
    </row>
    <row r="493" spans="1:13" x14ac:dyDescent="0.25">
      <c r="A493" s="2"/>
      <c r="B493" s="16"/>
      <c r="C493" s="24"/>
      <c r="D493" s="16"/>
      <c r="E493" s="23"/>
      <c r="F493" s="16"/>
      <c r="G493" s="16"/>
      <c r="H493" s="16"/>
      <c r="I493" s="16"/>
      <c r="J493" s="16"/>
      <c r="K493" s="16"/>
      <c r="L493" s="16"/>
      <c r="M493" s="16"/>
    </row>
    <row r="494" spans="1:13" x14ac:dyDescent="0.25">
      <c r="A494" s="2"/>
      <c r="B494" s="16"/>
      <c r="C494" s="24"/>
      <c r="D494" s="16"/>
      <c r="E494" s="23"/>
      <c r="F494" s="16"/>
      <c r="G494" s="16"/>
      <c r="H494" s="16"/>
      <c r="I494" s="16"/>
      <c r="J494" s="16"/>
      <c r="K494" s="16"/>
      <c r="L494" s="16"/>
      <c r="M494" s="16"/>
    </row>
    <row r="495" spans="1:13" x14ac:dyDescent="0.25">
      <c r="A495" s="2"/>
      <c r="B495" s="16"/>
      <c r="C495" s="24"/>
      <c r="D495" s="16"/>
      <c r="E495" s="23"/>
      <c r="F495" s="16"/>
      <c r="G495" s="16"/>
      <c r="H495" s="16"/>
      <c r="I495" s="16"/>
      <c r="J495" s="16"/>
      <c r="K495" s="16"/>
      <c r="L495" s="16"/>
      <c r="M495" s="16"/>
    </row>
    <row r="496" spans="1:13" x14ac:dyDescent="0.25">
      <c r="A496" s="2"/>
      <c r="B496" s="16"/>
      <c r="C496" s="24"/>
      <c r="D496" s="16"/>
      <c r="E496" s="23"/>
      <c r="F496" s="16"/>
      <c r="G496" s="16"/>
      <c r="H496" s="16"/>
      <c r="I496" s="16"/>
      <c r="J496" s="16"/>
      <c r="K496" s="16"/>
      <c r="L496" s="16"/>
      <c r="M496" s="16"/>
    </row>
    <row r="497" spans="1:13" x14ac:dyDescent="0.25">
      <c r="A497" s="2"/>
      <c r="B497" s="16"/>
      <c r="C497" s="24"/>
      <c r="D497" s="16"/>
      <c r="E497" s="23"/>
      <c r="F497" s="16"/>
      <c r="G497" s="16"/>
      <c r="H497" s="16"/>
      <c r="I497" s="16"/>
      <c r="J497" s="16"/>
      <c r="K497" s="16"/>
      <c r="L497" s="16"/>
      <c r="M497" s="16"/>
    </row>
    <row r="498" spans="1:13" x14ac:dyDescent="0.25">
      <c r="A498" s="2"/>
      <c r="B498" s="16"/>
      <c r="C498" s="24"/>
      <c r="D498" s="16"/>
      <c r="E498" s="23"/>
      <c r="F498" s="16"/>
      <c r="G498" s="16"/>
      <c r="H498" s="16"/>
      <c r="I498" s="16"/>
      <c r="J498" s="16"/>
      <c r="K498" s="16"/>
      <c r="L498" s="16"/>
      <c r="M498" s="16"/>
    </row>
    <row r="499" spans="1:13" x14ac:dyDescent="0.25">
      <c r="A499" s="2"/>
      <c r="B499" s="16"/>
      <c r="C499" s="24"/>
      <c r="D499" s="16"/>
      <c r="E499" s="23"/>
      <c r="F499" s="16"/>
      <c r="G499" s="16"/>
      <c r="H499" s="16"/>
      <c r="I499" s="16"/>
      <c r="J499" s="16"/>
      <c r="K499" s="16"/>
      <c r="L499" s="16"/>
      <c r="M499" s="16"/>
    </row>
    <row r="500" spans="1:13" x14ac:dyDescent="0.25">
      <c r="A500" s="2"/>
      <c r="B500" s="16"/>
      <c r="C500" s="24"/>
      <c r="D500" s="16"/>
      <c r="E500" s="23"/>
      <c r="F500" s="16"/>
      <c r="G500" s="16"/>
      <c r="H500" s="16"/>
      <c r="I500" s="16"/>
      <c r="J500" s="16"/>
      <c r="K500" s="16"/>
      <c r="L500" s="16"/>
      <c r="M500" s="16"/>
    </row>
    <row r="501" spans="1:13" x14ac:dyDescent="0.25">
      <c r="A501" s="2"/>
      <c r="B501" s="16"/>
      <c r="C501" s="24"/>
      <c r="D501" s="16"/>
      <c r="E501" s="23"/>
      <c r="F501" s="16"/>
      <c r="G501" s="16"/>
      <c r="H501" s="16"/>
      <c r="I501" s="16"/>
      <c r="J501" s="16"/>
      <c r="K501" s="16"/>
      <c r="L501" s="16"/>
      <c r="M501" s="16"/>
    </row>
    <row r="502" spans="1:13" x14ac:dyDescent="0.25">
      <c r="A502" s="2"/>
      <c r="B502" s="16"/>
      <c r="C502" s="24"/>
      <c r="D502" s="16"/>
      <c r="E502" s="23"/>
      <c r="F502" s="16"/>
      <c r="G502" s="16"/>
      <c r="H502" s="16"/>
      <c r="I502" s="16"/>
      <c r="J502" s="16"/>
      <c r="K502" s="16"/>
      <c r="L502" s="16"/>
      <c r="M502" s="16"/>
    </row>
    <row r="503" spans="1:13" x14ac:dyDescent="0.25">
      <c r="A503" s="2"/>
      <c r="B503" s="16"/>
      <c r="C503" s="24"/>
      <c r="D503" s="16"/>
      <c r="E503" s="23"/>
      <c r="F503" s="16"/>
      <c r="G503" s="16"/>
      <c r="H503" s="16"/>
      <c r="I503" s="16"/>
      <c r="J503" s="16"/>
      <c r="K503" s="16"/>
      <c r="L503" s="16"/>
      <c r="M503" s="16"/>
    </row>
    <row r="504" spans="1:13" x14ac:dyDescent="0.25">
      <c r="A504" s="2"/>
      <c r="B504" s="16"/>
      <c r="C504" s="24"/>
      <c r="D504" s="16"/>
      <c r="E504" s="23"/>
      <c r="F504" s="16"/>
      <c r="G504" s="16"/>
      <c r="H504" s="16"/>
      <c r="I504" s="16"/>
      <c r="J504" s="16"/>
      <c r="K504" s="16"/>
      <c r="L504" s="16"/>
      <c r="M504" s="16"/>
    </row>
    <row r="505" spans="1:13" x14ac:dyDescent="0.25">
      <c r="A505" s="2"/>
      <c r="B505" s="16"/>
      <c r="C505" s="24"/>
      <c r="D505" s="16"/>
      <c r="E505" s="23"/>
      <c r="F505" s="16"/>
      <c r="G505" s="16"/>
      <c r="H505" s="16"/>
      <c r="I505" s="16"/>
      <c r="J505" s="16"/>
      <c r="K505" s="16"/>
      <c r="L505" s="16"/>
      <c r="M505" s="16"/>
    </row>
    <row r="506" spans="1:13" x14ac:dyDescent="0.25">
      <c r="A506" s="2"/>
      <c r="B506" s="16"/>
      <c r="C506" s="24"/>
      <c r="D506" s="16"/>
      <c r="E506" s="23"/>
      <c r="F506" s="16"/>
      <c r="G506" s="16"/>
      <c r="H506" s="16"/>
      <c r="I506" s="16"/>
      <c r="J506" s="16"/>
      <c r="K506" s="16"/>
      <c r="L506" s="16"/>
      <c r="M506" s="16"/>
    </row>
    <row r="507" spans="1:13" x14ac:dyDescent="0.25">
      <c r="A507" s="2"/>
      <c r="B507" s="16"/>
      <c r="C507" s="24"/>
      <c r="D507" s="16"/>
      <c r="E507" s="23"/>
      <c r="F507" s="16"/>
      <c r="G507" s="16"/>
      <c r="H507" s="16"/>
      <c r="I507" s="16"/>
      <c r="J507" s="16"/>
      <c r="K507" s="16"/>
      <c r="L507" s="16"/>
      <c r="M507" s="16"/>
    </row>
    <row r="508" spans="1:13" x14ac:dyDescent="0.25">
      <c r="A508" s="2"/>
      <c r="B508" s="16"/>
      <c r="C508" s="24"/>
      <c r="D508" s="16"/>
      <c r="E508" s="23"/>
      <c r="F508" s="16"/>
      <c r="G508" s="16"/>
      <c r="H508" s="16"/>
      <c r="I508" s="16"/>
      <c r="J508" s="16"/>
      <c r="K508" s="16"/>
      <c r="L508" s="16"/>
      <c r="M508" s="16"/>
    </row>
    <row r="509" spans="1:13" x14ac:dyDescent="0.25">
      <c r="A509" s="2"/>
      <c r="B509" s="16"/>
      <c r="C509" s="24"/>
      <c r="D509" s="16"/>
      <c r="E509" s="23"/>
      <c r="F509" s="16"/>
      <c r="G509" s="16"/>
      <c r="H509" s="16"/>
      <c r="I509" s="16"/>
      <c r="J509" s="16"/>
      <c r="K509" s="16"/>
      <c r="L509" s="16"/>
      <c r="M509" s="16"/>
    </row>
    <row r="510" spans="1:13" x14ac:dyDescent="0.25">
      <c r="A510" s="2"/>
      <c r="B510" s="16"/>
      <c r="C510" s="24"/>
      <c r="D510" s="16"/>
      <c r="E510" s="23"/>
      <c r="F510" s="16"/>
      <c r="G510" s="16"/>
      <c r="H510" s="16"/>
      <c r="I510" s="16"/>
      <c r="J510" s="16"/>
      <c r="K510" s="16"/>
      <c r="L510" s="16"/>
      <c r="M510" s="16"/>
    </row>
    <row r="511" spans="1:13" x14ac:dyDescent="0.25">
      <c r="A511" s="2"/>
      <c r="B511" s="16"/>
      <c r="C511" s="24"/>
      <c r="D511" s="16"/>
      <c r="E511" s="23"/>
      <c r="F511" s="16"/>
      <c r="G511" s="16"/>
      <c r="H511" s="16"/>
      <c r="I511" s="16"/>
      <c r="J511" s="16"/>
      <c r="K511" s="16"/>
      <c r="L511" s="16"/>
      <c r="M511" s="16"/>
    </row>
    <row r="512" spans="1:13" x14ac:dyDescent="0.25">
      <c r="A512" s="2"/>
      <c r="B512" s="16"/>
      <c r="C512" s="24"/>
      <c r="D512" s="16"/>
      <c r="E512" s="23"/>
      <c r="F512" s="16"/>
      <c r="G512" s="16"/>
      <c r="H512" s="16"/>
      <c r="I512" s="16"/>
      <c r="J512" s="16"/>
      <c r="K512" s="16"/>
      <c r="L512" s="16"/>
      <c r="M512" s="16"/>
    </row>
    <row r="513" spans="1:13" x14ac:dyDescent="0.25">
      <c r="A513" s="2"/>
      <c r="B513" s="16"/>
      <c r="C513" s="24"/>
      <c r="D513" s="16"/>
      <c r="E513" s="23"/>
      <c r="F513" s="16"/>
      <c r="G513" s="16"/>
      <c r="H513" s="16"/>
      <c r="I513" s="16"/>
      <c r="J513" s="16"/>
      <c r="K513" s="16"/>
      <c r="L513" s="16"/>
      <c r="M513" s="16"/>
    </row>
    <row r="514" spans="1:13" x14ac:dyDescent="0.25">
      <c r="A514" s="2"/>
      <c r="B514" s="16"/>
      <c r="C514" s="24"/>
      <c r="D514" s="16"/>
      <c r="E514" s="23"/>
      <c r="F514" s="16"/>
      <c r="G514" s="16"/>
      <c r="H514" s="16"/>
      <c r="I514" s="16"/>
      <c r="J514" s="16"/>
      <c r="K514" s="16"/>
      <c r="L514" s="16"/>
      <c r="M514" s="16"/>
    </row>
    <row r="515" spans="1:13" x14ac:dyDescent="0.25">
      <c r="A515" s="2"/>
      <c r="B515" s="16"/>
      <c r="C515" s="24"/>
      <c r="D515" s="16"/>
      <c r="E515" s="23"/>
      <c r="F515" s="16"/>
      <c r="G515" s="16"/>
      <c r="H515" s="16"/>
      <c r="I515" s="16"/>
      <c r="J515" s="16"/>
      <c r="K515" s="16"/>
      <c r="L515" s="16"/>
      <c r="M515" s="16"/>
    </row>
    <row r="516" spans="1:13" x14ac:dyDescent="0.25">
      <c r="A516" s="2"/>
      <c r="B516" s="16"/>
      <c r="C516" s="24"/>
      <c r="D516" s="16"/>
      <c r="E516" s="23"/>
      <c r="F516" s="16"/>
      <c r="G516" s="16"/>
      <c r="H516" s="16"/>
      <c r="I516" s="16"/>
      <c r="J516" s="16"/>
      <c r="K516" s="16"/>
      <c r="L516" s="16"/>
      <c r="M516" s="16"/>
    </row>
    <row r="517" spans="1:13" x14ac:dyDescent="0.25">
      <c r="A517" s="2"/>
      <c r="B517" s="16"/>
      <c r="C517" s="24"/>
      <c r="D517" s="16"/>
      <c r="E517" s="23"/>
      <c r="F517" s="16"/>
      <c r="G517" s="16"/>
      <c r="H517" s="16"/>
      <c r="I517" s="16"/>
      <c r="J517" s="16"/>
      <c r="K517" s="16"/>
      <c r="L517" s="16"/>
      <c r="M517" s="16"/>
    </row>
    <row r="518" spans="1:13" x14ac:dyDescent="0.25">
      <c r="A518" s="2"/>
      <c r="B518" s="16"/>
      <c r="C518" s="24"/>
      <c r="D518" s="16"/>
      <c r="E518" s="23"/>
      <c r="F518" s="16"/>
      <c r="G518" s="16"/>
      <c r="H518" s="16"/>
      <c r="I518" s="16"/>
      <c r="J518" s="16"/>
      <c r="K518" s="16"/>
      <c r="L518" s="16"/>
      <c r="M518" s="16"/>
    </row>
    <row r="519" spans="1:13" x14ac:dyDescent="0.25">
      <c r="A519" s="2"/>
      <c r="B519" s="16"/>
      <c r="C519" s="24"/>
      <c r="D519" s="16"/>
      <c r="E519" s="23"/>
      <c r="F519" s="16"/>
      <c r="G519" s="16"/>
      <c r="H519" s="16"/>
      <c r="I519" s="16"/>
      <c r="J519" s="16"/>
      <c r="K519" s="16"/>
      <c r="L519" s="16"/>
      <c r="M519" s="16"/>
    </row>
    <row r="520" spans="1:13" x14ac:dyDescent="0.25">
      <c r="A520" s="2"/>
      <c r="B520" s="16"/>
      <c r="C520" s="24"/>
      <c r="D520" s="16"/>
      <c r="E520" s="23"/>
      <c r="F520" s="16"/>
      <c r="G520" s="16"/>
      <c r="H520" s="16"/>
      <c r="I520" s="16"/>
      <c r="J520" s="16"/>
      <c r="K520" s="16"/>
      <c r="L520" s="16"/>
      <c r="M520" s="16"/>
    </row>
    <row r="521" spans="1:13" x14ac:dyDescent="0.25">
      <c r="A521" s="2"/>
      <c r="B521" s="16"/>
      <c r="C521" s="24"/>
      <c r="D521" s="16"/>
      <c r="E521" s="23"/>
      <c r="F521" s="16"/>
      <c r="G521" s="16"/>
      <c r="H521" s="16"/>
      <c r="I521" s="16"/>
      <c r="J521" s="16"/>
      <c r="K521" s="16"/>
      <c r="L521" s="16"/>
      <c r="M521" s="16"/>
    </row>
    <row r="522" spans="1:13" x14ac:dyDescent="0.25">
      <c r="A522" s="2"/>
      <c r="B522" s="16"/>
      <c r="C522" s="24"/>
      <c r="D522" s="16"/>
      <c r="E522" s="23"/>
      <c r="F522" s="16"/>
      <c r="G522" s="16"/>
      <c r="H522" s="16"/>
      <c r="I522" s="16"/>
      <c r="J522" s="16"/>
      <c r="K522" s="16"/>
      <c r="L522" s="16"/>
      <c r="M522" s="16"/>
    </row>
    <row r="523" spans="1:13" x14ac:dyDescent="0.25">
      <c r="A523" s="2"/>
      <c r="B523" s="16"/>
      <c r="C523" s="24"/>
      <c r="D523" s="16"/>
      <c r="E523" s="23"/>
      <c r="F523" s="16"/>
      <c r="G523" s="16"/>
      <c r="H523" s="16"/>
      <c r="I523" s="16"/>
      <c r="J523" s="16"/>
      <c r="K523" s="16"/>
      <c r="L523" s="16"/>
      <c r="M523" s="16"/>
    </row>
    <row r="524" spans="1:13" x14ac:dyDescent="0.25">
      <c r="A524" s="2"/>
      <c r="B524" s="16"/>
      <c r="C524" s="24"/>
      <c r="D524" s="16"/>
      <c r="E524" s="23"/>
      <c r="F524" s="16"/>
      <c r="G524" s="16"/>
      <c r="H524" s="16"/>
      <c r="I524" s="16"/>
      <c r="J524" s="16"/>
      <c r="K524" s="16"/>
      <c r="L524" s="16"/>
      <c r="M524" s="16"/>
    </row>
    <row r="525" spans="1:13" x14ac:dyDescent="0.25">
      <c r="A525" s="2"/>
      <c r="B525" s="16"/>
      <c r="C525" s="24"/>
      <c r="D525" s="16"/>
      <c r="E525" s="23"/>
      <c r="F525" s="16"/>
      <c r="G525" s="16"/>
      <c r="H525" s="16"/>
      <c r="I525" s="16"/>
      <c r="J525" s="16"/>
      <c r="K525" s="16"/>
      <c r="L525" s="16"/>
      <c r="M525" s="16"/>
    </row>
    <row r="526" spans="1:13" x14ac:dyDescent="0.25">
      <c r="A526" s="2"/>
      <c r="B526" s="16"/>
      <c r="C526" s="24"/>
      <c r="D526" s="16"/>
      <c r="E526" s="23"/>
      <c r="F526" s="16"/>
      <c r="G526" s="16"/>
      <c r="H526" s="16"/>
      <c r="I526" s="16"/>
      <c r="J526" s="16"/>
      <c r="K526" s="16"/>
      <c r="L526" s="16"/>
      <c r="M526" s="16"/>
    </row>
    <row r="527" spans="1:13" x14ac:dyDescent="0.25">
      <c r="A527" s="2"/>
      <c r="B527" s="16"/>
      <c r="C527" s="24"/>
      <c r="D527" s="16"/>
      <c r="E527" s="23"/>
      <c r="F527" s="16"/>
      <c r="G527" s="16"/>
      <c r="H527" s="16"/>
      <c r="I527" s="16"/>
      <c r="J527" s="16"/>
      <c r="K527" s="16"/>
      <c r="L527" s="16"/>
      <c r="M527" s="16"/>
    </row>
    <row r="528" spans="1:13" x14ac:dyDescent="0.25">
      <c r="A528" s="2"/>
      <c r="B528" s="16"/>
      <c r="C528" s="24"/>
      <c r="D528" s="16"/>
      <c r="E528" s="23"/>
      <c r="F528" s="16"/>
      <c r="G528" s="16"/>
      <c r="H528" s="16"/>
      <c r="I528" s="16"/>
      <c r="J528" s="16"/>
      <c r="K528" s="16"/>
      <c r="L528" s="16"/>
      <c r="M528" s="16"/>
    </row>
    <row r="529" spans="1:13" x14ac:dyDescent="0.25">
      <c r="A529" s="2"/>
      <c r="B529" s="16"/>
      <c r="C529" s="24"/>
      <c r="D529" s="16"/>
      <c r="E529" s="23"/>
      <c r="F529" s="16"/>
      <c r="G529" s="16"/>
      <c r="H529" s="16"/>
      <c r="I529" s="16"/>
      <c r="J529" s="16"/>
      <c r="K529" s="16"/>
      <c r="L529" s="16"/>
      <c r="M529" s="16"/>
    </row>
    <row r="530" spans="1:13" x14ac:dyDescent="0.25">
      <c r="A530" s="2"/>
      <c r="B530" s="16"/>
      <c r="C530" s="24"/>
      <c r="D530" s="16"/>
      <c r="E530" s="23"/>
      <c r="F530" s="16"/>
      <c r="G530" s="16"/>
      <c r="H530" s="16"/>
      <c r="I530" s="16"/>
      <c r="J530" s="16"/>
      <c r="K530" s="16"/>
      <c r="L530" s="16"/>
      <c r="M530" s="16"/>
    </row>
    <row r="531" spans="1:13" x14ac:dyDescent="0.25">
      <c r="A531" s="2"/>
      <c r="B531" s="16"/>
      <c r="C531" s="24"/>
      <c r="D531" s="16"/>
      <c r="E531" s="23"/>
      <c r="F531" s="16"/>
      <c r="G531" s="16"/>
      <c r="H531" s="16"/>
      <c r="I531" s="16"/>
      <c r="J531" s="16"/>
      <c r="K531" s="16"/>
      <c r="L531" s="16"/>
      <c r="M531" s="16"/>
    </row>
    <row r="532" spans="1:13" x14ac:dyDescent="0.25">
      <c r="A532" s="2"/>
      <c r="B532" s="16"/>
      <c r="C532" s="24"/>
      <c r="D532" s="16"/>
      <c r="E532" s="23"/>
      <c r="F532" s="16"/>
      <c r="G532" s="16"/>
      <c r="H532" s="16"/>
      <c r="I532" s="16"/>
      <c r="J532" s="16"/>
      <c r="K532" s="16"/>
      <c r="L532" s="16"/>
      <c r="M532" s="16"/>
    </row>
    <row r="533" spans="1:13" x14ac:dyDescent="0.25">
      <c r="A533" s="2"/>
      <c r="B533" s="16"/>
      <c r="C533" s="24"/>
      <c r="D533" s="16"/>
      <c r="E533" s="23"/>
      <c r="F533" s="16"/>
      <c r="G533" s="16"/>
      <c r="H533" s="16"/>
      <c r="I533" s="16"/>
      <c r="J533" s="16"/>
      <c r="K533" s="16"/>
      <c r="L533" s="16"/>
      <c r="M533" s="16"/>
    </row>
    <row r="534" spans="1:13" x14ac:dyDescent="0.25">
      <c r="A534" s="2"/>
      <c r="B534" s="16"/>
      <c r="C534" s="24"/>
      <c r="D534" s="16"/>
      <c r="E534" s="23"/>
      <c r="F534" s="16"/>
      <c r="G534" s="16"/>
      <c r="H534" s="16"/>
      <c r="I534" s="16"/>
      <c r="J534" s="16"/>
      <c r="K534" s="16"/>
      <c r="L534" s="16"/>
      <c r="M534" s="16"/>
    </row>
    <row r="535" spans="1:13" x14ac:dyDescent="0.25">
      <c r="A535" s="2"/>
      <c r="B535" s="16"/>
      <c r="C535" s="24"/>
      <c r="D535" s="16"/>
      <c r="E535" s="23"/>
      <c r="F535" s="16"/>
      <c r="G535" s="16"/>
      <c r="H535" s="16"/>
      <c r="I535" s="16"/>
      <c r="J535" s="16"/>
      <c r="K535" s="16"/>
      <c r="L535" s="16"/>
      <c r="M535" s="16"/>
    </row>
    <row r="536" spans="1:13" x14ac:dyDescent="0.25">
      <c r="A536" s="2"/>
      <c r="B536" s="16"/>
      <c r="C536" s="24"/>
      <c r="D536" s="16"/>
      <c r="E536" s="23"/>
      <c r="F536" s="16"/>
      <c r="G536" s="16"/>
      <c r="H536" s="16"/>
      <c r="I536" s="16"/>
      <c r="J536" s="16"/>
      <c r="K536" s="16"/>
      <c r="L536" s="16"/>
      <c r="M536" s="16"/>
    </row>
    <row r="537" spans="1:13" x14ac:dyDescent="0.25">
      <c r="A537" s="2"/>
      <c r="B537" s="16"/>
      <c r="C537" s="24"/>
      <c r="D537" s="16"/>
      <c r="E537" s="23"/>
      <c r="F537" s="16"/>
      <c r="G537" s="16"/>
      <c r="H537" s="16"/>
      <c r="I537" s="16"/>
      <c r="J537" s="16"/>
      <c r="K537" s="16"/>
      <c r="L537" s="16"/>
      <c r="M537" s="16"/>
    </row>
    <row r="538" spans="1:13" x14ac:dyDescent="0.25">
      <c r="A538" s="2"/>
      <c r="B538" s="16"/>
      <c r="C538" s="24"/>
      <c r="D538" s="16"/>
      <c r="E538" s="23"/>
      <c r="F538" s="16"/>
      <c r="G538" s="16"/>
      <c r="H538" s="16"/>
      <c r="I538" s="16"/>
      <c r="J538" s="16"/>
      <c r="K538" s="16"/>
      <c r="L538" s="16"/>
      <c r="M538" s="16"/>
    </row>
    <row r="539" spans="1:13" x14ac:dyDescent="0.25">
      <c r="A539" s="2"/>
      <c r="B539" s="16"/>
      <c r="C539" s="24"/>
      <c r="D539" s="16"/>
      <c r="E539" s="23"/>
      <c r="F539" s="16"/>
      <c r="G539" s="16"/>
      <c r="H539" s="16"/>
      <c r="I539" s="16"/>
      <c r="J539" s="16"/>
      <c r="K539" s="16"/>
      <c r="L539" s="16"/>
      <c r="M539" s="16"/>
    </row>
    <row r="540" spans="1:13" x14ac:dyDescent="0.25">
      <c r="A540" s="2"/>
      <c r="B540" s="16"/>
      <c r="C540" s="24"/>
      <c r="D540" s="16"/>
      <c r="E540" s="23"/>
      <c r="F540" s="16"/>
      <c r="G540" s="16"/>
      <c r="H540" s="16"/>
      <c r="I540" s="16"/>
      <c r="J540" s="16"/>
      <c r="K540" s="16"/>
      <c r="L540" s="16"/>
      <c r="M540" s="16"/>
    </row>
    <row r="541" spans="1:13" x14ac:dyDescent="0.25">
      <c r="A541" s="2"/>
      <c r="B541" s="16"/>
      <c r="C541" s="24"/>
      <c r="D541" s="16"/>
      <c r="E541" s="23"/>
      <c r="F541" s="16"/>
      <c r="G541" s="16"/>
      <c r="H541" s="16"/>
      <c r="I541" s="16"/>
      <c r="J541" s="16"/>
      <c r="K541" s="16"/>
      <c r="L541" s="16"/>
      <c r="M541" s="16"/>
    </row>
    <row r="542" spans="1:13" x14ac:dyDescent="0.25">
      <c r="A542" s="2"/>
      <c r="B542" s="16"/>
      <c r="C542" s="24"/>
      <c r="D542" s="16"/>
      <c r="E542" s="23"/>
      <c r="F542" s="16"/>
      <c r="G542" s="16"/>
      <c r="H542" s="16"/>
      <c r="I542" s="16"/>
      <c r="J542" s="16"/>
      <c r="K542" s="16"/>
      <c r="L542" s="16"/>
      <c r="M542" s="16"/>
    </row>
    <row r="543" spans="1:13" x14ac:dyDescent="0.25">
      <c r="A543" s="2"/>
      <c r="B543" s="16"/>
      <c r="C543" s="24"/>
      <c r="D543" s="16"/>
      <c r="E543" s="23"/>
      <c r="F543" s="16"/>
      <c r="G543" s="16"/>
      <c r="H543" s="16"/>
      <c r="I543" s="16"/>
      <c r="J543" s="16"/>
      <c r="K543" s="16"/>
      <c r="L543" s="16"/>
      <c r="M543" s="16"/>
    </row>
    <row r="544" spans="1:13" x14ac:dyDescent="0.25">
      <c r="A544" s="2"/>
      <c r="B544" s="16"/>
      <c r="C544" s="24"/>
      <c r="D544" s="16"/>
      <c r="E544" s="23"/>
      <c r="F544" s="16"/>
      <c r="G544" s="16"/>
      <c r="H544" s="16"/>
      <c r="I544" s="16"/>
      <c r="J544" s="16"/>
      <c r="K544" s="16"/>
      <c r="L544" s="16"/>
      <c r="M544" s="16"/>
    </row>
    <row r="545" spans="1:13" x14ac:dyDescent="0.25">
      <c r="A545" s="2"/>
      <c r="B545" s="16"/>
      <c r="C545" s="24"/>
      <c r="D545" s="16"/>
      <c r="E545" s="23"/>
      <c r="F545" s="16"/>
      <c r="G545" s="16"/>
      <c r="H545" s="16"/>
      <c r="I545" s="16"/>
      <c r="J545" s="16"/>
      <c r="K545" s="16"/>
      <c r="L545" s="16"/>
      <c r="M545" s="16"/>
    </row>
    <row r="546" spans="1:13" x14ac:dyDescent="0.25">
      <c r="A546" s="2"/>
      <c r="B546" s="16"/>
      <c r="C546" s="24"/>
      <c r="D546" s="16"/>
      <c r="E546" s="23"/>
      <c r="F546" s="16"/>
      <c r="G546" s="16"/>
      <c r="H546" s="16"/>
      <c r="I546" s="16"/>
      <c r="J546" s="16"/>
      <c r="K546" s="16"/>
      <c r="L546" s="16"/>
      <c r="M546" s="16"/>
    </row>
    <row r="547" spans="1:13" x14ac:dyDescent="0.25">
      <c r="A547" s="2"/>
      <c r="B547" s="16"/>
      <c r="C547" s="24"/>
      <c r="D547" s="16"/>
      <c r="E547" s="23"/>
      <c r="F547" s="16"/>
      <c r="G547" s="16"/>
      <c r="H547" s="16"/>
      <c r="I547" s="16"/>
      <c r="J547" s="16"/>
      <c r="K547" s="16"/>
      <c r="L547" s="16"/>
      <c r="M547" s="16"/>
    </row>
    <row r="548" spans="1:13" x14ac:dyDescent="0.25">
      <c r="A548" s="2"/>
      <c r="B548" s="16"/>
      <c r="C548" s="24"/>
      <c r="D548" s="16"/>
      <c r="E548" s="23"/>
      <c r="F548" s="16"/>
      <c r="G548" s="16"/>
      <c r="H548" s="16"/>
      <c r="I548" s="16"/>
      <c r="J548" s="16"/>
      <c r="K548" s="16"/>
      <c r="L548" s="16"/>
      <c r="M548" s="16"/>
    </row>
    <row r="549" spans="1:13" x14ac:dyDescent="0.25">
      <c r="A549" s="2"/>
      <c r="B549" s="16"/>
      <c r="C549" s="24"/>
      <c r="D549" s="16"/>
      <c r="E549" s="23"/>
      <c r="F549" s="16"/>
      <c r="G549" s="16"/>
      <c r="H549" s="16"/>
      <c r="I549" s="16"/>
      <c r="J549" s="16"/>
      <c r="K549" s="16"/>
      <c r="L549" s="16"/>
      <c r="M549" s="16"/>
    </row>
    <row r="550" spans="1:13" x14ac:dyDescent="0.25">
      <c r="A550" s="2"/>
      <c r="B550" s="16"/>
      <c r="C550" s="24"/>
      <c r="D550" s="16"/>
      <c r="E550" s="23"/>
      <c r="F550" s="16"/>
      <c r="G550" s="16"/>
      <c r="H550" s="16"/>
      <c r="I550" s="16"/>
      <c r="J550" s="16"/>
      <c r="K550" s="16"/>
      <c r="L550" s="16"/>
      <c r="M550" s="16"/>
    </row>
    <row r="551" spans="1:13" x14ac:dyDescent="0.25">
      <c r="A551" s="2"/>
      <c r="B551" s="16"/>
      <c r="C551" s="24"/>
      <c r="D551" s="16"/>
      <c r="E551" s="23"/>
      <c r="F551" s="16"/>
      <c r="G551" s="16"/>
      <c r="H551" s="16"/>
      <c r="I551" s="16"/>
      <c r="J551" s="16"/>
      <c r="K551" s="16"/>
      <c r="L551" s="16"/>
      <c r="M551" s="16"/>
    </row>
    <row r="552" spans="1:13" x14ac:dyDescent="0.25">
      <c r="A552" s="2"/>
      <c r="B552" s="16"/>
      <c r="C552" s="24"/>
      <c r="D552" s="16"/>
      <c r="E552" s="23"/>
      <c r="F552" s="16"/>
      <c r="G552" s="16"/>
      <c r="H552" s="16"/>
      <c r="I552" s="16"/>
      <c r="J552" s="16"/>
      <c r="K552" s="16"/>
      <c r="L552" s="16"/>
      <c r="M552" s="16"/>
    </row>
    <row r="553" spans="1:13" x14ac:dyDescent="0.25">
      <c r="A553" s="2"/>
      <c r="B553" s="16"/>
      <c r="C553" s="24"/>
      <c r="D553" s="16"/>
      <c r="E553" s="23"/>
      <c r="F553" s="16"/>
      <c r="G553" s="16"/>
      <c r="H553" s="16"/>
      <c r="I553" s="16"/>
      <c r="J553" s="16"/>
      <c r="K553" s="16"/>
      <c r="L553" s="16"/>
      <c r="M553" s="16"/>
    </row>
    <row r="554" spans="1:13" x14ac:dyDescent="0.25">
      <c r="A554" s="2"/>
      <c r="B554" s="16"/>
      <c r="C554" s="24"/>
      <c r="D554" s="16"/>
      <c r="E554" s="23"/>
      <c r="F554" s="16"/>
      <c r="G554" s="16"/>
      <c r="H554" s="16"/>
      <c r="I554" s="16"/>
      <c r="J554" s="16"/>
      <c r="K554" s="16"/>
      <c r="L554" s="16"/>
      <c r="M554" s="16"/>
    </row>
    <row r="555" spans="1:13" x14ac:dyDescent="0.25">
      <c r="A555" s="2"/>
      <c r="B555" s="16"/>
      <c r="C555" s="24"/>
      <c r="D555" s="16"/>
      <c r="E555" s="23"/>
      <c r="F555" s="16"/>
      <c r="G555" s="16"/>
      <c r="H555" s="16"/>
      <c r="I555" s="16"/>
      <c r="J555" s="16"/>
      <c r="K555" s="16"/>
      <c r="L555" s="16"/>
      <c r="M555" s="16"/>
    </row>
    <row r="556" spans="1:13" x14ac:dyDescent="0.25">
      <c r="A556" s="2"/>
      <c r="B556" s="16"/>
      <c r="C556" s="24"/>
      <c r="D556" s="16"/>
      <c r="E556" s="23"/>
      <c r="F556" s="16"/>
      <c r="G556" s="16"/>
      <c r="H556" s="16"/>
      <c r="I556" s="16"/>
      <c r="J556" s="16"/>
      <c r="K556" s="16"/>
      <c r="L556" s="16"/>
      <c r="M556" s="16"/>
    </row>
    <row r="557" spans="1:13" x14ac:dyDescent="0.25">
      <c r="A557" s="2"/>
      <c r="B557" s="16"/>
      <c r="C557" s="24"/>
      <c r="D557" s="16"/>
      <c r="E557" s="23"/>
      <c r="F557" s="16"/>
      <c r="G557" s="16"/>
      <c r="H557" s="16"/>
      <c r="I557" s="16"/>
      <c r="J557" s="16"/>
      <c r="K557" s="16"/>
      <c r="L557" s="16"/>
      <c r="M557" s="16"/>
    </row>
    <row r="558" spans="1:13" x14ac:dyDescent="0.25">
      <c r="A558" s="2"/>
      <c r="B558" s="16"/>
      <c r="C558" s="24"/>
      <c r="D558" s="16"/>
      <c r="E558" s="23"/>
      <c r="F558" s="16"/>
      <c r="G558" s="16"/>
      <c r="H558" s="16"/>
      <c r="I558" s="16"/>
      <c r="J558" s="16"/>
      <c r="K558" s="16"/>
      <c r="L558" s="16"/>
      <c r="M558" s="16"/>
    </row>
    <row r="559" spans="1:13" x14ac:dyDescent="0.25">
      <c r="A559" s="2"/>
      <c r="B559" s="16"/>
      <c r="C559" s="24"/>
      <c r="D559" s="16"/>
      <c r="E559" s="23"/>
      <c r="F559" s="16"/>
      <c r="G559" s="16"/>
      <c r="H559" s="16"/>
      <c r="I559" s="16"/>
      <c r="J559" s="16"/>
      <c r="K559" s="16"/>
      <c r="L559" s="16"/>
      <c r="M559" s="16"/>
    </row>
    <row r="560" spans="1:13" x14ac:dyDescent="0.25">
      <c r="A560" s="2"/>
      <c r="B560" s="16"/>
      <c r="C560" s="24"/>
      <c r="D560" s="16"/>
      <c r="E560" s="23"/>
      <c r="F560" s="16"/>
      <c r="G560" s="16"/>
      <c r="H560" s="16"/>
      <c r="I560" s="16"/>
      <c r="J560" s="16"/>
      <c r="K560" s="16"/>
      <c r="L560" s="16"/>
      <c r="M560" s="16"/>
    </row>
    <row r="561" spans="1:13" x14ac:dyDescent="0.25">
      <c r="A561" s="2"/>
      <c r="B561" s="16"/>
      <c r="C561" s="24"/>
      <c r="D561" s="16"/>
      <c r="E561" s="23"/>
      <c r="F561" s="16"/>
      <c r="G561" s="16"/>
      <c r="H561" s="16"/>
      <c r="I561" s="16"/>
      <c r="J561" s="16"/>
      <c r="K561" s="16"/>
      <c r="L561" s="16"/>
      <c r="M561" s="16"/>
    </row>
    <row r="562" spans="1:13" x14ac:dyDescent="0.25">
      <c r="A562" s="2"/>
      <c r="B562" s="16"/>
      <c r="C562" s="24"/>
      <c r="D562" s="16"/>
      <c r="E562" s="23"/>
      <c r="F562" s="16"/>
      <c r="G562" s="16"/>
      <c r="H562" s="16"/>
      <c r="I562" s="16"/>
      <c r="J562" s="16"/>
      <c r="K562" s="16"/>
      <c r="L562" s="16"/>
      <c r="M562" s="16"/>
    </row>
    <row r="563" spans="1:13" x14ac:dyDescent="0.25">
      <c r="A563" s="2"/>
      <c r="B563" s="16"/>
      <c r="C563" s="24"/>
      <c r="D563" s="16"/>
      <c r="E563" s="23"/>
      <c r="F563" s="16"/>
      <c r="G563" s="16"/>
      <c r="H563" s="16"/>
      <c r="I563" s="16"/>
      <c r="J563" s="16"/>
      <c r="K563" s="16"/>
      <c r="L563" s="16"/>
      <c r="M563" s="16"/>
    </row>
    <row r="564" spans="1:13" x14ac:dyDescent="0.25">
      <c r="A564" s="2"/>
      <c r="B564" s="16"/>
      <c r="C564" s="24"/>
      <c r="D564" s="16"/>
      <c r="E564" s="23"/>
      <c r="F564" s="16"/>
      <c r="G564" s="16"/>
      <c r="H564" s="16"/>
      <c r="I564" s="16"/>
      <c r="J564" s="16"/>
      <c r="K564" s="16"/>
      <c r="L564" s="16"/>
      <c r="M564" s="16"/>
    </row>
    <row r="565" spans="1:13" x14ac:dyDescent="0.25">
      <c r="A565" s="2"/>
      <c r="B565" s="16"/>
      <c r="C565" s="24"/>
      <c r="D565" s="16"/>
      <c r="E565" s="23"/>
      <c r="F565" s="16"/>
      <c r="G565" s="16"/>
      <c r="H565" s="16"/>
      <c r="I565" s="16"/>
      <c r="J565" s="16"/>
      <c r="K565" s="16"/>
      <c r="L565" s="16"/>
      <c r="M565" s="16"/>
    </row>
    <row r="566" spans="1:13" x14ac:dyDescent="0.25">
      <c r="A566" s="2"/>
      <c r="B566" s="16"/>
      <c r="C566" s="24"/>
      <c r="D566" s="16"/>
      <c r="E566" s="23"/>
      <c r="F566" s="16"/>
      <c r="G566" s="16"/>
      <c r="H566" s="16"/>
      <c r="I566" s="16"/>
      <c r="J566" s="16"/>
      <c r="K566" s="16"/>
      <c r="L566" s="16"/>
      <c r="M566" s="16"/>
    </row>
    <row r="567" spans="1:13" x14ac:dyDescent="0.25">
      <c r="A567" s="2"/>
      <c r="B567" s="16"/>
      <c r="C567" s="24"/>
      <c r="D567" s="16"/>
      <c r="E567" s="23"/>
      <c r="F567" s="16"/>
      <c r="G567" s="16"/>
      <c r="H567" s="16"/>
      <c r="I567" s="16"/>
      <c r="J567" s="16"/>
      <c r="K567" s="16"/>
      <c r="L567" s="16"/>
      <c r="M567" s="16"/>
    </row>
    <row r="568" spans="1:13" x14ac:dyDescent="0.25">
      <c r="A568" s="2"/>
      <c r="B568" s="16"/>
      <c r="C568" s="24"/>
      <c r="D568" s="16"/>
      <c r="E568" s="23"/>
      <c r="F568" s="16"/>
      <c r="G568" s="16"/>
      <c r="H568" s="16"/>
      <c r="I568" s="16"/>
      <c r="J568" s="16"/>
      <c r="K568" s="16"/>
      <c r="L568" s="16"/>
      <c r="M568" s="16"/>
    </row>
    <row r="569" spans="1:13" x14ac:dyDescent="0.25">
      <c r="A569" s="2"/>
      <c r="B569" s="16"/>
      <c r="C569" s="24"/>
      <c r="D569" s="16"/>
      <c r="E569" s="23"/>
      <c r="F569" s="16"/>
      <c r="G569" s="16"/>
      <c r="H569" s="16"/>
      <c r="I569" s="16"/>
      <c r="J569" s="16"/>
      <c r="K569" s="16"/>
      <c r="L569" s="16"/>
      <c r="M569" s="16"/>
    </row>
    <row r="570" spans="1:13" x14ac:dyDescent="0.25">
      <c r="A570" s="2"/>
      <c r="B570" s="16"/>
      <c r="C570" s="24"/>
      <c r="D570" s="16"/>
      <c r="E570" s="23"/>
      <c r="F570" s="16"/>
      <c r="G570" s="16"/>
      <c r="H570" s="16"/>
      <c r="I570" s="16"/>
      <c r="J570" s="16"/>
      <c r="K570" s="16"/>
      <c r="L570" s="16"/>
      <c r="M570" s="16"/>
    </row>
    <row r="571" spans="1:13" x14ac:dyDescent="0.25">
      <c r="A571" s="2"/>
      <c r="B571" s="16"/>
      <c r="C571" s="24"/>
      <c r="D571" s="16"/>
      <c r="E571" s="23"/>
      <c r="F571" s="16"/>
      <c r="G571" s="16"/>
      <c r="H571" s="16"/>
      <c r="I571" s="16"/>
      <c r="J571" s="16"/>
      <c r="K571" s="16"/>
      <c r="L571" s="16"/>
      <c r="M571" s="16"/>
    </row>
    <row r="572" spans="1:13" x14ac:dyDescent="0.25">
      <c r="A572" s="2"/>
      <c r="B572" s="16"/>
      <c r="C572" s="24"/>
      <c r="D572" s="16"/>
      <c r="E572" s="23"/>
      <c r="F572" s="16"/>
      <c r="G572" s="16"/>
      <c r="H572" s="16"/>
      <c r="I572" s="16"/>
      <c r="J572" s="16"/>
      <c r="K572" s="16"/>
      <c r="L572" s="16"/>
      <c r="M572" s="16"/>
    </row>
    <row r="573" spans="1:13" x14ac:dyDescent="0.25">
      <c r="A573" s="2"/>
      <c r="B573" s="16"/>
      <c r="C573" s="24"/>
      <c r="D573" s="16"/>
      <c r="E573" s="23"/>
      <c r="F573" s="16"/>
      <c r="G573" s="16"/>
      <c r="H573" s="16"/>
      <c r="I573" s="16"/>
      <c r="J573" s="16"/>
      <c r="K573" s="16"/>
      <c r="L573" s="16"/>
      <c r="M573" s="16"/>
    </row>
    <row r="574" spans="1:13" x14ac:dyDescent="0.25">
      <c r="A574" s="2"/>
      <c r="B574" s="16"/>
      <c r="C574" s="24"/>
      <c r="D574" s="16"/>
      <c r="E574" s="23"/>
      <c r="F574" s="16"/>
      <c r="G574" s="16"/>
      <c r="H574" s="16"/>
      <c r="I574" s="16"/>
      <c r="J574" s="16"/>
      <c r="K574" s="16"/>
      <c r="L574" s="16"/>
      <c r="M574" s="16"/>
    </row>
    <row r="575" spans="1:13" x14ac:dyDescent="0.25">
      <c r="A575" s="2"/>
      <c r="B575" s="16"/>
      <c r="C575" s="24"/>
      <c r="D575" s="16"/>
      <c r="E575" s="23"/>
      <c r="F575" s="16"/>
      <c r="G575" s="16"/>
      <c r="H575" s="16"/>
      <c r="I575" s="16"/>
      <c r="J575" s="16"/>
      <c r="K575" s="16"/>
      <c r="L575" s="16"/>
      <c r="M575" s="16"/>
    </row>
    <row r="576" spans="1:13" x14ac:dyDescent="0.25">
      <c r="A576" s="2"/>
      <c r="B576" s="16"/>
      <c r="C576" s="24"/>
      <c r="D576" s="16"/>
      <c r="E576" s="23"/>
      <c r="F576" s="16"/>
      <c r="G576" s="16"/>
      <c r="H576" s="16"/>
      <c r="I576" s="16"/>
      <c r="J576" s="16"/>
      <c r="K576" s="16"/>
      <c r="L576" s="16"/>
      <c r="M576" s="16"/>
    </row>
    <row r="577" spans="1:13" x14ac:dyDescent="0.25">
      <c r="A577" s="2"/>
      <c r="B577" s="16"/>
      <c r="C577" s="24"/>
      <c r="D577" s="16"/>
      <c r="E577" s="23"/>
      <c r="F577" s="16"/>
      <c r="G577" s="16"/>
      <c r="H577" s="16"/>
      <c r="I577" s="16"/>
      <c r="J577" s="16"/>
      <c r="K577" s="16"/>
      <c r="L577" s="16"/>
      <c r="M577" s="16"/>
    </row>
    <row r="578" spans="1:13" x14ac:dyDescent="0.25">
      <c r="A578" s="2"/>
      <c r="B578" s="16"/>
      <c r="C578" s="24"/>
      <c r="D578" s="16"/>
      <c r="E578" s="23"/>
      <c r="F578" s="16"/>
      <c r="G578" s="16"/>
      <c r="H578" s="16"/>
      <c r="I578" s="16"/>
      <c r="J578" s="16"/>
      <c r="K578" s="16"/>
      <c r="L578" s="16"/>
      <c r="M578" s="16"/>
    </row>
    <row r="579" spans="1:13" x14ac:dyDescent="0.25">
      <c r="A579" s="2"/>
      <c r="B579" s="16"/>
      <c r="C579" s="24"/>
      <c r="D579" s="16"/>
      <c r="E579" s="23"/>
      <c r="F579" s="16"/>
      <c r="G579" s="16"/>
      <c r="H579" s="16"/>
      <c r="I579" s="16"/>
      <c r="J579" s="16"/>
      <c r="K579" s="16"/>
      <c r="L579" s="16"/>
      <c r="M579" s="16"/>
    </row>
    <row r="580" spans="1:13" x14ac:dyDescent="0.25">
      <c r="A580" s="2"/>
      <c r="B580" s="16"/>
      <c r="C580" s="24"/>
      <c r="D580" s="16"/>
      <c r="E580" s="23"/>
      <c r="F580" s="16"/>
      <c r="G580" s="16"/>
      <c r="H580" s="16"/>
      <c r="I580" s="16"/>
      <c r="J580" s="16"/>
      <c r="K580" s="16"/>
      <c r="L580" s="16"/>
      <c r="M580" s="16"/>
    </row>
    <row r="581" spans="1:13" x14ac:dyDescent="0.25">
      <c r="A581" s="2"/>
      <c r="B581" s="16"/>
      <c r="C581" s="24"/>
      <c r="D581" s="16"/>
      <c r="E581" s="23"/>
      <c r="F581" s="16"/>
      <c r="G581" s="16"/>
      <c r="H581" s="16"/>
      <c r="I581" s="16"/>
      <c r="J581" s="16"/>
      <c r="K581" s="16"/>
      <c r="L581" s="16"/>
      <c r="M581" s="16"/>
    </row>
    <row r="582" spans="1:13" x14ac:dyDescent="0.25">
      <c r="A582" s="2"/>
      <c r="B582" s="16"/>
      <c r="C582" s="24"/>
      <c r="D582" s="16"/>
      <c r="E582" s="23"/>
      <c r="F582" s="16"/>
      <c r="G582" s="16"/>
      <c r="H582" s="16"/>
      <c r="I582" s="16"/>
      <c r="J582" s="16"/>
      <c r="K582" s="16"/>
      <c r="L582" s="16"/>
      <c r="M582" s="16"/>
    </row>
    <row r="583" spans="1:13" x14ac:dyDescent="0.25">
      <c r="A583" s="2"/>
      <c r="B583" s="16"/>
      <c r="C583" s="24"/>
      <c r="D583" s="16"/>
      <c r="E583" s="23"/>
      <c r="F583" s="16"/>
      <c r="G583" s="16"/>
      <c r="H583" s="16"/>
      <c r="I583" s="16"/>
      <c r="J583" s="16"/>
      <c r="K583" s="16"/>
      <c r="L583" s="16"/>
      <c r="M583" s="16"/>
    </row>
    <row r="584" spans="1:13" x14ac:dyDescent="0.25">
      <c r="A584" s="2"/>
      <c r="B584" s="16"/>
      <c r="C584" s="24"/>
      <c r="D584" s="16"/>
      <c r="E584" s="23"/>
      <c r="F584" s="16"/>
      <c r="G584" s="16"/>
      <c r="H584" s="16"/>
      <c r="I584" s="16"/>
      <c r="J584" s="16"/>
      <c r="K584" s="16"/>
      <c r="L584" s="16"/>
      <c r="M584" s="16"/>
    </row>
    <row r="585" spans="1:13" x14ac:dyDescent="0.25">
      <c r="A585" s="2"/>
      <c r="B585" s="16"/>
      <c r="C585" s="24"/>
      <c r="D585" s="16"/>
      <c r="E585" s="23"/>
      <c r="F585" s="16"/>
      <c r="G585" s="16"/>
      <c r="H585" s="16"/>
      <c r="I585" s="16"/>
      <c r="J585" s="16"/>
      <c r="K585" s="16"/>
      <c r="L585" s="16"/>
      <c r="M585" s="16"/>
    </row>
    <row r="586" spans="1:13" x14ac:dyDescent="0.25">
      <c r="A586" s="2"/>
      <c r="B586" s="16"/>
      <c r="C586" s="24"/>
      <c r="D586" s="16"/>
      <c r="E586" s="23"/>
      <c r="F586" s="16"/>
      <c r="G586" s="16"/>
      <c r="H586" s="16"/>
      <c r="I586" s="16"/>
      <c r="J586" s="16"/>
      <c r="K586" s="16"/>
      <c r="L586" s="16"/>
      <c r="M586" s="16"/>
    </row>
    <row r="587" spans="1:13" x14ac:dyDescent="0.25">
      <c r="A587" s="2"/>
      <c r="B587" s="16"/>
      <c r="C587" s="24"/>
      <c r="D587" s="16"/>
      <c r="E587" s="23"/>
      <c r="F587" s="16"/>
      <c r="G587" s="16"/>
      <c r="H587" s="16"/>
      <c r="I587" s="16"/>
      <c r="J587" s="16"/>
      <c r="K587" s="16"/>
      <c r="L587" s="16"/>
      <c r="M587" s="16"/>
    </row>
    <row r="588" spans="1:13" x14ac:dyDescent="0.25">
      <c r="A588" s="2"/>
      <c r="B588" s="16"/>
      <c r="C588" s="24"/>
      <c r="D588" s="16"/>
      <c r="E588" s="23"/>
      <c r="F588" s="16"/>
      <c r="G588" s="16"/>
      <c r="H588" s="16"/>
      <c r="I588" s="16"/>
      <c r="J588" s="16"/>
      <c r="K588" s="16"/>
      <c r="L588" s="16"/>
      <c r="M588" s="16"/>
    </row>
    <row r="589" spans="1:13" x14ac:dyDescent="0.25">
      <c r="A589" s="2"/>
      <c r="B589" s="16"/>
      <c r="C589" s="24"/>
      <c r="D589" s="16"/>
      <c r="E589" s="23"/>
      <c r="F589" s="16"/>
      <c r="G589" s="16"/>
      <c r="H589" s="16"/>
      <c r="I589" s="16"/>
      <c r="J589" s="16"/>
      <c r="K589" s="16"/>
      <c r="L589" s="16"/>
      <c r="M589" s="16"/>
    </row>
    <row r="590" spans="1:13" x14ac:dyDescent="0.25">
      <c r="A590" s="2"/>
      <c r="B590" s="16"/>
      <c r="C590" s="24"/>
      <c r="D590" s="16"/>
      <c r="E590" s="23"/>
      <c r="F590" s="16"/>
      <c r="G590" s="16"/>
      <c r="H590" s="16"/>
      <c r="I590" s="16"/>
      <c r="J590" s="16"/>
      <c r="K590" s="16"/>
      <c r="L590" s="16"/>
      <c r="M590" s="16"/>
    </row>
    <row r="591" spans="1:13" x14ac:dyDescent="0.25">
      <c r="A591" s="2"/>
      <c r="B591" s="16"/>
      <c r="C591" s="24"/>
      <c r="D591" s="16"/>
      <c r="E591" s="23"/>
      <c r="F591" s="16"/>
      <c r="G591" s="16"/>
      <c r="H591" s="16"/>
      <c r="I591" s="16"/>
      <c r="J591" s="16"/>
      <c r="K591" s="16"/>
      <c r="L591" s="16"/>
      <c r="M591" s="16"/>
    </row>
    <row r="592" spans="1:13" x14ac:dyDescent="0.25">
      <c r="A592" s="2"/>
      <c r="B592" s="16"/>
      <c r="C592" s="24"/>
      <c r="D592" s="16"/>
      <c r="E592" s="23"/>
      <c r="F592" s="16"/>
      <c r="G592" s="16"/>
      <c r="H592" s="16"/>
      <c r="I592" s="16"/>
      <c r="J592" s="16"/>
      <c r="K592" s="16"/>
      <c r="L592" s="16"/>
      <c r="M592" s="16"/>
    </row>
    <row r="593" spans="1:13" x14ac:dyDescent="0.25">
      <c r="A593" s="2"/>
      <c r="B593" s="16"/>
      <c r="C593" s="24"/>
      <c r="D593" s="16"/>
      <c r="E593" s="23"/>
      <c r="F593" s="16"/>
      <c r="G593" s="16"/>
      <c r="H593" s="16"/>
      <c r="I593" s="16"/>
      <c r="J593" s="16"/>
      <c r="K593" s="16"/>
      <c r="L593" s="16"/>
      <c r="M593" s="16"/>
    </row>
    <row r="594" spans="1:13" x14ac:dyDescent="0.25">
      <c r="A594" s="2"/>
      <c r="B594" s="16"/>
      <c r="C594" s="24"/>
      <c r="D594" s="16"/>
      <c r="E594" s="23"/>
      <c r="F594" s="16"/>
      <c r="G594" s="16"/>
      <c r="H594" s="16"/>
      <c r="I594" s="16"/>
      <c r="J594" s="16"/>
      <c r="K594" s="16"/>
      <c r="L594" s="16"/>
      <c r="M594" s="16"/>
    </row>
    <row r="595" spans="1:13" x14ac:dyDescent="0.25">
      <c r="A595" s="2"/>
      <c r="B595" s="16"/>
      <c r="C595" s="24"/>
      <c r="D595" s="16"/>
      <c r="E595" s="23"/>
      <c r="F595" s="16"/>
      <c r="G595" s="16"/>
      <c r="H595" s="16"/>
      <c r="I595" s="16"/>
      <c r="J595" s="16"/>
      <c r="K595" s="16"/>
      <c r="L595" s="16"/>
      <c r="M595" s="16"/>
    </row>
    <row r="596" spans="1:13" x14ac:dyDescent="0.25">
      <c r="A596" s="2"/>
      <c r="B596" s="16"/>
      <c r="C596" s="24"/>
      <c r="D596" s="16"/>
      <c r="E596" s="23"/>
      <c r="F596" s="16"/>
      <c r="G596" s="16"/>
      <c r="H596" s="16"/>
      <c r="I596" s="16"/>
      <c r="J596" s="16"/>
      <c r="K596" s="16"/>
      <c r="L596" s="16"/>
      <c r="M596" s="16"/>
    </row>
    <row r="597" spans="1:13" x14ac:dyDescent="0.25">
      <c r="A597" s="2"/>
      <c r="B597" s="16"/>
      <c r="C597" s="24"/>
      <c r="D597" s="16"/>
      <c r="E597" s="23"/>
      <c r="F597" s="16"/>
      <c r="G597" s="16"/>
      <c r="H597" s="16"/>
      <c r="I597" s="16"/>
      <c r="J597" s="16"/>
      <c r="K597" s="16"/>
      <c r="L597" s="16"/>
      <c r="M597" s="16"/>
    </row>
    <row r="598" spans="1:13" x14ac:dyDescent="0.25">
      <c r="A598" s="2"/>
      <c r="B598" s="16"/>
      <c r="C598" s="24"/>
      <c r="D598" s="16"/>
      <c r="E598" s="23"/>
      <c r="F598" s="16"/>
      <c r="G598" s="16"/>
      <c r="H598" s="16"/>
      <c r="I598" s="16"/>
      <c r="J598" s="16"/>
      <c r="K598" s="16"/>
      <c r="L598" s="16"/>
      <c r="M598" s="16"/>
    </row>
    <row r="599" spans="1:13" x14ac:dyDescent="0.25">
      <c r="A599" s="2"/>
      <c r="B599" s="16"/>
      <c r="C599" s="24"/>
      <c r="D599" s="16"/>
      <c r="E599" s="23"/>
      <c r="F599" s="16"/>
      <c r="G599" s="16"/>
      <c r="H599" s="16"/>
      <c r="I599" s="16"/>
      <c r="J599" s="16"/>
      <c r="K599" s="16"/>
      <c r="L599" s="16"/>
      <c r="M599" s="16"/>
    </row>
    <row r="600" spans="1:13" x14ac:dyDescent="0.25">
      <c r="A600" s="2"/>
      <c r="B600" s="16"/>
      <c r="C600" s="24"/>
      <c r="D600" s="16"/>
      <c r="E600" s="23"/>
      <c r="F600" s="16"/>
      <c r="G600" s="16"/>
      <c r="H600" s="16"/>
      <c r="I600" s="16"/>
      <c r="J600" s="16"/>
      <c r="K600" s="16"/>
      <c r="L600" s="16"/>
      <c r="M600" s="16"/>
    </row>
    <row r="601" spans="1:13" x14ac:dyDescent="0.25">
      <c r="A601" s="2"/>
      <c r="B601" s="16"/>
      <c r="C601" s="24"/>
      <c r="D601" s="16"/>
      <c r="E601" s="23"/>
      <c r="F601" s="16"/>
      <c r="G601" s="16"/>
      <c r="H601" s="16"/>
      <c r="I601" s="16"/>
      <c r="J601" s="16"/>
      <c r="K601" s="16"/>
      <c r="L601" s="16"/>
      <c r="M601" s="16"/>
    </row>
    <row r="602" spans="1:13" x14ac:dyDescent="0.25">
      <c r="A602" s="2"/>
      <c r="B602" s="16"/>
      <c r="C602" s="24"/>
      <c r="D602" s="16"/>
      <c r="E602" s="23"/>
      <c r="F602" s="16"/>
      <c r="G602" s="16"/>
      <c r="H602" s="16"/>
      <c r="I602" s="16"/>
      <c r="J602" s="16"/>
      <c r="K602" s="16"/>
      <c r="L602" s="16"/>
      <c r="M602" s="16"/>
    </row>
    <row r="603" spans="1:13" x14ac:dyDescent="0.25">
      <c r="A603" s="2"/>
      <c r="B603" s="16"/>
      <c r="C603" s="24"/>
      <c r="D603" s="16"/>
      <c r="E603" s="23"/>
      <c r="F603" s="16"/>
      <c r="G603" s="16"/>
      <c r="H603" s="16"/>
      <c r="I603" s="16"/>
      <c r="J603" s="16"/>
      <c r="K603" s="16"/>
      <c r="L603" s="16"/>
      <c r="M603" s="16"/>
    </row>
    <row r="604" spans="1:13" x14ac:dyDescent="0.25">
      <c r="A604" s="2"/>
      <c r="B604" s="16"/>
      <c r="C604" s="24"/>
      <c r="D604" s="16"/>
      <c r="E604" s="23"/>
      <c r="F604" s="16"/>
      <c r="G604" s="16"/>
      <c r="H604" s="16"/>
      <c r="I604" s="16"/>
      <c r="J604" s="16"/>
      <c r="K604" s="16"/>
      <c r="L604" s="16"/>
      <c r="M604" s="16"/>
    </row>
    <row r="605" spans="1:13" x14ac:dyDescent="0.25">
      <c r="A605" s="2"/>
      <c r="B605" s="16"/>
      <c r="C605" s="24"/>
      <c r="D605" s="16"/>
      <c r="E605" s="23"/>
      <c r="F605" s="16"/>
      <c r="G605" s="16"/>
      <c r="H605" s="16"/>
      <c r="I605" s="16"/>
      <c r="J605" s="16"/>
      <c r="K605" s="16"/>
      <c r="L605" s="16"/>
      <c r="M605" s="16"/>
    </row>
    <row r="606" spans="1:13" x14ac:dyDescent="0.25">
      <c r="A606" s="2"/>
      <c r="B606" s="16"/>
      <c r="C606" s="24"/>
      <c r="D606" s="16"/>
      <c r="E606" s="23"/>
      <c r="F606" s="16"/>
      <c r="G606" s="16"/>
      <c r="H606" s="16"/>
      <c r="I606" s="16"/>
      <c r="J606" s="16"/>
      <c r="K606" s="16"/>
      <c r="L606" s="16"/>
      <c r="M606" s="16"/>
    </row>
    <row r="607" spans="1:13" x14ac:dyDescent="0.25">
      <c r="A607" s="2"/>
      <c r="B607" s="16"/>
      <c r="C607" s="24"/>
      <c r="D607" s="16"/>
      <c r="E607" s="23"/>
      <c r="F607" s="16"/>
      <c r="G607" s="16"/>
      <c r="H607" s="16"/>
      <c r="I607" s="16"/>
      <c r="J607" s="16"/>
      <c r="K607" s="16"/>
      <c r="L607" s="16"/>
      <c r="M607" s="16"/>
    </row>
    <row r="608" spans="1:13" x14ac:dyDescent="0.25">
      <c r="A608" s="2"/>
      <c r="B608" s="16"/>
      <c r="C608" s="24"/>
      <c r="D608" s="16"/>
      <c r="E608" s="23"/>
      <c r="F608" s="16"/>
      <c r="G608" s="16"/>
      <c r="H608" s="16"/>
      <c r="I608" s="16"/>
      <c r="J608" s="16"/>
      <c r="K608" s="16"/>
      <c r="L608" s="16"/>
      <c r="M608" s="16"/>
    </row>
    <row r="609" spans="1:13" x14ac:dyDescent="0.25">
      <c r="A609" s="2"/>
      <c r="B609" s="16"/>
      <c r="C609" s="24"/>
      <c r="D609" s="16"/>
      <c r="E609" s="23"/>
      <c r="F609" s="16"/>
      <c r="G609" s="16"/>
      <c r="H609" s="16"/>
      <c r="I609" s="16"/>
      <c r="J609" s="16"/>
      <c r="K609" s="16"/>
      <c r="L609" s="16"/>
      <c r="M609" s="16"/>
    </row>
    <row r="610" spans="1:13" x14ac:dyDescent="0.25">
      <c r="A610" s="2"/>
      <c r="B610" s="16"/>
      <c r="C610" s="24"/>
      <c r="D610" s="16"/>
      <c r="E610" s="23"/>
      <c r="F610" s="16"/>
      <c r="G610" s="16"/>
      <c r="H610" s="16"/>
      <c r="I610" s="16"/>
      <c r="J610" s="16"/>
      <c r="K610" s="16"/>
      <c r="L610" s="16"/>
      <c r="M610" s="16"/>
    </row>
    <row r="611" spans="1:13" x14ac:dyDescent="0.25">
      <c r="A611" s="2"/>
      <c r="B611" s="16"/>
      <c r="C611" s="24"/>
      <c r="D611" s="16"/>
      <c r="E611" s="23"/>
      <c r="F611" s="16"/>
      <c r="G611" s="16"/>
      <c r="H611" s="16"/>
      <c r="I611" s="16"/>
      <c r="J611" s="16"/>
      <c r="K611" s="16"/>
      <c r="L611" s="16"/>
      <c r="M611" s="16"/>
    </row>
    <row r="612" spans="1:13" x14ac:dyDescent="0.25">
      <c r="A612" s="2"/>
      <c r="B612" s="16"/>
      <c r="C612" s="24"/>
      <c r="D612" s="16"/>
      <c r="E612" s="23"/>
      <c r="F612" s="16"/>
      <c r="G612" s="16"/>
      <c r="H612" s="16"/>
      <c r="I612" s="16"/>
      <c r="J612" s="16"/>
      <c r="K612" s="16"/>
      <c r="L612" s="16"/>
      <c r="M612" s="16"/>
    </row>
    <row r="613" spans="1:13" x14ac:dyDescent="0.25">
      <c r="A613" s="2"/>
      <c r="B613" s="16"/>
      <c r="C613" s="24"/>
      <c r="D613" s="16"/>
      <c r="E613" s="23"/>
      <c r="F613" s="16"/>
      <c r="G613" s="16"/>
      <c r="H613" s="16"/>
      <c r="I613" s="16"/>
      <c r="J613" s="16"/>
      <c r="K613" s="16"/>
      <c r="L613" s="16"/>
      <c r="M613" s="16"/>
    </row>
    <row r="614" spans="1:13" x14ac:dyDescent="0.25">
      <c r="A614" s="2"/>
      <c r="B614" s="16"/>
      <c r="C614" s="24"/>
      <c r="D614" s="16"/>
      <c r="E614" s="23"/>
      <c r="F614" s="16"/>
      <c r="G614" s="16"/>
      <c r="H614" s="16"/>
      <c r="I614" s="16"/>
      <c r="J614" s="16"/>
      <c r="K614" s="16"/>
      <c r="L614" s="16"/>
      <c r="M614" s="16"/>
    </row>
    <row r="615" spans="1:13" x14ac:dyDescent="0.25">
      <c r="A615" s="2"/>
      <c r="B615" s="16"/>
      <c r="C615" s="24"/>
      <c r="D615" s="16"/>
      <c r="E615" s="23"/>
      <c r="F615" s="16"/>
      <c r="G615" s="16"/>
      <c r="H615" s="16"/>
      <c r="I615" s="16"/>
      <c r="J615" s="16"/>
      <c r="K615" s="16"/>
      <c r="L615" s="16"/>
      <c r="M615" s="16"/>
    </row>
    <row r="616" spans="1:13" x14ac:dyDescent="0.25">
      <c r="A616" s="2"/>
      <c r="B616" s="16"/>
      <c r="C616" s="24"/>
      <c r="D616" s="16"/>
      <c r="E616" s="23"/>
      <c r="F616" s="16"/>
      <c r="G616" s="16"/>
      <c r="H616" s="16"/>
      <c r="I616" s="16"/>
      <c r="J616" s="16"/>
      <c r="K616" s="16"/>
      <c r="L616" s="16"/>
      <c r="M616" s="16"/>
    </row>
    <row r="617" spans="1:13" x14ac:dyDescent="0.25">
      <c r="A617" s="2"/>
      <c r="B617" s="16"/>
      <c r="C617" s="24"/>
      <c r="D617" s="16"/>
      <c r="E617" s="23"/>
      <c r="F617" s="16"/>
      <c r="G617" s="16"/>
      <c r="H617" s="16"/>
      <c r="I617" s="16"/>
      <c r="J617" s="16"/>
      <c r="K617" s="16"/>
      <c r="L617" s="16"/>
      <c r="M617" s="16"/>
    </row>
    <row r="618" spans="1:13" x14ac:dyDescent="0.25">
      <c r="A618" s="2"/>
      <c r="B618" s="16"/>
      <c r="C618" s="24"/>
      <c r="D618" s="16"/>
      <c r="E618" s="23"/>
      <c r="F618" s="16"/>
      <c r="G618" s="16"/>
      <c r="H618" s="16"/>
      <c r="I618" s="16"/>
      <c r="J618" s="16"/>
      <c r="K618" s="16"/>
      <c r="L618" s="16"/>
      <c r="M618" s="16"/>
    </row>
    <row r="619" spans="1:13" x14ac:dyDescent="0.25">
      <c r="A619" s="2"/>
      <c r="B619" s="16"/>
      <c r="C619" s="24"/>
      <c r="D619" s="16"/>
      <c r="E619" s="23"/>
      <c r="F619" s="16"/>
      <c r="G619" s="16"/>
      <c r="H619" s="16"/>
      <c r="I619" s="16"/>
      <c r="J619" s="16"/>
      <c r="K619" s="16"/>
      <c r="L619" s="16"/>
      <c r="M619" s="16"/>
    </row>
    <row r="620" spans="1:13" x14ac:dyDescent="0.25">
      <c r="A620" s="2"/>
      <c r="B620" s="16"/>
      <c r="C620" s="24"/>
      <c r="D620" s="16"/>
      <c r="E620" s="23"/>
      <c r="F620" s="16"/>
      <c r="G620" s="16"/>
      <c r="H620" s="16"/>
      <c r="I620" s="16"/>
      <c r="J620" s="16"/>
      <c r="K620" s="16"/>
      <c r="L620" s="16"/>
      <c r="M620" s="16"/>
    </row>
    <row r="621" spans="1:13" x14ac:dyDescent="0.25">
      <c r="A621" s="2"/>
      <c r="B621" s="16"/>
      <c r="C621" s="24"/>
      <c r="D621" s="16"/>
      <c r="E621" s="23"/>
      <c r="F621" s="16"/>
      <c r="G621" s="16"/>
      <c r="H621" s="16"/>
      <c r="I621" s="16"/>
      <c r="J621" s="16"/>
      <c r="K621" s="16"/>
      <c r="L621" s="16"/>
      <c r="M621" s="16"/>
    </row>
    <row r="622" spans="1:13" x14ac:dyDescent="0.25">
      <c r="A622" s="2"/>
      <c r="B622" s="16"/>
      <c r="C622" s="24"/>
      <c r="D622" s="16"/>
      <c r="E622" s="23"/>
      <c r="F622" s="16"/>
      <c r="G622" s="16"/>
      <c r="H622" s="16"/>
      <c r="I622" s="16"/>
      <c r="J622" s="16"/>
      <c r="K622" s="16"/>
      <c r="L622" s="16"/>
      <c r="M622" s="16"/>
    </row>
    <row r="623" spans="1:13" x14ac:dyDescent="0.25">
      <c r="A623" s="2"/>
      <c r="B623" s="16"/>
      <c r="C623" s="24"/>
      <c r="D623" s="16"/>
      <c r="E623" s="23"/>
      <c r="F623" s="16"/>
      <c r="G623" s="16"/>
      <c r="H623" s="16"/>
      <c r="I623" s="16"/>
      <c r="J623" s="16"/>
      <c r="K623" s="16"/>
      <c r="L623" s="16"/>
      <c r="M623" s="16"/>
    </row>
    <row r="624" spans="1:13" x14ac:dyDescent="0.25">
      <c r="A624" s="2"/>
      <c r="B624" s="16"/>
      <c r="C624" s="24"/>
      <c r="D624" s="16"/>
      <c r="E624" s="23"/>
      <c r="F624" s="16"/>
      <c r="G624" s="16"/>
      <c r="H624" s="16"/>
      <c r="I624" s="16"/>
      <c r="J624" s="16"/>
      <c r="K624" s="16"/>
      <c r="L624" s="16"/>
      <c r="M624" s="16"/>
    </row>
    <row r="625" spans="1:13" x14ac:dyDescent="0.25">
      <c r="A625" s="2"/>
      <c r="B625" s="16"/>
      <c r="C625" s="24"/>
      <c r="D625" s="16"/>
      <c r="E625" s="23"/>
      <c r="F625" s="16"/>
      <c r="G625" s="16"/>
      <c r="H625" s="16"/>
      <c r="I625" s="16"/>
      <c r="J625" s="16"/>
      <c r="K625" s="16"/>
      <c r="L625" s="16"/>
      <c r="M625" s="16"/>
    </row>
    <row r="626" spans="1:13" x14ac:dyDescent="0.25">
      <c r="A626" s="2"/>
      <c r="B626" s="16"/>
      <c r="C626" s="24"/>
      <c r="D626" s="16"/>
      <c r="E626" s="23"/>
      <c r="F626" s="16"/>
      <c r="G626" s="16"/>
      <c r="H626" s="16"/>
      <c r="I626" s="16"/>
      <c r="J626" s="16"/>
      <c r="K626" s="16"/>
      <c r="L626" s="16"/>
      <c r="M626" s="16"/>
    </row>
    <row r="627" spans="1:13" x14ac:dyDescent="0.25">
      <c r="A627" s="2"/>
      <c r="B627" s="16"/>
      <c r="C627" s="24"/>
      <c r="D627" s="16"/>
      <c r="E627" s="23"/>
      <c r="F627" s="16"/>
      <c r="G627" s="16"/>
      <c r="H627" s="16"/>
      <c r="I627" s="16"/>
      <c r="J627" s="16"/>
      <c r="K627" s="16"/>
      <c r="L627" s="16"/>
      <c r="M627" s="16"/>
    </row>
    <row r="628" spans="1:13" x14ac:dyDescent="0.25">
      <c r="A628" s="2"/>
      <c r="B628" s="16"/>
      <c r="C628" s="24"/>
      <c r="D628" s="16"/>
      <c r="E628" s="23"/>
      <c r="F628" s="16"/>
      <c r="G628" s="16"/>
      <c r="H628" s="16"/>
      <c r="I628" s="16"/>
      <c r="J628" s="16"/>
      <c r="K628" s="16"/>
      <c r="L628" s="16"/>
      <c r="M628" s="16"/>
    </row>
    <row r="629" spans="1:13" x14ac:dyDescent="0.25">
      <c r="A629" s="2"/>
      <c r="B629" s="16"/>
      <c r="C629" s="24"/>
      <c r="D629" s="16"/>
      <c r="E629" s="23"/>
      <c r="F629" s="16"/>
      <c r="G629" s="16"/>
      <c r="H629" s="16"/>
      <c r="I629" s="16"/>
      <c r="J629" s="16"/>
      <c r="K629" s="16"/>
      <c r="L629" s="16"/>
      <c r="M629" s="16"/>
    </row>
    <row r="630" spans="1:13" x14ac:dyDescent="0.25">
      <c r="A630" s="2"/>
      <c r="B630" s="16"/>
      <c r="C630" s="24"/>
      <c r="D630" s="16"/>
      <c r="E630" s="23"/>
      <c r="F630" s="16"/>
      <c r="G630" s="16"/>
      <c r="H630" s="16"/>
      <c r="I630" s="16"/>
      <c r="J630" s="16"/>
      <c r="K630" s="16"/>
      <c r="L630" s="16"/>
      <c r="M630" s="16"/>
    </row>
    <row r="631" spans="1:13" x14ac:dyDescent="0.25">
      <c r="A631" s="2"/>
      <c r="B631" s="16"/>
      <c r="C631" s="24"/>
      <c r="D631" s="16"/>
      <c r="E631" s="23"/>
      <c r="F631" s="16"/>
      <c r="G631" s="16"/>
      <c r="H631" s="16"/>
      <c r="I631" s="16"/>
      <c r="J631" s="16"/>
      <c r="K631" s="16"/>
      <c r="L631" s="16"/>
      <c r="M631" s="16"/>
    </row>
    <row r="632" spans="1:13" x14ac:dyDescent="0.25">
      <c r="A632" s="2"/>
      <c r="B632" s="16"/>
      <c r="C632" s="24"/>
      <c r="D632" s="16"/>
      <c r="E632" s="23"/>
      <c r="F632" s="16"/>
      <c r="G632" s="16"/>
      <c r="H632" s="16"/>
      <c r="I632" s="16"/>
      <c r="J632" s="16"/>
      <c r="K632" s="16"/>
      <c r="L632" s="16"/>
      <c r="M632" s="16"/>
    </row>
    <row r="633" spans="1:13" x14ac:dyDescent="0.25">
      <c r="A633" s="2"/>
      <c r="B633" s="16"/>
      <c r="C633" s="24"/>
      <c r="D633" s="16"/>
      <c r="E633" s="23"/>
      <c r="F633" s="16"/>
      <c r="G633" s="16"/>
      <c r="H633" s="16"/>
      <c r="I633" s="16"/>
      <c r="J633" s="16"/>
      <c r="K633" s="16"/>
      <c r="L633" s="16"/>
      <c r="M633" s="16"/>
    </row>
    <row r="634" spans="1:13" x14ac:dyDescent="0.25">
      <c r="A634" s="2"/>
      <c r="B634" s="16"/>
      <c r="C634" s="24"/>
      <c r="D634" s="16"/>
      <c r="E634" s="23"/>
      <c r="F634" s="16"/>
      <c r="G634" s="16"/>
      <c r="H634" s="16"/>
      <c r="I634" s="16"/>
      <c r="J634" s="16"/>
      <c r="K634" s="16"/>
      <c r="L634" s="16"/>
      <c r="M634" s="16"/>
    </row>
    <row r="635" spans="1:13" x14ac:dyDescent="0.25">
      <c r="A635" s="2"/>
      <c r="B635" s="16"/>
      <c r="C635" s="24"/>
      <c r="D635" s="16"/>
      <c r="E635" s="23"/>
      <c r="F635" s="16"/>
      <c r="G635" s="16"/>
      <c r="H635" s="16"/>
      <c r="I635" s="16"/>
      <c r="J635" s="16"/>
      <c r="K635" s="16"/>
      <c r="L635" s="16"/>
      <c r="M635" s="16"/>
    </row>
    <row r="636" spans="1:13" x14ac:dyDescent="0.25">
      <c r="A636" s="2"/>
      <c r="B636" s="16"/>
      <c r="C636" s="24"/>
      <c r="D636" s="16"/>
      <c r="E636" s="23"/>
      <c r="F636" s="16"/>
      <c r="G636" s="16"/>
      <c r="H636" s="16"/>
      <c r="I636" s="16"/>
      <c r="J636" s="16"/>
      <c r="K636" s="16"/>
      <c r="L636" s="16"/>
      <c r="M636" s="16"/>
    </row>
    <row r="637" spans="1:13" x14ac:dyDescent="0.25">
      <c r="A637" s="2"/>
      <c r="B637" s="16"/>
      <c r="C637" s="24"/>
      <c r="D637" s="16"/>
      <c r="E637" s="23"/>
      <c r="F637" s="16"/>
      <c r="G637" s="16"/>
      <c r="H637" s="16"/>
      <c r="I637" s="16"/>
      <c r="J637" s="16"/>
      <c r="K637" s="16"/>
      <c r="L637" s="16"/>
      <c r="M637" s="16"/>
    </row>
    <row r="638" spans="1:13" x14ac:dyDescent="0.25">
      <c r="A638" s="2"/>
      <c r="B638" s="16"/>
      <c r="C638" s="24"/>
      <c r="D638" s="16"/>
      <c r="E638" s="23"/>
      <c r="F638" s="16"/>
      <c r="G638" s="16"/>
      <c r="H638" s="16"/>
      <c r="I638" s="16"/>
      <c r="J638" s="16"/>
      <c r="K638" s="16"/>
      <c r="L638" s="16"/>
      <c r="M638" s="16"/>
    </row>
    <row r="639" spans="1:13" x14ac:dyDescent="0.25">
      <c r="A639" s="2"/>
      <c r="B639" s="16"/>
      <c r="C639" s="24"/>
      <c r="D639" s="16"/>
      <c r="E639" s="23"/>
      <c r="F639" s="16"/>
      <c r="G639" s="16"/>
      <c r="H639" s="16"/>
      <c r="I639" s="16"/>
      <c r="J639" s="16"/>
      <c r="K639" s="16"/>
      <c r="L639" s="16"/>
      <c r="M639" s="16"/>
    </row>
    <row r="640" spans="1:13" x14ac:dyDescent="0.25">
      <c r="A640" s="2"/>
      <c r="B640" s="16"/>
      <c r="C640" s="24"/>
      <c r="D640" s="16"/>
      <c r="E640" s="23"/>
      <c r="F640" s="16"/>
      <c r="G640" s="16"/>
      <c r="H640" s="16"/>
      <c r="I640" s="16"/>
      <c r="J640" s="16"/>
      <c r="K640" s="16"/>
      <c r="L640" s="16"/>
      <c r="M640" s="16"/>
    </row>
    <row r="641" spans="1:13" x14ac:dyDescent="0.25">
      <c r="A641" s="2"/>
      <c r="B641" s="16"/>
      <c r="C641" s="24"/>
      <c r="D641" s="16"/>
      <c r="E641" s="23"/>
      <c r="F641" s="16"/>
      <c r="G641" s="16"/>
      <c r="H641" s="16"/>
      <c r="I641" s="16"/>
      <c r="J641" s="16"/>
      <c r="K641" s="16"/>
      <c r="L641" s="16"/>
      <c r="M641" s="16"/>
    </row>
    <row r="642" spans="1:13" x14ac:dyDescent="0.25">
      <c r="A642" s="2"/>
      <c r="B642" s="16"/>
      <c r="C642" s="24"/>
      <c r="D642" s="16"/>
      <c r="E642" s="23"/>
      <c r="F642" s="16"/>
      <c r="G642" s="16"/>
      <c r="H642" s="16"/>
      <c r="I642" s="16"/>
      <c r="J642" s="16"/>
      <c r="K642" s="16"/>
      <c r="L642" s="16"/>
      <c r="M642" s="16"/>
    </row>
    <row r="643" spans="1:13" x14ac:dyDescent="0.25">
      <c r="A643" s="2"/>
      <c r="B643" s="16"/>
      <c r="C643" s="24"/>
      <c r="D643" s="16"/>
      <c r="E643" s="23"/>
      <c r="F643" s="16"/>
      <c r="G643" s="16"/>
      <c r="H643" s="16"/>
      <c r="I643" s="16"/>
      <c r="J643" s="16"/>
      <c r="K643" s="16"/>
      <c r="L643" s="16"/>
      <c r="M643" s="16"/>
    </row>
    <row r="644" spans="1:13" x14ac:dyDescent="0.25">
      <c r="A644" s="2"/>
      <c r="B644" s="16"/>
      <c r="C644" s="24"/>
      <c r="D644" s="16"/>
      <c r="E644" s="23"/>
      <c r="F644" s="16"/>
      <c r="G644" s="16"/>
      <c r="H644" s="16"/>
      <c r="I644" s="16"/>
      <c r="J644" s="16"/>
      <c r="K644" s="16"/>
      <c r="L644" s="16"/>
      <c r="M644" s="16"/>
    </row>
    <row r="645" spans="1:13" x14ac:dyDescent="0.25">
      <c r="A645" s="2"/>
      <c r="B645" s="16"/>
      <c r="C645" s="24"/>
      <c r="D645" s="16"/>
      <c r="E645" s="23"/>
      <c r="F645" s="16"/>
      <c r="G645" s="16"/>
      <c r="H645" s="16"/>
      <c r="I645" s="16"/>
      <c r="J645" s="16"/>
      <c r="K645" s="16"/>
      <c r="L645" s="16"/>
      <c r="M645" s="16"/>
    </row>
    <row r="646" spans="1:13" x14ac:dyDescent="0.25">
      <c r="A646" s="2"/>
      <c r="B646" s="16"/>
      <c r="C646" s="24"/>
      <c r="D646" s="16"/>
      <c r="E646" s="23"/>
      <c r="F646" s="16"/>
      <c r="G646" s="16"/>
      <c r="H646" s="16"/>
      <c r="I646" s="16"/>
      <c r="J646" s="16"/>
      <c r="K646" s="16"/>
      <c r="L646" s="16"/>
      <c r="M646" s="16"/>
    </row>
    <row r="647" spans="1:13" x14ac:dyDescent="0.25">
      <c r="A647" s="2"/>
      <c r="B647" s="16"/>
      <c r="C647" s="24"/>
      <c r="D647" s="16"/>
      <c r="E647" s="23"/>
      <c r="F647" s="16"/>
      <c r="G647" s="16"/>
      <c r="H647" s="16"/>
      <c r="I647" s="16"/>
      <c r="J647" s="16"/>
      <c r="K647" s="16"/>
      <c r="L647" s="16"/>
      <c r="M647" s="16"/>
    </row>
    <row r="648" spans="1:13" x14ac:dyDescent="0.25">
      <c r="A648" s="2"/>
      <c r="B648" s="16"/>
      <c r="C648" s="24"/>
      <c r="D648" s="16"/>
      <c r="E648" s="23"/>
      <c r="F648" s="16"/>
      <c r="G648" s="16"/>
      <c r="H648" s="16"/>
      <c r="I648" s="16"/>
      <c r="J648" s="16"/>
      <c r="K648" s="16"/>
      <c r="L648" s="16"/>
      <c r="M648" s="16"/>
    </row>
    <row r="649" spans="1:13" x14ac:dyDescent="0.25">
      <c r="A649" s="2"/>
      <c r="B649" s="16"/>
      <c r="C649" s="24"/>
      <c r="D649" s="16"/>
      <c r="E649" s="23"/>
      <c r="F649" s="16"/>
      <c r="G649" s="16"/>
      <c r="H649" s="16"/>
      <c r="I649" s="16"/>
      <c r="J649" s="16"/>
      <c r="K649" s="16"/>
      <c r="L649" s="16"/>
      <c r="M649" s="16"/>
    </row>
    <row r="650" spans="1:13" x14ac:dyDescent="0.25">
      <c r="A650" s="2"/>
      <c r="B650" s="16"/>
      <c r="C650" s="24"/>
      <c r="D650" s="16"/>
      <c r="E650" s="23"/>
      <c r="F650" s="16"/>
      <c r="G650" s="16"/>
      <c r="H650" s="16"/>
      <c r="I650" s="16"/>
      <c r="J650" s="16"/>
      <c r="K650" s="16"/>
      <c r="L650" s="16"/>
      <c r="M650" s="16"/>
    </row>
    <row r="651" spans="1:13" x14ac:dyDescent="0.25">
      <c r="A651" s="2"/>
      <c r="B651" s="16"/>
      <c r="C651" s="24"/>
      <c r="D651" s="16"/>
      <c r="E651" s="23"/>
      <c r="F651" s="16"/>
      <c r="G651" s="16"/>
      <c r="H651" s="16"/>
      <c r="I651" s="16"/>
      <c r="J651" s="16"/>
      <c r="K651" s="16"/>
      <c r="L651" s="16"/>
      <c r="M651" s="16"/>
    </row>
    <row r="652" spans="1:13" x14ac:dyDescent="0.25">
      <c r="A652" s="2"/>
      <c r="B652" s="16"/>
      <c r="C652" s="24"/>
      <c r="D652" s="16"/>
      <c r="E652" s="23"/>
      <c r="F652" s="16"/>
      <c r="G652" s="16"/>
      <c r="H652" s="16"/>
      <c r="I652" s="16"/>
      <c r="J652" s="16"/>
      <c r="K652" s="16"/>
      <c r="L652" s="16"/>
      <c r="M652" s="16"/>
    </row>
    <row r="653" spans="1:13" x14ac:dyDescent="0.25">
      <c r="A653" s="2"/>
      <c r="B653" s="16"/>
      <c r="C653" s="24"/>
      <c r="D653" s="16"/>
      <c r="E653" s="23"/>
      <c r="F653" s="16"/>
      <c r="G653" s="16"/>
      <c r="H653" s="16"/>
      <c r="I653" s="16"/>
      <c r="J653" s="16"/>
      <c r="K653" s="16"/>
      <c r="L653" s="16"/>
      <c r="M653" s="16"/>
    </row>
    <row r="654" spans="1:13" x14ac:dyDescent="0.25">
      <c r="A654" s="2"/>
      <c r="B654" s="16"/>
      <c r="C654" s="24"/>
      <c r="D654" s="16"/>
      <c r="E654" s="23"/>
      <c r="F654" s="16"/>
      <c r="G654" s="16"/>
      <c r="H654" s="16"/>
      <c r="I654" s="16"/>
      <c r="J654" s="16"/>
      <c r="K654" s="16"/>
      <c r="L654" s="16"/>
      <c r="M654" s="16"/>
    </row>
    <row r="655" spans="1:13" x14ac:dyDescent="0.25">
      <c r="A655" s="2"/>
      <c r="B655" s="16"/>
      <c r="C655" s="24"/>
      <c r="D655" s="16"/>
      <c r="E655" s="23"/>
      <c r="F655" s="16"/>
      <c r="G655" s="16"/>
      <c r="H655" s="16"/>
      <c r="I655" s="16"/>
      <c r="J655" s="16"/>
      <c r="K655" s="16"/>
      <c r="L655" s="16"/>
      <c r="M655" s="16"/>
    </row>
    <row r="656" spans="1:13" x14ac:dyDescent="0.25">
      <c r="A656" s="2"/>
      <c r="B656" s="16"/>
      <c r="C656" s="24"/>
      <c r="D656" s="16"/>
      <c r="E656" s="23"/>
      <c r="F656" s="16"/>
      <c r="G656" s="16"/>
      <c r="H656" s="16"/>
      <c r="I656" s="16"/>
      <c r="J656" s="16"/>
      <c r="K656" s="16"/>
      <c r="L656" s="16"/>
      <c r="M656" s="16"/>
    </row>
    <row r="657" spans="1:13" x14ac:dyDescent="0.25">
      <c r="A657" s="2"/>
      <c r="B657" s="16"/>
      <c r="C657" s="24"/>
      <c r="D657" s="16"/>
      <c r="E657" s="23"/>
      <c r="F657" s="16"/>
      <c r="G657" s="16"/>
      <c r="H657" s="16"/>
      <c r="I657" s="16"/>
      <c r="J657" s="16"/>
      <c r="K657" s="16"/>
      <c r="L657" s="16"/>
      <c r="M657" s="16"/>
    </row>
    <row r="658" spans="1:13" x14ac:dyDescent="0.25">
      <c r="A658" s="2"/>
      <c r="B658" s="16"/>
      <c r="C658" s="24"/>
      <c r="D658" s="16"/>
      <c r="E658" s="23"/>
      <c r="F658" s="16"/>
      <c r="G658" s="16"/>
      <c r="H658" s="16"/>
      <c r="I658" s="16"/>
      <c r="J658" s="16"/>
      <c r="K658" s="16"/>
      <c r="L658" s="16"/>
      <c r="M658" s="16"/>
    </row>
    <row r="659" spans="1:13" x14ac:dyDescent="0.25">
      <c r="A659" s="2"/>
      <c r="B659" s="16"/>
      <c r="C659" s="24"/>
      <c r="D659" s="16"/>
      <c r="E659" s="23"/>
      <c r="F659" s="16"/>
      <c r="G659" s="16"/>
      <c r="H659" s="16"/>
      <c r="I659" s="16"/>
      <c r="J659" s="16"/>
      <c r="K659" s="16"/>
      <c r="L659" s="16"/>
      <c r="M659" s="16"/>
    </row>
    <row r="660" spans="1:13" x14ac:dyDescent="0.25">
      <c r="A660" s="2"/>
      <c r="B660" s="16"/>
      <c r="C660" s="24"/>
      <c r="D660" s="16"/>
      <c r="E660" s="23"/>
      <c r="F660" s="16"/>
      <c r="G660" s="16"/>
      <c r="H660" s="16"/>
      <c r="I660" s="16"/>
      <c r="J660" s="16"/>
      <c r="K660" s="16"/>
      <c r="L660" s="16"/>
      <c r="M660" s="16"/>
    </row>
    <row r="661" spans="1:13" x14ac:dyDescent="0.25">
      <c r="A661" s="2"/>
      <c r="B661" s="16"/>
      <c r="C661" s="24"/>
      <c r="D661" s="16"/>
      <c r="E661" s="23"/>
      <c r="F661" s="16"/>
      <c r="G661" s="16"/>
      <c r="H661" s="16"/>
      <c r="I661" s="16"/>
      <c r="J661" s="16"/>
      <c r="K661" s="16"/>
      <c r="L661" s="16"/>
      <c r="M661" s="16"/>
    </row>
    <row r="662" spans="1:13" x14ac:dyDescent="0.25">
      <c r="A662" s="2"/>
      <c r="B662" s="16"/>
      <c r="C662" s="24"/>
      <c r="D662" s="16"/>
      <c r="E662" s="23"/>
      <c r="F662" s="16"/>
      <c r="G662" s="16"/>
      <c r="H662" s="16"/>
      <c r="I662" s="16"/>
      <c r="J662" s="16"/>
      <c r="K662" s="16"/>
      <c r="L662" s="16"/>
      <c r="M662" s="16"/>
    </row>
    <row r="663" spans="1:13" x14ac:dyDescent="0.25">
      <c r="A663" s="2"/>
      <c r="B663" s="16"/>
      <c r="C663" s="24"/>
      <c r="D663" s="16"/>
      <c r="E663" s="23"/>
      <c r="F663" s="16"/>
      <c r="G663" s="16"/>
      <c r="H663" s="16"/>
      <c r="I663" s="16"/>
      <c r="J663" s="16"/>
      <c r="K663" s="16"/>
      <c r="L663" s="16"/>
      <c r="M663" s="16"/>
    </row>
    <row r="664" spans="1:13" x14ac:dyDescent="0.25">
      <c r="A664" s="2"/>
      <c r="B664" s="16"/>
      <c r="C664" s="24"/>
      <c r="D664" s="16"/>
      <c r="E664" s="23"/>
      <c r="F664" s="16"/>
      <c r="G664" s="16"/>
      <c r="H664" s="16"/>
      <c r="I664" s="16"/>
      <c r="J664" s="16"/>
      <c r="K664" s="16"/>
      <c r="L664" s="16"/>
      <c r="M664" s="16"/>
    </row>
    <row r="665" spans="1:13" x14ac:dyDescent="0.25">
      <c r="A665" s="2"/>
      <c r="B665" s="16"/>
      <c r="C665" s="24"/>
      <c r="D665" s="16"/>
      <c r="E665" s="23"/>
      <c r="F665" s="16"/>
      <c r="G665" s="16"/>
      <c r="H665" s="16"/>
      <c r="I665" s="16"/>
      <c r="J665" s="16"/>
      <c r="K665" s="16"/>
      <c r="L665" s="16"/>
      <c r="M665" s="16"/>
    </row>
    <row r="666" spans="1:13" x14ac:dyDescent="0.25">
      <c r="A666" s="2"/>
      <c r="B666" s="16"/>
      <c r="C666" s="24"/>
      <c r="D666" s="16"/>
      <c r="E666" s="23"/>
      <c r="F666" s="16"/>
      <c r="G666" s="16"/>
      <c r="H666" s="16"/>
      <c r="I666" s="16"/>
      <c r="J666" s="16"/>
      <c r="K666" s="16"/>
      <c r="L666" s="16"/>
      <c r="M666" s="16"/>
    </row>
    <row r="667" spans="1:13" x14ac:dyDescent="0.25">
      <c r="A667" s="2"/>
      <c r="B667" s="16"/>
      <c r="C667" s="24"/>
      <c r="D667" s="16"/>
      <c r="E667" s="23"/>
      <c r="F667" s="16"/>
      <c r="G667" s="16"/>
      <c r="H667" s="16"/>
      <c r="I667" s="16"/>
      <c r="J667" s="16"/>
      <c r="K667" s="16"/>
      <c r="L667" s="16"/>
      <c r="M667" s="16"/>
    </row>
    <row r="668" spans="1:13" x14ac:dyDescent="0.25">
      <c r="A668" s="2"/>
      <c r="B668" s="16"/>
      <c r="C668" s="24"/>
      <c r="D668" s="16"/>
      <c r="E668" s="23"/>
      <c r="F668" s="16"/>
      <c r="G668" s="16"/>
      <c r="H668" s="16"/>
      <c r="I668" s="16"/>
      <c r="J668" s="16"/>
      <c r="K668" s="16"/>
      <c r="L668" s="16"/>
      <c r="M668" s="16"/>
    </row>
    <row r="669" spans="1:13" x14ac:dyDescent="0.25">
      <c r="A669" s="2"/>
      <c r="B669" s="16"/>
      <c r="C669" s="24"/>
      <c r="D669" s="16"/>
      <c r="E669" s="23"/>
      <c r="F669" s="16"/>
      <c r="G669" s="16"/>
      <c r="H669" s="16"/>
      <c r="I669" s="16"/>
      <c r="J669" s="16"/>
      <c r="K669" s="16"/>
      <c r="L669" s="16"/>
      <c r="M669" s="16"/>
    </row>
    <row r="670" spans="1:13" x14ac:dyDescent="0.25">
      <c r="A670" s="2"/>
      <c r="B670" s="16"/>
      <c r="C670" s="24"/>
      <c r="D670" s="16"/>
      <c r="E670" s="23"/>
      <c r="F670" s="16"/>
      <c r="G670" s="16"/>
      <c r="H670" s="16"/>
      <c r="I670" s="16"/>
      <c r="J670" s="16"/>
      <c r="K670" s="16"/>
      <c r="L670" s="16"/>
      <c r="M670" s="16"/>
    </row>
    <row r="671" spans="1:13" x14ac:dyDescent="0.25">
      <c r="A671" s="2"/>
      <c r="B671" s="16"/>
      <c r="C671" s="24"/>
      <c r="D671" s="16"/>
      <c r="E671" s="23"/>
      <c r="F671" s="16"/>
      <c r="G671" s="16"/>
      <c r="H671" s="16"/>
      <c r="I671" s="16"/>
      <c r="J671" s="16"/>
      <c r="K671" s="16"/>
      <c r="L671" s="16"/>
      <c r="M671" s="16"/>
    </row>
    <row r="672" spans="1:13" x14ac:dyDescent="0.25">
      <c r="A672" s="2"/>
      <c r="B672" s="16"/>
      <c r="C672" s="24"/>
      <c r="D672" s="16"/>
      <c r="E672" s="23"/>
      <c r="F672" s="16"/>
      <c r="G672" s="16"/>
      <c r="H672" s="16"/>
      <c r="I672" s="16"/>
      <c r="J672" s="16"/>
      <c r="K672" s="16"/>
      <c r="L672" s="16"/>
      <c r="M672" s="16"/>
    </row>
    <row r="673" spans="1:13" x14ac:dyDescent="0.25">
      <c r="A673" s="2"/>
      <c r="B673" s="16"/>
      <c r="C673" s="24"/>
      <c r="D673" s="16"/>
      <c r="E673" s="23"/>
      <c r="F673" s="16"/>
      <c r="G673" s="16"/>
      <c r="H673" s="16"/>
      <c r="I673" s="16"/>
      <c r="J673" s="16"/>
      <c r="K673" s="16"/>
      <c r="L673" s="16"/>
      <c r="M673" s="16"/>
    </row>
    <row r="674" spans="1:13" x14ac:dyDescent="0.25">
      <c r="A674" s="2"/>
      <c r="B674" s="16"/>
      <c r="C674" s="24"/>
      <c r="D674" s="16"/>
      <c r="E674" s="23"/>
      <c r="F674" s="16"/>
      <c r="G674" s="16"/>
      <c r="H674" s="16"/>
      <c r="I674" s="16"/>
      <c r="J674" s="16"/>
      <c r="K674" s="16"/>
      <c r="L674" s="16"/>
      <c r="M674" s="16"/>
    </row>
    <row r="675" spans="1:13" x14ac:dyDescent="0.25">
      <c r="A675" s="2"/>
      <c r="B675" s="16"/>
      <c r="C675" s="24"/>
      <c r="D675" s="16"/>
      <c r="E675" s="23"/>
      <c r="F675" s="16"/>
      <c r="G675" s="16"/>
      <c r="H675" s="16"/>
      <c r="I675" s="16"/>
      <c r="J675" s="16"/>
      <c r="K675" s="16"/>
      <c r="L675" s="16"/>
      <c r="M675" s="16"/>
    </row>
    <row r="676" spans="1:13" x14ac:dyDescent="0.25">
      <c r="A676" s="2"/>
      <c r="B676" s="16"/>
      <c r="C676" s="24"/>
      <c r="D676" s="16"/>
      <c r="E676" s="23"/>
      <c r="F676" s="16"/>
      <c r="G676" s="16"/>
      <c r="H676" s="16"/>
      <c r="I676" s="16"/>
      <c r="J676" s="16"/>
      <c r="K676" s="16"/>
      <c r="L676" s="16"/>
      <c r="M676" s="16"/>
    </row>
    <row r="677" spans="1:13" x14ac:dyDescent="0.25">
      <c r="A677" s="2"/>
      <c r="B677" s="16"/>
      <c r="C677" s="24"/>
      <c r="D677" s="16"/>
      <c r="E677" s="23"/>
      <c r="F677" s="16"/>
      <c r="G677" s="16"/>
      <c r="H677" s="16"/>
      <c r="I677" s="16"/>
      <c r="J677" s="16"/>
      <c r="K677" s="16"/>
      <c r="L677" s="16"/>
      <c r="M677" s="16"/>
    </row>
    <row r="678" spans="1:13" x14ac:dyDescent="0.25">
      <c r="A678" s="2"/>
      <c r="B678" s="16"/>
      <c r="C678" s="24"/>
      <c r="D678" s="16"/>
      <c r="E678" s="23"/>
      <c r="F678" s="16"/>
      <c r="G678" s="16"/>
      <c r="H678" s="16"/>
      <c r="I678" s="16"/>
      <c r="J678" s="16"/>
      <c r="K678" s="16"/>
      <c r="L678" s="16"/>
      <c r="M678" s="16"/>
    </row>
    <row r="679" spans="1:13" x14ac:dyDescent="0.25">
      <c r="A679" s="2"/>
      <c r="B679" s="16"/>
      <c r="C679" s="24"/>
      <c r="D679" s="16"/>
      <c r="E679" s="23"/>
      <c r="F679" s="16"/>
      <c r="G679" s="16"/>
      <c r="H679" s="16"/>
      <c r="I679" s="16"/>
      <c r="J679" s="16"/>
      <c r="K679" s="16"/>
      <c r="L679" s="16"/>
      <c r="M679" s="16"/>
    </row>
    <row r="680" spans="1:13" x14ac:dyDescent="0.25">
      <c r="A680" s="2"/>
      <c r="B680" s="16"/>
      <c r="C680" s="24"/>
      <c r="D680" s="16"/>
      <c r="E680" s="23"/>
      <c r="F680" s="16"/>
      <c r="G680" s="16"/>
      <c r="H680" s="16"/>
      <c r="I680" s="16"/>
      <c r="J680" s="16"/>
      <c r="K680" s="16"/>
      <c r="L680" s="16"/>
      <c r="M680" s="16"/>
    </row>
    <row r="681" spans="1:13" x14ac:dyDescent="0.25">
      <c r="A681" s="2"/>
      <c r="B681" s="16"/>
      <c r="C681" s="24"/>
      <c r="D681" s="16"/>
      <c r="E681" s="23"/>
      <c r="F681" s="16"/>
      <c r="G681" s="16"/>
      <c r="H681" s="16"/>
      <c r="I681" s="16"/>
      <c r="J681" s="16"/>
      <c r="K681" s="16"/>
      <c r="L681" s="16"/>
      <c r="M681" s="16"/>
    </row>
    <row r="682" spans="1:13" x14ac:dyDescent="0.25">
      <c r="A682" s="2"/>
      <c r="B682" s="16"/>
      <c r="C682" s="24"/>
      <c r="D682" s="16"/>
      <c r="E682" s="23"/>
      <c r="F682" s="16"/>
      <c r="G682" s="16"/>
      <c r="H682" s="16"/>
      <c r="I682" s="16"/>
      <c r="J682" s="16"/>
      <c r="K682" s="16"/>
      <c r="L682" s="16"/>
      <c r="M682" s="16"/>
    </row>
    <row r="683" spans="1:13" x14ac:dyDescent="0.25">
      <c r="A683" s="2"/>
      <c r="B683" s="16"/>
      <c r="C683" s="24"/>
      <c r="D683" s="16"/>
      <c r="E683" s="23"/>
      <c r="F683" s="16"/>
      <c r="G683" s="16"/>
      <c r="H683" s="16"/>
      <c r="I683" s="16"/>
      <c r="J683" s="16"/>
      <c r="K683" s="16"/>
      <c r="L683" s="16"/>
      <c r="M683" s="16"/>
    </row>
    <row r="684" spans="1:13" x14ac:dyDescent="0.25">
      <c r="A684" s="2"/>
      <c r="B684" s="16"/>
      <c r="C684" s="24"/>
      <c r="D684" s="16"/>
      <c r="E684" s="23"/>
      <c r="F684" s="16"/>
      <c r="G684" s="16"/>
      <c r="H684" s="16"/>
      <c r="I684" s="16"/>
      <c r="J684" s="16"/>
      <c r="K684" s="16"/>
      <c r="L684" s="16"/>
      <c r="M684" s="16"/>
    </row>
    <row r="685" spans="1:13" x14ac:dyDescent="0.25">
      <c r="A685" s="2"/>
      <c r="B685" s="16"/>
      <c r="C685" s="24"/>
      <c r="D685" s="16"/>
      <c r="E685" s="23"/>
      <c r="F685" s="16"/>
      <c r="G685" s="16"/>
      <c r="H685" s="16"/>
      <c r="I685" s="16"/>
      <c r="J685" s="16"/>
      <c r="K685" s="16"/>
      <c r="L685" s="16"/>
      <c r="M685" s="16"/>
    </row>
    <row r="686" spans="1:13" x14ac:dyDescent="0.25">
      <c r="A686" s="2"/>
      <c r="B686" s="16"/>
      <c r="C686" s="24"/>
      <c r="D686" s="16"/>
      <c r="E686" s="23"/>
      <c r="F686" s="16"/>
      <c r="G686" s="16"/>
      <c r="H686" s="16"/>
      <c r="I686" s="16"/>
      <c r="J686" s="16"/>
      <c r="K686" s="16"/>
      <c r="L686" s="16"/>
      <c r="M686" s="16"/>
    </row>
    <row r="687" spans="1:13" x14ac:dyDescent="0.25">
      <c r="A687" s="2"/>
      <c r="B687" s="16"/>
      <c r="C687" s="24"/>
      <c r="D687" s="16"/>
      <c r="E687" s="23"/>
      <c r="F687" s="16"/>
      <c r="G687" s="16"/>
      <c r="H687" s="16"/>
      <c r="I687" s="16"/>
      <c r="J687" s="16"/>
      <c r="K687" s="16"/>
      <c r="L687" s="16"/>
      <c r="M687" s="16"/>
    </row>
    <row r="688" spans="1:13" x14ac:dyDescent="0.25">
      <c r="A688" s="2"/>
      <c r="B688" s="16"/>
      <c r="C688" s="24"/>
      <c r="D688" s="16"/>
      <c r="E688" s="23"/>
      <c r="F688" s="16"/>
      <c r="G688" s="16"/>
      <c r="H688" s="16"/>
      <c r="I688" s="16"/>
      <c r="J688" s="16"/>
      <c r="K688" s="16"/>
      <c r="L688" s="16"/>
      <c r="M688" s="16"/>
    </row>
    <row r="689" spans="1:13" x14ac:dyDescent="0.25">
      <c r="A689" s="2"/>
      <c r="B689" s="16"/>
      <c r="C689" s="24"/>
      <c r="D689" s="16"/>
      <c r="E689" s="23"/>
      <c r="F689" s="16"/>
      <c r="G689" s="16"/>
      <c r="H689" s="16"/>
      <c r="I689" s="16"/>
      <c r="J689" s="16"/>
      <c r="K689" s="16"/>
      <c r="L689" s="16"/>
      <c r="M689" s="16"/>
    </row>
    <row r="690" spans="1:13" x14ac:dyDescent="0.25">
      <c r="A690" s="2"/>
      <c r="B690" s="16"/>
      <c r="C690" s="24"/>
      <c r="D690" s="16"/>
      <c r="E690" s="23"/>
      <c r="F690" s="16"/>
      <c r="G690" s="16"/>
      <c r="H690" s="16"/>
      <c r="I690" s="16"/>
      <c r="J690" s="16"/>
      <c r="K690" s="16"/>
      <c r="L690" s="16"/>
      <c r="M690" s="16"/>
    </row>
    <row r="691" spans="1:13" x14ac:dyDescent="0.25">
      <c r="A691" s="2"/>
      <c r="B691" s="16"/>
      <c r="C691" s="24"/>
      <c r="D691" s="16"/>
      <c r="E691" s="23"/>
      <c r="F691" s="16"/>
      <c r="G691" s="16"/>
      <c r="H691" s="16"/>
      <c r="I691" s="16"/>
      <c r="J691" s="16"/>
      <c r="K691" s="16"/>
      <c r="L691" s="16"/>
      <c r="M691" s="16"/>
    </row>
    <row r="692" spans="1:13" x14ac:dyDescent="0.25">
      <c r="A692" s="2"/>
      <c r="B692" s="16"/>
      <c r="C692" s="24"/>
      <c r="D692" s="16"/>
      <c r="E692" s="23"/>
      <c r="F692" s="16"/>
      <c r="G692" s="16"/>
      <c r="H692" s="16"/>
      <c r="I692" s="16"/>
      <c r="J692" s="16"/>
      <c r="K692" s="16"/>
      <c r="L692" s="16"/>
      <c r="M692" s="16"/>
    </row>
    <row r="693" spans="1:13" x14ac:dyDescent="0.25">
      <c r="A693" s="2"/>
      <c r="B693" s="16"/>
      <c r="C693" s="24"/>
      <c r="D693" s="16"/>
      <c r="E693" s="23"/>
      <c r="F693" s="16"/>
      <c r="G693" s="16"/>
      <c r="H693" s="16"/>
      <c r="I693" s="16"/>
      <c r="J693" s="16"/>
      <c r="K693" s="16"/>
      <c r="L693" s="16"/>
      <c r="M693" s="16"/>
    </row>
    <row r="694" spans="1:13" x14ac:dyDescent="0.25">
      <c r="A694" s="2"/>
      <c r="B694" s="16"/>
      <c r="C694" s="24"/>
      <c r="D694" s="16"/>
      <c r="E694" s="23"/>
      <c r="F694" s="16"/>
      <c r="G694" s="16"/>
      <c r="H694" s="16"/>
      <c r="I694" s="16"/>
      <c r="J694" s="16"/>
      <c r="K694" s="16"/>
      <c r="L694" s="16"/>
      <c r="M694" s="16"/>
    </row>
    <row r="695" spans="1:13" x14ac:dyDescent="0.25">
      <c r="A695" s="2"/>
      <c r="B695" s="16"/>
      <c r="C695" s="24"/>
      <c r="D695" s="16"/>
      <c r="E695" s="23"/>
      <c r="F695" s="16"/>
      <c r="G695" s="16"/>
      <c r="H695" s="16"/>
      <c r="I695" s="16"/>
      <c r="J695" s="16"/>
      <c r="K695" s="16"/>
      <c r="L695" s="16"/>
      <c r="M695" s="16"/>
    </row>
    <row r="696" spans="1:13" x14ac:dyDescent="0.25">
      <c r="A696" s="2"/>
      <c r="B696" s="16"/>
      <c r="C696" s="24"/>
      <c r="D696" s="16"/>
      <c r="E696" s="23"/>
      <c r="F696" s="16"/>
      <c r="G696" s="16"/>
      <c r="H696" s="16"/>
      <c r="I696" s="16"/>
      <c r="J696" s="16"/>
      <c r="K696" s="16"/>
      <c r="L696" s="16"/>
      <c r="M696" s="16"/>
    </row>
    <row r="697" spans="1:13" x14ac:dyDescent="0.25">
      <c r="A697" s="2"/>
      <c r="B697" s="16"/>
      <c r="C697" s="24"/>
      <c r="D697" s="16"/>
      <c r="E697" s="23"/>
      <c r="F697" s="16"/>
      <c r="G697" s="16"/>
      <c r="H697" s="16"/>
      <c r="I697" s="16"/>
      <c r="J697" s="16"/>
      <c r="K697" s="16"/>
      <c r="L697" s="16"/>
      <c r="M697" s="16"/>
    </row>
    <row r="698" spans="1:13" x14ac:dyDescent="0.25">
      <c r="A698" s="2"/>
      <c r="B698" s="16"/>
      <c r="C698" s="24"/>
      <c r="D698" s="16"/>
      <c r="E698" s="23"/>
      <c r="F698" s="16"/>
      <c r="G698" s="16"/>
      <c r="H698" s="16"/>
      <c r="I698" s="16"/>
      <c r="J698" s="16"/>
      <c r="K698" s="16"/>
      <c r="L698" s="16"/>
      <c r="M698" s="16"/>
    </row>
    <row r="699" spans="1:13" x14ac:dyDescent="0.25">
      <c r="A699" s="2"/>
      <c r="B699" s="16"/>
      <c r="C699" s="24"/>
      <c r="D699" s="16"/>
      <c r="E699" s="23"/>
      <c r="F699" s="16"/>
      <c r="G699" s="16"/>
      <c r="H699" s="16"/>
      <c r="I699" s="16"/>
      <c r="J699" s="16"/>
      <c r="K699" s="16"/>
      <c r="L699" s="16"/>
      <c r="M699" s="16"/>
    </row>
    <row r="700" spans="1:13" x14ac:dyDescent="0.25">
      <c r="A700" s="2"/>
      <c r="B700" s="16"/>
      <c r="C700" s="24"/>
      <c r="D700" s="16"/>
      <c r="E700" s="23"/>
      <c r="F700" s="16"/>
      <c r="G700" s="16"/>
      <c r="H700" s="16"/>
      <c r="I700" s="16"/>
      <c r="J700" s="16"/>
      <c r="K700" s="16"/>
      <c r="L700" s="16"/>
      <c r="M700" s="16"/>
    </row>
    <row r="701" spans="1:13" x14ac:dyDescent="0.25">
      <c r="A701" s="2"/>
      <c r="B701" s="16"/>
      <c r="C701" s="24"/>
      <c r="D701" s="16"/>
      <c r="E701" s="23"/>
      <c r="F701" s="16"/>
      <c r="G701" s="16"/>
      <c r="H701" s="16"/>
      <c r="I701" s="16"/>
      <c r="J701" s="16"/>
      <c r="K701" s="16"/>
      <c r="L701" s="16"/>
      <c r="M701" s="16"/>
    </row>
    <row r="702" spans="1:13" x14ac:dyDescent="0.25">
      <c r="A702" s="2"/>
      <c r="B702" s="16"/>
      <c r="C702" s="24"/>
      <c r="D702" s="16"/>
      <c r="E702" s="23"/>
      <c r="F702" s="16"/>
      <c r="G702" s="16"/>
      <c r="H702" s="16"/>
      <c r="I702" s="16"/>
      <c r="J702" s="16"/>
      <c r="K702" s="16"/>
      <c r="L702" s="16"/>
      <c r="M702" s="16"/>
    </row>
    <row r="703" spans="1:13" x14ac:dyDescent="0.25">
      <c r="A703" s="2"/>
      <c r="B703" s="16"/>
      <c r="C703" s="24"/>
      <c r="D703" s="16"/>
      <c r="E703" s="23"/>
      <c r="F703" s="16"/>
      <c r="G703" s="16"/>
      <c r="H703" s="16"/>
      <c r="I703" s="16"/>
      <c r="J703" s="16"/>
      <c r="K703" s="16"/>
      <c r="L703" s="16"/>
      <c r="M703" s="16"/>
    </row>
    <row r="704" spans="1:13" x14ac:dyDescent="0.25">
      <c r="A704" s="2"/>
      <c r="B704" s="16"/>
      <c r="C704" s="24"/>
      <c r="D704" s="16"/>
      <c r="E704" s="23"/>
      <c r="F704" s="16"/>
      <c r="G704" s="16"/>
      <c r="H704" s="16"/>
      <c r="I704" s="16"/>
      <c r="J704" s="16"/>
      <c r="K704" s="16"/>
      <c r="L704" s="16"/>
      <c r="M704" s="16"/>
    </row>
    <row r="705" spans="1:13" x14ac:dyDescent="0.25">
      <c r="A705" s="2"/>
      <c r="B705" s="16"/>
      <c r="C705" s="24"/>
      <c r="D705" s="16"/>
      <c r="E705" s="23"/>
      <c r="F705" s="16"/>
      <c r="G705" s="16"/>
      <c r="H705" s="16"/>
      <c r="I705" s="16"/>
      <c r="J705" s="16"/>
      <c r="K705" s="16"/>
      <c r="L705" s="16"/>
      <c r="M705" s="16"/>
    </row>
    <row r="706" spans="1:13" x14ac:dyDescent="0.25">
      <c r="A706" s="2"/>
      <c r="B706" s="16"/>
      <c r="C706" s="24"/>
      <c r="D706" s="16"/>
      <c r="E706" s="23"/>
      <c r="F706" s="16"/>
      <c r="G706" s="16"/>
      <c r="H706" s="16"/>
      <c r="I706" s="16"/>
      <c r="J706" s="16"/>
      <c r="K706" s="16"/>
      <c r="L706" s="16"/>
      <c r="M706" s="16"/>
    </row>
    <row r="707" spans="1:13" x14ac:dyDescent="0.25">
      <c r="A707" s="2"/>
      <c r="B707" s="16"/>
      <c r="C707" s="24"/>
      <c r="D707" s="16"/>
      <c r="E707" s="23"/>
      <c r="F707" s="16"/>
      <c r="G707" s="16"/>
      <c r="H707" s="16"/>
      <c r="I707" s="16"/>
      <c r="J707" s="16"/>
      <c r="K707" s="16"/>
      <c r="L707" s="16"/>
      <c r="M707" s="16"/>
    </row>
    <row r="708" spans="1:13" x14ac:dyDescent="0.25">
      <c r="A708" s="2"/>
      <c r="B708" s="16"/>
      <c r="C708" s="24"/>
      <c r="D708" s="16"/>
      <c r="E708" s="23"/>
      <c r="F708" s="16"/>
      <c r="G708" s="16"/>
      <c r="H708" s="16"/>
      <c r="I708" s="16"/>
      <c r="J708" s="16"/>
      <c r="K708" s="16"/>
      <c r="L708" s="16"/>
      <c r="M708" s="16"/>
    </row>
    <row r="709" spans="1:13" x14ac:dyDescent="0.25">
      <c r="A709" s="2"/>
      <c r="B709" s="16"/>
      <c r="C709" s="24"/>
      <c r="D709" s="16"/>
      <c r="E709" s="23"/>
      <c r="F709" s="16"/>
      <c r="G709" s="16"/>
      <c r="H709" s="16"/>
      <c r="I709" s="16"/>
      <c r="J709" s="16"/>
      <c r="K709" s="16"/>
      <c r="L709" s="16"/>
      <c r="M709" s="16"/>
    </row>
    <row r="710" spans="1:13" x14ac:dyDescent="0.25">
      <c r="A710" s="2"/>
      <c r="B710" s="16"/>
      <c r="C710" s="24"/>
      <c r="D710" s="16"/>
      <c r="E710" s="23"/>
      <c r="F710" s="16"/>
      <c r="G710" s="16"/>
      <c r="H710" s="16"/>
      <c r="I710" s="16"/>
      <c r="J710" s="16"/>
      <c r="K710" s="16"/>
      <c r="L710" s="16"/>
      <c r="M710" s="16"/>
    </row>
    <row r="711" spans="1:13" x14ac:dyDescent="0.25">
      <c r="A711" s="2"/>
      <c r="B711" s="16"/>
      <c r="C711" s="24"/>
      <c r="D711" s="16"/>
      <c r="E711" s="23"/>
      <c r="F711" s="16"/>
      <c r="G711" s="16"/>
      <c r="H711" s="16"/>
      <c r="I711" s="16"/>
      <c r="J711" s="16"/>
      <c r="K711" s="16"/>
      <c r="L711" s="16"/>
      <c r="M711" s="16"/>
    </row>
    <row r="712" spans="1:13" x14ac:dyDescent="0.25">
      <c r="A712" s="2"/>
      <c r="B712" s="16"/>
      <c r="C712" s="24"/>
      <c r="D712" s="16"/>
      <c r="E712" s="23"/>
      <c r="F712" s="16"/>
      <c r="G712" s="16"/>
      <c r="H712" s="16"/>
      <c r="I712" s="16"/>
      <c r="J712" s="16"/>
      <c r="K712" s="16"/>
      <c r="L712" s="16"/>
      <c r="M712" s="16"/>
    </row>
    <row r="713" spans="1:13" x14ac:dyDescent="0.25">
      <c r="A713" s="2"/>
      <c r="B713" s="16"/>
      <c r="C713" s="24"/>
      <c r="D713" s="16"/>
      <c r="E713" s="23"/>
      <c r="F713" s="16"/>
      <c r="G713" s="16"/>
      <c r="H713" s="16"/>
      <c r="I713" s="16"/>
      <c r="J713" s="16"/>
      <c r="K713" s="16"/>
      <c r="L713" s="16"/>
      <c r="M713" s="16"/>
    </row>
    <row r="714" spans="1:13" x14ac:dyDescent="0.25">
      <c r="A714" s="2"/>
      <c r="B714" s="16"/>
      <c r="C714" s="24"/>
      <c r="D714" s="16"/>
      <c r="E714" s="23"/>
      <c r="F714" s="16"/>
      <c r="G714" s="16"/>
      <c r="H714" s="16"/>
      <c r="I714" s="16"/>
      <c r="J714" s="16"/>
      <c r="K714" s="16"/>
      <c r="L714" s="16"/>
      <c r="M714" s="16"/>
    </row>
    <row r="715" spans="1:13" x14ac:dyDescent="0.25">
      <c r="A715" s="2"/>
      <c r="B715" s="16"/>
      <c r="C715" s="24"/>
      <c r="D715" s="16"/>
      <c r="E715" s="23"/>
      <c r="F715" s="16"/>
      <c r="G715" s="16"/>
      <c r="H715" s="16"/>
      <c r="I715" s="16"/>
      <c r="J715" s="16"/>
      <c r="K715" s="16"/>
      <c r="L715" s="16"/>
      <c r="M715" s="16"/>
    </row>
    <row r="716" spans="1:13" x14ac:dyDescent="0.25">
      <c r="A716" s="2"/>
      <c r="B716" s="16"/>
      <c r="C716" s="24"/>
      <c r="D716" s="16"/>
      <c r="E716" s="23"/>
      <c r="F716" s="16"/>
      <c r="G716" s="16"/>
      <c r="H716" s="16"/>
      <c r="I716" s="16"/>
      <c r="J716" s="16"/>
      <c r="K716" s="16"/>
      <c r="L716" s="16"/>
      <c r="M716" s="16"/>
    </row>
    <row r="717" spans="1:13" x14ac:dyDescent="0.25">
      <c r="A717" s="2"/>
      <c r="B717" s="16"/>
      <c r="C717" s="24"/>
      <c r="D717" s="16"/>
      <c r="E717" s="23"/>
      <c r="F717" s="16"/>
      <c r="G717" s="16"/>
      <c r="H717" s="16"/>
      <c r="I717" s="16"/>
      <c r="J717" s="16"/>
      <c r="K717" s="16"/>
      <c r="L717" s="16"/>
      <c r="M717" s="16"/>
    </row>
    <row r="718" spans="1:13" x14ac:dyDescent="0.25">
      <c r="A718" s="2"/>
      <c r="B718" s="16"/>
      <c r="C718" s="24"/>
      <c r="D718" s="16"/>
      <c r="E718" s="23"/>
      <c r="F718" s="16"/>
      <c r="G718" s="16"/>
      <c r="H718" s="16"/>
      <c r="I718" s="16"/>
      <c r="J718" s="16"/>
      <c r="K718" s="16"/>
      <c r="L718" s="16"/>
      <c r="M718" s="16"/>
    </row>
    <row r="719" spans="1:13" x14ac:dyDescent="0.25">
      <c r="A719" s="2"/>
      <c r="B719" s="16"/>
      <c r="C719" s="24"/>
      <c r="D719" s="16"/>
      <c r="E719" s="23"/>
      <c r="F719" s="16"/>
      <c r="G719" s="16"/>
      <c r="H719" s="16"/>
      <c r="I719" s="16"/>
      <c r="J719" s="16"/>
      <c r="K719" s="16"/>
      <c r="L719" s="16"/>
      <c r="M719" s="16"/>
    </row>
    <row r="720" spans="1:13" x14ac:dyDescent="0.25">
      <c r="A720" s="2"/>
      <c r="B720" s="16"/>
      <c r="C720" s="24"/>
      <c r="D720" s="16"/>
      <c r="E720" s="23"/>
      <c r="F720" s="16"/>
      <c r="G720" s="16"/>
      <c r="H720" s="16"/>
      <c r="I720" s="16"/>
      <c r="J720" s="16"/>
      <c r="K720" s="16"/>
      <c r="L720" s="16"/>
      <c r="M720" s="16"/>
    </row>
    <row r="721" spans="1:13" x14ac:dyDescent="0.25">
      <c r="A721" s="2"/>
      <c r="B721" s="16"/>
      <c r="C721" s="24"/>
      <c r="D721" s="16"/>
      <c r="E721" s="23"/>
      <c r="F721" s="16"/>
      <c r="G721" s="16"/>
      <c r="H721" s="16"/>
      <c r="I721" s="16"/>
      <c r="J721" s="16"/>
      <c r="K721" s="16"/>
      <c r="L721" s="16"/>
      <c r="M721" s="16"/>
    </row>
    <row r="722" spans="1:13" x14ac:dyDescent="0.25">
      <c r="A722" s="2"/>
      <c r="B722" s="16"/>
      <c r="C722" s="24"/>
      <c r="D722" s="16"/>
      <c r="E722" s="23"/>
      <c r="F722" s="16"/>
      <c r="G722" s="16"/>
      <c r="H722" s="16"/>
      <c r="I722" s="16"/>
      <c r="J722" s="16"/>
      <c r="K722" s="16"/>
      <c r="L722" s="16"/>
      <c r="M722" s="16"/>
    </row>
    <row r="723" spans="1:13" x14ac:dyDescent="0.25">
      <c r="A723" s="2"/>
      <c r="B723" s="16"/>
      <c r="C723" s="24"/>
      <c r="D723" s="16"/>
      <c r="E723" s="23"/>
      <c r="F723" s="16"/>
      <c r="G723" s="16"/>
      <c r="H723" s="16"/>
      <c r="I723" s="16"/>
      <c r="J723" s="16"/>
      <c r="K723" s="16"/>
      <c r="L723" s="16"/>
      <c r="M723" s="16"/>
    </row>
    <row r="724" spans="1:13" x14ac:dyDescent="0.25">
      <c r="A724" s="2"/>
      <c r="B724" s="16"/>
      <c r="C724" s="24"/>
      <c r="D724" s="16"/>
      <c r="E724" s="23"/>
      <c r="F724" s="16"/>
      <c r="G724" s="16"/>
      <c r="H724" s="16"/>
      <c r="I724" s="16"/>
      <c r="J724" s="16"/>
      <c r="K724" s="16"/>
      <c r="L724" s="16"/>
      <c r="M724" s="16"/>
    </row>
    <row r="725" spans="1:13" x14ac:dyDescent="0.25">
      <c r="A725" s="2"/>
      <c r="B725" s="16"/>
      <c r="C725" s="24"/>
      <c r="D725" s="16"/>
      <c r="E725" s="23"/>
      <c r="F725" s="16"/>
      <c r="G725" s="16"/>
      <c r="H725" s="16"/>
      <c r="I725" s="16"/>
      <c r="J725" s="16"/>
      <c r="K725" s="16"/>
      <c r="L725" s="16"/>
      <c r="M725" s="16"/>
    </row>
    <row r="726" spans="1:13" x14ac:dyDescent="0.25">
      <c r="A726" s="2"/>
      <c r="B726" s="16"/>
      <c r="C726" s="24"/>
      <c r="D726" s="16"/>
      <c r="E726" s="23"/>
      <c r="F726" s="16"/>
      <c r="G726" s="16"/>
      <c r="H726" s="16"/>
      <c r="I726" s="16"/>
      <c r="J726" s="16"/>
      <c r="K726" s="16"/>
      <c r="L726" s="16"/>
      <c r="M726" s="16"/>
    </row>
    <row r="727" spans="1:13" x14ac:dyDescent="0.25">
      <c r="A727" s="2"/>
      <c r="B727" s="16"/>
      <c r="C727" s="24"/>
      <c r="D727" s="16"/>
      <c r="E727" s="23"/>
      <c r="F727" s="16"/>
      <c r="G727" s="16"/>
      <c r="H727" s="16"/>
      <c r="I727" s="16"/>
      <c r="J727" s="16"/>
      <c r="K727" s="16"/>
      <c r="L727" s="16"/>
      <c r="M727" s="16"/>
    </row>
    <row r="728" spans="1:13" x14ac:dyDescent="0.25">
      <c r="A728" s="2"/>
      <c r="B728" s="16"/>
      <c r="C728" s="24"/>
      <c r="D728" s="16"/>
      <c r="E728" s="23"/>
      <c r="F728" s="16"/>
      <c r="G728" s="16"/>
      <c r="H728" s="16"/>
      <c r="I728" s="16"/>
      <c r="J728" s="16"/>
      <c r="K728" s="16"/>
      <c r="L728" s="16"/>
      <c r="M728" s="16"/>
    </row>
    <row r="729" spans="1:13" x14ac:dyDescent="0.25">
      <c r="A729" s="2"/>
      <c r="B729" s="16"/>
      <c r="C729" s="24"/>
      <c r="D729" s="16"/>
      <c r="E729" s="23"/>
      <c r="F729" s="16"/>
      <c r="G729" s="16"/>
      <c r="H729" s="16"/>
      <c r="I729" s="16"/>
      <c r="J729" s="16"/>
      <c r="K729" s="16"/>
      <c r="L729" s="16"/>
      <c r="M729" s="16"/>
    </row>
    <row r="730" spans="1:13" x14ac:dyDescent="0.25">
      <c r="A730" s="2"/>
      <c r="B730" s="16"/>
      <c r="C730" s="24"/>
      <c r="D730" s="16"/>
      <c r="E730" s="23"/>
      <c r="F730" s="16"/>
      <c r="G730" s="16"/>
      <c r="H730" s="16"/>
      <c r="I730" s="16"/>
      <c r="J730" s="16"/>
      <c r="K730" s="16"/>
      <c r="L730" s="16"/>
      <c r="M730" s="16"/>
    </row>
    <row r="731" spans="1:13" x14ac:dyDescent="0.25">
      <c r="A731" s="2"/>
      <c r="B731" s="16"/>
      <c r="C731" s="24"/>
      <c r="D731" s="16"/>
      <c r="E731" s="23"/>
      <c r="F731" s="16"/>
      <c r="G731" s="16"/>
      <c r="H731" s="16"/>
      <c r="I731" s="16"/>
      <c r="J731" s="16"/>
      <c r="K731" s="16"/>
      <c r="L731" s="16"/>
      <c r="M731" s="16"/>
    </row>
    <row r="732" spans="1:13" x14ac:dyDescent="0.25">
      <c r="A732" s="2"/>
      <c r="B732" s="16"/>
      <c r="C732" s="24"/>
      <c r="D732" s="16"/>
      <c r="E732" s="23"/>
      <c r="F732" s="16"/>
      <c r="G732" s="16"/>
      <c r="H732" s="16"/>
      <c r="I732" s="16"/>
      <c r="J732" s="16"/>
      <c r="K732" s="16"/>
      <c r="L732" s="16"/>
      <c r="M732" s="16"/>
    </row>
    <row r="733" spans="1:13" x14ac:dyDescent="0.25">
      <c r="A733" s="2"/>
      <c r="B733" s="16"/>
      <c r="C733" s="24"/>
      <c r="D733" s="16"/>
      <c r="E733" s="23"/>
      <c r="F733" s="16"/>
      <c r="G733" s="16"/>
      <c r="H733" s="16"/>
      <c r="I733" s="16"/>
      <c r="J733" s="16"/>
      <c r="K733" s="16"/>
      <c r="L733" s="16"/>
      <c r="M733" s="16"/>
    </row>
    <row r="734" spans="1:13" x14ac:dyDescent="0.25">
      <c r="A734" s="2"/>
      <c r="B734" s="16"/>
      <c r="C734" s="24"/>
      <c r="D734" s="16"/>
      <c r="E734" s="23"/>
      <c r="F734" s="16"/>
      <c r="G734" s="16"/>
      <c r="H734" s="16"/>
      <c r="I734" s="16"/>
      <c r="J734" s="16"/>
      <c r="K734" s="16"/>
      <c r="L734" s="16"/>
      <c r="M734" s="16"/>
    </row>
    <row r="735" spans="1:13" x14ac:dyDescent="0.25">
      <c r="A735" s="2"/>
      <c r="B735" s="16"/>
      <c r="C735" s="24"/>
      <c r="D735" s="16"/>
      <c r="E735" s="23"/>
      <c r="F735" s="16"/>
      <c r="G735" s="16"/>
      <c r="H735" s="16"/>
      <c r="I735" s="16"/>
      <c r="J735" s="16"/>
      <c r="K735" s="16"/>
      <c r="L735" s="16"/>
      <c r="M735" s="16"/>
    </row>
    <row r="736" spans="1:13" x14ac:dyDescent="0.25">
      <c r="A736" s="2"/>
      <c r="B736" s="16"/>
      <c r="C736" s="24"/>
      <c r="D736" s="16"/>
      <c r="E736" s="23"/>
      <c r="F736" s="16"/>
      <c r="G736" s="16"/>
      <c r="H736" s="16"/>
      <c r="I736" s="16"/>
      <c r="J736" s="16"/>
      <c r="K736" s="16"/>
      <c r="L736" s="16"/>
      <c r="M736" s="16"/>
    </row>
    <row r="737" spans="1:13" x14ac:dyDescent="0.25">
      <c r="A737" s="2"/>
      <c r="B737" s="16"/>
      <c r="C737" s="24"/>
      <c r="D737" s="16"/>
      <c r="E737" s="23"/>
      <c r="F737" s="16"/>
      <c r="G737" s="16"/>
      <c r="H737" s="16"/>
      <c r="I737" s="16"/>
      <c r="J737" s="16"/>
      <c r="K737" s="16"/>
      <c r="L737" s="16"/>
      <c r="M737" s="16"/>
    </row>
    <row r="738" spans="1:13" x14ac:dyDescent="0.25">
      <c r="A738" s="2"/>
      <c r="B738" s="16"/>
      <c r="C738" s="24"/>
      <c r="D738" s="16"/>
      <c r="E738" s="23"/>
      <c r="F738" s="16"/>
      <c r="G738" s="16"/>
      <c r="H738" s="16"/>
      <c r="I738" s="16"/>
      <c r="J738" s="16"/>
      <c r="K738" s="16"/>
      <c r="L738" s="16"/>
      <c r="M738" s="16"/>
    </row>
    <row r="739" spans="1:13" x14ac:dyDescent="0.25">
      <c r="A739" s="2"/>
      <c r="B739" s="16"/>
      <c r="C739" s="24"/>
      <c r="D739" s="16"/>
      <c r="E739" s="23"/>
      <c r="F739" s="16"/>
      <c r="G739" s="16"/>
      <c r="H739" s="16"/>
      <c r="I739" s="16"/>
      <c r="J739" s="16"/>
      <c r="K739" s="16"/>
      <c r="L739" s="16"/>
      <c r="M739" s="16"/>
    </row>
    <row r="740" spans="1:13" x14ac:dyDescent="0.25">
      <c r="A740" s="2"/>
      <c r="B740" s="16"/>
      <c r="C740" s="24"/>
      <c r="D740" s="16"/>
      <c r="E740" s="23"/>
      <c r="F740" s="16"/>
      <c r="G740" s="16"/>
      <c r="H740" s="16"/>
      <c r="I740" s="16"/>
      <c r="J740" s="16"/>
      <c r="K740" s="16"/>
      <c r="L740" s="16"/>
      <c r="M740" s="16"/>
    </row>
    <row r="741" spans="1:13" x14ac:dyDescent="0.25">
      <c r="A741" s="2"/>
      <c r="B741" s="16"/>
      <c r="C741" s="24"/>
      <c r="D741" s="16"/>
      <c r="E741" s="23"/>
      <c r="F741" s="16"/>
      <c r="G741" s="16"/>
      <c r="H741" s="16"/>
      <c r="I741" s="16"/>
      <c r="J741" s="16"/>
      <c r="K741" s="16"/>
      <c r="L741" s="16"/>
      <c r="M741" s="16"/>
    </row>
    <row r="742" spans="1:13" x14ac:dyDescent="0.25">
      <c r="A742" s="2"/>
      <c r="B742" s="16"/>
      <c r="C742" s="24"/>
      <c r="D742" s="16"/>
      <c r="E742" s="23"/>
      <c r="F742" s="16"/>
      <c r="G742" s="16"/>
      <c r="H742" s="16"/>
      <c r="I742" s="16"/>
      <c r="J742" s="16"/>
      <c r="K742" s="16"/>
      <c r="L742" s="16"/>
      <c r="M742" s="16"/>
    </row>
    <row r="743" spans="1:13" x14ac:dyDescent="0.25">
      <c r="A743" s="2"/>
      <c r="B743" s="16"/>
      <c r="C743" s="24"/>
      <c r="D743" s="16"/>
      <c r="E743" s="23"/>
      <c r="F743" s="16"/>
      <c r="G743" s="16"/>
      <c r="H743" s="16"/>
      <c r="I743" s="16"/>
      <c r="J743" s="16"/>
      <c r="K743" s="16"/>
      <c r="L743" s="16"/>
      <c r="M743" s="16"/>
    </row>
    <row r="744" spans="1:13" x14ac:dyDescent="0.25">
      <c r="A744" s="2"/>
      <c r="B744" s="16"/>
      <c r="C744" s="24"/>
      <c r="D744" s="16"/>
      <c r="E744" s="23"/>
      <c r="F744" s="16"/>
      <c r="G744" s="16"/>
      <c r="H744" s="16"/>
      <c r="I744" s="16"/>
      <c r="J744" s="16"/>
      <c r="K744" s="16"/>
      <c r="L744" s="16"/>
      <c r="M744" s="16"/>
    </row>
    <row r="745" spans="1:13" x14ac:dyDescent="0.25">
      <c r="A745" s="2"/>
      <c r="B745" s="16"/>
      <c r="C745" s="24"/>
      <c r="D745" s="16"/>
      <c r="E745" s="23"/>
      <c r="F745" s="16"/>
      <c r="G745" s="16"/>
      <c r="H745" s="16"/>
      <c r="I745" s="16"/>
      <c r="J745" s="16"/>
      <c r="K745" s="16"/>
      <c r="L745" s="16"/>
      <c r="M745" s="16"/>
    </row>
    <row r="746" spans="1:13" x14ac:dyDescent="0.25">
      <c r="A746" s="2"/>
      <c r="B746" s="16"/>
      <c r="C746" s="24"/>
      <c r="D746" s="16"/>
      <c r="E746" s="23"/>
      <c r="F746" s="16"/>
      <c r="G746" s="16"/>
      <c r="H746" s="16"/>
      <c r="I746" s="16"/>
      <c r="J746" s="16"/>
      <c r="K746" s="16"/>
      <c r="L746" s="16"/>
      <c r="M746" s="16"/>
    </row>
    <row r="747" spans="1:13" x14ac:dyDescent="0.25">
      <c r="A747" s="2"/>
      <c r="B747" s="16"/>
      <c r="C747" s="24"/>
      <c r="D747" s="16"/>
      <c r="E747" s="23"/>
      <c r="F747" s="16"/>
      <c r="G747" s="16"/>
      <c r="H747" s="16"/>
      <c r="I747" s="16"/>
      <c r="J747" s="16"/>
      <c r="K747" s="16"/>
      <c r="L747" s="16"/>
      <c r="M747" s="16"/>
    </row>
    <row r="748" spans="1:13" x14ac:dyDescent="0.25">
      <c r="A748" s="2"/>
      <c r="B748" s="16"/>
      <c r="C748" s="24"/>
      <c r="D748" s="16"/>
      <c r="E748" s="23"/>
      <c r="F748" s="16"/>
      <c r="G748" s="16"/>
      <c r="H748" s="16"/>
      <c r="I748" s="16"/>
      <c r="J748" s="16"/>
      <c r="K748" s="16"/>
      <c r="L748" s="16"/>
      <c r="M748" s="16"/>
    </row>
    <row r="749" spans="1:13" x14ac:dyDescent="0.25">
      <c r="A749" s="2"/>
      <c r="B749" s="16"/>
      <c r="C749" s="24"/>
      <c r="D749" s="16"/>
      <c r="E749" s="23"/>
      <c r="F749" s="16"/>
      <c r="G749" s="16"/>
      <c r="H749" s="16"/>
      <c r="I749" s="16"/>
      <c r="J749" s="16"/>
      <c r="K749" s="16"/>
      <c r="L749" s="16"/>
      <c r="M749" s="16"/>
    </row>
    <row r="750" spans="1:13" x14ac:dyDescent="0.25">
      <c r="A750" s="2"/>
      <c r="B750" s="16"/>
      <c r="C750" s="24"/>
      <c r="D750" s="16"/>
      <c r="E750" s="23"/>
      <c r="F750" s="16"/>
      <c r="G750" s="16"/>
      <c r="H750" s="16"/>
      <c r="I750" s="16"/>
      <c r="J750" s="16"/>
      <c r="K750" s="16"/>
      <c r="L750" s="16"/>
      <c r="M750" s="16"/>
    </row>
    <row r="751" spans="1:13" x14ac:dyDescent="0.25">
      <c r="A751" s="2"/>
      <c r="B751" s="16"/>
      <c r="C751" s="24"/>
      <c r="D751" s="16"/>
      <c r="E751" s="23"/>
      <c r="F751" s="16"/>
      <c r="G751" s="16"/>
      <c r="H751" s="16"/>
      <c r="I751" s="16"/>
      <c r="J751" s="16"/>
      <c r="K751" s="16"/>
      <c r="L751" s="16"/>
      <c r="M751" s="16"/>
    </row>
    <row r="752" spans="1:13" x14ac:dyDescent="0.25">
      <c r="A752" s="2"/>
      <c r="B752" s="16"/>
      <c r="C752" s="24"/>
      <c r="D752" s="16"/>
      <c r="E752" s="23"/>
      <c r="F752" s="16"/>
      <c r="G752" s="16"/>
      <c r="H752" s="16"/>
      <c r="I752" s="16"/>
      <c r="J752" s="16"/>
      <c r="K752" s="16"/>
      <c r="L752" s="16"/>
      <c r="M752" s="16"/>
    </row>
    <row r="753" spans="1:13" x14ac:dyDescent="0.25">
      <c r="A753" s="2"/>
      <c r="B753" s="16"/>
      <c r="C753" s="24"/>
      <c r="D753" s="16"/>
      <c r="E753" s="23"/>
      <c r="F753" s="16"/>
      <c r="G753" s="16"/>
      <c r="H753" s="16"/>
      <c r="I753" s="16"/>
      <c r="J753" s="16"/>
      <c r="K753" s="16"/>
      <c r="L753" s="16"/>
      <c r="M753" s="16"/>
    </row>
    <row r="754" spans="1:13" x14ac:dyDescent="0.25">
      <c r="A754" s="2"/>
      <c r="B754" s="16"/>
      <c r="C754" s="24"/>
      <c r="D754" s="16"/>
      <c r="E754" s="23"/>
      <c r="F754" s="16"/>
      <c r="G754" s="16"/>
      <c r="H754" s="16"/>
      <c r="I754" s="16"/>
      <c r="J754" s="16"/>
      <c r="K754" s="16"/>
      <c r="L754" s="16"/>
      <c r="M754" s="16"/>
    </row>
    <row r="755" spans="1:13" x14ac:dyDescent="0.25">
      <c r="A755" s="2"/>
      <c r="B755" s="16"/>
      <c r="C755" s="24"/>
      <c r="D755" s="16"/>
      <c r="E755" s="23"/>
      <c r="F755" s="16"/>
      <c r="G755" s="16"/>
      <c r="H755" s="16"/>
      <c r="I755" s="16"/>
      <c r="J755" s="16"/>
      <c r="K755" s="16"/>
      <c r="L755" s="16"/>
      <c r="M755" s="16"/>
    </row>
    <row r="756" spans="1:13" x14ac:dyDescent="0.25">
      <c r="A756" s="2"/>
      <c r="B756" s="16"/>
      <c r="C756" s="24"/>
      <c r="D756" s="16"/>
      <c r="E756" s="23"/>
      <c r="F756" s="16"/>
      <c r="G756" s="16"/>
      <c r="H756" s="16"/>
      <c r="I756" s="16"/>
      <c r="J756" s="16"/>
      <c r="K756" s="16"/>
      <c r="L756" s="16"/>
      <c r="M756" s="16"/>
    </row>
    <row r="757" spans="1:13" x14ac:dyDescent="0.25">
      <c r="A757" s="2"/>
      <c r="B757" s="16"/>
      <c r="C757" s="24"/>
      <c r="D757" s="16"/>
      <c r="E757" s="23"/>
      <c r="F757" s="16"/>
      <c r="G757" s="16"/>
      <c r="H757" s="16"/>
      <c r="I757" s="16"/>
      <c r="J757" s="16"/>
      <c r="K757" s="16"/>
      <c r="L757" s="16"/>
      <c r="M757" s="16"/>
    </row>
    <row r="758" spans="1:13" x14ac:dyDescent="0.25">
      <c r="A758" s="2"/>
      <c r="B758" s="16"/>
      <c r="C758" s="24"/>
      <c r="D758" s="16"/>
      <c r="E758" s="23"/>
      <c r="F758" s="16"/>
      <c r="G758" s="16"/>
      <c r="H758" s="16"/>
      <c r="I758" s="16"/>
      <c r="J758" s="16"/>
      <c r="K758" s="16"/>
      <c r="L758" s="16"/>
      <c r="M758" s="16"/>
    </row>
    <row r="759" spans="1:13" x14ac:dyDescent="0.25">
      <c r="A759" s="2"/>
      <c r="B759" s="16"/>
      <c r="C759" s="24"/>
      <c r="D759" s="16"/>
      <c r="E759" s="23"/>
      <c r="F759" s="16"/>
      <c r="G759" s="16"/>
      <c r="H759" s="16"/>
      <c r="I759" s="16"/>
      <c r="J759" s="16"/>
      <c r="K759" s="16"/>
      <c r="L759" s="16"/>
      <c r="M759" s="16"/>
    </row>
    <row r="760" spans="1:13" x14ac:dyDescent="0.25">
      <c r="A760" s="2"/>
      <c r="B760" s="16"/>
      <c r="C760" s="24"/>
      <c r="D760" s="16"/>
      <c r="E760" s="23"/>
      <c r="F760" s="16"/>
      <c r="G760" s="16"/>
      <c r="H760" s="16"/>
      <c r="I760" s="16"/>
      <c r="J760" s="16"/>
      <c r="K760" s="16"/>
      <c r="L760" s="16"/>
      <c r="M760" s="16"/>
    </row>
    <row r="761" spans="1:13" x14ac:dyDescent="0.25">
      <c r="A761" s="2"/>
      <c r="B761" s="16"/>
      <c r="C761" s="24"/>
      <c r="D761" s="16"/>
      <c r="E761" s="23"/>
      <c r="F761" s="16"/>
      <c r="G761" s="16"/>
      <c r="H761" s="16"/>
      <c r="I761" s="16"/>
      <c r="J761" s="16"/>
      <c r="K761" s="16"/>
      <c r="L761" s="16"/>
      <c r="M761" s="16"/>
    </row>
    <row r="762" spans="1:13" x14ac:dyDescent="0.25">
      <c r="A762" s="2"/>
      <c r="B762" s="16"/>
      <c r="C762" s="24"/>
      <c r="D762" s="16"/>
      <c r="E762" s="23"/>
      <c r="F762" s="16"/>
      <c r="G762" s="16"/>
      <c r="H762" s="16"/>
      <c r="I762" s="16"/>
      <c r="J762" s="16"/>
      <c r="K762" s="16"/>
      <c r="L762" s="16"/>
      <c r="M762" s="16"/>
    </row>
    <row r="763" spans="1:13" x14ac:dyDescent="0.25">
      <c r="A763" s="2"/>
      <c r="B763" s="16"/>
      <c r="C763" s="24"/>
      <c r="D763" s="16"/>
      <c r="E763" s="23"/>
      <c r="F763" s="16"/>
      <c r="G763" s="16"/>
      <c r="H763" s="16"/>
      <c r="I763" s="16"/>
      <c r="J763" s="16"/>
      <c r="K763" s="16"/>
      <c r="L763" s="16"/>
      <c r="M763" s="16"/>
    </row>
    <row r="764" spans="1:13" x14ac:dyDescent="0.25">
      <c r="A764" s="2"/>
      <c r="B764" s="16"/>
      <c r="C764" s="24"/>
      <c r="D764" s="16"/>
      <c r="E764" s="23"/>
      <c r="F764" s="16"/>
      <c r="G764" s="16"/>
      <c r="H764" s="16"/>
      <c r="I764" s="16"/>
      <c r="J764" s="16"/>
      <c r="K764" s="16"/>
      <c r="L764" s="16"/>
      <c r="M764" s="16"/>
    </row>
    <row r="765" spans="1:13" x14ac:dyDescent="0.25">
      <c r="A765" s="2"/>
      <c r="B765" s="16"/>
      <c r="C765" s="24"/>
      <c r="D765" s="16"/>
      <c r="E765" s="23"/>
      <c r="F765" s="16"/>
      <c r="G765" s="16"/>
      <c r="H765" s="16"/>
      <c r="I765" s="16"/>
      <c r="J765" s="16"/>
      <c r="K765" s="16"/>
      <c r="L765" s="16"/>
      <c r="M765" s="16"/>
    </row>
    <row r="766" spans="1:13" x14ac:dyDescent="0.25">
      <c r="A766" s="2"/>
      <c r="B766" s="16"/>
      <c r="C766" s="24"/>
      <c r="D766" s="16"/>
      <c r="E766" s="23"/>
      <c r="F766" s="16"/>
      <c r="G766" s="16"/>
      <c r="H766" s="16"/>
      <c r="I766" s="16"/>
      <c r="J766" s="16"/>
      <c r="K766" s="16"/>
      <c r="L766" s="16"/>
      <c r="M766" s="16"/>
    </row>
    <row r="767" spans="1:13" x14ac:dyDescent="0.25">
      <c r="A767" s="2"/>
      <c r="B767" s="16"/>
      <c r="C767" s="24"/>
      <c r="D767" s="16"/>
      <c r="E767" s="23"/>
      <c r="F767" s="16"/>
      <c r="G767" s="16"/>
      <c r="H767" s="16"/>
      <c r="I767" s="16"/>
      <c r="J767" s="16"/>
      <c r="K767" s="16"/>
      <c r="L767" s="16"/>
      <c r="M767" s="16"/>
    </row>
    <row r="768" spans="1:13" x14ac:dyDescent="0.25">
      <c r="A768" s="2"/>
      <c r="B768" s="16"/>
      <c r="C768" s="24"/>
      <c r="D768" s="16"/>
      <c r="E768" s="23"/>
      <c r="F768" s="16"/>
      <c r="G768" s="16"/>
      <c r="H768" s="16"/>
      <c r="I768" s="16"/>
      <c r="J768" s="16"/>
      <c r="K768" s="16"/>
      <c r="L768" s="16"/>
      <c r="M768" s="16"/>
    </row>
    <row r="769" spans="1:13" x14ac:dyDescent="0.25">
      <c r="A769" s="2"/>
      <c r="B769" s="16"/>
      <c r="C769" s="24"/>
      <c r="D769" s="16"/>
      <c r="E769" s="23"/>
      <c r="F769" s="16"/>
      <c r="G769" s="16"/>
      <c r="H769" s="16"/>
      <c r="I769" s="16"/>
      <c r="J769" s="16"/>
      <c r="K769" s="16"/>
      <c r="L769" s="16"/>
      <c r="M769" s="16"/>
    </row>
    <row r="770" spans="1:13" x14ac:dyDescent="0.25">
      <c r="A770" s="2"/>
      <c r="B770" s="16"/>
      <c r="C770" s="24"/>
      <c r="D770" s="16"/>
      <c r="E770" s="23"/>
      <c r="F770" s="16"/>
      <c r="G770" s="16"/>
      <c r="H770" s="16"/>
      <c r="I770" s="16"/>
      <c r="J770" s="16"/>
      <c r="K770" s="16"/>
      <c r="L770" s="16"/>
      <c r="M770" s="16"/>
    </row>
    <row r="771" spans="1:13" x14ac:dyDescent="0.25">
      <c r="A771" s="2"/>
      <c r="B771" s="16"/>
      <c r="C771" s="24"/>
      <c r="D771" s="16"/>
      <c r="E771" s="23"/>
      <c r="F771" s="16"/>
      <c r="G771" s="16"/>
      <c r="H771" s="16"/>
      <c r="I771" s="16"/>
      <c r="J771" s="16"/>
      <c r="K771" s="16"/>
      <c r="L771" s="16"/>
      <c r="M771" s="16"/>
    </row>
    <row r="772" spans="1:13" x14ac:dyDescent="0.25">
      <c r="A772" s="2"/>
      <c r="B772" s="16"/>
      <c r="C772" s="24"/>
      <c r="D772" s="16"/>
      <c r="E772" s="23"/>
      <c r="F772" s="16"/>
      <c r="G772" s="16"/>
      <c r="H772" s="16"/>
      <c r="I772" s="16"/>
      <c r="J772" s="16"/>
      <c r="K772" s="16"/>
      <c r="L772" s="16"/>
      <c r="M772" s="16"/>
    </row>
    <row r="773" spans="1:13" x14ac:dyDescent="0.25">
      <c r="A773" s="2"/>
      <c r="B773" s="16"/>
      <c r="C773" s="24"/>
      <c r="D773" s="16"/>
      <c r="E773" s="23"/>
      <c r="F773" s="16"/>
      <c r="G773" s="16"/>
      <c r="H773" s="16"/>
      <c r="I773" s="16"/>
      <c r="J773" s="16"/>
      <c r="K773" s="16"/>
      <c r="L773" s="16"/>
      <c r="M773" s="16"/>
    </row>
    <row r="774" spans="1:13" x14ac:dyDescent="0.25">
      <c r="A774" s="2"/>
      <c r="B774" s="16"/>
      <c r="C774" s="24"/>
      <c r="D774" s="16"/>
      <c r="E774" s="23"/>
      <c r="F774" s="16"/>
      <c r="G774" s="16"/>
      <c r="H774" s="16"/>
      <c r="I774" s="16"/>
      <c r="J774" s="16"/>
      <c r="K774" s="16"/>
      <c r="L774" s="16"/>
      <c r="M774" s="16"/>
    </row>
    <row r="775" spans="1:13" x14ac:dyDescent="0.25">
      <c r="A775" s="2"/>
      <c r="B775" s="16"/>
      <c r="C775" s="24"/>
      <c r="D775" s="16"/>
      <c r="E775" s="23"/>
      <c r="F775" s="16"/>
      <c r="G775" s="16"/>
      <c r="H775" s="16"/>
      <c r="I775" s="16"/>
      <c r="J775" s="16"/>
      <c r="K775" s="16"/>
      <c r="L775" s="16"/>
      <c r="M775" s="16"/>
    </row>
    <row r="776" spans="1:13" x14ac:dyDescent="0.25">
      <c r="A776" s="2"/>
      <c r="B776" s="16"/>
      <c r="C776" s="24"/>
      <c r="D776" s="16"/>
      <c r="E776" s="23"/>
      <c r="F776" s="16"/>
      <c r="G776" s="16"/>
      <c r="H776" s="16"/>
      <c r="I776" s="16"/>
      <c r="J776" s="16"/>
      <c r="K776" s="16"/>
      <c r="L776" s="16"/>
      <c r="M776" s="16"/>
    </row>
    <row r="777" spans="1:13" x14ac:dyDescent="0.25">
      <c r="A777" s="2"/>
      <c r="B777" s="16"/>
      <c r="C777" s="24"/>
      <c r="D777" s="16"/>
      <c r="E777" s="23"/>
      <c r="F777" s="16"/>
      <c r="G777" s="16"/>
      <c r="H777" s="16"/>
      <c r="I777" s="16"/>
      <c r="J777" s="16"/>
      <c r="K777" s="16"/>
      <c r="L777" s="16"/>
      <c r="M777" s="16"/>
    </row>
    <row r="778" spans="1:13" x14ac:dyDescent="0.25">
      <c r="A778" s="2"/>
      <c r="B778" s="16"/>
      <c r="C778" s="24"/>
      <c r="D778" s="16"/>
      <c r="E778" s="23"/>
      <c r="F778" s="16"/>
      <c r="G778" s="16"/>
      <c r="H778" s="16"/>
      <c r="I778" s="16"/>
      <c r="J778" s="16"/>
      <c r="K778" s="16"/>
      <c r="L778" s="16"/>
      <c r="M778" s="16"/>
    </row>
    <row r="779" spans="1:13" x14ac:dyDescent="0.25">
      <c r="A779" s="2"/>
      <c r="B779" s="16"/>
      <c r="C779" s="24"/>
      <c r="D779" s="16"/>
      <c r="E779" s="23"/>
      <c r="F779" s="16"/>
      <c r="G779" s="16"/>
      <c r="H779" s="16"/>
      <c r="I779" s="16"/>
      <c r="J779" s="16"/>
      <c r="K779" s="16"/>
      <c r="L779" s="16"/>
      <c r="M779" s="16"/>
    </row>
    <row r="780" spans="1:13" x14ac:dyDescent="0.25">
      <c r="A780" s="2"/>
      <c r="B780" s="16"/>
      <c r="C780" s="24"/>
      <c r="D780" s="16"/>
      <c r="E780" s="23"/>
      <c r="F780" s="16"/>
      <c r="G780" s="16"/>
      <c r="H780" s="16"/>
      <c r="I780" s="16"/>
      <c r="J780" s="16"/>
      <c r="K780" s="16"/>
      <c r="L780" s="16"/>
      <c r="M780" s="16"/>
    </row>
    <row r="781" spans="1:13" x14ac:dyDescent="0.25">
      <c r="A781" s="2"/>
      <c r="B781" s="16"/>
      <c r="C781" s="24"/>
      <c r="D781" s="16"/>
      <c r="E781" s="23"/>
      <c r="F781" s="16"/>
      <c r="G781" s="16"/>
      <c r="H781" s="16"/>
      <c r="I781" s="16"/>
      <c r="J781" s="16"/>
      <c r="K781" s="16"/>
      <c r="L781" s="16"/>
      <c r="M781" s="16"/>
    </row>
    <row r="782" spans="1:13" x14ac:dyDescent="0.25">
      <c r="A782" s="2"/>
      <c r="B782" s="16"/>
      <c r="C782" s="24"/>
      <c r="D782" s="16"/>
      <c r="E782" s="23"/>
      <c r="F782" s="16"/>
      <c r="G782" s="16"/>
      <c r="H782" s="16"/>
      <c r="I782" s="16"/>
      <c r="J782" s="16"/>
      <c r="K782" s="16"/>
      <c r="L782" s="16"/>
      <c r="M782" s="16"/>
    </row>
    <row r="783" spans="1:13" x14ac:dyDescent="0.25">
      <c r="A783" s="2"/>
      <c r="B783" s="16"/>
      <c r="C783" s="24"/>
      <c r="D783" s="16"/>
      <c r="E783" s="23"/>
      <c r="F783" s="16"/>
      <c r="G783" s="16"/>
      <c r="H783" s="16"/>
      <c r="I783" s="16"/>
      <c r="J783" s="16"/>
      <c r="K783" s="16"/>
      <c r="L783" s="16"/>
      <c r="M783" s="16"/>
    </row>
    <row r="784" spans="1:13" x14ac:dyDescent="0.25">
      <c r="A784" s="2"/>
      <c r="B784" s="16"/>
      <c r="C784" s="24"/>
      <c r="D784" s="16"/>
      <c r="E784" s="23"/>
      <c r="F784" s="16"/>
      <c r="G784" s="16"/>
      <c r="H784" s="16"/>
      <c r="I784" s="16"/>
      <c r="J784" s="16"/>
      <c r="K784" s="16"/>
      <c r="L784" s="16"/>
      <c r="M784" s="16"/>
    </row>
    <row r="785" spans="1:13" x14ac:dyDescent="0.25">
      <c r="A785" s="2"/>
      <c r="B785" s="16"/>
      <c r="C785" s="24"/>
      <c r="D785" s="16"/>
      <c r="E785" s="23"/>
      <c r="F785" s="16"/>
      <c r="G785" s="16"/>
      <c r="H785" s="16"/>
      <c r="I785" s="16"/>
      <c r="J785" s="16"/>
      <c r="K785" s="16"/>
      <c r="L785" s="16"/>
      <c r="M785" s="16"/>
    </row>
    <row r="786" spans="1:13" x14ac:dyDescent="0.25">
      <c r="A786" s="2"/>
      <c r="B786" s="16"/>
      <c r="C786" s="24"/>
      <c r="D786" s="16"/>
      <c r="E786" s="23"/>
      <c r="F786" s="16"/>
      <c r="G786" s="16"/>
      <c r="H786" s="16"/>
      <c r="I786" s="16"/>
      <c r="J786" s="16"/>
      <c r="K786" s="16"/>
      <c r="L786" s="16"/>
      <c r="M786" s="16"/>
    </row>
    <row r="787" spans="1:13" x14ac:dyDescent="0.25">
      <c r="A787" s="2"/>
      <c r="B787" s="16"/>
      <c r="C787" s="24"/>
      <c r="D787" s="16"/>
      <c r="E787" s="23"/>
      <c r="F787" s="16"/>
      <c r="G787" s="16"/>
      <c r="H787" s="16"/>
      <c r="I787" s="16"/>
      <c r="J787" s="16"/>
      <c r="K787" s="16"/>
      <c r="L787" s="16"/>
      <c r="M787" s="16"/>
    </row>
    <row r="788" spans="1:13" x14ac:dyDescent="0.25">
      <c r="A788" s="2"/>
      <c r="B788" s="16"/>
      <c r="C788" s="24"/>
      <c r="D788" s="16"/>
      <c r="E788" s="23"/>
      <c r="F788" s="16"/>
      <c r="G788" s="16"/>
      <c r="H788" s="16"/>
      <c r="I788" s="16"/>
      <c r="J788" s="16"/>
      <c r="K788" s="16"/>
      <c r="L788" s="16"/>
      <c r="M788" s="16"/>
    </row>
    <row r="789" spans="1:13" x14ac:dyDescent="0.25">
      <c r="A789" s="2"/>
      <c r="B789" s="16"/>
      <c r="C789" s="24"/>
      <c r="D789" s="16"/>
      <c r="E789" s="23"/>
      <c r="F789" s="16"/>
      <c r="G789" s="16"/>
      <c r="H789" s="16"/>
      <c r="I789" s="16"/>
      <c r="J789" s="16"/>
      <c r="K789" s="16"/>
      <c r="L789" s="16"/>
      <c r="M789" s="16"/>
    </row>
    <row r="790" spans="1:13" x14ac:dyDescent="0.25">
      <c r="A790" s="2"/>
      <c r="B790" s="16"/>
      <c r="C790" s="24"/>
      <c r="D790" s="16"/>
      <c r="E790" s="23"/>
      <c r="F790" s="16"/>
      <c r="G790" s="16"/>
      <c r="H790" s="16"/>
      <c r="I790" s="16"/>
      <c r="J790" s="16"/>
      <c r="K790" s="16"/>
      <c r="L790" s="16"/>
      <c r="M790" s="16"/>
    </row>
    <row r="791" spans="1:13" x14ac:dyDescent="0.25">
      <c r="A791" s="2"/>
      <c r="B791" s="16"/>
      <c r="C791" s="24"/>
      <c r="D791" s="16"/>
      <c r="E791" s="23"/>
      <c r="F791" s="16"/>
      <c r="G791" s="16"/>
      <c r="H791" s="16"/>
      <c r="I791" s="16"/>
      <c r="J791" s="16"/>
      <c r="K791" s="16"/>
      <c r="L791" s="16"/>
      <c r="M791" s="16"/>
    </row>
    <row r="792" spans="1:13" x14ac:dyDescent="0.25">
      <c r="A792" s="2"/>
      <c r="B792" s="16"/>
      <c r="C792" s="24"/>
      <c r="D792" s="16"/>
      <c r="E792" s="23"/>
      <c r="F792" s="16"/>
      <c r="G792" s="16"/>
      <c r="H792" s="16"/>
      <c r="I792" s="16"/>
      <c r="J792" s="16"/>
      <c r="K792" s="16"/>
      <c r="L792" s="16"/>
      <c r="M792" s="16"/>
    </row>
    <row r="793" spans="1:13" x14ac:dyDescent="0.25">
      <c r="A793" s="2"/>
      <c r="B793" s="16"/>
      <c r="C793" s="24"/>
      <c r="D793" s="16"/>
      <c r="E793" s="23"/>
      <c r="F793" s="16"/>
      <c r="G793" s="16"/>
      <c r="H793" s="16"/>
      <c r="I793" s="16"/>
      <c r="J793" s="16"/>
      <c r="K793" s="16"/>
      <c r="L793" s="16"/>
      <c r="M793" s="16"/>
    </row>
    <row r="794" spans="1:13" x14ac:dyDescent="0.25">
      <c r="A794" s="2"/>
      <c r="B794" s="16"/>
      <c r="C794" s="24"/>
      <c r="D794" s="16"/>
      <c r="E794" s="23"/>
      <c r="F794" s="16"/>
      <c r="G794" s="16"/>
      <c r="H794" s="16"/>
      <c r="I794" s="16"/>
      <c r="J794" s="16"/>
      <c r="K794" s="16"/>
      <c r="L794" s="16"/>
      <c r="M794" s="16"/>
    </row>
    <row r="795" spans="1:13" x14ac:dyDescent="0.25">
      <c r="A795" s="2"/>
      <c r="B795" s="16"/>
      <c r="C795" s="24"/>
      <c r="D795" s="16"/>
      <c r="E795" s="23"/>
      <c r="F795" s="16"/>
      <c r="G795" s="16"/>
      <c r="H795" s="16"/>
      <c r="I795" s="16"/>
      <c r="J795" s="16"/>
      <c r="K795" s="16"/>
      <c r="L795" s="16"/>
      <c r="M795" s="16"/>
    </row>
    <row r="796" spans="1:13" x14ac:dyDescent="0.25">
      <c r="A796" s="2"/>
      <c r="B796" s="16"/>
      <c r="C796" s="24"/>
      <c r="D796" s="16"/>
      <c r="E796" s="23"/>
      <c r="F796" s="16"/>
      <c r="G796" s="16"/>
      <c r="H796" s="16"/>
      <c r="I796" s="16"/>
      <c r="J796" s="16"/>
      <c r="K796" s="16"/>
      <c r="L796" s="16"/>
      <c r="M796" s="16"/>
    </row>
    <row r="797" spans="1:13" x14ac:dyDescent="0.25">
      <c r="A797" s="2"/>
      <c r="B797" s="16"/>
      <c r="C797" s="24"/>
      <c r="D797" s="16"/>
      <c r="E797" s="23"/>
      <c r="F797" s="16"/>
      <c r="G797" s="16"/>
      <c r="H797" s="16"/>
      <c r="I797" s="16"/>
      <c r="J797" s="16"/>
      <c r="K797" s="16"/>
      <c r="L797" s="16"/>
      <c r="M797" s="16"/>
    </row>
    <row r="798" spans="1:13" x14ac:dyDescent="0.25">
      <c r="A798" s="2"/>
      <c r="B798" s="16"/>
      <c r="C798" s="24"/>
      <c r="D798" s="16"/>
      <c r="E798" s="23"/>
      <c r="F798" s="16"/>
      <c r="G798" s="16"/>
      <c r="H798" s="16"/>
      <c r="I798" s="16"/>
      <c r="J798" s="16"/>
      <c r="K798" s="16"/>
      <c r="L798" s="16"/>
      <c r="M798" s="16"/>
    </row>
    <row r="799" spans="1:13" x14ac:dyDescent="0.25">
      <c r="A799" s="2"/>
      <c r="B799" s="16"/>
      <c r="C799" s="24"/>
      <c r="D799" s="16"/>
      <c r="E799" s="23"/>
      <c r="F799" s="16"/>
      <c r="G799" s="16"/>
      <c r="H799" s="16"/>
      <c r="I799" s="16"/>
      <c r="J799" s="16"/>
      <c r="K799" s="16"/>
      <c r="L799" s="16"/>
      <c r="M799" s="16"/>
    </row>
    <row r="800" spans="1:13" x14ac:dyDescent="0.25">
      <c r="A800" s="2"/>
      <c r="B800" s="16"/>
      <c r="C800" s="24"/>
      <c r="D800" s="16"/>
      <c r="E800" s="23"/>
      <c r="F800" s="16"/>
      <c r="G800" s="16"/>
      <c r="H800" s="16"/>
      <c r="I800" s="16"/>
      <c r="J800" s="16"/>
      <c r="K800" s="16"/>
      <c r="L800" s="16"/>
      <c r="M800" s="16"/>
    </row>
    <row r="801" spans="1:13" x14ac:dyDescent="0.25">
      <c r="A801" s="2"/>
      <c r="B801" s="16"/>
      <c r="C801" s="24"/>
      <c r="D801" s="16"/>
      <c r="E801" s="23"/>
      <c r="F801" s="16"/>
      <c r="G801" s="16"/>
      <c r="H801" s="16"/>
      <c r="I801" s="16"/>
      <c r="J801" s="16"/>
      <c r="K801" s="16"/>
      <c r="L801" s="16"/>
      <c r="M801" s="16"/>
    </row>
    <row r="802" spans="1:13" x14ac:dyDescent="0.25">
      <c r="A802" s="2"/>
      <c r="B802" s="16"/>
      <c r="C802" s="24"/>
      <c r="D802" s="16"/>
      <c r="E802" s="23"/>
      <c r="F802" s="16"/>
      <c r="G802" s="16"/>
      <c r="H802" s="16"/>
      <c r="I802" s="16"/>
      <c r="J802" s="16"/>
      <c r="K802" s="16"/>
      <c r="L802" s="16"/>
      <c r="M802" s="16"/>
    </row>
    <row r="803" spans="1:13" x14ac:dyDescent="0.25">
      <c r="A803" s="2"/>
      <c r="B803" s="16"/>
      <c r="C803" s="24"/>
      <c r="D803" s="16"/>
      <c r="E803" s="23"/>
      <c r="F803" s="16"/>
      <c r="G803" s="16"/>
      <c r="H803" s="16"/>
      <c r="I803" s="16"/>
      <c r="J803" s="16"/>
      <c r="K803" s="16"/>
      <c r="L803" s="16"/>
      <c r="M803" s="16"/>
    </row>
    <row r="804" spans="1:13" x14ac:dyDescent="0.25">
      <c r="A804" s="2"/>
      <c r="B804" s="16"/>
      <c r="C804" s="24"/>
      <c r="D804" s="16"/>
      <c r="E804" s="23"/>
      <c r="F804" s="16"/>
      <c r="G804" s="16"/>
      <c r="H804" s="16"/>
      <c r="I804" s="16"/>
      <c r="J804" s="16"/>
      <c r="K804" s="16"/>
      <c r="L804" s="16"/>
      <c r="M804" s="16"/>
    </row>
    <row r="805" spans="1:13" x14ac:dyDescent="0.25">
      <c r="A805" s="2"/>
      <c r="B805" s="16"/>
      <c r="C805" s="24"/>
      <c r="D805" s="16"/>
      <c r="E805" s="23"/>
      <c r="F805" s="16"/>
      <c r="G805" s="16"/>
      <c r="H805" s="16"/>
      <c r="I805" s="16"/>
      <c r="J805" s="16"/>
      <c r="K805" s="16"/>
      <c r="L805" s="16"/>
      <c r="M805" s="16"/>
    </row>
    <row r="806" spans="1:13" x14ac:dyDescent="0.25">
      <c r="A806" s="2"/>
      <c r="B806" s="16"/>
      <c r="C806" s="24"/>
      <c r="D806" s="16"/>
      <c r="E806" s="23"/>
      <c r="F806" s="16"/>
      <c r="G806" s="16"/>
      <c r="H806" s="16"/>
      <c r="I806" s="16"/>
      <c r="J806" s="16"/>
      <c r="K806" s="16"/>
      <c r="L806" s="16"/>
      <c r="M806" s="16"/>
    </row>
    <row r="807" spans="1:13" x14ac:dyDescent="0.25">
      <c r="A807" s="2"/>
      <c r="B807" s="16"/>
      <c r="C807" s="24"/>
      <c r="D807" s="16"/>
      <c r="E807" s="23"/>
      <c r="F807" s="16"/>
      <c r="G807" s="16"/>
      <c r="H807" s="16"/>
      <c r="I807" s="16"/>
      <c r="J807" s="16"/>
      <c r="K807" s="16"/>
      <c r="L807" s="16"/>
      <c r="M807" s="16"/>
    </row>
    <row r="808" spans="1:13" x14ac:dyDescent="0.25">
      <c r="A808" s="2"/>
      <c r="B808" s="16"/>
      <c r="C808" s="24"/>
      <c r="D808" s="16"/>
      <c r="E808" s="23"/>
      <c r="F808" s="16"/>
      <c r="G808" s="16"/>
      <c r="H808" s="16"/>
      <c r="I808" s="16"/>
      <c r="J808" s="16"/>
      <c r="K808" s="16"/>
      <c r="L808" s="16"/>
      <c r="M808" s="16"/>
    </row>
    <row r="809" spans="1:13" x14ac:dyDescent="0.25">
      <c r="A809" s="2"/>
      <c r="B809" s="16"/>
      <c r="C809" s="24"/>
      <c r="D809" s="16"/>
      <c r="E809" s="23"/>
      <c r="F809" s="16"/>
      <c r="G809" s="16"/>
      <c r="H809" s="16"/>
      <c r="I809" s="16"/>
      <c r="J809" s="16"/>
      <c r="K809" s="16"/>
      <c r="L809" s="16"/>
      <c r="M809" s="16"/>
    </row>
    <row r="810" spans="1:13" x14ac:dyDescent="0.25">
      <c r="A810" s="2"/>
      <c r="B810" s="16"/>
      <c r="C810" s="24"/>
      <c r="D810" s="16"/>
      <c r="E810" s="23"/>
      <c r="F810" s="16"/>
      <c r="G810" s="16"/>
      <c r="H810" s="16"/>
      <c r="I810" s="16"/>
      <c r="J810" s="16"/>
      <c r="K810" s="16"/>
      <c r="L810" s="16"/>
      <c r="M810" s="16"/>
    </row>
    <row r="811" spans="1:13" x14ac:dyDescent="0.25">
      <c r="A811" s="2"/>
      <c r="B811" s="16"/>
      <c r="C811" s="24"/>
      <c r="D811" s="16"/>
      <c r="E811" s="23"/>
      <c r="F811" s="16"/>
      <c r="G811" s="16"/>
      <c r="H811" s="16"/>
      <c r="I811" s="16"/>
      <c r="J811" s="16"/>
      <c r="K811" s="16"/>
      <c r="L811" s="16"/>
      <c r="M811" s="16"/>
    </row>
    <row r="812" spans="1:13" x14ac:dyDescent="0.25">
      <c r="A812" s="2"/>
      <c r="B812" s="16"/>
      <c r="C812" s="24"/>
      <c r="D812" s="16"/>
      <c r="E812" s="23"/>
      <c r="F812" s="16"/>
      <c r="G812" s="16"/>
      <c r="H812" s="16"/>
      <c r="I812" s="16"/>
      <c r="J812" s="16"/>
      <c r="K812" s="16"/>
      <c r="L812" s="16"/>
      <c r="M812" s="16"/>
    </row>
    <row r="813" spans="1:13" x14ac:dyDescent="0.25">
      <c r="A813" s="2"/>
      <c r="B813" s="16"/>
      <c r="C813" s="24"/>
      <c r="D813" s="16"/>
      <c r="E813" s="23"/>
      <c r="F813" s="16"/>
      <c r="G813" s="16"/>
      <c r="H813" s="16"/>
      <c r="I813" s="16"/>
      <c r="J813" s="16"/>
      <c r="K813" s="16"/>
      <c r="L813" s="16"/>
      <c r="M813" s="16"/>
    </row>
    <row r="814" spans="1:13" x14ac:dyDescent="0.25">
      <c r="A814" s="2"/>
      <c r="B814" s="16"/>
      <c r="C814" s="24"/>
      <c r="D814" s="16"/>
      <c r="E814" s="23"/>
      <c r="F814" s="16"/>
      <c r="G814" s="16"/>
      <c r="H814" s="16"/>
      <c r="I814" s="16"/>
      <c r="J814" s="16"/>
      <c r="K814" s="16"/>
      <c r="L814" s="16"/>
      <c r="M814" s="16"/>
    </row>
    <row r="815" spans="1:13" x14ac:dyDescent="0.25">
      <c r="A815" s="2"/>
      <c r="B815" s="16"/>
      <c r="C815" s="24"/>
      <c r="D815" s="16"/>
      <c r="E815" s="23"/>
      <c r="F815" s="16"/>
      <c r="G815" s="16"/>
      <c r="H815" s="16"/>
      <c r="I815" s="16"/>
      <c r="J815" s="16"/>
      <c r="K815" s="16"/>
      <c r="L815" s="16"/>
      <c r="M815" s="16"/>
    </row>
    <row r="816" spans="1:13" x14ac:dyDescent="0.25">
      <c r="A816" s="2"/>
      <c r="B816" s="16"/>
      <c r="C816" s="24"/>
      <c r="D816" s="16"/>
      <c r="E816" s="23"/>
      <c r="F816" s="16"/>
      <c r="G816" s="16"/>
      <c r="H816" s="16"/>
      <c r="I816" s="16"/>
      <c r="J816" s="16"/>
      <c r="K816" s="16"/>
      <c r="L816" s="16"/>
      <c r="M816" s="16"/>
    </row>
    <row r="817" spans="1:13" x14ac:dyDescent="0.25">
      <c r="A817" s="2"/>
      <c r="B817" s="16"/>
      <c r="C817" s="24"/>
      <c r="D817" s="16"/>
      <c r="E817" s="23"/>
      <c r="F817" s="16"/>
      <c r="G817" s="16"/>
      <c r="H817" s="16"/>
      <c r="I817" s="16"/>
      <c r="J817" s="16"/>
      <c r="K817" s="16"/>
      <c r="L817" s="16"/>
      <c r="M817" s="16"/>
    </row>
    <row r="818" spans="1:13" x14ac:dyDescent="0.25">
      <c r="A818" s="2"/>
      <c r="B818" s="16"/>
      <c r="C818" s="24"/>
      <c r="D818" s="16"/>
      <c r="E818" s="23"/>
      <c r="F818" s="16"/>
      <c r="G818" s="16"/>
      <c r="H818" s="16"/>
      <c r="I818" s="16"/>
      <c r="J818" s="16"/>
      <c r="K818" s="16"/>
      <c r="L818" s="16"/>
      <c r="M818" s="16"/>
    </row>
    <row r="819" spans="1:13" x14ac:dyDescent="0.25">
      <c r="A819" s="2"/>
      <c r="B819" s="16"/>
      <c r="C819" s="24"/>
      <c r="D819" s="16"/>
      <c r="E819" s="23"/>
      <c r="F819" s="16"/>
      <c r="G819" s="16"/>
      <c r="H819" s="16"/>
      <c r="I819" s="16"/>
      <c r="J819" s="16"/>
      <c r="K819" s="16"/>
      <c r="L819" s="16"/>
      <c r="M819" s="16"/>
    </row>
    <row r="820" spans="1:13" x14ac:dyDescent="0.25">
      <c r="A820" s="2"/>
      <c r="B820" s="16"/>
      <c r="C820" s="24"/>
      <c r="D820" s="16"/>
      <c r="E820" s="23"/>
      <c r="F820" s="16"/>
      <c r="G820" s="16"/>
      <c r="H820" s="16"/>
      <c r="I820" s="16"/>
      <c r="J820" s="16"/>
      <c r="K820" s="16"/>
      <c r="L820" s="16"/>
      <c r="M820" s="16"/>
    </row>
    <row r="821" spans="1:13" x14ac:dyDescent="0.25">
      <c r="A821" s="2"/>
      <c r="B821" s="16"/>
      <c r="C821" s="24"/>
      <c r="D821" s="16"/>
      <c r="E821" s="23"/>
      <c r="F821" s="16"/>
      <c r="G821" s="16"/>
      <c r="H821" s="16"/>
      <c r="I821" s="16"/>
      <c r="J821" s="16"/>
      <c r="K821" s="16"/>
      <c r="L821" s="16"/>
      <c r="M821" s="16"/>
    </row>
    <row r="822" spans="1:13" x14ac:dyDescent="0.25">
      <c r="A822" s="2"/>
      <c r="B822" s="16"/>
      <c r="C822" s="24"/>
      <c r="D822" s="16"/>
      <c r="E822" s="23"/>
      <c r="F822" s="16"/>
      <c r="G822" s="16"/>
      <c r="H822" s="16"/>
      <c r="I822" s="16"/>
      <c r="J822" s="16"/>
      <c r="K822" s="16"/>
      <c r="L822" s="16"/>
      <c r="M822" s="16"/>
    </row>
    <row r="823" spans="1:13" x14ac:dyDescent="0.25">
      <c r="A823" s="2"/>
      <c r="B823" s="16"/>
      <c r="C823" s="24"/>
      <c r="D823" s="16"/>
      <c r="E823" s="23"/>
      <c r="F823" s="16"/>
      <c r="G823" s="16"/>
      <c r="H823" s="16"/>
      <c r="I823" s="16"/>
      <c r="J823" s="16"/>
      <c r="K823" s="16"/>
      <c r="L823" s="16"/>
      <c r="M823" s="16"/>
    </row>
    <row r="824" spans="1:13" x14ac:dyDescent="0.25">
      <c r="A824" s="2"/>
      <c r="B824" s="16"/>
      <c r="C824" s="24"/>
      <c r="D824" s="16"/>
      <c r="E824" s="23"/>
      <c r="F824" s="16"/>
      <c r="G824" s="16"/>
      <c r="H824" s="16"/>
      <c r="I824" s="16"/>
      <c r="J824" s="16"/>
      <c r="K824" s="16"/>
      <c r="L824" s="16"/>
      <c r="M824" s="16"/>
    </row>
    <row r="825" spans="1:13" x14ac:dyDescent="0.25">
      <c r="A825" s="2"/>
      <c r="B825" s="16"/>
      <c r="C825" s="24"/>
      <c r="D825" s="16"/>
      <c r="E825" s="23"/>
      <c r="F825" s="16"/>
      <c r="G825" s="16"/>
      <c r="H825" s="16"/>
      <c r="I825" s="16"/>
      <c r="J825" s="16"/>
      <c r="K825" s="16"/>
      <c r="L825" s="16"/>
      <c r="M825" s="16"/>
    </row>
    <row r="826" spans="1:13" x14ac:dyDescent="0.25">
      <c r="A826" s="2"/>
      <c r="B826" s="16"/>
      <c r="C826" s="24"/>
      <c r="D826" s="16"/>
      <c r="E826" s="23"/>
      <c r="F826" s="16"/>
      <c r="G826" s="16"/>
      <c r="H826" s="16"/>
      <c r="I826" s="16"/>
      <c r="J826" s="16"/>
      <c r="K826" s="16"/>
      <c r="L826" s="16"/>
      <c r="M826" s="16"/>
    </row>
    <row r="827" spans="1:13" x14ac:dyDescent="0.25">
      <c r="A827" s="2"/>
      <c r="B827" s="16"/>
      <c r="C827" s="24"/>
      <c r="D827" s="16"/>
      <c r="E827" s="23"/>
      <c r="F827" s="16"/>
      <c r="G827" s="16"/>
      <c r="H827" s="16"/>
      <c r="I827" s="16"/>
      <c r="J827" s="16"/>
      <c r="K827" s="16"/>
      <c r="L827" s="16"/>
      <c r="M827" s="16"/>
    </row>
    <row r="828" spans="1:13" x14ac:dyDescent="0.25">
      <c r="A828" s="2"/>
      <c r="B828" s="16"/>
      <c r="C828" s="24"/>
      <c r="D828" s="16"/>
      <c r="E828" s="23"/>
      <c r="F828" s="16"/>
      <c r="G828" s="16"/>
      <c r="H828" s="16"/>
      <c r="I828" s="16"/>
      <c r="J828" s="16"/>
      <c r="K828" s="16"/>
      <c r="L828" s="16"/>
      <c r="M828" s="16"/>
    </row>
    <row r="829" spans="1:13" x14ac:dyDescent="0.25">
      <c r="A829" s="2"/>
      <c r="B829" s="16"/>
      <c r="C829" s="24"/>
      <c r="D829" s="16"/>
      <c r="E829" s="23"/>
      <c r="F829" s="16"/>
      <c r="G829" s="16"/>
      <c r="H829" s="16"/>
      <c r="I829" s="16"/>
      <c r="J829" s="16"/>
      <c r="K829" s="16"/>
      <c r="L829" s="16"/>
      <c r="M829" s="16"/>
    </row>
    <row r="830" spans="1:13" x14ac:dyDescent="0.25">
      <c r="A830" s="2"/>
      <c r="B830" s="16"/>
      <c r="C830" s="24"/>
      <c r="D830" s="16"/>
      <c r="E830" s="23"/>
      <c r="F830" s="16"/>
      <c r="G830" s="16"/>
      <c r="H830" s="16"/>
      <c r="I830" s="16"/>
      <c r="J830" s="16"/>
      <c r="K830" s="16"/>
      <c r="L830" s="16"/>
      <c r="M830" s="16"/>
    </row>
    <row r="831" spans="1:13" x14ac:dyDescent="0.25">
      <c r="A831" s="2"/>
      <c r="B831" s="16"/>
      <c r="C831" s="24"/>
      <c r="D831" s="16"/>
      <c r="E831" s="23"/>
      <c r="F831" s="16"/>
      <c r="G831" s="16"/>
      <c r="H831" s="16"/>
      <c r="I831" s="16"/>
      <c r="J831" s="16"/>
      <c r="K831" s="16"/>
      <c r="L831" s="16"/>
      <c r="M831" s="16"/>
    </row>
    <row r="832" spans="1:13" x14ac:dyDescent="0.25">
      <c r="A832" s="2"/>
      <c r="B832" s="16"/>
      <c r="C832" s="24"/>
      <c r="D832" s="16"/>
      <c r="E832" s="23"/>
      <c r="F832" s="16"/>
      <c r="G832" s="16"/>
      <c r="H832" s="16"/>
      <c r="I832" s="16"/>
      <c r="J832" s="16"/>
      <c r="K832" s="16"/>
      <c r="L832" s="16"/>
      <c r="M832" s="16"/>
    </row>
    <row r="833" spans="1:13" x14ac:dyDescent="0.25">
      <c r="A833" s="2"/>
      <c r="B833" s="16"/>
      <c r="C833" s="24"/>
      <c r="D833" s="16"/>
      <c r="E833" s="23"/>
      <c r="F833" s="16"/>
      <c r="G833" s="16"/>
      <c r="H833" s="16"/>
      <c r="I833" s="16"/>
      <c r="J833" s="16"/>
      <c r="K833" s="16"/>
      <c r="L833" s="16"/>
      <c r="M833" s="16"/>
    </row>
    <row r="834" spans="1:13" x14ac:dyDescent="0.25">
      <c r="A834" s="2"/>
      <c r="B834" s="16"/>
      <c r="C834" s="24"/>
      <c r="D834" s="16"/>
      <c r="E834" s="23"/>
      <c r="F834" s="16"/>
      <c r="G834" s="16"/>
      <c r="H834" s="16"/>
      <c r="I834" s="16"/>
      <c r="J834" s="16"/>
      <c r="K834" s="16"/>
      <c r="L834" s="16"/>
      <c r="M834" s="16"/>
    </row>
    <row r="835" spans="1:13" x14ac:dyDescent="0.25">
      <c r="A835" s="2"/>
      <c r="B835" s="16"/>
      <c r="C835" s="24"/>
      <c r="D835" s="16"/>
      <c r="E835" s="23"/>
      <c r="F835" s="16"/>
      <c r="G835" s="16"/>
      <c r="H835" s="16"/>
      <c r="I835" s="16"/>
      <c r="J835" s="16"/>
      <c r="K835" s="16"/>
      <c r="L835" s="16"/>
      <c r="M835" s="16"/>
    </row>
    <row r="836" spans="1:13" x14ac:dyDescent="0.25">
      <c r="A836" s="2"/>
      <c r="B836" s="16"/>
      <c r="C836" s="24"/>
      <c r="D836" s="16"/>
      <c r="E836" s="23"/>
      <c r="F836" s="16"/>
      <c r="G836" s="16"/>
      <c r="H836" s="16"/>
      <c r="I836" s="16"/>
      <c r="J836" s="16"/>
      <c r="K836" s="16"/>
      <c r="L836" s="16"/>
      <c r="M836" s="16"/>
    </row>
    <row r="837" spans="1:13" x14ac:dyDescent="0.25">
      <c r="A837" s="2"/>
      <c r="B837" s="16"/>
      <c r="C837" s="24"/>
      <c r="D837" s="16"/>
      <c r="E837" s="23"/>
      <c r="F837" s="16"/>
      <c r="G837" s="16"/>
      <c r="H837" s="16"/>
      <c r="I837" s="16"/>
      <c r="J837" s="16"/>
      <c r="K837" s="16"/>
      <c r="L837" s="16"/>
      <c r="M837" s="16"/>
    </row>
    <row r="838" spans="1:13" x14ac:dyDescent="0.25">
      <c r="A838" s="2"/>
      <c r="B838" s="16"/>
      <c r="C838" s="24"/>
      <c r="D838" s="16"/>
      <c r="E838" s="23"/>
      <c r="F838" s="16"/>
      <c r="G838" s="16"/>
      <c r="H838" s="16"/>
      <c r="I838" s="16"/>
      <c r="J838" s="16"/>
      <c r="K838" s="16"/>
      <c r="L838" s="16"/>
      <c r="M838" s="16"/>
    </row>
    <row r="839" spans="1:13" x14ac:dyDescent="0.25">
      <c r="A839" s="2"/>
      <c r="B839" s="16"/>
      <c r="C839" s="24"/>
      <c r="D839" s="16"/>
      <c r="E839" s="23"/>
      <c r="F839" s="16"/>
      <c r="G839" s="16"/>
      <c r="H839" s="16"/>
      <c r="I839" s="16"/>
      <c r="J839" s="16"/>
      <c r="K839" s="16"/>
      <c r="L839" s="16"/>
      <c r="M839" s="16"/>
    </row>
    <row r="840" spans="1:13" x14ac:dyDescent="0.25">
      <c r="A840" s="2"/>
      <c r="B840" s="16"/>
      <c r="C840" s="24"/>
      <c r="D840" s="16"/>
      <c r="E840" s="23"/>
      <c r="F840" s="16"/>
      <c r="G840" s="16"/>
      <c r="H840" s="16"/>
      <c r="I840" s="16"/>
      <c r="J840" s="16"/>
      <c r="K840" s="16"/>
      <c r="L840" s="16"/>
      <c r="M840" s="16"/>
    </row>
    <row r="841" spans="1:13" x14ac:dyDescent="0.25">
      <c r="A841" s="2"/>
      <c r="B841" s="16"/>
      <c r="C841" s="24"/>
      <c r="D841" s="16"/>
      <c r="E841" s="23"/>
      <c r="F841" s="16"/>
      <c r="G841" s="16"/>
      <c r="H841" s="16"/>
      <c r="I841" s="16"/>
      <c r="J841" s="16"/>
      <c r="K841" s="16"/>
      <c r="L841" s="16"/>
      <c r="M841" s="16"/>
    </row>
    <row r="842" spans="1:13" x14ac:dyDescent="0.25">
      <c r="A842" s="2"/>
      <c r="B842" s="16"/>
      <c r="C842" s="24"/>
      <c r="D842" s="16"/>
      <c r="E842" s="23"/>
      <c r="F842" s="16"/>
      <c r="G842" s="16"/>
      <c r="H842" s="16"/>
      <c r="I842" s="16"/>
      <c r="J842" s="16"/>
      <c r="K842" s="16"/>
      <c r="L842" s="16"/>
      <c r="M842" s="16"/>
    </row>
    <row r="843" spans="1:13" x14ac:dyDescent="0.25">
      <c r="A843" s="2"/>
      <c r="B843" s="16"/>
      <c r="C843" s="24"/>
      <c r="D843" s="16"/>
      <c r="E843" s="23"/>
      <c r="F843" s="16"/>
      <c r="G843" s="16"/>
      <c r="H843" s="16"/>
      <c r="I843" s="16"/>
      <c r="J843" s="16"/>
      <c r="K843" s="16"/>
      <c r="L843" s="16"/>
      <c r="M843" s="16"/>
    </row>
    <row r="844" spans="1:13" x14ac:dyDescent="0.25">
      <c r="A844" s="2"/>
      <c r="B844" s="16"/>
      <c r="C844" s="24"/>
      <c r="D844" s="16"/>
      <c r="E844" s="23"/>
      <c r="F844" s="16"/>
      <c r="G844" s="16"/>
      <c r="H844" s="16"/>
      <c r="I844" s="16"/>
      <c r="J844" s="16"/>
      <c r="K844" s="16"/>
      <c r="L844" s="16"/>
      <c r="M844" s="16"/>
    </row>
    <row r="845" spans="1:13" x14ac:dyDescent="0.25">
      <c r="A845" s="2"/>
      <c r="B845" s="16"/>
      <c r="C845" s="24"/>
      <c r="D845" s="16"/>
      <c r="E845" s="23"/>
      <c r="F845" s="16"/>
      <c r="G845" s="16"/>
      <c r="H845" s="16"/>
      <c r="I845" s="16"/>
      <c r="J845" s="16"/>
      <c r="K845" s="16"/>
      <c r="L845" s="16"/>
      <c r="M845" s="16"/>
    </row>
    <row r="846" spans="1:13" x14ac:dyDescent="0.25">
      <c r="A846" s="2"/>
      <c r="B846" s="16"/>
      <c r="C846" s="24"/>
      <c r="D846" s="16"/>
      <c r="E846" s="23"/>
      <c r="F846" s="16"/>
      <c r="G846" s="16"/>
      <c r="H846" s="16"/>
      <c r="I846" s="16"/>
      <c r="J846" s="16"/>
      <c r="K846" s="16"/>
      <c r="L846" s="16"/>
      <c r="M846" s="16"/>
    </row>
    <row r="847" spans="1:13" x14ac:dyDescent="0.25">
      <c r="A847" s="2"/>
      <c r="B847" s="16"/>
      <c r="C847" s="24"/>
      <c r="D847" s="16"/>
      <c r="E847" s="23"/>
      <c r="F847" s="16"/>
      <c r="G847" s="16"/>
      <c r="H847" s="16"/>
      <c r="I847" s="16"/>
      <c r="J847" s="16"/>
      <c r="K847" s="16"/>
      <c r="L847" s="16"/>
      <c r="M847" s="16"/>
    </row>
    <row r="848" spans="1:13" x14ac:dyDescent="0.25">
      <c r="A848" s="2"/>
      <c r="B848" s="16"/>
      <c r="C848" s="24"/>
      <c r="D848" s="16"/>
      <c r="E848" s="23"/>
      <c r="F848" s="16"/>
      <c r="G848" s="16"/>
      <c r="H848" s="16"/>
      <c r="I848" s="16"/>
      <c r="J848" s="16"/>
      <c r="K848" s="16"/>
      <c r="L848" s="16"/>
      <c r="M848" s="16"/>
    </row>
    <row r="849" spans="1:13" x14ac:dyDescent="0.25">
      <c r="A849" s="2"/>
      <c r="B849" s="16"/>
      <c r="C849" s="24"/>
      <c r="D849" s="16"/>
      <c r="E849" s="23"/>
      <c r="F849" s="16"/>
      <c r="G849" s="16"/>
      <c r="H849" s="16"/>
      <c r="I849" s="16"/>
      <c r="J849" s="16"/>
      <c r="K849" s="16"/>
      <c r="L849" s="16"/>
      <c r="M849" s="16"/>
    </row>
    <row r="850" spans="1:13" x14ac:dyDescent="0.25">
      <c r="A850" s="2"/>
      <c r="B850" s="16"/>
      <c r="C850" s="24"/>
      <c r="D850" s="16"/>
      <c r="E850" s="23"/>
      <c r="F850" s="16"/>
      <c r="G850" s="16"/>
      <c r="H850" s="16"/>
      <c r="I850" s="16"/>
      <c r="J850" s="16"/>
      <c r="K850" s="16"/>
      <c r="L850" s="16"/>
      <c r="M850" s="16"/>
    </row>
    <row r="851" spans="1:13" x14ac:dyDescent="0.25">
      <c r="A851" s="2"/>
      <c r="B851" s="16"/>
      <c r="C851" s="24"/>
      <c r="D851" s="16"/>
      <c r="E851" s="23"/>
      <c r="F851" s="16"/>
      <c r="G851" s="16"/>
      <c r="H851" s="16"/>
      <c r="I851" s="16"/>
      <c r="J851" s="16"/>
      <c r="K851" s="16"/>
      <c r="L851" s="16"/>
      <c r="M851" s="16"/>
    </row>
    <row r="852" spans="1:13" x14ac:dyDescent="0.25">
      <c r="A852" s="2"/>
      <c r="B852" s="16"/>
      <c r="C852" s="24"/>
      <c r="D852" s="16"/>
      <c r="E852" s="23"/>
      <c r="F852" s="16"/>
      <c r="G852" s="16"/>
      <c r="H852" s="16"/>
      <c r="I852" s="16"/>
      <c r="J852" s="16"/>
      <c r="K852" s="16"/>
      <c r="L852" s="16"/>
      <c r="M852" s="16"/>
    </row>
    <row r="853" spans="1:13" x14ac:dyDescent="0.25">
      <c r="A853" s="2"/>
      <c r="B853" s="16"/>
      <c r="C853" s="24"/>
      <c r="D853" s="16"/>
      <c r="E853" s="23"/>
      <c r="F853" s="16"/>
      <c r="G853" s="16"/>
      <c r="H853" s="16"/>
      <c r="I853" s="16"/>
      <c r="J853" s="16"/>
      <c r="K853" s="16"/>
      <c r="L853" s="16"/>
      <c r="M853" s="16"/>
    </row>
    <row r="854" spans="1:13" x14ac:dyDescent="0.25">
      <c r="A854" s="2"/>
      <c r="B854" s="16"/>
      <c r="C854" s="24"/>
      <c r="D854" s="16"/>
      <c r="E854" s="23"/>
      <c r="F854" s="16"/>
      <c r="G854" s="16"/>
      <c r="H854" s="16"/>
      <c r="I854" s="16"/>
      <c r="J854" s="16"/>
      <c r="K854" s="16"/>
      <c r="L854" s="16"/>
      <c r="M854" s="16"/>
    </row>
    <row r="855" spans="1:13" x14ac:dyDescent="0.25">
      <c r="A855" s="2"/>
      <c r="B855" s="16"/>
      <c r="C855" s="24"/>
      <c r="D855" s="16"/>
      <c r="E855" s="23"/>
      <c r="F855" s="16"/>
      <c r="G855" s="16"/>
      <c r="H855" s="16"/>
      <c r="I855" s="16"/>
      <c r="J855" s="16"/>
      <c r="K855" s="16"/>
      <c r="L855" s="16"/>
      <c r="M855" s="16"/>
    </row>
    <row r="856" spans="1:13" x14ac:dyDescent="0.25">
      <c r="A856" s="2"/>
      <c r="B856" s="16"/>
      <c r="C856" s="24"/>
      <c r="D856" s="16"/>
      <c r="E856" s="23"/>
      <c r="F856" s="16"/>
      <c r="G856" s="16"/>
      <c r="H856" s="16"/>
      <c r="I856" s="16"/>
      <c r="J856" s="16"/>
      <c r="K856" s="16"/>
      <c r="L856" s="16"/>
      <c r="M856" s="16"/>
    </row>
    <row r="857" spans="1:13" x14ac:dyDescent="0.25">
      <c r="A857" s="2"/>
      <c r="B857" s="16"/>
      <c r="C857" s="24"/>
      <c r="D857" s="16"/>
      <c r="E857" s="23"/>
      <c r="F857" s="16"/>
      <c r="G857" s="16"/>
      <c r="H857" s="16"/>
      <c r="I857" s="16"/>
      <c r="J857" s="16"/>
      <c r="K857" s="16"/>
      <c r="L857" s="16"/>
      <c r="M857" s="16"/>
    </row>
    <row r="858" spans="1:13" x14ac:dyDescent="0.25">
      <c r="A858" s="2"/>
      <c r="B858" s="16"/>
      <c r="C858" s="24"/>
      <c r="D858" s="16"/>
      <c r="E858" s="23"/>
      <c r="F858" s="16"/>
      <c r="G858" s="16"/>
      <c r="H858" s="16"/>
      <c r="I858" s="16"/>
      <c r="J858" s="16"/>
      <c r="K858" s="16"/>
      <c r="L858" s="16"/>
      <c r="M858" s="16"/>
    </row>
    <row r="859" spans="1:13" x14ac:dyDescent="0.25">
      <c r="A859" s="2"/>
      <c r="B859" s="16"/>
      <c r="C859" s="24"/>
      <c r="D859" s="16"/>
      <c r="E859" s="23"/>
      <c r="F859" s="16"/>
      <c r="G859" s="16"/>
      <c r="H859" s="16"/>
      <c r="I859" s="16"/>
      <c r="J859" s="16"/>
      <c r="K859" s="16"/>
      <c r="L859" s="16"/>
      <c r="M859" s="16"/>
    </row>
    <row r="860" spans="1:13" x14ac:dyDescent="0.25">
      <c r="A860" s="2"/>
      <c r="B860" s="16"/>
      <c r="C860" s="24"/>
      <c r="D860" s="16"/>
      <c r="E860" s="23"/>
      <c r="F860" s="16"/>
      <c r="G860" s="16"/>
      <c r="H860" s="16"/>
      <c r="I860" s="16"/>
      <c r="J860" s="16"/>
      <c r="K860" s="16"/>
      <c r="L860" s="16"/>
      <c r="M860" s="16"/>
    </row>
    <row r="861" spans="1:13" x14ac:dyDescent="0.25">
      <c r="A861" s="2"/>
      <c r="B861" s="16"/>
      <c r="C861" s="24"/>
      <c r="D861" s="16"/>
      <c r="E861" s="23"/>
      <c r="F861" s="16"/>
      <c r="G861" s="16"/>
      <c r="H861" s="16"/>
      <c r="I861" s="16"/>
      <c r="J861" s="16"/>
      <c r="K861" s="16"/>
      <c r="L861" s="16"/>
      <c r="M861" s="16"/>
    </row>
    <row r="862" spans="1:13" x14ac:dyDescent="0.25">
      <c r="A862" s="2"/>
      <c r="B862" s="16"/>
      <c r="C862" s="24"/>
      <c r="D862" s="16"/>
      <c r="E862" s="23"/>
      <c r="F862" s="16"/>
      <c r="G862" s="16"/>
      <c r="H862" s="16"/>
      <c r="I862" s="16"/>
      <c r="J862" s="16"/>
      <c r="K862" s="16"/>
      <c r="L862" s="16"/>
      <c r="M862" s="16"/>
    </row>
    <row r="863" spans="1:13" x14ac:dyDescent="0.25">
      <c r="A863" s="2"/>
      <c r="B863" s="16"/>
      <c r="C863" s="24"/>
      <c r="D863" s="16"/>
      <c r="E863" s="23"/>
      <c r="F863" s="16"/>
      <c r="G863" s="16"/>
      <c r="H863" s="16"/>
      <c r="I863" s="16"/>
      <c r="J863" s="16"/>
      <c r="K863" s="16"/>
      <c r="L863" s="16"/>
      <c r="M863" s="16"/>
    </row>
    <row r="864" spans="1:13" x14ac:dyDescent="0.25">
      <c r="A864" s="2"/>
      <c r="B864" s="16"/>
      <c r="C864" s="24"/>
      <c r="D864" s="16"/>
      <c r="E864" s="23"/>
      <c r="F864" s="16"/>
      <c r="G864" s="16"/>
      <c r="H864" s="16"/>
      <c r="I864" s="16"/>
      <c r="J864" s="16"/>
      <c r="K864" s="16"/>
      <c r="L864" s="16"/>
      <c r="M864" s="16"/>
    </row>
    <row r="865" spans="1:13" x14ac:dyDescent="0.25">
      <c r="A865" s="2"/>
      <c r="B865" s="16"/>
      <c r="C865" s="24"/>
      <c r="D865" s="16"/>
      <c r="E865" s="23"/>
      <c r="F865" s="16"/>
      <c r="G865" s="16"/>
      <c r="H865" s="16"/>
      <c r="I865" s="16"/>
      <c r="J865" s="16"/>
      <c r="K865" s="16"/>
      <c r="L865" s="16"/>
      <c r="M865" s="16"/>
    </row>
    <row r="866" spans="1:13" x14ac:dyDescent="0.25">
      <c r="A866" s="2"/>
      <c r="B866" s="16"/>
      <c r="C866" s="24"/>
      <c r="D866" s="16"/>
      <c r="E866" s="23"/>
      <c r="F866" s="16"/>
      <c r="G866" s="16"/>
      <c r="H866" s="16"/>
      <c r="I866" s="16"/>
      <c r="J866" s="16"/>
      <c r="K866" s="16"/>
      <c r="L866" s="16"/>
      <c r="M866" s="16"/>
    </row>
    <row r="867" spans="1:13" x14ac:dyDescent="0.25">
      <c r="A867" s="2"/>
      <c r="B867" s="16"/>
      <c r="C867" s="24"/>
      <c r="D867" s="16"/>
      <c r="E867" s="23"/>
      <c r="F867" s="16"/>
      <c r="G867" s="16"/>
      <c r="H867" s="16"/>
      <c r="I867" s="16"/>
      <c r="J867" s="16"/>
      <c r="K867" s="16"/>
      <c r="L867" s="16"/>
      <c r="M867" s="16"/>
    </row>
    <row r="868" spans="1:13" x14ac:dyDescent="0.25">
      <c r="A868" s="2"/>
      <c r="B868" s="16"/>
      <c r="C868" s="24"/>
      <c r="D868" s="16"/>
      <c r="E868" s="23"/>
      <c r="F868" s="16"/>
      <c r="G868" s="16"/>
      <c r="H868" s="16"/>
      <c r="I868" s="16"/>
      <c r="J868" s="16"/>
      <c r="K868" s="16"/>
      <c r="L868" s="16"/>
      <c r="M868" s="16"/>
    </row>
    <row r="869" spans="1:13" x14ac:dyDescent="0.25">
      <c r="A869" s="2"/>
      <c r="B869" s="16"/>
      <c r="C869" s="24"/>
      <c r="D869" s="16"/>
      <c r="E869" s="23"/>
      <c r="F869" s="16"/>
      <c r="G869" s="16"/>
      <c r="H869" s="16"/>
      <c r="I869" s="16"/>
      <c r="J869" s="16"/>
      <c r="K869" s="16"/>
      <c r="L869" s="16"/>
      <c r="M869" s="16"/>
    </row>
    <row r="870" spans="1:13" x14ac:dyDescent="0.25">
      <c r="A870" s="2"/>
      <c r="B870" s="16"/>
      <c r="C870" s="24"/>
      <c r="D870" s="16"/>
      <c r="E870" s="23"/>
      <c r="F870" s="16"/>
      <c r="G870" s="16"/>
      <c r="H870" s="16"/>
      <c r="I870" s="16"/>
      <c r="J870" s="16"/>
      <c r="K870" s="16"/>
      <c r="L870" s="16"/>
      <c r="M870" s="16"/>
    </row>
    <row r="871" spans="1:13" x14ac:dyDescent="0.25">
      <c r="A871" s="2"/>
      <c r="B871" s="16"/>
      <c r="C871" s="24"/>
      <c r="D871" s="16"/>
      <c r="E871" s="23"/>
      <c r="F871" s="16"/>
      <c r="G871" s="16"/>
      <c r="H871" s="16"/>
      <c r="I871" s="16"/>
      <c r="J871" s="16"/>
      <c r="K871" s="16"/>
      <c r="L871" s="16"/>
      <c r="M871" s="16"/>
    </row>
    <row r="872" spans="1:13" x14ac:dyDescent="0.25">
      <c r="A872" s="2"/>
      <c r="B872" s="16"/>
      <c r="C872" s="24"/>
      <c r="D872" s="16"/>
      <c r="E872" s="23"/>
      <c r="F872" s="16"/>
      <c r="G872" s="16"/>
      <c r="H872" s="16"/>
      <c r="I872" s="16"/>
      <c r="J872" s="16"/>
      <c r="K872" s="16"/>
      <c r="L872" s="16"/>
      <c r="M872" s="16"/>
    </row>
    <row r="873" spans="1:13" x14ac:dyDescent="0.25">
      <c r="A873" s="2"/>
      <c r="B873" s="16"/>
      <c r="C873" s="24"/>
      <c r="D873" s="16"/>
      <c r="E873" s="23"/>
      <c r="F873" s="16"/>
      <c r="G873" s="16"/>
      <c r="H873" s="16"/>
      <c r="I873" s="16"/>
      <c r="J873" s="16"/>
      <c r="K873" s="16"/>
      <c r="L873" s="16"/>
      <c r="M873" s="16"/>
    </row>
    <row r="874" spans="1:13" x14ac:dyDescent="0.25">
      <c r="A874" s="2"/>
      <c r="B874" s="16"/>
      <c r="C874" s="24"/>
      <c r="D874" s="16"/>
      <c r="E874" s="23"/>
      <c r="F874" s="16"/>
      <c r="G874" s="16"/>
      <c r="H874" s="16"/>
      <c r="I874" s="16"/>
      <c r="J874" s="16"/>
      <c r="K874" s="16"/>
      <c r="L874" s="16"/>
      <c r="M874" s="16"/>
    </row>
    <row r="875" spans="1:13" x14ac:dyDescent="0.25">
      <c r="A875" s="2"/>
      <c r="B875" s="16"/>
      <c r="C875" s="24"/>
      <c r="D875" s="16"/>
      <c r="E875" s="23"/>
      <c r="F875" s="16"/>
      <c r="G875" s="16"/>
      <c r="H875" s="16"/>
      <c r="I875" s="16"/>
      <c r="J875" s="16"/>
      <c r="K875" s="16"/>
      <c r="L875" s="16"/>
      <c r="M875" s="16"/>
    </row>
    <row r="876" spans="1:13" x14ac:dyDescent="0.25">
      <c r="A876" s="2"/>
      <c r="B876" s="16"/>
      <c r="C876" s="24"/>
      <c r="D876" s="16"/>
      <c r="E876" s="23"/>
      <c r="F876" s="16"/>
      <c r="G876" s="16"/>
      <c r="H876" s="16"/>
      <c r="I876" s="16"/>
      <c r="J876" s="16"/>
      <c r="K876" s="16"/>
      <c r="L876" s="16"/>
      <c r="M876" s="16"/>
    </row>
    <row r="877" spans="1:13" x14ac:dyDescent="0.25">
      <c r="A877" s="2"/>
      <c r="B877" s="16"/>
      <c r="C877" s="24"/>
      <c r="D877" s="16"/>
      <c r="E877" s="23"/>
      <c r="F877" s="16"/>
      <c r="G877" s="16"/>
      <c r="H877" s="16"/>
      <c r="I877" s="16"/>
      <c r="J877" s="16"/>
      <c r="K877" s="16"/>
      <c r="L877" s="16"/>
      <c r="M877" s="16"/>
    </row>
    <row r="878" spans="1:13" x14ac:dyDescent="0.25">
      <c r="A878" s="2"/>
      <c r="B878" s="16"/>
      <c r="C878" s="24"/>
      <c r="D878" s="16"/>
      <c r="E878" s="23"/>
      <c r="F878" s="16"/>
      <c r="G878" s="16"/>
      <c r="H878" s="16"/>
      <c r="I878" s="16"/>
      <c r="J878" s="16"/>
      <c r="K878" s="16"/>
      <c r="L878" s="16"/>
      <c r="M878" s="16"/>
    </row>
    <row r="879" spans="1:13" x14ac:dyDescent="0.25">
      <c r="A879" s="2"/>
      <c r="B879" s="16"/>
      <c r="C879" s="24"/>
      <c r="D879" s="16"/>
      <c r="E879" s="23"/>
      <c r="F879" s="16"/>
      <c r="G879" s="16"/>
      <c r="H879" s="16"/>
      <c r="I879" s="16"/>
      <c r="J879" s="16"/>
      <c r="K879" s="16"/>
      <c r="L879" s="16"/>
      <c r="M879" s="16"/>
    </row>
    <row r="880" spans="1:13" x14ac:dyDescent="0.25">
      <c r="A880" s="2"/>
      <c r="B880" s="16"/>
      <c r="C880" s="24"/>
      <c r="D880" s="16"/>
      <c r="E880" s="23"/>
      <c r="F880" s="16"/>
      <c r="G880" s="16"/>
      <c r="H880" s="16"/>
      <c r="I880" s="16"/>
      <c r="J880" s="16"/>
      <c r="K880" s="16"/>
      <c r="L880" s="16"/>
      <c r="M880" s="16"/>
    </row>
    <row r="881" spans="1:13" x14ac:dyDescent="0.25">
      <c r="A881" s="2"/>
      <c r="B881" s="16"/>
      <c r="C881" s="24"/>
      <c r="D881" s="16"/>
      <c r="E881" s="23"/>
      <c r="F881" s="16"/>
      <c r="G881" s="16"/>
      <c r="H881" s="16"/>
      <c r="I881" s="16"/>
      <c r="J881" s="16"/>
      <c r="K881" s="16"/>
      <c r="L881" s="16"/>
      <c r="M881" s="16"/>
    </row>
    <row r="882" spans="1:13" x14ac:dyDescent="0.25">
      <c r="A882" s="2"/>
      <c r="B882" s="16"/>
      <c r="C882" s="24"/>
      <c r="D882" s="16"/>
      <c r="E882" s="23"/>
      <c r="F882" s="16"/>
      <c r="G882" s="16"/>
      <c r="H882" s="16"/>
      <c r="I882" s="16"/>
      <c r="J882" s="16"/>
      <c r="K882" s="16"/>
      <c r="L882" s="16"/>
      <c r="M882" s="16"/>
    </row>
    <row r="883" spans="1:13" x14ac:dyDescent="0.25">
      <c r="A883" s="2"/>
      <c r="B883" s="16"/>
      <c r="C883" s="24"/>
      <c r="D883" s="16"/>
      <c r="E883" s="23"/>
      <c r="F883" s="16"/>
      <c r="G883" s="16"/>
      <c r="H883" s="16"/>
      <c r="I883" s="16"/>
      <c r="J883" s="16"/>
      <c r="K883" s="16"/>
      <c r="L883" s="16"/>
      <c r="M883" s="16"/>
    </row>
    <row r="884" spans="1:13" x14ac:dyDescent="0.25">
      <c r="A884" s="2"/>
      <c r="B884" s="16"/>
      <c r="C884" s="24"/>
      <c r="D884" s="16"/>
      <c r="E884" s="23"/>
      <c r="F884" s="16"/>
      <c r="G884" s="16"/>
      <c r="H884" s="16"/>
      <c r="I884" s="16"/>
      <c r="J884" s="16"/>
      <c r="K884" s="16"/>
      <c r="L884" s="16"/>
      <c r="M884" s="16"/>
    </row>
    <row r="885" spans="1:13" x14ac:dyDescent="0.25">
      <c r="A885" s="2"/>
      <c r="B885" s="16"/>
      <c r="C885" s="24"/>
      <c r="D885" s="16"/>
      <c r="E885" s="23"/>
      <c r="F885" s="16"/>
      <c r="G885" s="16"/>
      <c r="H885" s="16"/>
      <c r="I885" s="16"/>
      <c r="J885" s="16"/>
      <c r="K885" s="16"/>
      <c r="L885" s="16"/>
      <c r="M885" s="16"/>
    </row>
    <row r="886" spans="1:13" x14ac:dyDescent="0.25">
      <c r="A886" s="2"/>
      <c r="B886" s="16"/>
      <c r="C886" s="24"/>
      <c r="D886" s="16"/>
      <c r="E886" s="23"/>
      <c r="F886" s="16"/>
      <c r="G886" s="16"/>
      <c r="H886" s="16"/>
      <c r="I886" s="16"/>
      <c r="J886" s="16"/>
      <c r="K886" s="16"/>
      <c r="L886" s="16"/>
      <c r="M886" s="16"/>
    </row>
    <row r="887" spans="1:13" x14ac:dyDescent="0.25">
      <c r="A887" s="2"/>
      <c r="B887" s="16"/>
      <c r="C887" s="24"/>
      <c r="D887" s="16"/>
      <c r="E887" s="23"/>
      <c r="F887" s="16"/>
      <c r="G887" s="16"/>
      <c r="H887" s="16"/>
      <c r="I887" s="16"/>
      <c r="J887" s="16"/>
      <c r="K887" s="16"/>
      <c r="L887" s="16"/>
      <c r="M887" s="16"/>
    </row>
    <row r="888" spans="1:13" x14ac:dyDescent="0.25">
      <c r="A888" s="2"/>
      <c r="B888" s="16"/>
      <c r="C888" s="24"/>
      <c r="D888" s="16"/>
      <c r="E888" s="23"/>
      <c r="F888" s="16"/>
      <c r="G888" s="16"/>
      <c r="H888" s="16"/>
      <c r="I888" s="16"/>
      <c r="J888" s="16"/>
      <c r="K888" s="16"/>
      <c r="L888" s="16"/>
      <c r="M888" s="16"/>
    </row>
    <row r="889" spans="1:13" x14ac:dyDescent="0.25">
      <c r="A889" s="2"/>
      <c r="B889" s="16"/>
      <c r="C889" s="24"/>
      <c r="D889" s="16"/>
      <c r="E889" s="23"/>
      <c r="F889" s="16"/>
      <c r="G889" s="16"/>
      <c r="H889" s="16"/>
      <c r="I889" s="16"/>
      <c r="J889" s="16"/>
      <c r="K889" s="16"/>
      <c r="L889" s="16"/>
      <c r="M889" s="16"/>
    </row>
    <row r="890" spans="1:13" x14ac:dyDescent="0.25">
      <c r="A890" s="2"/>
      <c r="B890" s="16"/>
      <c r="C890" s="24"/>
      <c r="D890" s="16"/>
      <c r="E890" s="23"/>
      <c r="F890" s="16"/>
      <c r="G890" s="16"/>
      <c r="H890" s="16"/>
      <c r="I890" s="16"/>
      <c r="J890" s="16"/>
      <c r="K890" s="16"/>
      <c r="L890" s="16"/>
      <c r="M890" s="16"/>
    </row>
    <row r="891" spans="1:13" x14ac:dyDescent="0.25">
      <c r="A891" s="2"/>
      <c r="B891" s="16"/>
      <c r="C891" s="24"/>
      <c r="D891" s="16"/>
      <c r="E891" s="23"/>
      <c r="F891" s="16"/>
      <c r="G891" s="16"/>
      <c r="H891" s="16"/>
      <c r="I891" s="16"/>
      <c r="J891" s="16"/>
      <c r="K891" s="16"/>
      <c r="L891" s="16"/>
      <c r="M891" s="16"/>
    </row>
    <row r="892" spans="1:13" x14ac:dyDescent="0.25">
      <c r="A892" s="2"/>
      <c r="B892" s="16"/>
      <c r="C892" s="24"/>
      <c r="D892" s="16"/>
      <c r="E892" s="23"/>
      <c r="F892" s="16"/>
      <c r="G892" s="16"/>
      <c r="H892" s="16"/>
      <c r="I892" s="16"/>
      <c r="J892" s="16"/>
      <c r="K892" s="16"/>
      <c r="L892" s="16"/>
      <c r="M892" s="16"/>
    </row>
    <row r="893" spans="1:13" x14ac:dyDescent="0.25">
      <c r="A893" s="2"/>
      <c r="B893" s="16"/>
      <c r="C893" s="24"/>
      <c r="D893" s="16"/>
      <c r="E893" s="23"/>
      <c r="F893" s="16"/>
      <c r="G893" s="16"/>
      <c r="H893" s="16"/>
      <c r="I893" s="16"/>
      <c r="J893" s="16"/>
      <c r="K893" s="16"/>
      <c r="L893" s="16"/>
      <c r="M893" s="16"/>
    </row>
    <row r="894" spans="1:13" x14ac:dyDescent="0.25">
      <c r="A894" s="2"/>
      <c r="B894" s="16"/>
      <c r="C894" s="24"/>
      <c r="D894" s="16"/>
      <c r="E894" s="23"/>
      <c r="F894" s="16"/>
      <c r="G894" s="16"/>
      <c r="H894" s="16"/>
      <c r="I894" s="16"/>
      <c r="J894" s="16"/>
      <c r="K894" s="16"/>
      <c r="L894" s="16"/>
      <c r="M894" s="16"/>
    </row>
    <row r="895" spans="1:13" x14ac:dyDescent="0.25">
      <c r="A895" s="2"/>
      <c r="B895" s="16"/>
      <c r="C895" s="24"/>
      <c r="D895" s="16"/>
      <c r="E895" s="23"/>
      <c r="F895" s="16"/>
      <c r="G895" s="16"/>
      <c r="H895" s="16"/>
      <c r="I895" s="16"/>
      <c r="J895" s="16"/>
      <c r="K895" s="16"/>
      <c r="L895" s="16"/>
      <c r="M895" s="16"/>
    </row>
    <row r="896" spans="1:13" x14ac:dyDescent="0.25">
      <c r="A896" s="2"/>
      <c r="B896" s="16"/>
      <c r="C896" s="24"/>
      <c r="D896" s="16"/>
      <c r="E896" s="23"/>
      <c r="F896" s="16"/>
      <c r="G896" s="16"/>
      <c r="H896" s="16"/>
      <c r="I896" s="16"/>
      <c r="J896" s="16"/>
      <c r="K896" s="16"/>
      <c r="L896" s="16"/>
      <c r="M896" s="16"/>
    </row>
    <row r="897" spans="1:13" x14ac:dyDescent="0.25">
      <c r="A897" s="2"/>
      <c r="B897" s="16"/>
      <c r="C897" s="24"/>
      <c r="D897" s="16"/>
      <c r="E897" s="23"/>
      <c r="F897" s="16"/>
      <c r="G897" s="16"/>
      <c r="H897" s="16"/>
      <c r="I897" s="16"/>
      <c r="J897" s="16"/>
      <c r="K897" s="16"/>
      <c r="L897" s="16"/>
      <c r="M897" s="16"/>
    </row>
    <row r="898" spans="1:13" x14ac:dyDescent="0.25">
      <c r="A898" s="2"/>
      <c r="B898" s="16"/>
      <c r="C898" s="24"/>
      <c r="D898" s="16"/>
      <c r="E898" s="23"/>
      <c r="F898" s="16"/>
      <c r="G898" s="16"/>
      <c r="H898" s="16"/>
      <c r="I898" s="16"/>
      <c r="J898" s="16"/>
      <c r="K898" s="16"/>
      <c r="L898" s="16"/>
      <c r="M898" s="16"/>
    </row>
    <row r="899" spans="1:13" x14ac:dyDescent="0.25">
      <c r="A899" s="2"/>
      <c r="B899" s="16"/>
      <c r="C899" s="24"/>
      <c r="D899" s="16"/>
      <c r="E899" s="23"/>
      <c r="F899" s="16"/>
      <c r="G899" s="16"/>
      <c r="H899" s="16"/>
      <c r="I899" s="16"/>
      <c r="J899" s="16"/>
      <c r="K899" s="16"/>
      <c r="L899" s="16"/>
      <c r="M899" s="16"/>
    </row>
    <row r="900" spans="1:13" x14ac:dyDescent="0.25">
      <c r="A900" s="2"/>
      <c r="B900" s="16"/>
      <c r="C900" s="24"/>
      <c r="D900" s="16"/>
      <c r="E900" s="23"/>
      <c r="F900" s="16"/>
      <c r="G900" s="16"/>
      <c r="H900" s="16"/>
      <c r="I900" s="16"/>
      <c r="J900" s="16"/>
      <c r="K900" s="16"/>
      <c r="L900" s="16"/>
      <c r="M900" s="16"/>
    </row>
    <row r="901" spans="1:13" x14ac:dyDescent="0.25">
      <c r="A901" s="2"/>
      <c r="B901" s="16"/>
      <c r="C901" s="24"/>
      <c r="D901" s="16"/>
      <c r="E901" s="23"/>
      <c r="F901" s="16"/>
      <c r="G901" s="16"/>
      <c r="H901" s="16"/>
      <c r="I901" s="16"/>
      <c r="J901" s="16"/>
      <c r="K901" s="16"/>
      <c r="L901" s="16"/>
      <c r="M901" s="16"/>
    </row>
    <row r="902" spans="1:13" x14ac:dyDescent="0.25">
      <c r="A902" s="2"/>
      <c r="B902" s="16"/>
      <c r="C902" s="24"/>
      <c r="D902" s="16"/>
      <c r="E902" s="23"/>
      <c r="F902" s="16"/>
      <c r="G902" s="16"/>
      <c r="H902" s="16"/>
      <c r="I902" s="16"/>
      <c r="J902" s="16"/>
      <c r="K902" s="16"/>
      <c r="L902" s="16"/>
      <c r="M902" s="16"/>
    </row>
    <row r="903" spans="1:13" x14ac:dyDescent="0.25">
      <c r="A903" s="2"/>
      <c r="B903" s="16"/>
      <c r="C903" s="24"/>
      <c r="D903" s="16"/>
      <c r="E903" s="23"/>
      <c r="F903" s="16"/>
      <c r="G903" s="16"/>
      <c r="H903" s="16"/>
      <c r="I903" s="16"/>
      <c r="J903" s="16"/>
      <c r="K903" s="16"/>
      <c r="L903" s="16"/>
      <c r="M903" s="16"/>
    </row>
    <row r="904" spans="1:13" x14ac:dyDescent="0.25">
      <c r="A904" s="2"/>
      <c r="B904" s="16"/>
      <c r="C904" s="24"/>
      <c r="D904" s="16"/>
      <c r="E904" s="23"/>
      <c r="F904" s="16"/>
      <c r="G904" s="16"/>
      <c r="H904" s="16"/>
      <c r="I904" s="16"/>
      <c r="J904" s="16"/>
      <c r="K904" s="16"/>
      <c r="L904" s="16"/>
      <c r="M904" s="16"/>
    </row>
    <row r="905" spans="1:13" x14ac:dyDescent="0.25">
      <c r="A905" s="2"/>
      <c r="B905" s="16"/>
      <c r="C905" s="24"/>
      <c r="D905" s="16"/>
      <c r="E905" s="23"/>
      <c r="F905" s="16"/>
      <c r="G905" s="16"/>
      <c r="H905" s="16"/>
      <c r="I905" s="16"/>
      <c r="J905" s="16"/>
      <c r="K905" s="16"/>
      <c r="L905" s="16"/>
      <c r="M905" s="16"/>
    </row>
    <row r="906" spans="1:13" x14ac:dyDescent="0.25">
      <c r="A906" s="2"/>
      <c r="B906" s="16"/>
      <c r="C906" s="24"/>
      <c r="D906" s="16"/>
      <c r="E906" s="23"/>
      <c r="F906" s="16"/>
      <c r="G906" s="16"/>
      <c r="H906" s="16"/>
      <c r="I906" s="16"/>
      <c r="J906" s="16"/>
      <c r="K906" s="16"/>
      <c r="L906" s="16"/>
      <c r="M906" s="16"/>
    </row>
    <row r="907" spans="1:13" x14ac:dyDescent="0.25">
      <c r="A907" s="2"/>
      <c r="B907" s="16"/>
      <c r="C907" s="24"/>
      <c r="D907" s="16"/>
      <c r="E907" s="23"/>
      <c r="F907" s="16"/>
      <c r="G907" s="16"/>
      <c r="H907" s="16"/>
      <c r="I907" s="16"/>
      <c r="J907" s="16"/>
      <c r="K907" s="16"/>
      <c r="L907" s="16"/>
      <c r="M907" s="16"/>
    </row>
    <row r="908" spans="1:13" x14ac:dyDescent="0.25">
      <c r="A908" s="2"/>
      <c r="B908" s="16"/>
      <c r="C908" s="24"/>
      <c r="D908" s="16"/>
      <c r="E908" s="23"/>
      <c r="F908" s="16"/>
      <c r="G908" s="16"/>
      <c r="H908" s="16"/>
      <c r="I908" s="16"/>
      <c r="J908" s="16"/>
      <c r="K908" s="16"/>
      <c r="L908" s="16"/>
      <c r="M908" s="16"/>
    </row>
    <row r="909" spans="1:13" x14ac:dyDescent="0.25">
      <c r="A909" s="2"/>
      <c r="B909" s="16"/>
      <c r="C909" s="24"/>
      <c r="D909" s="16"/>
      <c r="E909" s="23"/>
      <c r="F909" s="16"/>
      <c r="G909" s="16"/>
      <c r="H909" s="16"/>
      <c r="I909" s="16"/>
      <c r="J909" s="16"/>
      <c r="K909" s="16"/>
      <c r="L909" s="16"/>
      <c r="M909" s="16"/>
    </row>
    <row r="910" spans="1:13" x14ac:dyDescent="0.25">
      <c r="A910" s="2"/>
      <c r="B910" s="16"/>
      <c r="C910" s="24"/>
      <c r="D910" s="16"/>
      <c r="E910" s="23"/>
      <c r="F910" s="16"/>
      <c r="G910" s="16"/>
      <c r="H910" s="16"/>
      <c r="I910" s="16"/>
      <c r="J910" s="16"/>
      <c r="K910" s="16"/>
      <c r="L910" s="16"/>
      <c r="M910" s="16"/>
    </row>
    <row r="911" spans="1:13" x14ac:dyDescent="0.25">
      <c r="A911" s="2"/>
      <c r="B911" s="16"/>
      <c r="C911" s="24"/>
      <c r="D911" s="16"/>
      <c r="E911" s="23"/>
      <c r="F911" s="16"/>
      <c r="G911" s="16"/>
      <c r="H911" s="16"/>
      <c r="I911" s="16"/>
      <c r="J911" s="16"/>
      <c r="K911" s="16"/>
      <c r="L911" s="16"/>
      <c r="M911" s="16"/>
    </row>
    <row r="912" spans="1:13" x14ac:dyDescent="0.25">
      <c r="A912" s="2"/>
      <c r="B912" s="16"/>
      <c r="C912" s="24"/>
      <c r="D912" s="16"/>
      <c r="E912" s="23"/>
      <c r="F912" s="16"/>
      <c r="G912" s="16"/>
      <c r="H912" s="16"/>
      <c r="I912" s="16"/>
      <c r="J912" s="16"/>
      <c r="K912" s="16"/>
      <c r="L912" s="16"/>
      <c r="M912" s="16"/>
    </row>
    <row r="913" spans="1:13" x14ac:dyDescent="0.25">
      <c r="A913" s="2"/>
      <c r="B913" s="16"/>
      <c r="C913" s="24"/>
      <c r="D913" s="16"/>
      <c r="E913" s="23"/>
      <c r="F913" s="16"/>
      <c r="G913" s="16"/>
      <c r="H913" s="16"/>
      <c r="I913" s="16"/>
      <c r="J913" s="16"/>
      <c r="K913" s="16"/>
      <c r="L913" s="16"/>
      <c r="M913" s="16"/>
    </row>
    <row r="914" spans="1:13" x14ac:dyDescent="0.25">
      <c r="A914" s="2"/>
      <c r="B914" s="16"/>
      <c r="C914" s="24"/>
      <c r="D914" s="16"/>
      <c r="E914" s="23"/>
      <c r="F914" s="16"/>
      <c r="G914" s="16"/>
      <c r="H914" s="16"/>
      <c r="I914" s="16"/>
      <c r="J914" s="16"/>
      <c r="K914" s="16"/>
      <c r="L914" s="16"/>
      <c r="M914" s="16"/>
    </row>
    <row r="915" spans="1:13" x14ac:dyDescent="0.25">
      <c r="A915" s="2"/>
      <c r="B915" s="16"/>
      <c r="C915" s="24"/>
      <c r="D915" s="16"/>
      <c r="E915" s="23"/>
      <c r="F915" s="16"/>
      <c r="G915" s="16"/>
      <c r="H915" s="16"/>
      <c r="I915" s="16"/>
      <c r="J915" s="16"/>
      <c r="K915" s="16"/>
      <c r="L915" s="16"/>
      <c r="M915" s="16"/>
    </row>
    <row r="916" spans="1:13" x14ac:dyDescent="0.25">
      <c r="A916" s="2"/>
      <c r="B916" s="16"/>
      <c r="C916" s="24"/>
      <c r="D916" s="16"/>
      <c r="E916" s="23"/>
      <c r="F916" s="16"/>
      <c r="G916" s="16"/>
      <c r="H916" s="16"/>
      <c r="I916" s="16"/>
      <c r="J916" s="16"/>
      <c r="K916" s="16"/>
      <c r="L916" s="16"/>
      <c r="M916" s="16"/>
    </row>
    <row r="917" spans="1:13" x14ac:dyDescent="0.25">
      <c r="A917" s="2"/>
      <c r="B917" s="16"/>
      <c r="C917" s="24"/>
      <c r="D917" s="16"/>
      <c r="E917" s="23"/>
      <c r="F917" s="16"/>
      <c r="G917" s="16"/>
      <c r="H917" s="16"/>
      <c r="I917" s="16"/>
      <c r="J917" s="16"/>
      <c r="K917" s="16"/>
      <c r="L917" s="16"/>
      <c r="M917" s="16"/>
    </row>
    <row r="918" spans="1:13" x14ac:dyDescent="0.25">
      <c r="A918" s="2"/>
      <c r="B918" s="16"/>
      <c r="C918" s="24"/>
      <c r="D918" s="16"/>
      <c r="E918" s="23"/>
      <c r="F918" s="16"/>
      <c r="G918" s="16"/>
      <c r="H918" s="16"/>
      <c r="I918" s="16"/>
      <c r="J918" s="16"/>
      <c r="K918" s="16"/>
      <c r="L918" s="16"/>
      <c r="M918" s="16"/>
    </row>
    <row r="919" spans="1:13" x14ac:dyDescent="0.25">
      <c r="A919" s="2"/>
      <c r="B919" s="16"/>
      <c r="C919" s="24"/>
      <c r="D919" s="16"/>
      <c r="E919" s="23"/>
      <c r="F919" s="16"/>
      <c r="G919" s="16"/>
      <c r="H919" s="16"/>
      <c r="I919" s="16"/>
      <c r="J919" s="16"/>
      <c r="K919" s="16"/>
      <c r="L919" s="16"/>
      <c r="M919" s="16"/>
    </row>
    <row r="920" spans="1:13" x14ac:dyDescent="0.25">
      <c r="A920" s="2"/>
      <c r="B920" s="16"/>
      <c r="C920" s="24"/>
      <c r="D920" s="16"/>
      <c r="E920" s="23"/>
      <c r="F920" s="16"/>
      <c r="G920" s="16"/>
      <c r="H920" s="16"/>
      <c r="I920" s="16"/>
      <c r="J920" s="16"/>
      <c r="K920" s="16"/>
      <c r="L920" s="16"/>
      <c r="M920" s="16"/>
    </row>
    <row r="921" spans="1:13" x14ac:dyDescent="0.25">
      <c r="A921" s="2"/>
      <c r="B921" s="16"/>
      <c r="C921" s="24"/>
      <c r="D921" s="16"/>
      <c r="E921" s="23"/>
      <c r="F921" s="16"/>
      <c r="G921" s="16"/>
      <c r="H921" s="16"/>
      <c r="I921" s="16"/>
      <c r="J921" s="16"/>
      <c r="K921" s="16"/>
      <c r="L921" s="16"/>
      <c r="M921" s="16"/>
    </row>
    <row r="922" spans="1:13" x14ac:dyDescent="0.25">
      <c r="A922" s="2"/>
      <c r="B922" s="16"/>
      <c r="C922" s="24"/>
      <c r="D922" s="16"/>
      <c r="E922" s="23"/>
      <c r="F922" s="16"/>
      <c r="G922" s="16"/>
      <c r="H922" s="16"/>
      <c r="I922" s="16"/>
      <c r="J922" s="16"/>
      <c r="K922" s="16"/>
      <c r="L922" s="16"/>
      <c r="M922" s="16"/>
    </row>
    <row r="923" spans="1:13" x14ac:dyDescent="0.25">
      <c r="A923" s="2"/>
      <c r="B923" s="16"/>
      <c r="C923" s="24"/>
      <c r="D923" s="16"/>
      <c r="E923" s="23"/>
      <c r="F923" s="16"/>
      <c r="G923" s="16"/>
      <c r="H923" s="16"/>
      <c r="I923" s="16"/>
      <c r="J923" s="16"/>
      <c r="K923" s="16"/>
      <c r="L923" s="16"/>
      <c r="M923" s="16"/>
    </row>
    <row r="924" spans="1:13" x14ac:dyDescent="0.25">
      <c r="A924" s="2"/>
      <c r="B924" s="16"/>
      <c r="C924" s="24"/>
      <c r="D924" s="16"/>
      <c r="E924" s="23"/>
      <c r="F924" s="16"/>
      <c r="G924" s="16"/>
      <c r="H924" s="16"/>
      <c r="I924" s="16"/>
      <c r="J924" s="16"/>
      <c r="K924" s="16"/>
      <c r="L924" s="16"/>
      <c r="M924" s="16"/>
    </row>
    <row r="925" spans="1:13" x14ac:dyDescent="0.25">
      <c r="A925" s="2"/>
      <c r="B925" s="16"/>
      <c r="C925" s="24"/>
      <c r="D925" s="16"/>
      <c r="E925" s="23"/>
      <c r="F925" s="16"/>
      <c r="G925" s="16"/>
      <c r="H925" s="16"/>
      <c r="I925" s="16"/>
      <c r="J925" s="16"/>
      <c r="K925" s="16"/>
      <c r="L925" s="16"/>
      <c r="M925" s="16"/>
    </row>
    <row r="926" spans="1:13" x14ac:dyDescent="0.25">
      <c r="A926" s="2"/>
      <c r="B926" s="16"/>
      <c r="C926" s="24"/>
      <c r="D926" s="16"/>
      <c r="E926" s="23"/>
      <c r="F926" s="16"/>
      <c r="G926" s="16"/>
      <c r="H926" s="16"/>
      <c r="I926" s="16"/>
      <c r="J926" s="16"/>
      <c r="K926" s="16"/>
      <c r="L926" s="16"/>
      <c r="M926" s="16"/>
    </row>
    <row r="927" spans="1:13" x14ac:dyDescent="0.25">
      <c r="A927" s="2"/>
      <c r="B927" s="16"/>
      <c r="C927" s="24"/>
      <c r="D927" s="16"/>
      <c r="E927" s="23"/>
      <c r="F927" s="16"/>
      <c r="G927" s="16"/>
      <c r="H927" s="16"/>
      <c r="I927" s="16"/>
      <c r="J927" s="16"/>
      <c r="K927" s="16"/>
      <c r="L927" s="16"/>
      <c r="M927" s="16"/>
    </row>
    <row r="928" spans="1:13" x14ac:dyDescent="0.25">
      <c r="A928" s="2"/>
      <c r="B928" s="16"/>
      <c r="C928" s="24"/>
      <c r="D928" s="16"/>
      <c r="E928" s="23"/>
      <c r="F928" s="16"/>
      <c r="G928" s="16"/>
      <c r="H928" s="16"/>
      <c r="I928" s="16"/>
      <c r="J928" s="16"/>
      <c r="K928" s="16"/>
      <c r="L928" s="16"/>
      <c r="M928" s="16"/>
    </row>
    <row r="929" spans="1:13" x14ac:dyDescent="0.25">
      <c r="A929" s="2"/>
      <c r="B929" s="16"/>
      <c r="C929" s="24"/>
      <c r="D929" s="16"/>
      <c r="E929" s="23"/>
      <c r="F929" s="16"/>
      <c r="G929" s="16"/>
      <c r="H929" s="16"/>
      <c r="I929" s="16"/>
      <c r="J929" s="16"/>
      <c r="K929" s="16"/>
      <c r="L929" s="16"/>
      <c r="M929" s="16"/>
    </row>
    <row r="930" spans="1:13" x14ac:dyDescent="0.25">
      <c r="A930" s="2"/>
      <c r="B930" s="16"/>
      <c r="C930" s="24"/>
      <c r="D930" s="16"/>
      <c r="E930" s="23"/>
      <c r="F930" s="16"/>
      <c r="G930" s="16"/>
      <c r="H930" s="16"/>
      <c r="I930" s="16"/>
      <c r="J930" s="16"/>
      <c r="K930" s="16"/>
      <c r="L930" s="16"/>
      <c r="M930" s="16"/>
    </row>
    <row r="931" spans="1:13" x14ac:dyDescent="0.25">
      <c r="A931" s="2"/>
      <c r="B931" s="16"/>
      <c r="C931" s="24"/>
      <c r="D931" s="16"/>
      <c r="E931" s="23"/>
      <c r="F931" s="16"/>
      <c r="G931" s="16"/>
      <c r="H931" s="16"/>
      <c r="I931" s="16"/>
      <c r="J931" s="16"/>
      <c r="K931" s="16"/>
      <c r="L931" s="16"/>
      <c r="M931" s="16"/>
    </row>
    <row r="932" spans="1:13" x14ac:dyDescent="0.25">
      <c r="A932" s="2"/>
      <c r="B932" s="16"/>
      <c r="C932" s="24"/>
      <c r="D932" s="16"/>
      <c r="E932" s="23"/>
      <c r="F932" s="16"/>
      <c r="G932" s="16"/>
      <c r="H932" s="16"/>
      <c r="I932" s="16"/>
      <c r="J932" s="16"/>
      <c r="K932" s="16"/>
      <c r="L932" s="16"/>
      <c r="M932" s="16"/>
    </row>
    <row r="933" spans="1:13" x14ac:dyDescent="0.25">
      <c r="A933" s="2"/>
      <c r="B933" s="16"/>
      <c r="C933" s="24"/>
      <c r="D933" s="16"/>
      <c r="E933" s="23"/>
      <c r="F933" s="16"/>
      <c r="G933" s="16"/>
      <c r="H933" s="16"/>
      <c r="I933" s="16"/>
      <c r="J933" s="16"/>
      <c r="K933" s="16"/>
      <c r="L933" s="16"/>
      <c r="M933" s="16"/>
    </row>
    <row r="934" spans="1:13" x14ac:dyDescent="0.25">
      <c r="A934" s="2"/>
      <c r="B934" s="16"/>
      <c r="C934" s="24"/>
      <c r="D934" s="16"/>
      <c r="E934" s="23"/>
      <c r="F934" s="16"/>
      <c r="G934" s="16"/>
      <c r="H934" s="16"/>
      <c r="I934" s="16"/>
      <c r="J934" s="16"/>
      <c r="K934" s="16"/>
      <c r="L934" s="16"/>
      <c r="M934" s="16"/>
    </row>
    <row r="935" spans="1:13" x14ac:dyDescent="0.25">
      <c r="A935" s="2"/>
      <c r="B935" s="16"/>
      <c r="C935" s="24"/>
      <c r="D935" s="16"/>
      <c r="E935" s="23"/>
      <c r="F935" s="16"/>
      <c r="G935" s="16"/>
      <c r="H935" s="16"/>
      <c r="I935" s="16"/>
      <c r="J935" s="16"/>
      <c r="K935" s="16"/>
      <c r="L935" s="16"/>
      <c r="M935" s="16"/>
    </row>
    <row r="936" spans="1:13" x14ac:dyDescent="0.25">
      <c r="A936" s="2"/>
      <c r="B936" s="16"/>
      <c r="C936" s="24"/>
      <c r="D936" s="16"/>
      <c r="E936" s="23"/>
      <c r="F936" s="16"/>
      <c r="G936" s="16"/>
      <c r="H936" s="16"/>
      <c r="I936" s="16"/>
      <c r="J936" s="16"/>
      <c r="K936" s="16"/>
      <c r="L936" s="16"/>
      <c r="M936" s="16"/>
    </row>
    <row r="937" spans="1:13" x14ac:dyDescent="0.25">
      <c r="A937" s="2"/>
      <c r="B937" s="16"/>
      <c r="C937" s="24"/>
      <c r="D937" s="16"/>
      <c r="E937" s="23"/>
      <c r="F937" s="16"/>
      <c r="G937" s="16"/>
      <c r="H937" s="16"/>
      <c r="I937" s="16"/>
      <c r="J937" s="16"/>
      <c r="K937" s="16"/>
      <c r="L937" s="16"/>
      <c r="M937" s="16"/>
    </row>
    <row r="938" spans="1:13" x14ac:dyDescent="0.25">
      <c r="A938" s="2"/>
      <c r="B938" s="16"/>
      <c r="C938" s="24"/>
      <c r="D938" s="16"/>
      <c r="E938" s="23"/>
      <c r="F938" s="16"/>
      <c r="G938" s="16"/>
      <c r="H938" s="16"/>
      <c r="I938" s="16"/>
      <c r="J938" s="16"/>
      <c r="K938" s="16"/>
      <c r="L938" s="16"/>
      <c r="M938" s="16"/>
    </row>
    <row r="939" spans="1:13" x14ac:dyDescent="0.25">
      <c r="A939" s="2"/>
      <c r="B939" s="16"/>
      <c r="C939" s="24"/>
      <c r="D939" s="16"/>
      <c r="E939" s="23"/>
      <c r="F939" s="16"/>
      <c r="G939" s="16"/>
      <c r="H939" s="16"/>
      <c r="I939" s="16"/>
      <c r="J939" s="16"/>
      <c r="K939" s="16"/>
      <c r="L939" s="16"/>
      <c r="M939" s="16"/>
    </row>
    <row r="940" spans="1:13" x14ac:dyDescent="0.25">
      <c r="A940" s="2"/>
      <c r="B940" s="16"/>
      <c r="C940" s="24"/>
      <c r="D940" s="16"/>
      <c r="E940" s="23"/>
      <c r="F940" s="16"/>
      <c r="G940" s="16"/>
      <c r="H940" s="16"/>
      <c r="I940" s="16"/>
      <c r="J940" s="16"/>
      <c r="K940" s="16"/>
      <c r="L940" s="16"/>
      <c r="M940" s="16"/>
    </row>
    <row r="941" spans="1:13" x14ac:dyDescent="0.25">
      <c r="A941" s="2"/>
      <c r="B941" s="16"/>
      <c r="C941" s="24"/>
      <c r="D941" s="16"/>
      <c r="E941" s="23"/>
      <c r="F941" s="16"/>
      <c r="G941" s="16"/>
      <c r="H941" s="16"/>
      <c r="I941" s="16"/>
      <c r="J941" s="16"/>
      <c r="K941" s="16"/>
      <c r="L941" s="16"/>
      <c r="M941" s="16"/>
    </row>
    <row r="942" spans="1:13" x14ac:dyDescent="0.25">
      <c r="A942" s="2"/>
      <c r="B942" s="16"/>
      <c r="C942" s="24"/>
      <c r="D942" s="16"/>
      <c r="E942" s="23"/>
      <c r="F942" s="16"/>
      <c r="G942" s="16"/>
      <c r="H942" s="16"/>
      <c r="I942" s="16"/>
      <c r="J942" s="16"/>
      <c r="K942" s="16"/>
      <c r="L942" s="16"/>
      <c r="M942" s="16"/>
    </row>
    <row r="943" spans="1:13" x14ac:dyDescent="0.25">
      <c r="A943" s="2"/>
      <c r="B943" s="16"/>
      <c r="C943" s="24"/>
      <c r="D943" s="16"/>
      <c r="E943" s="23"/>
      <c r="F943" s="16"/>
      <c r="G943" s="16"/>
      <c r="H943" s="16"/>
      <c r="I943" s="16"/>
      <c r="J943" s="16"/>
      <c r="K943" s="16"/>
      <c r="L943" s="16"/>
      <c r="M943" s="16"/>
    </row>
    <row r="944" spans="1:13" x14ac:dyDescent="0.25">
      <c r="A944" s="2"/>
      <c r="B944" s="16"/>
      <c r="C944" s="24"/>
      <c r="D944" s="16"/>
      <c r="E944" s="23"/>
      <c r="F944" s="16"/>
      <c r="G944" s="16"/>
      <c r="H944" s="16"/>
      <c r="I944" s="16"/>
      <c r="J944" s="16"/>
      <c r="K944" s="16"/>
      <c r="L944" s="16"/>
      <c r="M944" s="16"/>
    </row>
    <row r="945" spans="1:13" x14ac:dyDescent="0.25">
      <c r="A945" s="2"/>
      <c r="B945" s="16"/>
      <c r="C945" s="24"/>
      <c r="D945" s="16"/>
      <c r="E945" s="23"/>
      <c r="F945" s="16"/>
      <c r="G945" s="16"/>
      <c r="H945" s="16"/>
      <c r="I945" s="16"/>
      <c r="J945" s="16"/>
      <c r="K945" s="16"/>
      <c r="L945" s="16"/>
      <c r="M945" s="16"/>
    </row>
    <row r="946" spans="1:13" x14ac:dyDescent="0.25">
      <c r="A946" s="2"/>
      <c r="B946" s="16"/>
      <c r="C946" s="24"/>
      <c r="D946" s="16"/>
      <c r="E946" s="23"/>
      <c r="F946" s="16"/>
      <c r="G946" s="16"/>
      <c r="H946" s="16"/>
      <c r="I946" s="16"/>
      <c r="J946" s="16"/>
      <c r="K946" s="16"/>
      <c r="L946" s="16"/>
      <c r="M946" s="16"/>
    </row>
    <row r="947" spans="1:13" x14ac:dyDescent="0.25">
      <c r="A947" s="2"/>
      <c r="B947" s="16"/>
      <c r="C947" s="24"/>
      <c r="D947" s="16"/>
      <c r="E947" s="23"/>
      <c r="F947" s="16"/>
      <c r="G947" s="16"/>
      <c r="H947" s="16"/>
      <c r="I947" s="16"/>
      <c r="J947" s="16"/>
      <c r="K947" s="16"/>
      <c r="L947" s="16"/>
      <c r="M947" s="16"/>
    </row>
    <row r="948" spans="1:13" x14ac:dyDescent="0.25">
      <c r="A948" s="2"/>
      <c r="B948" s="16"/>
      <c r="C948" s="24"/>
      <c r="D948" s="16"/>
      <c r="E948" s="23"/>
      <c r="F948" s="16"/>
      <c r="G948" s="16"/>
      <c r="H948" s="16"/>
      <c r="I948" s="16"/>
      <c r="J948" s="16"/>
      <c r="K948" s="16"/>
      <c r="L948" s="16"/>
      <c r="M948" s="16"/>
    </row>
    <row r="949" spans="1:13" x14ac:dyDescent="0.25">
      <c r="A949" s="2"/>
      <c r="B949" s="16"/>
      <c r="C949" s="24"/>
      <c r="D949" s="16"/>
      <c r="E949" s="23"/>
      <c r="F949" s="16"/>
      <c r="G949" s="16"/>
      <c r="H949" s="16"/>
      <c r="I949" s="16"/>
      <c r="J949" s="16"/>
      <c r="K949" s="16"/>
      <c r="L949" s="16"/>
      <c r="M949" s="16"/>
    </row>
    <row r="950" spans="1:13" x14ac:dyDescent="0.25">
      <c r="A950" s="2"/>
      <c r="B950" s="16"/>
      <c r="C950" s="24"/>
      <c r="D950" s="16"/>
      <c r="E950" s="23"/>
      <c r="F950" s="16"/>
      <c r="G950" s="16"/>
      <c r="H950" s="16"/>
      <c r="I950" s="16"/>
      <c r="J950" s="16"/>
      <c r="K950" s="16"/>
      <c r="L950" s="16"/>
      <c r="M950" s="16"/>
    </row>
    <row r="951" spans="1:13" x14ac:dyDescent="0.25">
      <c r="A951" s="2"/>
      <c r="B951" s="16"/>
      <c r="C951" s="24"/>
      <c r="D951" s="16"/>
      <c r="E951" s="23"/>
      <c r="F951" s="16"/>
      <c r="G951" s="16"/>
      <c r="H951" s="16"/>
      <c r="I951" s="16"/>
      <c r="J951" s="16"/>
      <c r="K951" s="16"/>
      <c r="L951" s="16"/>
      <c r="M951" s="16"/>
    </row>
    <row r="952" spans="1:13" x14ac:dyDescent="0.25">
      <c r="A952" s="2"/>
      <c r="B952" s="16"/>
      <c r="C952" s="24"/>
      <c r="D952" s="16"/>
      <c r="E952" s="23"/>
      <c r="F952" s="16"/>
      <c r="G952" s="16"/>
      <c r="H952" s="16"/>
      <c r="I952" s="16"/>
      <c r="J952" s="16"/>
      <c r="K952" s="16"/>
      <c r="L952" s="16"/>
      <c r="M952" s="16"/>
    </row>
    <row r="953" spans="1:13" x14ac:dyDescent="0.25">
      <c r="A953" s="2"/>
      <c r="B953" s="16"/>
      <c r="C953" s="24"/>
      <c r="D953" s="16"/>
      <c r="E953" s="23"/>
      <c r="F953" s="16"/>
      <c r="G953" s="16"/>
      <c r="H953" s="16"/>
      <c r="I953" s="16"/>
      <c r="J953" s="16"/>
      <c r="K953" s="16"/>
      <c r="L953" s="16"/>
      <c r="M953" s="16"/>
    </row>
    <row r="954" spans="1:13" x14ac:dyDescent="0.25">
      <c r="A954" s="2"/>
      <c r="B954" s="16"/>
      <c r="C954" s="24"/>
      <c r="D954" s="16"/>
      <c r="E954" s="23"/>
      <c r="F954" s="16"/>
      <c r="G954" s="16"/>
      <c r="H954" s="16"/>
      <c r="I954" s="16"/>
      <c r="J954" s="16"/>
      <c r="K954" s="16"/>
      <c r="L954" s="16"/>
      <c r="M954" s="16"/>
    </row>
    <row r="955" spans="1:13" x14ac:dyDescent="0.25">
      <c r="A955" s="2"/>
      <c r="B955" s="16"/>
      <c r="C955" s="24"/>
      <c r="D955" s="16"/>
      <c r="E955" s="23"/>
      <c r="F955" s="16"/>
      <c r="G955" s="16"/>
      <c r="H955" s="16"/>
      <c r="I955" s="16"/>
      <c r="J955" s="16"/>
      <c r="K955" s="16"/>
      <c r="L955" s="16"/>
      <c r="M955" s="16"/>
    </row>
    <row r="956" spans="1:13" x14ac:dyDescent="0.25">
      <c r="A956" s="2"/>
      <c r="B956" s="16"/>
      <c r="C956" s="24"/>
      <c r="D956" s="16"/>
      <c r="E956" s="23"/>
      <c r="F956" s="16"/>
      <c r="G956" s="16"/>
      <c r="H956" s="16"/>
      <c r="I956" s="16"/>
      <c r="J956" s="16"/>
      <c r="K956" s="16"/>
      <c r="L956" s="16"/>
      <c r="M956" s="16"/>
    </row>
    <row r="957" spans="1:13" x14ac:dyDescent="0.25">
      <c r="A957" s="2"/>
      <c r="B957" s="16"/>
      <c r="C957" s="24"/>
      <c r="D957" s="16"/>
      <c r="E957" s="23"/>
      <c r="F957" s="16"/>
      <c r="G957" s="16"/>
      <c r="H957" s="16"/>
      <c r="I957" s="16"/>
      <c r="J957" s="16"/>
      <c r="K957" s="16"/>
      <c r="L957" s="16"/>
      <c r="M957" s="16"/>
    </row>
    <row r="958" spans="1:13" x14ac:dyDescent="0.25">
      <c r="A958" s="2"/>
      <c r="B958" s="16"/>
      <c r="C958" s="24"/>
      <c r="D958" s="16"/>
      <c r="E958" s="23"/>
      <c r="F958" s="16"/>
      <c r="G958" s="16"/>
      <c r="H958" s="16"/>
      <c r="I958" s="16"/>
      <c r="J958" s="16"/>
      <c r="K958" s="16"/>
      <c r="L958" s="16"/>
      <c r="M958" s="16"/>
    </row>
    <row r="959" spans="1:13" x14ac:dyDescent="0.25">
      <c r="A959" s="2"/>
      <c r="B959" s="16"/>
      <c r="C959" s="24"/>
      <c r="D959" s="16"/>
      <c r="E959" s="23"/>
      <c r="F959" s="16"/>
      <c r="G959" s="16"/>
      <c r="H959" s="16"/>
      <c r="I959" s="16"/>
      <c r="J959" s="16"/>
      <c r="K959" s="16"/>
      <c r="L959" s="16"/>
      <c r="M959" s="16"/>
    </row>
    <row r="960" spans="1:13" x14ac:dyDescent="0.25">
      <c r="A960" s="2"/>
      <c r="B960" s="16"/>
      <c r="C960" s="24"/>
      <c r="D960" s="16"/>
      <c r="E960" s="23"/>
      <c r="F960" s="16"/>
      <c r="G960" s="16"/>
      <c r="H960" s="16"/>
      <c r="I960" s="16"/>
      <c r="J960" s="16"/>
      <c r="K960" s="16"/>
      <c r="L960" s="16"/>
      <c r="M960" s="16"/>
    </row>
    <row r="961" spans="1:13" x14ac:dyDescent="0.25">
      <c r="A961" s="2"/>
      <c r="B961" s="16"/>
      <c r="C961" s="24"/>
      <c r="D961" s="16"/>
      <c r="E961" s="23"/>
      <c r="F961" s="16"/>
      <c r="G961" s="16"/>
      <c r="H961" s="16"/>
      <c r="I961" s="16"/>
      <c r="J961" s="16"/>
      <c r="K961" s="16"/>
      <c r="L961" s="16"/>
      <c r="M961" s="16"/>
    </row>
    <row r="962" spans="1:13" x14ac:dyDescent="0.25">
      <c r="A962" s="2"/>
      <c r="B962" s="16"/>
      <c r="C962" s="24"/>
      <c r="D962" s="16"/>
      <c r="E962" s="23"/>
      <c r="F962" s="16"/>
      <c r="G962" s="16"/>
      <c r="H962" s="16"/>
      <c r="I962" s="16"/>
      <c r="J962" s="16"/>
      <c r="K962" s="16"/>
      <c r="L962" s="16"/>
      <c r="M962" s="16"/>
    </row>
    <row r="963" spans="1:13" x14ac:dyDescent="0.25">
      <c r="A963" s="2"/>
      <c r="B963" s="16"/>
      <c r="C963" s="24"/>
      <c r="D963" s="16"/>
      <c r="E963" s="23"/>
      <c r="F963" s="16"/>
      <c r="G963" s="16"/>
      <c r="H963" s="16"/>
      <c r="I963" s="16"/>
      <c r="J963" s="16"/>
      <c r="K963" s="16"/>
      <c r="L963" s="16"/>
      <c r="M963" s="16"/>
    </row>
    <row r="964" spans="1:13" x14ac:dyDescent="0.25">
      <c r="A964" s="2"/>
      <c r="B964" s="16"/>
      <c r="C964" s="24"/>
      <c r="D964" s="16"/>
      <c r="E964" s="23"/>
      <c r="F964" s="16"/>
      <c r="G964" s="16"/>
      <c r="H964" s="16"/>
      <c r="I964" s="16"/>
      <c r="J964" s="16"/>
      <c r="K964" s="16"/>
      <c r="L964" s="16"/>
      <c r="M964" s="16"/>
    </row>
    <row r="965" spans="1:13" x14ac:dyDescent="0.25">
      <c r="A965" s="2"/>
      <c r="B965" s="16"/>
      <c r="C965" s="24"/>
      <c r="D965" s="16"/>
      <c r="E965" s="23"/>
      <c r="F965" s="16"/>
      <c r="G965" s="16"/>
      <c r="H965" s="16"/>
      <c r="I965" s="16"/>
      <c r="J965" s="16"/>
      <c r="K965" s="16"/>
      <c r="L965" s="16"/>
      <c r="M965" s="16"/>
    </row>
    <row r="966" spans="1:13" x14ac:dyDescent="0.25">
      <c r="A966" s="2"/>
      <c r="B966" s="16"/>
      <c r="C966" s="24"/>
      <c r="D966" s="16"/>
      <c r="E966" s="23"/>
      <c r="F966" s="16"/>
      <c r="G966" s="16"/>
      <c r="H966" s="16"/>
      <c r="I966" s="16"/>
      <c r="J966" s="16"/>
      <c r="K966" s="16"/>
      <c r="L966" s="16"/>
      <c r="M966" s="16"/>
    </row>
    <row r="967" spans="1:13" x14ac:dyDescent="0.25">
      <c r="A967" s="2"/>
      <c r="B967" s="16"/>
      <c r="C967" s="24"/>
      <c r="D967" s="16"/>
      <c r="E967" s="23"/>
      <c r="F967" s="16"/>
      <c r="G967" s="16"/>
      <c r="H967" s="16"/>
      <c r="I967" s="16"/>
      <c r="J967" s="16"/>
      <c r="K967" s="16"/>
      <c r="L967" s="16"/>
      <c r="M967" s="16"/>
    </row>
    <row r="968" spans="1:13" x14ac:dyDescent="0.25">
      <c r="A968" s="2"/>
      <c r="B968" s="16"/>
      <c r="C968" s="24"/>
      <c r="D968" s="16"/>
      <c r="E968" s="23"/>
      <c r="F968" s="16"/>
      <c r="G968" s="16"/>
      <c r="H968" s="16"/>
      <c r="I968" s="16"/>
      <c r="J968" s="16"/>
      <c r="K968" s="16"/>
      <c r="L968" s="16"/>
      <c r="M968" s="16"/>
    </row>
    <row r="969" spans="1:13" x14ac:dyDescent="0.25">
      <c r="A969" s="2"/>
      <c r="B969" s="16"/>
      <c r="C969" s="24"/>
      <c r="D969" s="16"/>
      <c r="E969" s="23"/>
      <c r="F969" s="16"/>
      <c r="G969" s="16"/>
      <c r="H969" s="16"/>
      <c r="I969" s="16"/>
      <c r="J969" s="16"/>
      <c r="K969" s="16"/>
      <c r="L969" s="16"/>
      <c r="M969" s="16"/>
    </row>
    <row r="970" spans="1:13" x14ac:dyDescent="0.25">
      <c r="A970" s="2"/>
      <c r="B970" s="16"/>
      <c r="C970" s="24"/>
      <c r="D970" s="16"/>
      <c r="E970" s="23"/>
      <c r="F970" s="16"/>
      <c r="G970" s="16"/>
      <c r="H970" s="16"/>
      <c r="I970" s="16"/>
      <c r="J970" s="16"/>
      <c r="K970" s="16"/>
      <c r="L970" s="16"/>
      <c r="M970" s="16"/>
    </row>
    <row r="971" spans="1:13" x14ac:dyDescent="0.25">
      <c r="A971" s="2"/>
      <c r="B971" s="16"/>
      <c r="C971" s="24"/>
      <c r="D971" s="16"/>
      <c r="E971" s="23"/>
      <c r="F971" s="16"/>
      <c r="G971" s="16"/>
      <c r="H971" s="16"/>
      <c r="I971" s="16"/>
      <c r="J971" s="16"/>
      <c r="K971" s="16"/>
      <c r="L971" s="16"/>
      <c r="M971" s="16"/>
    </row>
    <row r="972" spans="1:13" x14ac:dyDescent="0.25">
      <c r="A972" s="2"/>
      <c r="B972" s="16"/>
      <c r="C972" s="24"/>
      <c r="D972" s="16"/>
      <c r="E972" s="23"/>
      <c r="F972" s="16"/>
      <c r="G972" s="16"/>
      <c r="H972" s="16"/>
      <c r="I972" s="16"/>
      <c r="J972" s="16"/>
      <c r="K972" s="16"/>
      <c r="L972" s="16"/>
      <c r="M972" s="16"/>
    </row>
    <row r="973" spans="1:13" x14ac:dyDescent="0.25">
      <c r="A973" s="2"/>
      <c r="B973" s="16"/>
      <c r="C973" s="24"/>
      <c r="D973" s="16"/>
      <c r="E973" s="23"/>
      <c r="F973" s="16"/>
      <c r="G973" s="16"/>
      <c r="H973" s="16"/>
      <c r="I973" s="16"/>
      <c r="J973" s="16"/>
      <c r="K973" s="16"/>
      <c r="L973" s="16"/>
      <c r="M973" s="16"/>
    </row>
    <row r="974" spans="1:13" x14ac:dyDescent="0.25">
      <c r="A974" s="2"/>
      <c r="B974" s="16"/>
      <c r="C974" s="24"/>
      <c r="D974" s="16"/>
      <c r="E974" s="23"/>
      <c r="F974" s="16"/>
      <c r="G974" s="16"/>
      <c r="H974" s="16"/>
      <c r="I974" s="16"/>
      <c r="J974" s="16"/>
      <c r="K974" s="16"/>
      <c r="L974" s="16"/>
      <c r="M974" s="16"/>
    </row>
    <row r="975" spans="1:13" x14ac:dyDescent="0.25">
      <c r="A975" s="2"/>
      <c r="B975" s="16"/>
      <c r="C975" s="24"/>
      <c r="D975" s="16"/>
      <c r="E975" s="23"/>
      <c r="F975" s="16"/>
      <c r="G975" s="16"/>
      <c r="H975" s="16"/>
      <c r="I975" s="16"/>
      <c r="J975" s="16"/>
      <c r="K975" s="16"/>
      <c r="L975" s="16"/>
      <c r="M975" s="16"/>
    </row>
    <row r="976" spans="1:13" x14ac:dyDescent="0.25">
      <c r="A976" s="2"/>
      <c r="B976" s="16"/>
      <c r="C976" s="24"/>
      <c r="D976" s="16"/>
      <c r="E976" s="23"/>
      <c r="F976" s="16"/>
      <c r="G976" s="16"/>
      <c r="H976" s="16"/>
      <c r="I976" s="16"/>
      <c r="J976" s="16"/>
      <c r="K976" s="16"/>
      <c r="L976" s="16"/>
      <c r="M976" s="16"/>
    </row>
    <row r="977" spans="1:13" x14ac:dyDescent="0.25">
      <c r="A977" s="2"/>
      <c r="B977" s="16"/>
      <c r="C977" s="24"/>
      <c r="D977" s="16"/>
      <c r="E977" s="23"/>
      <c r="F977" s="16"/>
      <c r="G977" s="16"/>
      <c r="H977" s="16"/>
      <c r="I977" s="16"/>
      <c r="J977" s="16"/>
      <c r="K977" s="16"/>
      <c r="L977" s="16"/>
      <c r="M977" s="16"/>
    </row>
    <row r="978" spans="1:13" x14ac:dyDescent="0.25">
      <c r="A978" s="2"/>
      <c r="B978" s="16"/>
      <c r="C978" s="24"/>
      <c r="D978" s="16"/>
      <c r="E978" s="23"/>
      <c r="F978" s="16"/>
      <c r="G978" s="16"/>
      <c r="H978" s="16"/>
      <c r="I978" s="16"/>
      <c r="J978" s="16"/>
      <c r="K978" s="16"/>
      <c r="L978" s="16"/>
      <c r="M978" s="16"/>
    </row>
    <row r="979" spans="1:13" x14ac:dyDescent="0.25">
      <c r="A979" s="2"/>
      <c r="B979" s="16"/>
      <c r="C979" s="24"/>
      <c r="D979" s="16"/>
      <c r="E979" s="23"/>
      <c r="F979" s="16"/>
      <c r="G979" s="16"/>
      <c r="H979" s="16"/>
      <c r="I979" s="16"/>
      <c r="J979" s="16"/>
      <c r="K979" s="16"/>
      <c r="L979" s="16"/>
      <c r="M979" s="16"/>
    </row>
    <row r="980" spans="1:13" x14ac:dyDescent="0.25">
      <c r="A980" s="2"/>
      <c r="B980" s="16"/>
      <c r="C980" s="24"/>
      <c r="D980" s="16"/>
      <c r="E980" s="23"/>
      <c r="F980" s="16"/>
      <c r="G980" s="16"/>
      <c r="H980" s="16"/>
      <c r="I980" s="16"/>
      <c r="J980" s="16"/>
      <c r="K980" s="16"/>
      <c r="L980" s="16"/>
      <c r="M980" s="16"/>
    </row>
    <row r="981" spans="1:13" x14ac:dyDescent="0.25">
      <c r="A981" s="2"/>
      <c r="B981" s="16"/>
      <c r="C981" s="24"/>
      <c r="D981" s="16"/>
      <c r="E981" s="23"/>
      <c r="F981" s="16"/>
      <c r="G981" s="16"/>
      <c r="H981" s="16"/>
      <c r="I981" s="16"/>
      <c r="J981" s="16"/>
      <c r="K981" s="16"/>
      <c r="L981" s="16"/>
      <c r="M981" s="16"/>
    </row>
    <row r="982" spans="1:13" x14ac:dyDescent="0.25">
      <c r="A982" s="2"/>
      <c r="B982" s="16"/>
      <c r="C982" s="24"/>
      <c r="D982" s="16"/>
      <c r="E982" s="23"/>
      <c r="F982" s="16"/>
      <c r="G982" s="16"/>
      <c r="H982" s="16"/>
      <c r="I982" s="16"/>
      <c r="J982" s="16"/>
      <c r="K982" s="16"/>
      <c r="L982" s="16"/>
      <c r="M982" s="16"/>
    </row>
    <row r="983" spans="1:13" x14ac:dyDescent="0.25">
      <c r="A983" s="2"/>
      <c r="B983" s="16"/>
      <c r="C983" s="24"/>
      <c r="D983" s="16"/>
      <c r="E983" s="23"/>
      <c r="F983" s="16"/>
      <c r="G983" s="16"/>
      <c r="H983" s="16"/>
      <c r="I983" s="16"/>
      <c r="J983" s="16"/>
      <c r="K983" s="16"/>
      <c r="L983" s="16"/>
      <c r="M983" s="16"/>
    </row>
    <row r="984" spans="1:13" x14ac:dyDescent="0.25">
      <c r="A984" s="2"/>
      <c r="B984" s="16"/>
      <c r="C984" s="24"/>
      <c r="D984" s="16"/>
      <c r="E984" s="23"/>
      <c r="F984" s="16"/>
      <c r="G984" s="16"/>
      <c r="H984" s="16"/>
      <c r="I984" s="16"/>
      <c r="J984" s="16"/>
      <c r="K984" s="16"/>
      <c r="L984" s="16"/>
      <c r="M984" s="16"/>
    </row>
    <row r="985" spans="1:13" x14ac:dyDescent="0.25">
      <c r="A985" s="2"/>
      <c r="B985" s="16"/>
      <c r="C985" s="24"/>
      <c r="D985" s="16"/>
      <c r="E985" s="23"/>
      <c r="F985" s="16"/>
      <c r="G985" s="16"/>
      <c r="H985" s="16"/>
      <c r="I985" s="16"/>
      <c r="J985" s="16"/>
      <c r="K985" s="16"/>
      <c r="L985" s="16"/>
      <c r="M985" s="16"/>
    </row>
    <row r="986" spans="1:13" x14ac:dyDescent="0.25">
      <c r="A986" s="2"/>
      <c r="B986" s="16"/>
      <c r="C986" s="24"/>
      <c r="D986" s="16"/>
      <c r="E986" s="23"/>
      <c r="F986" s="16"/>
      <c r="G986" s="16"/>
      <c r="H986" s="16"/>
      <c r="I986" s="16"/>
      <c r="J986" s="16"/>
      <c r="K986" s="16"/>
      <c r="L986" s="16"/>
      <c r="M986" s="16"/>
    </row>
    <row r="987" spans="1:13" x14ac:dyDescent="0.25">
      <c r="A987" s="2"/>
      <c r="B987" s="16"/>
      <c r="C987" s="24"/>
      <c r="D987" s="16"/>
      <c r="E987" s="23"/>
      <c r="F987" s="16"/>
      <c r="G987" s="16"/>
      <c r="H987" s="16"/>
      <c r="I987" s="16"/>
      <c r="J987" s="16"/>
      <c r="K987" s="16"/>
      <c r="L987" s="16"/>
      <c r="M987" s="16"/>
    </row>
    <row r="988" spans="1:13" x14ac:dyDescent="0.25">
      <c r="A988" s="2"/>
      <c r="B988" s="16"/>
      <c r="C988" s="24"/>
      <c r="D988" s="16"/>
      <c r="E988" s="23"/>
      <c r="F988" s="16"/>
      <c r="G988" s="16"/>
      <c r="H988" s="16"/>
      <c r="I988" s="16"/>
      <c r="J988" s="16"/>
      <c r="K988" s="16"/>
      <c r="L988" s="16"/>
      <c r="M988" s="16"/>
    </row>
    <row r="989" spans="1:13" x14ac:dyDescent="0.25">
      <c r="A989" s="2"/>
      <c r="B989" s="16"/>
      <c r="C989" s="24"/>
      <c r="D989" s="16"/>
      <c r="E989" s="23"/>
      <c r="F989" s="16"/>
      <c r="G989" s="16"/>
      <c r="H989" s="16"/>
      <c r="I989" s="16"/>
      <c r="J989" s="16"/>
      <c r="K989" s="16"/>
      <c r="L989" s="16"/>
      <c r="M989" s="16"/>
    </row>
    <row r="990" spans="1:13" x14ac:dyDescent="0.25">
      <c r="A990" s="2"/>
      <c r="B990" s="16"/>
      <c r="C990" s="24"/>
      <c r="D990" s="16"/>
      <c r="E990" s="23"/>
      <c r="F990" s="16"/>
      <c r="G990" s="16"/>
      <c r="H990" s="16"/>
      <c r="I990" s="16"/>
      <c r="J990" s="16"/>
      <c r="K990" s="16"/>
      <c r="L990" s="16"/>
      <c r="M990" s="16"/>
    </row>
    <row r="991" spans="1:13" x14ac:dyDescent="0.25">
      <c r="A991" s="2"/>
      <c r="B991" s="16"/>
      <c r="C991" s="24"/>
      <c r="D991" s="16"/>
      <c r="E991" s="23"/>
      <c r="F991" s="16"/>
      <c r="G991" s="16"/>
      <c r="H991" s="16"/>
      <c r="I991" s="16"/>
      <c r="J991" s="16"/>
      <c r="K991" s="16"/>
      <c r="L991" s="16"/>
      <c r="M991" s="16"/>
    </row>
    <row r="992" spans="1:13" x14ac:dyDescent="0.25">
      <c r="A992" s="2"/>
      <c r="B992" s="16"/>
      <c r="C992" s="24"/>
      <c r="D992" s="16"/>
      <c r="E992" s="23"/>
      <c r="F992" s="16"/>
      <c r="G992" s="16"/>
      <c r="H992" s="16"/>
      <c r="I992" s="16"/>
      <c r="J992" s="16"/>
      <c r="K992" s="16"/>
      <c r="L992" s="16"/>
      <c r="M992" s="16"/>
    </row>
    <row r="993" spans="1:13" x14ac:dyDescent="0.25">
      <c r="A993" s="2"/>
      <c r="B993" s="16"/>
      <c r="C993" s="24"/>
      <c r="D993" s="16"/>
      <c r="E993" s="23"/>
      <c r="F993" s="16"/>
      <c r="G993" s="16"/>
      <c r="H993" s="16"/>
      <c r="I993" s="16"/>
      <c r="J993" s="16"/>
      <c r="K993" s="16"/>
      <c r="L993" s="16"/>
      <c r="M993" s="16"/>
    </row>
    <row r="994" spans="1:13" x14ac:dyDescent="0.25">
      <c r="A994" s="2"/>
      <c r="B994" s="16"/>
      <c r="C994" s="24"/>
      <c r="D994" s="16"/>
      <c r="E994" s="23"/>
      <c r="F994" s="16"/>
      <c r="G994" s="16"/>
      <c r="H994" s="16"/>
      <c r="I994" s="16"/>
      <c r="J994" s="16"/>
      <c r="K994" s="16"/>
      <c r="L994" s="16"/>
      <c r="M994" s="16"/>
    </row>
    <row r="995" spans="1:13" x14ac:dyDescent="0.25">
      <c r="A995" s="2"/>
      <c r="B995" s="16"/>
      <c r="C995" s="24"/>
      <c r="D995" s="16"/>
      <c r="E995" s="23"/>
      <c r="F995" s="16"/>
      <c r="G995" s="16"/>
      <c r="H995" s="16"/>
      <c r="I995" s="16"/>
      <c r="J995" s="16"/>
      <c r="K995" s="16"/>
      <c r="L995" s="16"/>
      <c r="M995" s="16"/>
    </row>
    <row r="996" spans="1:13" x14ac:dyDescent="0.25">
      <c r="A996" s="2"/>
      <c r="B996" s="16"/>
      <c r="C996" s="24"/>
      <c r="D996" s="16"/>
      <c r="E996" s="23"/>
      <c r="F996" s="16"/>
      <c r="G996" s="16"/>
      <c r="H996" s="16"/>
      <c r="I996" s="16"/>
      <c r="J996" s="16"/>
      <c r="K996" s="16"/>
      <c r="L996" s="16"/>
      <c r="M996" s="16"/>
    </row>
    <row r="997" spans="1:13" x14ac:dyDescent="0.25">
      <c r="A997" s="2"/>
      <c r="B997" s="16"/>
      <c r="C997" s="24"/>
      <c r="D997" s="16"/>
      <c r="E997" s="23"/>
      <c r="F997" s="16"/>
      <c r="G997" s="16"/>
      <c r="H997" s="16"/>
      <c r="I997" s="16"/>
      <c r="J997" s="16"/>
      <c r="K997" s="16"/>
      <c r="L997" s="16"/>
      <c r="M997" s="16"/>
    </row>
    <row r="998" spans="1:13" x14ac:dyDescent="0.25">
      <c r="A998" s="2"/>
      <c r="B998" s="16"/>
      <c r="C998" s="24"/>
      <c r="D998" s="16"/>
      <c r="E998" s="23"/>
      <c r="F998" s="16"/>
      <c r="G998" s="16"/>
      <c r="H998" s="16"/>
      <c r="I998" s="16"/>
      <c r="J998" s="16"/>
      <c r="K998" s="16"/>
      <c r="L998" s="16"/>
      <c r="M998" s="16"/>
    </row>
    <row r="999" spans="1:13" x14ac:dyDescent="0.25">
      <c r="A999" s="2"/>
      <c r="B999" s="16"/>
      <c r="C999" s="24"/>
      <c r="D999" s="16"/>
      <c r="E999" s="23"/>
      <c r="F999" s="16"/>
      <c r="G999" s="16"/>
      <c r="H999" s="16"/>
      <c r="I999" s="16"/>
      <c r="J999" s="16"/>
      <c r="K999" s="16"/>
      <c r="L999" s="16"/>
      <c r="M999" s="16"/>
    </row>
    <row r="1000" spans="1:13" x14ac:dyDescent="0.25">
      <c r="A1000" s="2"/>
      <c r="B1000" s="16"/>
      <c r="C1000" s="24"/>
      <c r="D1000" s="16"/>
      <c r="E1000" s="23"/>
      <c r="F1000" s="16"/>
      <c r="G1000" s="16"/>
      <c r="H1000" s="16"/>
      <c r="I1000" s="16"/>
      <c r="J1000" s="16"/>
      <c r="K1000" s="16"/>
      <c r="L1000" s="16"/>
      <c r="M1000" s="16"/>
    </row>
    <row r="1001" spans="1:13" x14ac:dyDescent="0.25">
      <c r="A1001" s="2"/>
      <c r="B1001" s="16"/>
      <c r="C1001" s="24"/>
      <c r="D1001" s="16"/>
      <c r="E1001" s="23"/>
      <c r="F1001" s="16"/>
      <c r="G1001" s="16"/>
      <c r="H1001" s="16"/>
      <c r="I1001" s="16"/>
      <c r="J1001" s="16"/>
      <c r="K1001" s="16"/>
      <c r="L1001" s="16"/>
      <c r="M1001" s="16"/>
    </row>
    <row r="1002" spans="1:13" x14ac:dyDescent="0.25">
      <c r="A1002" s="2"/>
      <c r="B1002" s="16"/>
      <c r="C1002" s="24"/>
      <c r="D1002" s="16"/>
      <c r="E1002" s="23"/>
      <c r="F1002" s="16"/>
      <c r="G1002" s="16"/>
      <c r="H1002" s="16"/>
      <c r="I1002" s="16"/>
      <c r="J1002" s="16"/>
      <c r="K1002" s="16"/>
      <c r="L1002" s="16"/>
      <c r="M1002" s="16"/>
    </row>
    <row r="1003" spans="1:13" x14ac:dyDescent="0.25">
      <c r="A1003" s="2"/>
      <c r="B1003" s="16"/>
      <c r="C1003" s="24"/>
      <c r="D1003" s="16"/>
      <c r="E1003" s="23"/>
      <c r="F1003" s="16"/>
      <c r="G1003" s="16"/>
      <c r="H1003" s="16"/>
      <c r="I1003" s="16"/>
      <c r="J1003" s="16"/>
      <c r="K1003" s="16"/>
      <c r="L1003" s="16"/>
      <c r="M1003" s="16"/>
    </row>
    <row r="1004" spans="1:13" x14ac:dyDescent="0.25">
      <c r="A1004" s="2"/>
      <c r="B1004" s="16"/>
      <c r="C1004" s="24"/>
      <c r="D1004" s="16"/>
      <c r="E1004" s="23"/>
      <c r="F1004" s="16"/>
      <c r="G1004" s="16"/>
      <c r="H1004" s="16"/>
      <c r="I1004" s="16"/>
      <c r="J1004" s="16"/>
      <c r="K1004" s="16"/>
      <c r="L1004" s="16"/>
      <c r="M1004" s="16"/>
    </row>
    <row r="1005" spans="1:13" x14ac:dyDescent="0.25">
      <c r="A1005" s="2"/>
      <c r="B1005" s="16"/>
      <c r="C1005" s="24"/>
      <c r="D1005" s="16"/>
      <c r="E1005" s="23"/>
      <c r="F1005" s="16"/>
      <c r="G1005" s="16"/>
      <c r="H1005" s="16"/>
      <c r="I1005" s="16"/>
      <c r="J1005" s="16"/>
      <c r="K1005" s="16"/>
      <c r="L1005" s="16"/>
      <c r="M1005" s="16"/>
    </row>
    <row r="1006" spans="1:13" x14ac:dyDescent="0.25">
      <c r="A1006" s="2"/>
      <c r="B1006" s="16"/>
      <c r="C1006" s="24"/>
      <c r="D1006" s="16"/>
      <c r="E1006" s="23"/>
      <c r="F1006" s="16"/>
      <c r="G1006" s="16"/>
      <c r="H1006" s="16"/>
      <c r="I1006" s="16"/>
      <c r="J1006" s="16"/>
      <c r="K1006" s="16"/>
      <c r="L1006" s="16"/>
      <c r="M1006" s="16"/>
    </row>
    <row r="1007" spans="1:13" x14ac:dyDescent="0.25">
      <c r="A1007" s="2"/>
      <c r="B1007" s="16"/>
      <c r="C1007" s="24"/>
      <c r="D1007" s="16"/>
      <c r="E1007" s="23"/>
      <c r="F1007" s="16"/>
      <c r="G1007" s="16"/>
      <c r="H1007" s="16"/>
      <c r="I1007" s="16"/>
      <c r="J1007" s="16"/>
      <c r="K1007" s="16"/>
      <c r="L1007" s="16"/>
      <c r="M1007" s="16"/>
    </row>
  </sheetData>
  <dataConsolidate link="1"/>
  <mergeCells count="62">
    <mergeCell ref="A71:M71"/>
    <mergeCell ref="A72:M72"/>
    <mergeCell ref="A43:M43"/>
    <mergeCell ref="O32:P32"/>
    <mergeCell ref="Q32:R32"/>
    <mergeCell ref="Q34:W34"/>
    <mergeCell ref="Q39:W39"/>
    <mergeCell ref="S32:T32"/>
    <mergeCell ref="N43:S43"/>
    <mergeCell ref="T43:W43"/>
    <mergeCell ref="U32:V32"/>
    <mergeCell ref="B35:E35"/>
    <mergeCell ref="G35:K35"/>
    <mergeCell ref="M35:O35"/>
    <mergeCell ref="C32:D32"/>
    <mergeCell ref="E32:F32"/>
    <mergeCell ref="G32:H32"/>
    <mergeCell ref="I32:J32"/>
    <mergeCell ref="K32:L32"/>
    <mergeCell ref="M32:N32"/>
    <mergeCell ref="A34:O34"/>
    <mergeCell ref="C30:D30"/>
    <mergeCell ref="G30:H30"/>
    <mergeCell ref="K30:L30"/>
    <mergeCell ref="O30:P30"/>
    <mergeCell ref="C31:D31"/>
    <mergeCell ref="G31:H31"/>
    <mergeCell ref="K31:L31"/>
    <mergeCell ref="O31:P31"/>
    <mergeCell ref="A19:W19"/>
    <mergeCell ref="E21:F21"/>
    <mergeCell ref="K21:L21"/>
    <mergeCell ref="C29:D29"/>
    <mergeCell ref="G29:H29"/>
    <mergeCell ref="K29:L29"/>
    <mergeCell ref="O29:P29"/>
    <mergeCell ref="M7:N7"/>
    <mergeCell ref="O7:P7"/>
    <mergeCell ref="Q7:R7"/>
    <mergeCell ref="S7:T7"/>
    <mergeCell ref="A12:B12"/>
    <mergeCell ref="C12:D12"/>
    <mergeCell ref="G12:H12"/>
    <mergeCell ref="I12:J12"/>
    <mergeCell ref="K12:L12"/>
    <mergeCell ref="M12:N12"/>
    <mergeCell ref="M6:N6"/>
    <mergeCell ref="O6:P6"/>
    <mergeCell ref="Q6:R6"/>
    <mergeCell ref="S6:T6"/>
    <mergeCell ref="A7:B7"/>
    <mergeCell ref="C7:D7"/>
    <mergeCell ref="E7:F7"/>
    <mergeCell ref="G7:H7"/>
    <mergeCell ref="I7:J7"/>
    <mergeCell ref="K7:L7"/>
    <mergeCell ref="A6:B6"/>
    <mergeCell ref="C6:D6"/>
    <mergeCell ref="E6:F6"/>
    <mergeCell ref="G6:H6"/>
    <mergeCell ref="I6:J6"/>
    <mergeCell ref="K6:L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46" r:id="rId4" name="CommandButton21">
          <controlPr defaultSize="0" autoLine="0" r:id="rId5">
            <anchor moveWithCells="1">
              <from>
                <xdr:col>4</xdr:col>
                <xdr:colOff>1057275</xdr:colOff>
                <xdr:row>0</xdr:row>
                <xdr:rowOff>133350</xdr:rowOff>
              </from>
              <to>
                <xdr:col>6</xdr:col>
                <xdr:colOff>571500</xdr:colOff>
                <xdr:row>2</xdr:row>
                <xdr:rowOff>171450</xdr:rowOff>
              </to>
            </anchor>
          </controlPr>
        </control>
      </mc:Choice>
      <mc:Fallback>
        <control shapeId="14346" r:id="rId4" name="CommandButton21"/>
      </mc:Fallback>
    </mc:AlternateContent>
    <mc:AlternateContent xmlns:mc="http://schemas.openxmlformats.org/markup-compatibility/2006">
      <mc:Choice Requires="x14">
        <control shapeId="14345" r:id="rId6" name="cbPreserveContract">
          <controlPr defaultSize="0" autoLine="0" r:id="rId7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2</xdr:col>
                <xdr:colOff>180975</xdr:colOff>
                <xdr:row>25</xdr:row>
                <xdr:rowOff>0</xdr:rowOff>
              </to>
            </anchor>
          </controlPr>
        </control>
      </mc:Choice>
      <mc:Fallback>
        <control shapeId="14345" r:id="rId6" name="cbPreserveContract"/>
      </mc:Fallback>
    </mc:AlternateContent>
    <mc:AlternateContent xmlns:mc="http://schemas.openxmlformats.org/markup-compatibility/2006">
      <mc:Choice Requires="x14">
        <control shapeId="14344" r:id="rId8" name="cmbDumpContracts">
          <controlPr defaultSize="0" autoLine="0" r:id="rId9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21</xdr:col>
                <xdr:colOff>1200150</xdr:colOff>
                <xdr:row>1</xdr:row>
                <xdr:rowOff>152400</xdr:rowOff>
              </to>
            </anchor>
          </controlPr>
        </control>
      </mc:Choice>
      <mc:Fallback>
        <control shapeId="14344" r:id="rId8" name="cmbDumpContracts"/>
      </mc:Fallback>
    </mc:AlternateContent>
    <mc:AlternateContent xmlns:mc="http://schemas.openxmlformats.org/markup-compatibility/2006">
      <mc:Choice Requires="x14">
        <control shapeId="14343" r:id="rId10" name="cmbEnableAutoHedge">
          <controlPr defaultSize="0" autoLine="0" r:id="rId11">
            <anchor moveWithCells="1">
              <from>
                <xdr:col>3</xdr:col>
                <xdr:colOff>266700</xdr:colOff>
                <xdr:row>0</xdr:row>
                <xdr:rowOff>9525</xdr:rowOff>
              </from>
              <to>
                <xdr:col>4</xdr:col>
                <xdr:colOff>200025</xdr:colOff>
                <xdr:row>1</xdr:row>
                <xdr:rowOff>114300</xdr:rowOff>
              </to>
            </anchor>
          </controlPr>
        </control>
      </mc:Choice>
      <mc:Fallback>
        <control shapeId="14343" r:id="rId10" name="cmbEnableAutoHedge"/>
      </mc:Fallback>
    </mc:AlternateContent>
    <mc:AlternateContent xmlns:mc="http://schemas.openxmlformats.org/markup-compatibility/2006">
      <mc:Choice Requires="x14">
        <control shapeId="14342" r:id="rId12" name="obNoRebalanceOnStartup">
          <controlPr defaultSize="0" autoLine="0" r:id="rId13">
            <anchor moveWithCells="1">
              <from>
                <xdr:col>14</xdr:col>
                <xdr:colOff>9525</xdr:colOff>
                <xdr:row>20</xdr:row>
                <xdr:rowOff>76200</xdr:rowOff>
              </from>
              <to>
                <xdr:col>15</xdr:col>
                <xdr:colOff>590550</xdr:colOff>
                <xdr:row>21</xdr:row>
                <xdr:rowOff>142875</xdr:rowOff>
              </to>
            </anchor>
          </controlPr>
        </control>
      </mc:Choice>
      <mc:Fallback>
        <control shapeId="14342" r:id="rId12" name="obNoRebalanceOnStartup"/>
      </mc:Fallback>
    </mc:AlternateContent>
    <mc:AlternateContent xmlns:mc="http://schemas.openxmlformats.org/markup-compatibility/2006">
      <mc:Choice Requires="x14">
        <control shapeId="14341" r:id="rId14" name="obRebalanceOnStartup">
          <controlPr defaultSize="0" autoLine="0" r:id="rId15">
            <anchor moveWithCells="1">
              <from>
                <xdr:col>14</xdr:col>
                <xdr:colOff>9525</xdr:colOff>
                <xdr:row>19</xdr:row>
                <xdr:rowOff>9525</xdr:rowOff>
              </from>
              <to>
                <xdr:col>15</xdr:col>
                <xdr:colOff>590550</xdr:colOff>
                <xdr:row>19</xdr:row>
                <xdr:rowOff>266700</xdr:rowOff>
              </to>
            </anchor>
          </controlPr>
        </control>
      </mc:Choice>
      <mc:Fallback>
        <control shapeId="14341" r:id="rId14" name="obRebalanceOnStartup"/>
      </mc:Fallback>
    </mc:AlternateContent>
    <mc:AlternateContent xmlns:mc="http://schemas.openxmlformats.org/markup-compatibility/2006">
      <mc:Choice Requires="x14">
        <control shapeId="14340" r:id="rId16" name="CommandButton1">
          <controlPr defaultSize="0" autoLine="0" r:id="rId1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9525</xdr:colOff>
                <xdr:row>3</xdr:row>
                <xdr:rowOff>85725</xdr:rowOff>
              </to>
            </anchor>
          </controlPr>
        </control>
      </mc:Choice>
      <mc:Fallback>
        <control shapeId="14340" r:id="rId16" name="CommandButton1"/>
      </mc:Fallback>
    </mc:AlternateContent>
    <mc:AlternateContent xmlns:mc="http://schemas.openxmlformats.org/markup-compatibility/2006">
      <mc:Choice Requires="x14">
        <control shapeId="14339" r:id="rId18" name="cmbSubscribePortfolio">
          <controlPr defaultSize="0" autoLine="0" autoPict="0" r:id="rId19">
            <anchor moveWithCells="1">
              <from>
                <xdr:col>2</xdr:col>
                <xdr:colOff>304800</xdr:colOff>
                <xdr:row>0</xdr:row>
                <xdr:rowOff>0</xdr:rowOff>
              </from>
              <to>
                <xdr:col>3</xdr:col>
                <xdr:colOff>266700</xdr:colOff>
                <xdr:row>1</xdr:row>
                <xdr:rowOff>114300</xdr:rowOff>
              </to>
            </anchor>
          </controlPr>
        </control>
      </mc:Choice>
      <mc:Fallback>
        <control shapeId="14339" r:id="rId18" name="cmbSubscribePortfolio"/>
      </mc:Fallback>
    </mc:AlternateContent>
    <mc:AlternateContent xmlns:mc="http://schemas.openxmlformats.org/markup-compatibility/2006">
      <mc:Choice Requires="x14">
        <control shapeId="14338" r:id="rId20" name="cmbSubscribeAccountInfo">
          <controlPr defaultSize="0" autoLine="0" r:id="rId21">
            <anchor moveWithCells="1">
              <from>
                <xdr:col>0</xdr:col>
                <xdr:colOff>809625</xdr:colOff>
                <xdr:row>0</xdr:row>
                <xdr:rowOff>0</xdr:rowOff>
              </from>
              <to>
                <xdr:col>2</xdr:col>
                <xdr:colOff>219075</xdr:colOff>
                <xdr:row>1</xdr:row>
                <xdr:rowOff>114300</xdr:rowOff>
              </to>
            </anchor>
          </controlPr>
        </control>
      </mc:Choice>
      <mc:Fallback>
        <control shapeId="14338" r:id="rId20" name="cmbSubscribeAccountInfo"/>
      </mc:Fallback>
    </mc:AlternateContent>
    <mc:AlternateContent xmlns:mc="http://schemas.openxmlformats.org/markup-compatibility/2006">
      <mc:Choice Requires="x14">
        <control shapeId="14337" r:id="rId22" name="cmbConnect">
          <controlPr defaultSize="0" autoLine="0" autoPict="0" r:id="rId23">
            <anchor moveWithCells="1">
              <from>
                <xdr:col>0</xdr:col>
                <xdr:colOff>19050</xdr:colOff>
                <xdr:row>0</xdr:row>
                <xdr:rowOff>0</xdr:rowOff>
              </from>
              <to>
                <xdr:col>0</xdr:col>
                <xdr:colOff>800100</xdr:colOff>
                <xdr:row>1</xdr:row>
                <xdr:rowOff>114300</xdr:rowOff>
              </to>
            </anchor>
          </controlPr>
        </control>
      </mc:Choice>
      <mc:Fallback>
        <control shapeId="14337" r:id="rId22" name="cmbConnec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AK125"/>
  <sheetViews>
    <sheetView topLeftCell="A91" workbookViewId="0">
      <selection activeCell="X109" sqref="X109"/>
    </sheetView>
  </sheetViews>
  <sheetFormatPr defaultRowHeight="15" x14ac:dyDescent="0.25"/>
  <cols>
    <col min="5" max="5" width="9.42578125" customWidth="1"/>
    <col min="11" max="11" width="11.5703125" customWidth="1"/>
    <col min="21" max="21" width="14.42578125" customWidth="1"/>
    <col min="22" max="22" width="14.42578125" style="61" customWidth="1"/>
    <col min="24" max="24" width="12.140625" customWidth="1"/>
    <col min="26" max="26" width="16.28515625" customWidth="1"/>
    <col min="31" max="31" width="10.42578125" customWidth="1"/>
    <col min="32" max="32" width="9.140625" style="63"/>
    <col min="33" max="33" width="9.5703125" bestFit="1" customWidth="1"/>
    <col min="34" max="34" width="9.85546875" customWidth="1"/>
  </cols>
  <sheetData>
    <row r="1" spans="2:37" x14ac:dyDescent="0.25">
      <c r="AE1" s="103" t="s">
        <v>123</v>
      </c>
      <c r="AF1" s="103"/>
      <c r="AG1" s="103"/>
      <c r="AH1" s="103"/>
      <c r="AI1" s="103"/>
      <c r="AJ1" s="103"/>
      <c r="AK1" s="103"/>
    </row>
    <row r="4" spans="2:37" x14ac:dyDescent="0.25">
      <c r="B4" s="88" t="s">
        <v>13</v>
      </c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  <c r="O4" s="102"/>
      <c r="P4" s="102"/>
      <c r="Q4" s="88"/>
      <c r="R4" s="89"/>
      <c r="S4" s="89"/>
      <c r="T4" s="94" t="s">
        <v>101</v>
      </c>
      <c r="U4" s="94"/>
      <c r="V4" s="94"/>
      <c r="W4" s="94"/>
      <c r="X4" s="94"/>
      <c r="Y4" s="94"/>
      <c r="Z4" s="94"/>
      <c r="AA4" s="94"/>
      <c r="AB4" s="94" t="s">
        <v>108</v>
      </c>
      <c r="AC4" s="94"/>
      <c r="AD4" s="94"/>
      <c r="AF4" s="63">
        <f>SUM(AF6:AF125)</f>
        <v>0</v>
      </c>
    </row>
    <row r="5" spans="2:37" ht="6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  <c r="N5" s="51" t="s">
        <v>19</v>
      </c>
      <c r="O5" s="51" t="s">
        <v>21</v>
      </c>
      <c r="P5" s="51" t="s">
        <v>22</v>
      </c>
      <c r="Q5" s="51" t="s">
        <v>18</v>
      </c>
      <c r="R5" s="51" t="s">
        <v>20</v>
      </c>
      <c r="S5" s="51" t="s">
        <v>23</v>
      </c>
      <c r="T5" s="35" t="s">
        <v>45</v>
      </c>
      <c r="U5" s="35" t="s">
        <v>121</v>
      </c>
      <c r="V5" s="60" t="s">
        <v>102</v>
      </c>
      <c r="W5" s="35" t="s">
        <v>103</v>
      </c>
      <c r="X5" s="35" t="s">
        <v>104</v>
      </c>
      <c r="Y5" s="35" t="s">
        <v>105</v>
      </c>
      <c r="Z5" s="35" t="s">
        <v>106</v>
      </c>
      <c r="AA5" s="35" t="s">
        <v>107</v>
      </c>
      <c r="AB5" s="35" t="s">
        <v>103</v>
      </c>
      <c r="AC5" s="35" t="s">
        <v>104</v>
      </c>
      <c r="AD5" s="35" t="s">
        <v>105</v>
      </c>
      <c r="AE5" s="39" t="s">
        <v>112</v>
      </c>
      <c r="AF5" s="64" t="s">
        <v>113</v>
      </c>
      <c r="AG5" s="39" t="s">
        <v>114</v>
      </c>
      <c r="AH5" s="54" t="s">
        <v>118</v>
      </c>
      <c r="AI5" s="54" t="s">
        <v>115</v>
      </c>
      <c r="AJ5" s="54" t="s">
        <v>116</v>
      </c>
      <c r="AK5" s="54" t="s">
        <v>117</v>
      </c>
    </row>
    <row r="6" spans="2:37" x14ac:dyDescent="0.25">
      <c r="B6" s="2" t="s">
        <v>15</v>
      </c>
      <c r="C6" s="2" t="s">
        <v>58</v>
      </c>
      <c r="D6" s="2">
        <v>20141205</v>
      </c>
      <c r="E6" s="2">
        <v>1.51</v>
      </c>
      <c r="F6" s="2" t="s">
        <v>59</v>
      </c>
      <c r="G6" s="2">
        <v>62500</v>
      </c>
      <c r="H6" s="2" t="str">
        <f>I6</f>
        <v>GLOBEX</v>
      </c>
      <c r="I6" s="2" t="s">
        <v>17</v>
      </c>
      <c r="J6" s="2" t="s">
        <v>16</v>
      </c>
      <c r="K6" s="2" t="str">
        <f>CONCATENATE("6BZ4 ",F6,E6*1000)</f>
        <v>6BZ4 P1510</v>
      </c>
      <c r="L6" s="2" t="s">
        <v>25</v>
      </c>
      <c r="M6" s="56">
        <v>10</v>
      </c>
      <c r="N6" s="2">
        <v>0</v>
      </c>
      <c r="O6" s="2">
        <v>0</v>
      </c>
      <c r="P6" s="2">
        <v>0</v>
      </c>
      <c r="Q6" s="2">
        <v>0</v>
      </c>
      <c r="R6" s="2">
        <v>-1</v>
      </c>
      <c r="S6" s="2">
        <v>0</v>
      </c>
      <c r="T6" s="2"/>
      <c r="U6" s="58">
        <v>8.1199351145806584E-5</v>
      </c>
      <c r="V6" s="57">
        <v>0.26420497997470704</v>
      </c>
      <c r="W6" s="2">
        <v>-9.6878701869559432E-3</v>
      </c>
      <c r="X6" s="58">
        <v>0.84191308475782911</v>
      </c>
      <c r="Y6" s="37">
        <v>-2.4950003905054767E-4</v>
      </c>
      <c r="Z6" s="38">
        <v>2.9470481567171625E-5</v>
      </c>
      <c r="AA6" s="2">
        <v>1.5650999999999999</v>
      </c>
      <c r="AB6" s="2">
        <f>W6*M6</f>
        <v>-9.6878701869559436E-2</v>
      </c>
      <c r="AC6" s="2" t="e">
        <f>AE6*M6</f>
        <v>#VALUE!</v>
      </c>
      <c r="AD6" s="2">
        <f>Y6*M6</f>
        <v>-2.4950003905054767E-3</v>
      </c>
      <c r="AE6" s="62" t="e">
        <f>BSGamma($AA$17,E6,D6,0.001,V6)</f>
        <v>#VALUE!</v>
      </c>
      <c r="AF6" s="63">
        <f t="shared" ref="AF6:AF37" si="0">IF(ISERR(AE6),0,AE6*M6)</f>
        <v>0</v>
      </c>
      <c r="AG6" s="31" t="e">
        <f>IF(AE6 = 0,0,(Y6*-10000)/AE6)</f>
        <v>#VALUE!</v>
      </c>
      <c r="AH6">
        <f>IF(F6="C",MAX(0,$AA$14-E6),MAX(0,E6-$AA$14))*10000</f>
        <v>0</v>
      </c>
      <c r="AI6" s="53">
        <f>MAX(0,(U6*10000)-AH6)</f>
        <v>0.81199351145806586</v>
      </c>
      <c r="AJ6" s="53">
        <f>AI6*M6</f>
        <v>8.1199351145806595</v>
      </c>
      <c r="AK6" s="52">
        <f t="shared" ref="AK6:AK14" si="1">MAX(0,AJ6*6.25)</f>
        <v>50.749594466129125</v>
      </c>
    </row>
    <row r="7" spans="2:37" x14ac:dyDescent="0.25">
      <c r="B7" s="2" t="s">
        <v>15</v>
      </c>
      <c r="C7" s="2" t="s">
        <v>58</v>
      </c>
      <c r="D7" s="2">
        <v>20141205</v>
      </c>
      <c r="E7" s="2">
        <v>1.5149999999999999</v>
      </c>
      <c r="F7" s="2" t="s">
        <v>59</v>
      </c>
      <c r="G7" s="2">
        <v>62500</v>
      </c>
      <c r="H7" s="2" t="str">
        <f t="shared" ref="H7:H65" si="2">I7</f>
        <v>GLOBEX</v>
      </c>
      <c r="I7" s="2" t="s">
        <v>17</v>
      </c>
      <c r="J7" s="2" t="s">
        <v>16</v>
      </c>
      <c r="K7" s="2" t="str">
        <f t="shared" ref="K7:K65" si="3">CONCATENATE("6BZ4 ",F7,E7*1000)</f>
        <v>6BZ4 P1515</v>
      </c>
      <c r="L7" s="2" t="s">
        <v>25</v>
      </c>
      <c r="M7" s="56"/>
      <c r="N7" s="2">
        <v>0</v>
      </c>
      <c r="O7" s="2">
        <v>0</v>
      </c>
      <c r="P7" s="2">
        <v>0</v>
      </c>
      <c r="Q7" s="2">
        <v>0</v>
      </c>
      <c r="R7" s="2">
        <v>-1</v>
      </c>
      <c r="S7" s="2">
        <v>0</v>
      </c>
      <c r="T7" s="2"/>
      <c r="U7" s="58">
        <v>7.4421382497728584E-5</v>
      </c>
      <c r="V7" s="57">
        <v>0.24014391877688013</v>
      </c>
      <c r="W7" s="2">
        <v>-9.7672371887170713E-3</v>
      </c>
      <c r="X7" s="58">
        <v>0.96797095253886623</v>
      </c>
      <c r="Y7" s="37">
        <v>-2.2846199736357761E-4</v>
      </c>
      <c r="Z7" s="38">
        <v>3.0772258745588902E-5</v>
      </c>
      <c r="AA7" s="2">
        <v>1.5650999999999999</v>
      </c>
      <c r="AB7" s="2">
        <f t="shared" ref="AB7:AB70" si="4">W7*M7</f>
        <v>0</v>
      </c>
      <c r="AC7" s="2" t="e">
        <f t="shared" ref="AC7:AC70" si="5">AE7*M7</f>
        <v>#VALUE!</v>
      </c>
      <c r="AD7" s="2">
        <f t="shared" ref="AD7:AD70" si="6">Y7*M7</f>
        <v>0</v>
      </c>
      <c r="AE7" s="62" t="e">
        <f t="shared" ref="AE7:AE70" si="7">BSGamma($AA$17,E7,D7,0.001,V7)</f>
        <v>#VALUE!</v>
      </c>
      <c r="AF7" s="63">
        <f t="shared" si="0"/>
        <v>0</v>
      </c>
      <c r="AG7" s="31" t="e">
        <f t="shared" ref="AG7:AG70" si="8">IF(AE7 = 0,0,(Y7*-10000)/AE7)</f>
        <v>#VALUE!</v>
      </c>
      <c r="AH7">
        <f t="shared" ref="AH7:AH70" si="9">IF(F7="C",MAX(0,$AA$14-E7),MAX(0,E7-$AA$14))*10000</f>
        <v>0</v>
      </c>
      <c r="AI7" s="53">
        <f t="shared" ref="AI7:AI70" si="10">MAX(0,(U7*10000)-AH7)</f>
        <v>0.74421382497728583</v>
      </c>
      <c r="AJ7" s="53">
        <f t="shared" ref="AJ7:AJ70" si="11">AI7*M7</f>
        <v>0</v>
      </c>
      <c r="AK7" s="52">
        <f t="shared" si="1"/>
        <v>0</v>
      </c>
    </row>
    <row r="8" spans="2:37" x14ac:dyDescent="0.25">
      <c r="B8" s="2" t="s">
        <v>15</v>
      </c>
      <c r="C8" s="2" t="s">
        <v>58</v>
      </c>
      <c r="D8" s="2">
        <v>20141205</v>
      </c>
      <c r="E8" s="2">
        <v>1.52</v>
      </c>
      <c r="F8" s="2" t="s">
        <v>59</v>
      </c>
      <c r="G8" s="2">
        <v>62500</v>
      </c>
      <c r="H8" s="2" t="str">
        <f t="shared" si="2"/>
        <v>GLOBEX</v>
      </c>
      <c r="I8" s="2" t="s">
        <v>17</v>
      </c>
      <c r="J8" s="2" t="s">
        <v>16</v>
      </c>
      <c r="K8" s="2" t="str">
        <f t="shared" si="3"/>
        <v>6BZ4 P1520</v>
      </c>
      <c r="L8" s="2" t="s">
        <v>25</v>
      </c>
      <c r="M8" s="56"/>
      <c r="N8" s="2">
        <v>0</v>
      </c>
      <c r="O8" s="2">
        <v>0</v>
      </c>
      <c r="P8" s="2">
        <v>0</v>
      </c>
      <c r="Q8" s="2">
        <v>0</v>
      </c>
      <c r="R8" s="2">
        <v>1E-4</v>
      </c>
      <c r="S8" s="2">
        <v>30</v>
      </c>
      <c r="T8" s="2"/>
      <c r="U8" s="58">
        <v>7.1611499573167992E-5</v>
      </c>
      <c r="V8" s="57">
        <v>0.21823570997051434</v>
      </c>
      <c r="W8" s="2">
        <v>-1.0310207742769443E-2</v>
      </c>
      <c r="X8" s="58">
        <v>0</v>
      </c>
      <c r="Y8" s="37">
        <v>-2.1819140367112388E-4</v>
      </c>
      <c r="Z8" s="38">
        <v>3.5808876129176322E-5</v>
      </c>
      <c r="AA8" s="2">
        <v>1.5650999999999999</v>
      </c>
      <c r="AB8" s="2">
        <f t="shared" si="4"/>
        <v>0</v>
      </c>
      <c r="AC8" s="2" t="e">
        <f t="shared" si="5"/>
        <v>#VALUE!</v>
      </c>
      <c r="AD8" s="2">
        <f t="shared" si="6"/>
        <v>0</v>
      </c>
      <c r="AE8" s="62" t="e">
        <f t="shared" si="7"/>
        <v>#VALUE!</v>
      </c>
      <c r="AF8" s="63">
        <f t="shared" si="0"/>
        <v>0</v>
      </c>
      <c r="AG8" s="31" t="e">
        <f t="shared" si="8"/>
        <v>#VALUE!</v>
      </c>
      <c r="AH8">
        <f t="shared" si="9"/>
        <v>0</v>
      </c>
      <c r="AI8" s="53">
        <f t="shared" si="10"/>
        <v>0.71611499573167992</v>
      </c>
      <c r="AJ8" s="53">
        <f t="shared" si="11"/>
        <v>0</v>
      </c>
      <c r="AK8" s="52">
        <f t="shared" si="1"/>
        <v>0</v>
      </c>
    </row>
    <row r="9" spans="2:37" x14ac:dyDescent="0.25">
      <c r="B9" s="2" t="s">
        <v>15</v>
      </c>
      <c r="C9" s="2" t="s">
        <v>58</v>
      </c>
      <c r="D9" s="2">
        <v>20141205</v>
      </c>
      <c r="E9" s="2">
        <v>1.5249999999999999</v>
      </c>
      <c r="F9" s="2" t="s">
        <v>59</v>
      </c>
      <c r="G9" s="2">
        <v>62500</v>
      </c>
      <c r="H9" s="2" t="str">
        <f t="shared" si="2"/>
        <v>GLOBEX</v>
      </c>
      <c r="I9" s="2" t="s">
        <v>17</v>
      </c>
      <c r="J9" s="2" t="s">
        <v>16</v>
      </c>
      <c r="K9" s="2" t="str">
        <f t="shared" si="3"/>
        <v>6BZ4 P1525</v>
      </c>
      <c r="L9" s="2" t="s">
        <v>25</v>
      </c>
      <c r="M9" s="56"/>
      <c r="N9" s="2">
        <v>0</v>
      </c>
      <c r="O9" s="2">
        <v>0</v>
      </c>
      <c r="P9" s="2">
        <v>0</v>
      </c>
      <c r="Q9" s="2">
        <v>0</v>
      </c>
      <c r="R9" s="2">
        <v>-1</v>
      </c>
      <c r="S9" s="2">
        <v>0</v>
      </c>
      <c r="T9" s="2"/>
      <c r="U9" s="58">
        <v>8.0178960996781138E-5</v>
      </c>
      <c r="V9" s="57">
        <v>0.1984803535556523</v>
      </c>
      <c r="W9" s="2">
        <v>-1.2365932135729427E-2</v>
      </c>
      <c r="X9" s="58">
        <v>0</v>
      </c>
      <c r="Y9" s="37">
        <v>-2.3096374601349581E-4</v>
      </c>
      <c r="Z9" s="38">
        <v>3.7211110609111571E-5</v>
      </c>
      <c r="AA9" s="2">
        <v>1.5650999999999999</v>
      </c>
      <c r="AB9" s="2">
        <f t="shared" si="4"/>
        <v>0</v>
      </c>
      <c r="AC9" s="2" t="e">
        <f t="shared" si="5"/>
        <v>#VALUE!</v>
      </c>
      <c r="AD9" s="2">
        <f t="shared" si="6"/>
        <v>0</v>
      </c>
      <c r="AE9" s="62" t="e">
        <f t="shared" si="7"/>
        <v>#VALUE!</v>
      </c>
      <c r="AF9" s="63">
        <f t="shared" si="0"/>
        <v>0</v>
      </c>
      <c r="AG9" s="31" t="e">
        <f t="shared" si="8"/>
        <v>#VALUE!</v>
      </c>
      <c r="AH9">
        <f t="shared" si="9"/>
        <v>0</v>
      </c>
      <c r="AI9" s="53">
        <f t="shared" si="10"/>
        <v>0.80178960996781135</v>
      </c>
      <c r="AJ9" s="53">
        <f t="shared" si="11"/>
        <v>0</v>
      </c>
      <c r="AK9" s="52">
        <f t="shared" si="1"/>
        <v>0</v>
      </c>
    </row>
    <row r="10" spans="2:37" x14ac:dyDescent="0.25">
      <c r="B10" s="2" t="s">
        <v>15</v>
      </c>
      <c r="C10" s="2" t="s">
        <v>58</v>
      </c>
      <c r="D10" s="2">
        <v>20141205</v>
      </c>
      <c r="E10" s="2">
        <v>1.53</v>
      </c>
      <c r="F10" s="2" t="s">
        <v>59</v>
      </c>
      <c r="G10" s="2">
        <v>62500</v>
      </c>
      <c r="H10" s="2" t="str">
        <f t="shared" si="2"/>
        <v>GLOBEX</v>
      </c>
      <c r="I10" s="2" t="s">
        <v>17</v>
      </c>
      <c r="J10" s="2" t="s">
        <v>16</v>
      </c>
      <c r="K10" s="2" t="str">
        <f t="shared" si="3"/>
        <v>6BZ4 P1530</v>
      </c>
      <c r="L10" s="2" t="s">
        <v>25</v>
      </c>
      <c r="M10" s="56"/>
      <c r="N10" s="2">
        <v>0</v>
      </c>
      <c r="O10" s="2">
        <v>0</v>
      </c>
      <c r="P10" s="2">
        <v>0</v>
      </c>
      <c r="Q10" s="2">
        <v>0</v>
      </c>
      <c r="R10" s="2">
        <v>-1</v>
      </c>
      <c r="S10" s="2">
        <v>0</v>
      </c>
      <c r="T10" s="2"/>
      <c r="U10" s="58">
        <v>9.787043407957923E-5</v>
      </c>
      <c r="V10" s="57">
        <v>0.18087784953227981</v>
      </c>
      <c r="W10" s="2">
        <v>-1.6053871129648158E-2</v>
      </c>
      <c r="X10" s="59">
        <v>0</v>
      </c>
      <c r="Y10" s="37">
        <v>-2.6307424795380687E-4</v>
      </c>
      <c r="Z10" s="38">
        <v>3.727217643731054E-5</v>
      </c>
      <c r="AA10" s="2">
        <v>1.5650999999999999</v>
      </c>
      <c r="AB10" s="2">
        <f t="shared" si="4"/>
        <v>0</v>
      </c>
      <c r="AC10" s="2" t="e">
        <f t="shared" si="5"/>
        <v>#VALUE!</v>
      </c>
      <c r="AD10" s="2">
        <f t="shared" si="6"/>
        <v>0</v>
      </c>
      <c r="AE10" s="62" t="e">
        <f t="shared" si="7"/>
        <v>#VALUE!</v>
      </c>
      <c r="AF10" s="63">
        <f t="shared" si="0"/>
        <v>0</v>
      </c>
      <c r="AG10" s="31" t="e">
        <f t="shared" si="8"/>
        <v>#VALUE!</v>
      </c>
      <c r="AH10">
        <f t="shared" si="9"/>
        <v>0</v>
      </c>
      <c r="AI10" s="53">
        <f t="shared" si="10"/>
        <v>0.97870434079579227</v>
      </c>
      <c r="AJ10" s="53">
        <f t="shared" si="11"/>
        <v>0</v>
      </c>
      <c r="AK10" s="52">
        <f t="shared" si="1"/>
        <v>0</v>
      </c>
    </row>
    <row r="11" spans="2:37" x14ac:dyDescent="0.25">
      <c r="B11" s="2" t="s">
        <v>15</v>
      </c>
      <c r="C11" s="2" t="s">
        <v>58</v>
      </c>
      <c r="D11" s="2">
        <v>20141205</v>
      </c>
      <c r="E11" s="2">
        <v>1.5349999999999999</v>
      </c>
      <c r="F11" s="2" t="s">
        <v>59</v>
      </c>
      <c r="G11" s="2">
        <v>62500</v>
      </c>
      <c r="H11" s="2" t="str">
        <f t="shared" si="2"/>
        <v>GLOBEX</v>
      </c>
      <c r="I11" s="2" t="s">
        <v>17</v>
      </c>
      <c r="J11" s="2" t="s">
        <v>16</v>
      </c>
      <c r="K11" s="2" t="str">
        <f t="shared" si="3"/>
        <v>6BZ4 P1535</v>
      </c>
      <c r="L11" s="2" t="s">
        <v>25</v>
      </c>
      <c r="M11" s="56"/>
      <c r="N11" s="2">
        <v>0</v>
      </c>
      <c r="O11" s="2">
        <v>0</v>
      </c>
      <c r="P11" s="2">
        <v>0</v>
      </c>
      <c r="Q11" s="2">
        <v>0</v>
      </c>
      <c r="R11" s="2">
        <v>6.1999999999999998E-3</v>
      </c>
      <c r="S11" s="2">
        <v>10</v>
      </c>
      <c r="T11" s="2"/>
      <c r="U11" s="58">
        <v>1.2338459576258055E-4</v>
      </c>
      <c r="V11" s="57">
        <v>0.16542819790035423</v>
      </c>
      <c r="W11" s="2">
        <v>-2.1560138228549582E-2</v>
      </c>
      <c r="X11" s="58">
        <v>0</v>
      </c>
      <c r="Y11" s="37">
        <v>-3.1239254104964881E-4</v>
      </c>
      <c r="Z11" s="38">
        <v>6.4093314576517895E-5</v>
      </c>
      <c r="AA11" s="2">
        <v>1.5650999999999999</v>
      </c>
      <c r="AB11" s="2">
        <f t="shared" si="4"/>
        <v>0</v>
      </c>
      <c r="AC11" s="2" t="e">
        <f t="shared" si="5"/>
        <v>#VALUE!</v>
      </c>
      <c r="AD11" s="2">
        <f t="shared" si="6"/>
        <v>0</v>
      </c>
      <c r="AE11" s="62" t="e">
        <f t="shared" si="7"/>
        <v>#VALUE!</v>
      </c>
      <c r="AF11" s="63">
        <f t="shared" si="0"/>
        <v>0</v>
      </c>
      <c r="AG11" s="31" t="e">
        <f t="shared" si="8"/>
        <v>#VALUE!</v>
      </c>
      <c r="AH11">
        <f t="shared" si="9"/>
        <v>0</v>
      </c>
      <c r="AI11" s="53">
        <f t="shared" si="10"/>
        <v>1.2338459576258056</v>
      </c>
      <c r="AJ11" s="53">
        <f t="shared" si="11"/>
        <v>0</v>
      </c>
      <c r="AK11" s="52">
        <f t="shared" si="1"/>
        <v>0</v>
      </c>
    </row>
    <row r="12" spans="2:37" x14ac:dyDescent="0.25">
      <c r="B12" s="2" t="s">
        <v>15</v>
      </c>
      <c r="C12" s="2" t="s">
        <v>58</v>
      </c>
      <c r="D12" s="2">
        <v>20141205</v>
      </c>
      <c r="E12" s="2">
        <v>1.54</v>
      </c>
      <c r="F12" s="2" t="s">
        <v>59</v>
      </c>
      <c r="G12" s="2">
        <v>62500</v>
      </c>
      <c r="H12" s="2" t="str">
        <f t="shared" si="2"/>
        <v>GLOBEX</v>
      </c>
      <c r="I12" s="2" t="s">
        <v>17</v>
      </c>
      <c r="J12" s="2" t="s">
        <v>16</v>
      </c>
      <c r="K12" s="2" t="str">
        <f t="shared" si="3"/>
        <v>6BZ4 P1540</v>
      </c>
      <c r="L12" s="2" t="s">
        <v>25</v>
      </c>
      <c r="M12" s="56"/>
      <c r="N12" s="2">
        <v>0</v>
      </c>
      <c r="O12" s="2">
        <v>0</v>
      </c>
      <c r="P12" s="2">
        <v>0</v>
      </c>
      <c r="Q12" s="2">
        <v>0</v>
      </c>
      <c r="R12" s="2">
        <v>2.0000000000000001E-4</v>
      </c>
      <c r="S12" s="2">
        <v>1</v>
      </c>
      <c r="T12" s="2"/>
      <c r="U12" s="58">
        <v>1.9676249128862636E-4</v>
      </c>
      <c r="V12" s="57">
        <v>0.15213139865993242</v>
      </c>
      <c r="W12" s="2">
        <v>-3.4836869172406915E-2</v>
      </c>
      <c r="X12" s="58">
        <v>0</v>
      </c>
      <c r="Y12" s="37">
        <v>-4.2589234528331163E-4</v>
      </c>
      <c r="Z12" s="38">
        <v>6.9378177746595558E-5</v>
      </c>
      <c r="AA12" s="2">
        <v>1.5650999999999999</v>
      </c>
      <c r="AB12" s="2">
        <f t="shared" si="4"/>
        <v>0</v>
      </c>
      <c r="AC12" s="2" t="e">
        <f t="shared" si="5"/>
        <v>#VALUE!</v>
      </c>
      <c r="AD12" s="2">
        <f t="shared" si="6"/>
        <v>0</v>
      </c>
      <c r="AE12" s="62" t="e">
        <f t="shared" si="7"/>
        <v>#VALUE!</v>
      </c>
      <c r="AF12" s="63">
        <f t="shared" si="0"/>
        <v>0</v>
      </c>
      <c r="AG12" s="31" t="e">
        <f t="shared" si="8"/>
        <v>#VALUE!</v>
      </c>
      <c r="AH12">
        <f t="shared" si="9"/>
        <v>0</v>
      </c>
      <c r="AI12" s="53">
        <f t="shared" si="10"/>
        <v>1.9676249128862635</v>
      </c>
      <c r="AJ12" s="53">
        <f t="shared" si="11"/>
        <v>0</v>
      </c>
      <c r="AK12" s="52">
        <f t="shared" si="1"/>
        <v>0</v>
      </c>
    </row>
    <row r="13" spans="2:37" x14ac:dyDescent="0.25">
      <c r="B13" s="2" t="s">
        <v>15</v>
      </c>
      <c r="C13" s="2" t="s">
        <v>58</v>
      </c>
      <c r="D13" s="2">
        <v>20141205</v>
      </c>
      <c r="E13" s="2">
        <v>1.5449999999999999</v>
      </c>
      <c r="F13" s="2" t="s">
        <v>59</v>
      </c>
      <c r="G13" s="2">
        <v>62500</v>
      </c>
      <c r="H13" s="2" t="str">
        <f t="shared" si="2"/>
        <v>GLOBEX</v>
      </c>
      <c r="I13" s="2" t="s">
        <v>17</v>
      </c>
      <c r="J13" s="2" t="s">
        <v>16</v>
      </c>
      <c r="K13" s="2" t="str">
        <f t="shared" si="3"/>
        <v>6BZ4 P1545</v>
      </c>
      <c r="L13" s="2" t="s">
        <v>25</v>
      </c>
      <c r="M13" s="56"/>
      <c r="N13" s="2">
        <v>0</v>
      </c>
      <c r="O13" s="2">
        <v>0</v>
      </c>
      <c r="P13" s="2">
        <v>6</v>
      </c>
      <c r="Q13" s="2">
        <v>1E-4</v>
      </c>
      <c r="R13" s="2">
        <v>6.1999999999999998E-3</v>
      </c>
      <c r="S13" s="2">
        <v>10</v>
      </c>
      <c r="T13" s="2"/>
      <c r="U13" s="58">
        <v>3.3657321716550412E-4</v>
      </c>
      <c r="V13" s="57">
        <v>0.14098745181098593</v>
      </c>
      <c r="W13" s="2">
        <v>-5.9208535931378342E-2</v>
      </c>
      <c r="X13" s="58">
        <v>0</v>
      </c>
      <c r="Y13" s="37">
        <v>-6.0446077599329222E-4</v>
      </c>
      <c r="Z13" s="38">
        <v>1.0864042001770417E-4</v>
      </c>
      <c r="AA13" s="2">
        <v>1.5650999999999999</v>
      </c>
      <c r="AB13" s="2">
        <f t="shared" si="4"/>
        <v>0</v>
      </c>
      <c r="AC13" s="2" t="e">
        <f t="shared" si="5"/>
        <v>#VALUE!</v>
      </c>
      <c r="AD13" s="2">
        <f t="shared" si="6"/>
        <v>0</v>
      </c>
      <c r="AE13" s="62" t="e">
        <f t="shared" si="7"/>
        <v>#VALUE!</v>
      </c>
      <c r="AF13" s="63">
        <f t="shared" si="0"/>
        <v>0</v>
      </c>
      <c r="AG13" s="31" t="e">
        <f t="shared" si="8"/>
        <v>#VALUE!</v>
      </c>
      <c r="AH13">
        <f t="shared" si="9"/>
        <v>0</v>
      </c>
      <c r="AI13" s="53">
        <f t="shared" si="10"/>
        <v>3.3657321716550412</v>
      </c>
      <c r="AJ13" s="53">
        <f t="shared" si="11"/>
        <v>0</v>
      </c>
      <c r="AK13" s="52">
        <f t="shared" si="1"/>
        <v>0</v>
      </c>
    </row>
    <row r="14" spans="2:37" x14ac:dyDescent="0.25">
      <c r="B14" s="2" t="s">
        <v>15</v>
      </c>
      <c r="C14" s="2" t="s">
        <v>58</v>
      </c>
      <c r="D14" s="2">
        <v>20141205</v>
      </c>
      <c r="E14" s="2">
        <v>1.55</v>
      </c>
      <c r="F14" s="2" t="s">
        <v>59</v>
      </c>
      <c r="G14" s="2">
        <v>62500</v>
      </c>
      <c r="H14" s="2" t="str">
        <f t="shared" si="2"/>
        <v>GLOBEX</v>
      </c>
      <c r="I14" s="2" t="s">
        <v>17</v>
      </c>
      <c r="J14" s="2" t="s">
        <v>16</v>
      </c>
      <c r="K14" s="2" t="str">
        <f t="shared" si="3"/>
        <v>6BZ4 P1550</v>
      </c>
      <c r="L14" s="2" t="s">
        <v>25</v>
      </c>
      <c r="M14" s="56"/>
      <c r="N14" s="2">
        <v>5.0000000000000001E-4</v>
      </c>
      <c r="O14" s="2">
        <v>3</v>
      </c>
      <c r="P14" s="2">
        <v>33</v>
      </c>
      <c r="Q14" s="2">
        <v>1E-4</v>
      </c>
      <c r="R14" s="2">
        <v>6.1999999999999998E-3</v>
      </c>
      <c r="S14" s="2">
        <v>10</v>
      </c>
      <c r="T14" s="2"/>
      <c r="U14" s="58">
        <v>6.2461154282803021E-4</v>
      </c>
      <c r="V14" s="57">
        <v>0.13199635735350057</v>
      </c>
      <c r="W14" s="2">
        <v>-0.10560974891081049</v>
      </c>
      <c r="X14" s="58">
        <v>0</v>
      </c>
      <c r="Y14" s="37">
        <v>-8.7852672117392106E-4</v>
      </c>
      <c r="Z14" s="38">
        <v>1.6322430590728465E-4</v>
      </c>
      <c r="AA14" s="2">
        <v>1.5650999999999999</v>
      </c>
      <c r="AB14" s="2">
        <f t="shared" si="4"/>
        <v>0</v>
      </c>
      <c r="AC14" s="2" t="e">
        <f t="shared" si="5"/>
        <v>#VALUE!</v>
      </c>
      <c r="AD14" s="2">
        <f t="shared" si="6"/>
        <v>0</v>
      </c>
      <c r="AE14" s="62" t="e">
        <f t="shared" si="7"/>
        <v>#VALUE!</v>
      </c>
      <c r="AF14" s="63">
        <f t="shared" si="0"/>
        <v>0</v>
      </c>
      <c r="AG14" s="31" t="e">
        <f t="shared" si="8"/>
        <v>#VALUE!</v>
      </c>
      <c r="AH14">
        <f t="shared" si="9"/>
        <v>0</v>
      </c>
      <c r="AI14" s="53">
        <f t="shared" si="10"/>
        <v>6.2461154282803024</v>
      </c>
      <c r="AJ14" s="53">
        <f t="shared" si="11"/>
        <v>0</v>
      </c>
      <c r="AK14" s="52">
        <f t="shared" si="1"/>
        <v>0</v>
      </c>
    </row>
    <row r="15" spans="2:37" x14ac:dyDescent="0.25">
      <c r="B15" s="2" t="s">
        <v>15</v>
      </c>
      <c r="C15" s="2" t="s">
        <v>58</v>
      </c>
      <c r="D15" s="2">
        <v>20141205</v>
      </c>
      <c r="E15" s="2">
        <v>1.5549999999999999</v>
      </c>
      <c r="F15" s="2" t="s">
        <v>59</v>
      </c>
      <c r="G15" s="2">
        <v>62500</v>
      </c>
      <c r="H15" s="2" t="str">
        <f t="shared" si="2"/>
        <v>GLOBEX</v>
      </c>
      <c r="I15" s="2" t="s">
        <v>17</v>
      </c>
      <c r="J15" s="2" t="s">
        <v>16</v>
      </c>
      <c r="K15" s="2" t="str">
        <f t="shared" si="3"/>
        <v>6BZ4 P1555</v>
      </c>
      <c r="L15" s="2" t="s">
        <v>25</v>
      </c>
      <c r="M15" s="56"/>
      <c r="N15" s="2">
        <v>8.0000000000000004E-4</v>
      </c>
      <c r="O15" s="2">
        <v>1</v>
      </c>
      <c r="P15" s="2">
        <v>0</v>
      </c>
      <c r="Q15" s="2">
        <v>-1</v>
      </c>
      <c r="R15" s="2">
        <v>4.0000000000000001E-3</v>
      </c>
      <c r="S15" s="2">
        <v>1</v>
      </c>
      <c r="T15" s="2"/>
      <c r="U15" s="58">
        <v>1.1984139041402108E-3</v>
      </c>
      <c r="V15" s="57">
        <v>0.12515811528751897</v>
      </c>
      <c r="W15" s="2">
        <v>-0.18793765586023906</v>
      </c>
      <c r="X15" s="58">
        <v>0</v>
      </c>
      <c r="Y15" s="37">
        <v>-1.2388664701268209E-3</v>
      </c>
      <c r="Z15" s="38">
        <v>2.6185509900915273E-4</v>
      </c>
      <c r="AA15" s="2">
        <v>1.5650999999999999</v>
      </c>
      <c r="AB15" s="2">
        <f t="shared" si="4"/>
        <v>0</v>
      </c>
      <c r="AC15" s="2" t="e">
        <f t="shared" si="5"/>
        <v>#VALUE!</v>
      </c>
      <c r="AD15" s="2">
        <f t="shared" si="6"/>
        <v>0</v>
      </c>
      <c r="AE15" s="62" t="e">
        <f t="shared" si="7"/>
        <v>#VALUE!</v>
      </c>
      <c r="AF15" s="63">
        <f t="shared" si="0"/>
        <v>0</v>
      </c>
      <c r="AG15" s="31" t="e">
        <f t="shared" si="8"/>
        <v>#VALUE!</v>
      </c>
      <c r="AH15">
        <f t="shared" si="9"/>
        <v>0</v>
      </c>
      <c r="AI15" s="53">
        <f t="shared" si="10"/>
        <v>11.984139041402107</v>
      </c>
      <c r="AJ15" s="53">
        <f t="shared" si="11"/>
        <v>0</v>
      </c>
      <c r="AK15" s="52">
        <f>MAX(0,AJ15*6.25)</f>
        <v>0</v>
      </c>
    </row>
    <row r="16" spans="2:37" x14ac:dyDescent="0.25">
      <c r="B16" s="2" t="s">
        <v>15</v>
      </c>
      <c r="C16" s="2" t="s">
        <v>58</v>
      </c>
      <c r="D16" s="2">
        <v>20141205</v>
      </c>
      <c r="E16" s="2">
        <v>1.56</v>
      </c>
      <c r="F16" s="2" t="s">
        <v>59</v>
      </c>
      <c r="G16" s="2">
        <v>62500</v>
      </c>
      <c r="H16" s="2" t="str">
        <f t="shared" si="2"/>
        <v>GLOBEX</v>
      </c>
      <c r="I16" s="2" t="s">
        <v>17</v>
      </c>
      <c r="J16" s="2" t="s">
        <v>16</v>
      </c>
      <c r="K16" s="2" t="str">
        <f t="shared" si="3"/>
        <v>6BZ4 P1560</v>
      </c>
      <c r="L16" s="2" t="s">
        <v>25</v>
      </c>
      <c r="M16" s="56"/>
      <c r="N16" s="2">
        <v>2.2000000000000001E-3</v>
      </c>
      <c r="O16" s="2">
        <v>12</v>
      </c>
      <c r="P16" s="2">
        <v>1</v>
      </c>
      <c r="Q16" s="2">
        <v>1.1000000000000001E-3</v>
      </c>
      <c r="R16" s="2">
        <v>2.5000000000000001E-3</v>
      </c>
      <c r="S16" s="2">
        <v>2</v>
      </c>
      <c r="T16" s="2"/>
      <c r="U16" s="58">
        <v>2.3571633551261869E-3</v>
      </c>
      <c r="V16" s="57">
        <v>0.1204727256130127</v>
      </c>
      <c r="W16" s="2">
        <v>-0.32187740475039894</v>
      </c>
      <c r="X16" s="58">
        <v>0</v>
      </c>
      <c r="Y16" s="37">
        <v>-1.5770148129181599E-3</v>
      </c>
      <c r="Z16" s="38">
        <v>3.3785626936487425E-4</v>
      </c>
      <c r="AA16" s="2">
        <v>1.5650999999999999</v>
      </c>
      <c r="AB16" s="2">
        <f t="shared" si="4"/>
        <v>0</v>
      </c>
      <c r="AC16" s="2" t="e">
        <f t="shared" si="5"/>
        <v>#VALUE!</v>
      </c>
      <c r="AD16" s="2">
        <f t="shared" si="6"/>
        <v>0</v>
      </c>
      <c r="AE16" s="62" t="e">
        <f t="shared" si="7"/>
        <v>#VALUE!</v>
      </c>
      <c r="AF16" s="63">
        <f t="shared" si="0"/>
        <v>0</v>
      </c>
      <c r="AG16" s="31" t="e">
        <f t="shared" si="8"/>
        <v>#VALUE!</v>
      </c>
      <c r="AH16">
        <f t="shared" si="9"/>
        <v>0</v>
      </c>
      <c r="AI16" s="53">
        <f t="shared" si="10"/>
        <v>23.571633551261868</v>
      </c>
      <c r="AJ16" s="53">
        <f t="shared" si="11"/>
        <v>0</v>
      </c>
      <c r="AK16" s="52">
        <f t="shared" ref="AK16:AK65" si="12">MAX(0,AJ16*6.25)</f>
        <v>0</v>
      </c>
    </row>
    <row r="17" spans="2:37" x14ac:dyDescent="0.25">
      <c r="B17" s="2" t="s">
        <v>15</v>
      </c>
      <c r="C17" s="2" t="s">
        <v>58</v>
      </c>
      <c r="D17" s="2">
        <v>20141205</v>
      </c>
      <c r="E17" s="2">
        <v>1.5649999999999999</v>
      </c>
      <c r="F17" s="2" t="s">
        <v>59</v>
      </c>
      <c r="G17" s="2">
        <v>62500</v>
      </c>
      <c r="H17" s="2" t="str">
        <f t="shared" si="2"/>
        <v>GLOBEX</v>
      </c>
      <c r="I17" s="2" t="s">
        <v>17</v>
      </c>
      <c r="J17" s="2" t="s">
        <v>16</v>
      </c>
      <c r="K17" s="2" t="str">
        <f t="shared" si="3"/>
        <v>6BZ4 P1565</v>
      </c>
      <c r="L17" s="2" t="s">
        <v>25</v>
      </c>
      <c r="M17" s="56"/>
      <c r="N17" s="2">
        <v>4.0000000000000001E-3</v>
      </c>
      <c r="O17" s="2">
        <v>18</v>
      </c>
      <c r="P17" s="2">
        <v>10</v>
      </c>
      <c r="Q17" s="2">
        <v>8.9999999999999998E-4</v>
      </c>
      <c r="R17" s="2">
        <v>7.1000000000000004E-3</v>
      </c>
      <c r="S17" s="2">
        <v>10</v>
      </c>
      <c r="T17" s="2"/>
      <c r="U17" s="58">
        <v>7.1000000461935997E-3</v>
      </c>
      <c r="V17" s="57">
        <v>0.19486266952716297</v>
      </c>
      <c r="W17" s="2">
        <v>-0.49550698962638023</v>
      </c>
      <c r="X17" s="58">
        <v>0</v>
      </c>
      <c r="Y17" s="37">
        <v>-2.8652366511571609E-3</v>
      </c>
      <c r="Z17" s="38">
        <v>3.6659330718152687E-4</v>
      </c>
      <c r="AA17" s="2">
        <v>1.5650999999999999</v>
      </c>
      <c r="AB17" s="2">
        <f t="shared" si="4"/>
        <v>0</v>
      </c>
      <c r="AC17" s="2" t="e">
        <f t="shared" si="5"/>
        <v>#VALUE!</v>
      </c>
      <c r="AD17" s="2">
        <f t="shared" si="6"/>
        <v>0</v>
      </c>
      <c r="AE17" s="62" t="e">
        <f t="shared" si="7"/>
        <v>#VALUE!</v>
      </c>
      <c r="AF17" s="63">
        <f t="shared" si="0"/>
        <v>0</v>
      </c>
      <c r="AG17" s="31" t="e">
        <f t="shared" si="8"/>
        <v>#VALUE!</v>
      </c>
      <c r="AH17">
        <f t="shared" si="9"/>
        <v>0</v>
      </c>
      <c r="AI17" s="53">
        <f t="shared" si="10"/>
        <v>71.000000461935997</v>
      </c>
      <c r="AJ17" s="53">
        <f t="shared" si="11"/>
        <v>0</v>
      </c>
      <c r="AK17" s="52">
        <f t="shared" si="12"/>
        <v>0</v>
      </c>
    </row>
    <row r="18" spans="2:37" x14ac:dyDescent="0.25">
      <c r="B18" s="2" t="s">
        <v>15</v>
      </c>
      <c r="C18" s="2" t="s">
        <v>58</v>
      </c>
      <c r="D18" s="2">
        <v>20141205</v>
      </c>
      <c r="E18" s="2">
        <v>1.57</v>
      </c>
      <c r="F18" s="2" t="s">
        <v>59</v>
      </c>
      <c r="G18" s="2">
        <v>62500</v>
      </c>
      <c r="H18" s="2" t="str">
        <f t="shared" si="2"/>
        <v>GLOBEX</v>
      </c>
      <c r="I18" s="2" t="s">
        <v>17</v>
      </c>
      <c r="J18" s="2" t="s">
        <v>16</v>
      </c>
      <c r="K18" s="2" t="str">
        <f t="shared" si="3"/>
        <v>6BZ4 P1570</v>
      </c>
      <c r="L18" s="2" t="s">
        <v>25</v>
      </c>
      <c r="M18" s="56"/>
      <c r="N18" s="2">
        <v>6.0000000000000001E-3</v>
      </c>
      <c r="O18" s="2">
        <v>2</v>
      </c>
      <c r="P18" s="2">
        <v>1</v>
      </c>
      <c r="Q18" s="2">
        <v>6.0000000000000001E-3</v>
      </c>
      <c r="R18" s="2">
        <v>-1</v>
      </c>
      <c r="S18" s="2">
        <v>0</v>
      </c>
      <c r="T18" s="2"/>
      <c r="U18" s="58">
        <v>7.2386292668941759E-3</v>
      </c>
      <c r="V18" s="57">
        <v>0.11756050343842617</v>
      </c>
      <c r="W18" s="2">
        <v>-0.67253122920548303</v>
      </c>
      <c r="X18" s="58">
        <v>0</v>
      </c>
      <c r="Y18" s="37">
        <v>-1.5495704596294006E-3</v>
      </c>
      <c r="Z18" s="38">
        <v>3.3893781142562817E-4</v>
      </c>
      <c r="AA18" s="2">
        <v>1.5650999999999999</v>
      </c>
      <c r="AB18" s="2">
        <f t="shared" si="4"/>
        <v>0</v>
      </c>
      <c r="AC18" s="2" t="e">
        <f t="shared" si="5"/>
        <v>#VALUE!</v>
      </c>
      <c r="AD18" s="2">
        <f t="shared" si="6"/>
        <v>0</v>
      </c>
      <c r="AE18" s="62" t="e">
        <f t="shared" si="7"/>
        <v>#VALUE!</v>
      </c>
      <c r="AF18" s="63">
        <f t="shared" si="0"/>
        <v>0</v>
      </c>
      <c r="AG18" s="31" t="e">
        <f t="shared" si="8"/>
        <v>#VALUE!</v>
      </c>
      <c r="AH18">
        <f t="shared" si="9"/>
        <v>49.000000000001265</v>
      </c>
      <c r="AI18" s="53">
        <f t="shared" si="10"/>
        <v>23.386292668940499</v>
      </c>
      <c r="AJ18" s="53">
        <f t="shared" si="11"/>
        <v>0</v>
      </c>
      <c r="AK18" s="52">
        <f t="shared" si="12"/>
        <v>0</v>
      </c>
    </row>
    <row r="19" spans="2:37" x14ac:dyDescent="0.25">
      <c r="B19" s="2" t="s">
        <v>15</v>
      </c>
      <c r="C19" s="2" t="s">
        <v>58</v>
      </c>
      <c r="D19" s="2">
        <v>20141205</v>
      </c>
      <c r="E19" s="2">
        <v>1.575</v>
      </c>
      <c r="F19" s="2" t="s">
        <v>59</v>
      </c>
      <c r="G19" s="2">
        <v>62500</v>
      </c>
      <c r="H19" s="2" t="str">
        <f t="shared" si="2"/>
        <v>GLOBEX</v>
      </c>
      <c r="I19" s="2" t="s">
        <v>17</v>
      </c>
      <c r="J19" s="2" t="s">
        <v>16</v>
      </c>
      <c r="K19" s="2" t="str">
        <f t="shared" si="3"/>
        <v>6BZ4 P1575</v>
      </c>
      <c r="L19" s="2" t="s">
        <v>25</v>
      </c>
      <c r="M19" s="56"/>
      <c r="N19" s="2">
        <v>0</v>
      </c>
      <c r="O19" s="2">
        <v>0</v>
      </c>
      <c r="P19" s="2">
        <v>0</v>
      </c>
      <c r="Q19" s="2">
        <v>-1</v>
      </c>
      <c r="R19" s="2">
        <v>-1</v>
      </c>
      <c r="S19" s="2">
        <v>0</v>
      </c>
      <c r="T19" s="2"/>
      <c r="U19" s="58">
        <v>1.1016346548179045E-2</v>
      </c>
      <c r="V19" s="57">
        <v>0.11933367093836011</v>
      </c>
      <c r="W19" s="2">
        <v>-0.81481940558608035</v>
      </c>
      <c r="X19" s="58">
        <v>0</v>
      </c>
      <c r="Y19" s="37">
        <v>-1.168430220345048E-3</v>
      </c>
      <c r="Z19" s="38">
        <v>2.4830637402398388E-4</v>
      </c>
      <c r="AA19" s="2">
        <v>1.5650999999999999</v>
      </c>
      <c r="AB19" s="2">
        <f t="shared" si="4"/>
        <v>0</v>
      </c>
      <c r="AC19" s="2" t="e">
        <f t="shared" si="5"/>
        <v>#VALUE!</v>
      </c>
      <c r="AD19" s="2">
        <f t="shared" si="6"/>
        <v>0</v>
      </c>
      <c r="AE19" s="62" t="e">
        <f t="shared" si="7"/>
        <v>#VALUE!</v>
      </c>
      <c r="AF19" s="63">
        <f t="shared" si="0"/>
        <v>0</v>
      </c>
      <c r="AG19" s="31" t="e">
        <f t="shared" si="8"/>
        <v>#VALUE!</v>
      </c>
      <c r="AH19">
        <f t="shared" si="9"/>
        <v>99.000000000000199</v>
      </c>
      <c r="AI19" s="53">
        <f t="shared" si="10"/>
        <v>11.163465481790254</v>
      </c>
      <c r="AJ19" s="53">
        <f t="shared" si="11"/>
        <v>0</v>
      </c>
      <c r="AK19" s="52">
        <f t="shared" si="12"/>
        <v>0</v>
      </c>
    </row>
    <row r="20" spans="2:37" x14ac:dyDescent="0.25">
      <c r="B20" s="2" t="s">
        <v>15</v>
      </c>
      <c r="C20" s="2" t="s">
        <v>58</v>
      </c>
      <c r="D20" s="2">
        <v>20141205</v>
      </c>
      <c r="E20" s="2">
        <v>1.58</v>
      </c>
      <c r="F20" s="2" t="s">
        <v>59</v>
      </c>
      <c r="G20" s="2">
        <v>62500</v>
      </c>
      <c r="H20" s="2" t="str">
        <f t="shared" si="2"/>
        <v>GLOBEX</v>
      </c>
      <c r="I20" s="2" t="s">
        <v>17</v>
      </c>
      <c r="J20" s="2" t="s">
        <v>16</v>
      </c>
      <c r="K20" s="2" t="str">
        <f t="shared" si="3"/>
        <v>6BZ4 P1580</v>
      </c>
      <c r="L20" s="2" t="s">
        <v>25</v>
      </c>
      <c r="M20" s="56"/>
      <c r="N20" s="2">
        <v>1.2999999999999999E-2</v>
      </c>
      <c r="O20" s="2">
        <v>2</v>
      </c>
      <c r="P20" s="2">
        <v>0</v>
      </c>
      <c r="Q20" s="2">
        <v>-1</v>
      </c>
      <c r="R20" s="2">
        <v>-1</v>
      </c>
      <c r="S20" s="2">
        <v>0</v>
      </c>
      <c r="T20" s="2"/>
      <c r="U20" s="58">
        <v>1.5421554579886813E-2</v>
      </c>
      <c r="V20" s="57">
        <v>0.1232596908297694</v>
      </c>
      <c r="W20" s="2">
        <v>-0.9034281906599263</v>
      </c>
      <c r="X20" s="58">
        <v>0.45586362429465982</v>
      </c>
      <c r="Y20" s="37">
        <v>-7.6797840683540336E-4</v>
      </c>
      <c r="Z20" s="38">
        <v>1.6479683442466656E-4</v>
      </c>
      <c r="AA20" s="2">
        <v>1.5650999999999999</v>
      </c>
      <c r="AB20" s="2">
        <f t="shared" si="4"/>
        <v>0</v>
      </c>
      <c r="AC20" s="2" t="e">
        <f t="shared" si="5"/>
        <v>#VALUE!</v>
      </c>
      <c r="AD20" s="2">
        <f t="shared" si="6"/>
        <v>0</v>
      </c>
      <c r="AE20" s="62" t="e">
        <f t="shared" si="7"/>
        <v>#VALUE!</v>
      </c>
      <c r="AF20" s="63">
        <f t="shared" si="0"/>
        <v>0</v>
      </c>
      <c r="AG20" s="31" t="e">
        <f t="shared" si="8"/>
        <v>#VALUE!</v>
      </c>
      <c r="AH20">
        <f t="shared" si="9"/>
        <v>149.00000000000136</v>
      </c>
      <c r="AI20" s="53">
        <f t="shared" si="10"/>
        <v>5.2155457988667706</v>
      </c>
      <c r="AJ20" s="53">
        <f t="shared" si="11"/>
        <v>0</v>
      </c>
      <c r="AK20" s="52">
        <f t="shared" si="12"/>
        <v>0</v>
      </c>
    </row>
    <row r="21" spans="2:37" x14ac:dyDescent="0.25">
      <c r="B21" s="2" t="s">
        <v>15</v>
      </c>
      <c r="C21" s="2" t="s">
        <v>58</v>
      </c>
      <c r="D21" s="2">
        <v>20141205</v>
      </c>
      <c r="E21" s="2">
        <v>1.585</v>
      </c>
      <c r="F21" s="2" t="s">
        <v>59</v>
      </c>
      <c r="G21" s="2">
        <v>62500</v>
      </c>
      <c r="H21" s="2" t="str">
        <f t="shared" si="2"/>
        <v>GLOBEX</v>
      </c>
      <c r="I21" s="2" t="s">
        <v>17</v>
      </c>
      <c r="J21" s="2" t="s">
        <v>16</v>
      </c>
      <c r="K21" s="2" t="str">
        <f t="shared" si="3"/>
        <v>6BZ4 P1585</v>
      </c>
      <c r="L21" s="2" t="s">
        <v>25</v>
      </c>
      <c r="M21" s="56"/>
      <c r="N21" s="2">
        <v>0</v>
      </c>
      <c r="O21" s="2">
        <v>0</v>
      </c>
      <c r="P21" s="2">
        <v>0</v>
      </c>
      <c r="Q21" s="2">
        <v>-1</v>
      </c>
      <c r="R21" s="2">
        <v>-1</v>
      </c>
      <c r="S21" s="2">
        <v>0</v>
      </c>
      <c r="T21" s="2"/>
      <c r="U21" s="58">
        <v>2.0139865568373858E-2</v>
      </c>
      <c r="V21" s="57">
        <v>0.1293385631126398</v>
      </c>
      <c r="W21" s="2">
        <v>-0.95204286396793458</v>
      </c>
      <c r="X21" s="58">
        <v>0</v>
      </c>
      <c r="Y21" s="37">
        <v>-4.7107727011627768E-4</v>
      </c>
      <c r="Z21" s="38">
        <v>1.1003700345069145E-4</v>
      </c>
      <c r="AA21" s="2">
        <v>1.5650999999999999</v>
      </c>
      <c r="AB21" s="2">
        <f t="shared" si="4"/>
        <v>0</v>
      </c>
      <c r="AC21" s="2" t="e">
        <f t="shared" si="5"/>
        <v>#VALUE!</v>
      </c>
      <c r="AD21" s="2">
        <f t="shared" si="6"/>
        <v>0</v>
      </c>
      <c r="AE21" s="62" t="e">
        <f t="shared" si="7"/>
        <v>#VALUE!</v>
      </c>
      <c r="AF21" s="63">
        <f t="shared" si="0"/>
        <v>0</v>
      </c>
      <c r="AG21" s="31" t="e">
        <f t="shared" si="8"/>
        <v>#VALUE!</v>
      </c>
      <c r="AH21">
        <f t="shared" si="9"/>
        <v>199.00000000000028</v>
      </c>
      <c r="AI21" s="53">
        <f t="shared" si="10"/>
        <v>2.3986556837382977</v>
      </c>
      <c r="AJ21" s="53">
        <f t="shared" si="11"/>
        <v>0</v>
      </c>
      <c r="AK21" s="52">
        <f t="shared" si="12"/>
        <v>0</v>
      </c>
    </row>
    <row r="22" spans="2:37" x14ac:dyDescent="0.25">
      <c r="B22" s="2" t="s">
        <v>15</v>
      </c>
      <c r="C22" s="2" t="s">
        <v>58</v>
      </c>
      <c r="D22" s="2">
        <v>20141205</v>
      </c>
      <c r="E22" s="2">
        <v>1.59</v>
      </c>
      <c r="F22" s="2" t="s">
        <v>59</v>
      </c>
      <c r="G22" s="2">
        <v>62500</v>
      </c>
      <c r="H22" s="2" t="str">
        <f t="shared" si="2"/>
        <v>GLOBEX</v>
      </c>
      <c r="I22" s="2" t="s">
        <v>17</v>
      </c>
      <c r="J22" s="2" t="s">
        <v>16</v>
      </c>
      <c r="K22" s="2" t="str">
        <f t="shared" si="3"/>
        <v>6BZ4 P1590</v>
      </c>
      <c r="L22" s="2" t="s">
        <v>25</v>
      </c>
      <c r="M22" s="56"/>
      <c r="N22" s="2">
        <v>0</v>
      </c>
      <c r="O22" s="2">
        <v>0</v>
      </c>
      <c r="P22" s="2">
        <v>0</v>
      </c>
      <c r="Q22" s="2">
        <v>-1</v>
      </c>
      <c r="R22" s="2">
        <v>-1</v>
      </c>
      <c r="S22" s="2">
        <v>0</v>
      </c>
      <c r="T22" s="2"/>
      <c r="U22" s="58">
        <v>2.5021042245330444E-2</v>
      </c>
      <c r="V22" s="57">
        <v>0.13757028778701397</v>
      </c>
      <c r="W22" s="2">
        <v>-0.97506282275406442</v>
      </c>
      <c r="X22" s="58">
        <v>0</v>
      </c>
      <c r="Y22" s="37">
        <v>-2.928207005908077E-4</v>
      </c>
      <c r="Z22" s="38">
        <v>6.7546212518670989E-5</v>
      </c>
      <c r="AA22" s="2">
        <v>1.5650999999999999</v>
      </c>
      <c r="AB22" s="2">
        <f t="shared" si="4"/>
        <v>0</v>
      </c>
      <c r="AC22" s="2" t="e">
        <f t="shared" si="5"/>
        <v>#VALUE!</v>
      </c>
      <c r="AD22" s="2">
        <f t="shared" si="6"/>
        <v>0</v>
      </c>
      <c r="AE22" s="62" t="e">
        <f t="shared" si="7"/>
        <v>#VALUE!</v>
      </c>
      <c r="AF22" s="63">
        <f t="shared" si="0"/>
        <v>0</v>
      </c>
      <c r="AG22" s="31" t="e">
        <f t="shared" si="8"/>
        <v>#VALUE!</v>
      </c>
      <c r="AH22">
        <f t="shared" si="9"/>
        <v>249.00000000000145</v>
      </c>
      <c r="AI22" s="53">
        <f t="shared" si="10"/>
        <v>1.2104224533029821</v>
      </c>
      <c r="AJ22" s="53">
        <f t="shared" si="11"/>
        <v>0</v>
      </c>
      <c r="AK22" s="52">
        <f t="shared" si="12"/>
        <v>0</v>
      </c>
    </row>
    <row r="23" spans="2:37" x14ac:dyDescent="0.25">
      <c r="B23" s="2" t="s">
        <v>15</v>
      </c>
      <c r="C23" s="2" t="s">
        <v>58</v>
      </c>
      <c r="D23" s="2">
        <v>20141205</v>
      </c>
      <c r="E23" s="2">
        <v>1.595</v>
      </c>
      <c r="F23" s="2" t="s">
        <v>59</v>
      </c>
      <c r="G23" s="2">
        <v>62500</v>
      </c>
      <c r="H23" s="2" t="str">
        <f t="shared" si="2"/>
        <v>GLOBEX</v>
      </c>
      <c r="I23" s="2" t="s">
        <v>17</v>
      </c>
      <c r="J23" s="2" t="s">
        <v>16</v>
      </c>
      <c r="K23" s="2" t="str">
        <f t="shared" si="3"/>
        <v>6BZ4 P1595</v>
      </c>
      <c r="L23" s="2" t="s">
        <v>25</v>
      </c>
      <c r="M23" s="56"/>
      <c r="N23" s="2">
        <v>0</v>
      </c>
      <c r="O23" s="2">
        <v>0</v>
      </c>
      <c r="P23" s="2">
        <v>0</v>
      </c>
      <c r="Q23" s="2">
        <v>-1</v>
      </c>
      <c r="R23" s="2">
        <v>-1</v>
      </c>
      <c r="S23" s="2">
        <v>0</v>
      </c>
      <c r="T23" s="2"/>
      <c r="U23" s="58">
        <v>2.9971969328718363E-2</v>
      </c>
      <c r="V23" s="57">
        <v>0.14795486485286347</v>
      </c>
      <c r="W23" s="2">
        <v>-0.98537525388845271</v>
      </c>
      <c r="X23" s="58">
        <v>0</v>
      </c>
      <c r="Y23" s="2">
        <v>-1.9919460149662467E-4</v>
      </c>
      <c r="Z23" s="38">
        <v>3.8053563388523032E-5</v>
      </c>
      <c r="AA23" s="2">
        <v>1.5650999999999999</v>
      </c>
      <c r="AB23" s="2">
        <f t="shared" si="4"/>
        <v>0</v>
      </c>
      <c r="AC23" s="2" t="e">
        <f t="shared" si="5"/>
        <v>#VALUE!</v>
      </c>
      <c r="AD23" s="2">
        <f t="shared" si="6"/>
        <v>0</v>
      </c>
      <c r="AE23" s="62" t="e">
        <f t="shared" si="7"/>
        <v>#VALUE!</v>
      </c>
      <c r="AF23" s="63">
        <f t="shared" si="0"/>
        <v>0</v>
      </c>
      <c r="AG23" s="31" t="e">
        <f t="shared" si="8"/>
        <v>#VALUE!</v>
      </c>
      <c r="AH23">
        <f t="shared" si="9"/>
        <v>299.0000000000004</v>
      </c>
      <c r="AI23" s="53">
        <f t="shared" si="10"/>
        <v>0.71969328718324732</v>
      </c>
      <c r="AJ23" s="53">
        <f t="shared" si="11"/>
        <v>0</v>
      </c>
      <c r="AK23" s="52">
        <f t="shared" si="12"/>
        <v>0</v>
      </c>
    </row>
    <row r="24" spans="2:37" x14ac:dyDescent="0.25">
      <c r="B24" s="2" t="s">
        <v>15</v>
      </c>
      <c r="C24" s="2" t="s">
        <v>58</v>
      </c>
      <c r="D24" s="2">
        <v>20141205</v>
      </c>
      <c r="E24" s="2">
        <v>1.6</v>
      </c>
      <c r="F24" s="2" t="s">
        <v>59</v>
      </c>
      <c r="G24" s="2">
        <v>62500</v>
      </c>
      <c r="H24" s="2" t="str">
        <f t="shared" si="2"/>
        <v>GLOBEX</v>
      </c>
      <c r="I24" s="2" t="s">
        <v>17</v>
      </c>
      <c r="J24" s="2" t="s">
        <v>16</v>
      </c>
      <c r="K24" s="2" t="str">
        <f t="shared" si="3"/>
        <v>6BZ4 P1600</v>
      </c>
      <c r="L24" s="2" t="s">
        <v>25</v>
      </c>
      <c r="M24" s="56"/>
      <c r="N24" s="2">
        <v>0</v>
      </c>
      <c r="O24" s="2">
        <v>0</v>
      </c>
      <c r="P24" s="2">
        <v>0</v>
      </c>
      <c r="Q24" s="2">
        <v>-1</v>
      </c>
      <c r="R24" s="2">
        <v>-1</v>
      </c>
      <c r="S24" s="2">
        <v>0</v>
      </c>
      <c r="T24" s="2"/>
      <c r="U24" s="58">
        <v>3.4947170242700727E-2</v>
      </c>
      <c r="V24" s="57">
        <v>0.16049229431017409</v>
      </c>
      <c r="W24" s="2">
        <v>-0.99069384771629254</v>
      </c>
      <c r="X24" s="58">
        <v>0.96000685239764894</v>
      </c>
      <c r="Y24" s="2">
        <v>-1.4673614098978258E-4</v>
      </c>
      <c r="Z24" s="38">
        <v>2.9466031867542153E-5</v>
      </c>
      <c r="AA24" s="2">
        <v>1.5650999999999999</v>
      </c>
      <c r="AB24" s="2">
        <f t="shared" si="4"/>
        <v>0</v>
      </c>
      <c r="AC24" s="2" t="e">
        <f t="shared" si="5"/>
        <v>#VALUE!</v>
      </c>
      <c r="AD24" s="2">
        <f t="shared" si="6"/>
        <v>0</v>
      </c>
      <c r="AE24" s="62" t="e">
        <f t="shared" si="7"/>
        <v>#VALUE!</v>
      </c>
      <c r="AF24" s="63">
        <f t="shared" si="0"/>
        <v>0</v>
      </c>
      <c r="AG24" s="31" t="e">
        <f t="shared" si="8"/>
        <v>#VALUE!</v>
      </c>
      <c r="AH24">
        <f t="shared" si="9"/>
        <v>349.00000000000153</v>
      </c>
      <c r="AI24" s="53">
        <f t="shared" si="10"/>
        <v>0.47170242700570952</v>
      </c>
      <c r="AJ24" s="53">
        <f t="shared" si="11"/>
        <v>0</v>
      </c>
      <c r="AK24" s="52">
        <f t="shared" si="12"/>
        <v>0</v>
      </c>
    </row>
    <row r="25" spans="2:37" x14ac:dyDescent="0.25">
      <c r="B25" s="2" t="s">
        <v>15</v>
      </c>
      <c r="C25" s="2" t="s">
        <v>58</v>
      </c>
      <c r="D25" s="2">
        <v>20141205</v>
      </c>
      <c r="E25" s="2">
        <v>1.605</v>
      </c>
      <c r="F25" s="2" t="s">
        <v>59</v>
      </c>
      <c r="G25" s="2">
        <v>62500</v>
      </c>
      <c r="H25" s="2" t="str">
        <f t="shared" si="2"/>
        <v>GLOBEX</v>
      </c>
      <c r="I25" s="2" t="s">
        <v>17</v>
      </c>
      <c r="J25" s="2" t="s">
        <v>16</v>
      </c>
      <c r="K25" s="2" t="str">
        <f t="shared" si="3"/>
        <v>6BZ4 P1605</v>
      </c>
      <c r="L25" s="2" t="s">
        <v>25</v>
      </c>
      <c r="M25" s="56"/>
      <c r="N25" s="2">
        <v>0</v>
      </c>
      <c r="O25" s="2">
        <v>0</v>
      </c>
      <c r="P25" s="2">
        <v>0</v>
      </c>
      <c r="Q25" s="2">
        <v>-1</v>
      </c>
      <c r="R25" s="2">
        <v>-1</v>
      </c>
      <c r="S25" s="2">
        <v>0</v>
      </c>
      <c r="T25" s="2"/>
      <c r="U25" s="58">
        <v>3.9938167651417097E-2</v>
      </c>
      <c r="V25" s="57">
        <v>0.17518257615898847</v>
      </c>
      <c r="W25" s="2">
        <v>-0.99295163726063207</v>
      </c>
      <c r="X25" s="58">
        <v>0.96459820214130731</v>
      </c>
      <c r="Y25" s="2">
        <v>-1.2498221345756254E-4</v>
      </c>
      <c r="Z25" s="38">
        <v>1.9661772495370433E-5</v>
      </c>
      <c r="AA25" s="2">
        <v>1.5650999999999999</v>
      </c>
      <c r="AB25" s="2">
        <f t="shared" si="4"/>
        <v>0</v>
      </c>
      <c r="AC25" s="2" t="e">
        <f t="shared" si="5"/>
        <v>#VALUE!</v>
      </c>
      <c r="AD25" s="2">
        <f t="shared" si="6"/>
        <v>0</v>
      </c>
      <c r="AE25" s="62" t="e">
        <f t="shared" si="7"/>
        <v>#VALUE!</v>
      </c>
      <c r="AF25" s="63">
        <f t="shared" si="0"/>
        <v>0</v>
      </c>
      <c r="AG25" s="31" t="e">
        <f t="shared" si="8"/>
        <v>#VALUE!</v>
      </c>
      <c r="AH25">
        <f t="shared" si="9"/>
        <v>399.00000000000045</v>
      </c>
      <c r="AI25" s="53">
        <f t="shared" si="10"/>
        <v>0.38167651417052184</v>
      </c>
      <c r="AJ25" s="53">
        <f t="shared" si="11"/>
        <v>0</v>
      </c>
      <c r="AK25" s="52">
        <f t="shared" si="12"/>
        <v>0</v>
      </c>
    </row>
    <row r="26" spans="2:37" x14ac:dyDescent="0.25">
      <c r="B26" s="2" t="s">
        <v>15</v>
      </c>
      <c r="C26" s="2" t="s">
        <v>58</v>
      </c>
      <c r="D26" s="2">
        <v>20141205</v>
      </c>
      <c r="E26" s="2">
        <v>1.61</v>
      </c>
      <c r="F26" s="2" t="s">
        <v>59</v>
      </c>
      <c r="G26" s="2">
        <v>62500</v>
      </c>
      <c r="H26" s="2" t="str">
        <f t="shared" si="2"/>
        <v>GLOBEX</v>
      </c>
      <c r="I26" s="2" t="s">
        <v>17</v>
      </c>
      <c r="J26" s="2" t="s">
        <v>16</v>
      </c>
      <c r="K26" s="2" t="str">
        <f t="shared" si="3"/>
        <v>6BZ4 P1610</v>
      </c>
      <c r="L26" s="2" t="s">
        <v>25</v>
      </c>
      <c r="M26" s="56"/>
      <c r="N26" s="2">
        <v>0</v>
      </c>
      <c r="O26" s="2">
        <v>0</v>
      </c>
      <c r="P26" s="2">
        <v>0</v>
      </c>
      <c r="Q26" s="2">
        <v>-1</v>
      </c>
      <c r="R26" s="2">
        <v>-1</v>
      </c>
      <c r="S26" s="2">
        <v>0</v>
      </c>
      <c r="T26" s="2"/>
      <c r="U26" s="58">
        <v>4.4933497038128635E-2</v>
      </c>
      <c r="V26" s="57">
        <v>0.19202571039927818</v>
      </c>
      <c r="W26" s="2">
        <v>-0.99424128479175922</v>
      </c>
      <c r="X26" s="58">
        <v>0.93178526449189381</v>
      </c>
      <c r="Y26" s="2">
        <v>-1.1497841994031873E-4</v>
      </c>
      <c r="Z26" s="38">
        <v>1.9688702954205606E-5</v>
      </c>
      <c r="AA26" s="2">
        <v>1.5650999999999999</v>
      </c>
      <c r="AB26" s="2">
        <f t="shared" si="4"/>
        <v>0</v>
      </c>
      <c r="AC26" s="2" t="e">
        <f t="shared" si="5"/>
        <v>#VALUE!</v>
      </c>
      <c r="AD26" s="2">
        <f t="shared" si="6"/>
        <v>0</v>
      </c>
      <c r="AE26" s="62" t="e">
        <f t="shared" si="7"/>
        <v>#VALUE!</v>
      </c>
      <c r="AF26" s="63">
        <f t="shared" si="0"/>
        <v>0</v>
      </c>
      <c r="AG26" s="31" t="e">
        <f t="shared" si="8"/>
        <v>#VALUE!</v>
      </c>
      <c r="AH26">
        <f t="shared" si="9"/>
        <v>449.00000000000159</v>
      </c>
      <c r="AI26" s="53">
        <f t="shared" si="10"/>
        <v>0.33497038128473378</v>
      </c>
      <c r="AJ26" s="53">
        <f t="shared" si="11"/>
        <v>0</v>
      </c>
      <c r="AK26" s="52">
        <f t="shared" si="12"/>
        <v>0</v>
      </c>
    </row>
    <row r="27" spans="2:37" x14ac:dyDescent="0.25">
      <c r="B27" s="2" t="s">
        <v>15</v>
      </c>
      <c r="C27" s="2" t="s">
        <v>58</v>
      </c>
      <c r="D27" s="2">
        <v>20141205</v>
      </c>
      <c r="E27" s="2">
        <v>1.615</v>
      </c>
      <c r="F27" s="2" t="s">
        <v>59</v>
      </c>
      <c r="G27" s="2">
        <v>62500</v>
      </c>
      <c r="H27" s="2" t="str">
        <f t="shared" si="2"/>
        <v>GLOBEX</v>
      </c>
      <c r="I27" s="2" t="s">
        <v>17</v>
      </c>
      <c r="J27" s="2" t="s">
        <v>16</v>
      </c>
      <c r="K27" s="2" t="str">
        <f t="shared" si="3"/>
        <v>6BZ4 P1615</v>
      </c>
      <c r="L27" s="2" t="s">
        <v>25</v>
      </c>
      <c r="M27" s="56"/>
      <c r="N27" s="2">
        <v>0</v>
      </c>
      <c r="O27" s="2">
        <v>0</v>
      </c>
      <c r="P27" s="2">
        <v>0</v>
      </c>
      <c r="Q27" s="2">
        <v>-1</v>
      </c>
      <c r="R27" s="2">
        <v>-1</v>
      </c>
      <c r="S27" s="2">
        <v>0</v>
      </c>
      <c r="T27" s="2"/>
      <c r="U27" s="58">
        <v>4.9933175905381037E-2</v>
      </c>
      <c r="V27" s="57">
        <v>0.21102169703104323</v>
      </c>
      <c r="W27" s="2">
        <v>-0.99475196361446627</v>
      </c>
      <c r="X27" s="58">
        <v>0.78384519397573749</v>
      </c>
      <c r="Y27" s="2">
        <v>-1.1677813097680746E-4</v>
      </c>
      <c r="Z27" s="38">
        <v>1.9716027393722191E-5</v>
      </c>
      <c r="AA27" s="2">
        <v>1.5650999999999999</v>
      </c>
      <c r="AB27" s="2">
        <f t="shared" si="4"/>
        <v>0</v>
      </c>
      <c r="AC27" s="2" t="e">
        <f t="shared" si="5"/>
        <v>#VALUE!</v>
      </c>
      <c r="AD27" s="2">
        <f t="shared" si="6"/>
        <v>0</v>
      </c>
      <c r="AE27" s="62" t="e">
        <f t="shared" si="7"/>
        <v>#VALUE!</v>
      </c>
      <c r="AF27" s="63">
        <f t="shared" si="0"/>
        <v>0</v>
      </c>
      <c r="AG27" s="31" t="e">
        <f t="shared" si="8"/>
        <v>#VALUE!</v>
      </c>
      <c r="AH27">
        <f t="shared" si="9"/>
        <v>499.00000000000057</v>
      </c>
      <c r="AI27" s="53">
        <f t="shared" si="10"/>
        <v>0.33175905380977611</v>
      </c>
      <c r="AJ27" s="53">
        <f t="shared" si="11"/>
        <v>0</v>
      </c>
      <c r="AK27" s="52">
        <f t="shared" si="12"/>
        <v>0</v>
      </c>
    </row>
    <row r="28" spans="2:37" x14ac:dyDescent="0.25">
      <c r="B28" s="2" t="s">
        <v>15</v>
      </c>
      <c r="C28" s="2" t="s">
        <v>58</v>
      </c>
      <c r="D28" s="2">
        <v>20141205</v>
      </c>
      <c r="E28" s="2">
        <v>1.62</v>
      </c>
      <c r="F28" s="2" t="s">
        <v>59</v>
      </c>
      <c r="G28" s="2">
        <v>62500</v>
      </c>
      <c r="H28" s="2" t="str">
        <f t="shared" si="2"/>
        <v>GLOBEX</v>
      </c>
      <c r="I28" s="2" t="s">
        <v>17</v>
      </c>
      <c r="J28" s="2" t="s">
        <v>16</v>
      </c>
      <c r="K28" s="2" t="str">
        <f t="shared" si="3"/>
        <v>6BZ4 P1620</v>
      </c>
      <c r="L28" s="2" t="s">
        <v>25</v>
      </c>
      <c r="M28" s="56"/>
      <c r="N28" s="2">
        <v>0</v>
      </c>
      <c r="O28" s="2">
        <v>0</v>
      </c>
      <c r="P28" s="2">
        <v>0</v>
      </c>
      <c r="Q28" s="2">
        <v>-1</v>
      </c>
      <c r="R28" s="2">
        <v>-1</v>
      </c>
      <c r="S28" s="2">
        <v>0</v>
      </c>
      <c r="T28" s="2"/>
      <c r="U28" s="58">
        <v>5.4937219892936658E-2</v>
      </c>
      <c r="V28" s="57">
        <v>0.23217053605428362</v>
      </c>
      <c r="W28" s="2">
        <v>-0.99465768629688212</v>
      </c>
      <c r="X28" s="58">
        <v>0.72323851067159062</v>
      </c>
      <c r="Y28" s="2">
        <v>-1.3043410533604931E-4</v>
      </c>
      <c r="Z28" s="38">
        <v>1.9746513794292875E-5</v>
      </c>
      <c r="AA28" s="2">
        <v>1.5650999999999999</v>
      </c>
      <c r="AB28" s="2">
        <f t="shared" si="4"/>
        <v>0</v>
      </c>
      <c r="AC28" s="2" t="e">
        <f t="shared" si="5"/>
        <v>#VALUE!</v>
      </c>
      <c r="AD28" s="2">
        <f t="shared" si="6"/>
        <v>0</v>
      </c>
      <c r="AE28" s="62" t="e">
        <f t="shared" si="7"/>
        <v>#VALUE!</v>
      </c>
      <c r="AF28" s="63">
        <f t="shared" si="0"/>
        <v>0</v>
      </c>
      <c r="AG28" s="31" t="e">
        <f t="shared" si="8"/>
        <v>#VALUE!</v>
      </c>
      <c r="AH28">
        <f t="shared" si="9"/>
        <v>549.00000000000171</v>
      </c>
      <c r="AI28" s="53">
        <f t="shared" si="10"/>
        <v>0.37219892936491306</v>
      </c>
      <c r="AJ28" s="53">
        <f t="shared" si="11"/>
        <v>0</v>
      </c>
      <c r="AK28" s="52">
        <f t="shared" si="12"/>
        <v>0</v>
      </c>
    </row>
    <row r="29" spans="2:37" x14ac:dyDescent="0.25">
      <c r="B29" s="2" t="s">
        <v>15</v>
      </c>
      <c r="C29" s="2" t="s">
        <v>58</v>
      </c>
      <c r="D29" s="2">
        <v>20141205</v>
      </c>
      <c r="E29" s="2">
        <v>1.625</v>
      </c>
      <c r="F29" s="2" t="s">
        <v>59</v>
      </c>
      <c r="G29" s="2">
        <v>62500</v>
      </c>
      <c r="H29" s="2" t="str">
        <f t="shared" si="2"/>
        <v>GLOBEX</v>
      </c>
      <c r="I29" s="2" t="s">
        <v>17</v>
      </c>
      <c r="J29" s="2" t="s">
        <v>16</v>
      </c>
      <c r="K29" s="2" t="str">
        <f t="shared" si="3"/>
        <v>6BZ4 P1625</v>
      </c>
      <c r="L29" s="2" t="s">
        <v>25</v>
      </c>
      <c r="M29" s="56"/>
      <c r="N29" s="2">
        <v>0</v>
      </c>
      <c r="O29" s="2">
        <v>0</v>
      </c>
      <c r="P29" s="2">
        <v>0</v>
      </c>
      <c r="Q29" s="2">
        <v>-1</v>
      </c>
      <c r="R29" s="2">
        <v>-1</v>
      </c>
      <c r="S29" s="2">
        <v>0</v>
      </c>
      <c r="T29" s="2"/>
      <c r="U29" s="58">
        <v>5.9945648867460698E-2</v>
      </c>
      <c r="V29" s="57">
        <v>0.25547222746899934</v>
      </c>
      <c r="W29" s="2">
        <v>-0.99410840163359981</v>
      </c>
      <c r="X29" s="58">
        <v>0.71422133303684943</v>
      </c>
      <c r="Y29" s="2">
        <v>-1.5599872907370662E-4</v>
      </c>
      <c r="Z29" s="38">
        <v>1.977947727223317E-5</v>
      </c>
      <c r="AA29" s="2">
        <v>1.5650999999999999</v>
      </c>
      <c r="AB29" s="2">
        <f t="shared" si="4"/>
        <v>0</v>
      </c>
      <c r="AC29" s="2" t="e">
        <f t="shared" si="5"/>
        <v>#VALUE!</v>
      </c>
      <c r="AD29" s="2">
        <f t="shared" si="6"/>
        <v>0</v>
      </c>
      <c r="AE29" s="62" t="e">
        <f t="shared" si="7"/>
        <v>#VALUE!</v>
      </c>
      <c r="AF29" s="63">
        <f t="shared" si="0"/>
        <v>0</v>
      </c>
      <c r="AG29" s="31" t="e">
        <f t="shared" si="8"/>
        <v>#VALUE!</v>
      </c>
      <c r="AH29">
        <f t="shared" si="9"/>
        <v>599.00000000000068</v>
      </c>
      <c r="AI29" s="53">
        <f t="shared" si="10"/>
        <v>0.45648867460624842</v>
      </c>
      <c r="AJ29" s="53">
        <f t="shared" si="11"/>
        <v>0</v>
      </c>
      <c r="AK29" s="52">
        <f t="shared" si="12"/>
        <v>0</v>
      </c>
    </row>
    <row r="30" spans="2:37" x14ac:dyDescent="0.25">
      <c r="B30" s="2" t="s">
        <v>15</v>
      </c>
      <c r="C30" s="2" t="s">
        <v>58</v>
      </c>
      <c r="D30" s="2">
        <v>20141205</v>
      </c>
      <c r="E30" s="2">
        <v>1.63</v>
      </c>
      <c r="F30" s="2" t="s">
        <v>59</v>
      </c>
      <c r="G30" s="2">
        <v>62500</v>
      </c>
      <c r="H30" s="2" t="str">
        <f t="shared" si="2"/>
        <v>GLOBEX</v>
      </c>
      <c r="I30" s="2" t="s">
        <v>17</v>
      </c>
      <c r="J30" s="2" t="s">
        <v>16</v>
      </c>
      <c r="K30" s="2" t="str">
        <f t="shared" si="3"/>
        <v>6BZ4 P1630</v>
      </c>
      <c r="L30" s="2" t="s">
        <v>25</v>
      </c>
      <c r="M30" s="56"/>
      <c r="N30" s="2">
        <v>0</v>
      </c>
      <c r="O30" s="2">
        <v>0</v>
      </c>
      <c r="P30" s="2">
        <v>0</v>
      </c>
      <c r="Q30" s="2">
        <v>-1</v>
      </c>
      <c r="R30" s="2">
        <v>-1</v>
      </c>
      <c r="S30" s="2">
        <v>0</v>
      </c>
      <c r="T30" s="2"/>
      <c r="U30" s="58">
        <v>6.4958485315866926E-2</v>
      </c>
      <c r="V30" s="57">
        <v>0.2809267712752046</v>
      </c>
      <c r="W30" s="2">
        <v>-0.99322759936178417</v>
      </c>
      <c r="X30" s="58">
        <v>0.73250794366057015</v>
      </c>
      <c r="Y30" s="2">
        <v>-1.9352554713736398E-4</v>
      </c>
      <c r="Z30" s="38">
        <v>1.9812189702497762E-5</v>
      </c>
      <c r="AA30" s="2">
        <v>1.5650999999999999</v>
      </c>
      <c r="AB30" s="2">
        <f t="shared" si="4"/>
        <v>0</v>
      </c>
      <c r="AC30" s="2" t="e">
        <f t="shared" si="5"/>
        <v>#VALUE!</v>
      </c>
      <c r="AD30" s="2">
        <f t="shared" si="6"/>
        <v>0</v>
      </c>
      <c r="AE30" s="62" t="e">
        <f t="shared" si="7"/>
        <v>#VALUE!</v>
      </c>
      <c r="AF30" s="63">
        <f t="shared" si="0"/>
        <v>0</v>
      </c>
      <c r="AG30" s="31" t="e">
        <f t="shared" si="8"/>
        <v>#VALUE!</v>
      </c>
      <c r="AH30">
        <f t="shared" si="9"/>
        <v>648.99999999999955</v>
      </c>
      <c r="AI30" s="53">
        <f t="shared" si="10"/>
        <v>0.58485315866971632</v>
      </c>
      <c r="AJ30" s="53">
        <f t="shared" si="11"/>
        <v>0</v>
      </c>
      <c r="AK30" s="52">
        <f t="shared" si="12"/>
        <v>0</v>
      </c>
    </row>
    <row r="31" spans="2:37" x14ac:dyDescent="0.25">
      <c r="B31" s="2" t="s">
        <v>15</v>
      </c>
      <c r="C31" s="2" t="s">
        <v>58</v>
      </c>
      <c r="D31" s="2">
        <v>20141205</v>
      </c>
      <c r="E31" s="2">
        <v>1.635</v>
      </c>
      <c r="F31" s="2" t="s">
        <v>59</v>
      </c>
      <c r="G31" s="2">
        <v>62500</v>
      </c>
      <c r="H31" s="2" t="str">
        <f t="shared" si="2"/>
        <v>GLOBEX</v>
      </c>
      <c r="I31" s="2" t="s">
        <v>17</v>
      </c>
      <c r="J31" s="2" t="s">
        <v>16</v>
      </c>
      <c r="K31" s="2" t="str">
        <f t="shared" si="3"/>
        <v>6BZ4 P1635</v>
      </c>
      <c r="L31" s="2" t="s">
        <v>25</v>
      </c>
      <c r="M31" s="56"/>
      <c r="N31" s="2">
        <v>0</v>
      </c>
      <c r="O31" s="2">
        <v>0</v>
      </c>
      <c r="P31" s="2">
        <v>0</v>
      </c>
      <c r="Q31" s="2">
        <v>-1</v>
      </c>
      <c r="R31" s="2">
        <v>-1</v>
      </c>
      <c r="S31" s="2">
        <v>0</v>
      </c>
      <c r="T31" s="2"/>
      <c r="U31" s="58">
        <v>6.9975749618210112E-2</v>
      </c>
      <c r="V31" s="57">
        <v>0.30853416747289941</v>
      </c>
      <c r="W31" s="2">
        <v>-0.99211342707809069</v>
      </c>
      <c r="X31" s="58">
        <v>0.76249876297262764</v>
      </c>
      <c r="Y31" s="2">
        <v>-2.4306472003765922E-4</v>
      </c>
      <c r="Z31" s="38">
        <v>1.9844476009819867E-5</v>
      </c>
      <c r="AA31" s="2">
        <v>1.5650999999999999</v>
      </c>
      <c r="AB31" s="2">
        <f t="shared" si="4"/>
        <v>0</v>
      </c>
      <c r="AC31" s="2" t="e">
        <f t="shared" si="5"/>
        <v>#VALUE!</v>
      </c>
      <c r="AD31" s="2">
        <f t="shared" si="6"/>
        <v>0</v>
      </c>
      <c r="AE31" s="62" t="e">
        <f t="shared" si="7"/>
        <v>#VALUE!</v>
      </c>
      <c r="AF31" s="63">
        <f t="shared" si="0"/>
        <v>0</v>
      </c>
      <c r="AG31" s="31" t="e">
        <f t="shared" si="8"/>
        <v>#VALUE!</v>
      </c>
      <c r="AH31">
        <f t="shared" si="9"/>
        <v>699.00000000000068</v>
      </c>
      <c r="AI31" s="53">
        <f t="shared" si="10"/>
        <v>0.75749618210045355</v>
      </c>
      <c r="AJ31" s="53">
        <f t="shared" si="11"/>
        <v>0</v>
      </c>
      <c r="AK31" s="52">
        <f t="shared" si="12"/>
        <v>0</v>
      </c>
    </row>
    <row r="32" spans="2:37" x14ac:dyDescent="0.25">
      <c r="B32" s="2" t="s">
        <v>15</v>
      </c>
      <c r="C32" s="2" t="s">
        <v>58</v>
      </c>
      <c r="D32" s="2">
        <v>20141205</v>
      </c>
      <c r="E32" s="2">
        <v>1.6400000000000001</v>
      </c>
      <c r="F32" s="2" t="s">
        <v>59</v>
      </c>
      <c r="G32" s="2">
        <v>62500</v>
      </c>
      <c r="H32" s="2" t="str">
        <f t="shared" si="2"/>
        <v>GLOBEX</v>
      </c>
      <c r="I32" s="2" t="s">
        <v>17</v>
      </c>
      <c r="J32" s="2" t="s">
        <v>16</v>
      </c>
      <c r="K32" s="2" t="str">
        <f t="shared" si="3"/>
        <v>6BZ4 P1640</v>
      </c>
      <c r="L32" s="2" t="s">
        <v>25</v>
      </c>
      <c r="M32" s="56"/>
      <c r="N32" s="2">
        <v>7.3700000000000002E-2</v>
      </c>
      <c r="O32" s="2">
        <v>2</v>
      </c>
      <c r="P32" s="2">
        <v>0</v>
      </c>
      <c r="Q32" s="2">
        <v>-1</v>
      </c>
      <c r="R32" s="2">
        <v>-1</v>
      </c>
      <c r="S32" s="2">
        <v>0</v>
      </c>
      <c r="T32" s="2"/>
      <c r="U32" s="58">
        <v>7.4997461117907296E-2</v>
      </c>
      <c r="V32" s="57">
        <v>0.33829441606204114</v>
      </c>
      <c r="W32" s="2">
        <v>-0.99084222167956415</v>
      </c>
      <c r="X32" s="58">
        <v>0.79477854501055389</v>
      </c>
      <c r="Y32" s="2">
        <v>-3.0467123538908616E-4</v>
      </c>
      <c r="Z32" s="38">
        <v>1.9876053409667582E-5</v>
      </c>
      <c r="AA32" s="2">
        <v>1.5650999999999999</v>
      </c>
      <c r="AB32" s="2">
        <f t="shared" si="4"/>
        <v>0</v>
      </c>
      <c r="AC32" s="2" t="e">
        <f t="shared" si="5"/>
        <v>#VALUE!</v>
      </c>
      <c r="AD32" s="2">
        <f t="shared" si="6"/>
        <v>0</v>
      </c>
      <c r="AE32" s="62" t="e">
        <f t="shared" si="7"/>
        <v>#VALUE!</v>
      </c>
      <c r="AF32" s="63">
        <f t="shared" si="0"/>
        <v>0</v>
      </c>
      <c r="AG32" s="31" t="e">
        <f t="shared" si="8"/>
        <v>#VALUE!</v>
      </c>
      <c r="AH32">
        <f t="shared" si="9"/>
        <v>749.00000000000193</v>
      </c>
      <c r="AI32" s="53">
        <f t="shared" si="10"/>
        <v>0.97461117907107564</v>
      </c>
      <c r="AJ32" s="53">
        <f t="shared" si="11"/>
        <v>0</v>
      </c>
      <c r="AK32" s="52">
        <f t="shared" si="12"/>
        <v>0</v>
      </c>
    </row>
    <row r="33" spans="2:37" x14ac:dyDescent="0.25">
      <c r="B33" s="2" t="s">
        <v>15</v>
      </c>
      <c r="C33" s="2" t="s">
        <v>58</v>
      </c>
      <c r="D33" s="2">
        <v>20141205</v>
      </c>
      <c r="E33" s="2">
        <v>1.645</v>
      </c>
      <c r="F33" s="2" t="s">
        <v>59</v>
      </c>
      <c r="G33" s="2">
        <v>62500</v>
      </c>
      <c r="H33" s="2" t="str">
        <f t="shared" si="2"/>
        <v>GLOBEX</v>
      </c>
      <c r="I33" s="2" t="s">
        <v>17</v>
      </c>
      <c r="J33" s="2" t="s">
        <v>16</v>
      </c>
      <c r="K33" s="2" t="str">
        <f t="shared" si="3"/>
        <v>6BZ4 P1645</v>
      </c>
      <c r="L33" s="2" t="s">
        <v>25</v>
      </c>
      <c r="M33" s="56"/>
      <c r="N33" s="2">
        <v>0</v>
      </c>
      <c r="O33" s="2">
        <v>0</v>
      </c>
      <c r="P33" s="2">
        <v>0</v>
      </c>
      <c r="Q33" s="2">
        <v>-1</v>
      </c>
      <c r="R33" s="2">
        <v>-1</v>
      </c>
      <c r="S33" s="2">
        <v>0</v>
      </c>
      <c r="T33" s="2"/>
      <c r="U33" s="58">
        <v>8.0023639217036438E-2</v>
      </c>
      <c r="V33" s="57">
        <v>0.37020751704270083</v>
      </c>
      <c r="W33" s="2">
        <v>-0.98947196305720375</v>
      </c>
      <c r="X33" s="58">
        <v>0.82406090664307019</v>
      </c>
      <c r="Y33" s="2">
        <v>-3.7839448819390126E-4</v>
      </c>
      <c r="Z33" s="38">
        <v>3.3593444811463868E-5</v>
      </c>
      <c r="AA33" s="2">
        <v>1.5650999999999999</v>
      </c>
      <c r="AB33" s="2">
        <f t="shared" si="4"/>
        <v>0</v>
      </c>
      <c r="AC33" s="2" t="e">
        <f t="shared" si="5"/>
        <v>#VALUE!</v>
      </c>
      <c r="AD33" s="2">
        <f t="shared" si="6"/>
        <v>0</v>
      </c>
      <c r="AE33" s="62" t="e">
        <f t="shared" si="7"/>
        <v>#VALUE!</v>
      </c>
      <c r="AF33" s="63">
        <f t="shared" si="0"/>
        <v>0</v>
      </c>
      <c r="AG33" s="31" t="e">
        <f t="shared" si="8"/>
        <v>#VALUE!</v>
      </c>
      <c r="AH33">
        <f t="shared" si="9"/>
        <v>799.0000000000008</v>
      </c>
      <c r="AI33" s="53">
        <f t="shared" si="10"/>
        <v>1.2363921703636152</v>
      </c>
      <c r="AJ33" s="53">
        <f t="shared" si="11"/>
        <v>0</v>
      </c>
      <c r="AK33" s="52">
        <f t="shared" si="12"/>
        <v>0</v>
      </c>
    </row>
    <row r="34" spans="2:37" x14ac:dyDescent="0.25">
      <c r="B34" s="2" t="s">
        <v>15</v>
      </c>
      <c r="C34" s="2" t="s">
        <v>58</v>
      </c>
      <c r="D34" s="2">
        <v>20141205</v>
      </c>
      <c r="E34" s="2">
        <v>1.65</v>
      </c>
      <c r="F34" s="2" t="s">
        <v>59</v>
      </c>
      <c r="G34" s="2">
        <v>62500</v>
      </c>
      <c r="H34" s="2" t="str">
        <f t="shared" si="2"/>
        <v>GLOBEX</v>
      </c>
      <c r="I34" s="2" t="s">
        <v>17</v>
      </c>
      <c r="J34" s="2" t="s">
        <v>16</v>
      </c>
      <c r="K34" s="2" t="str">
        <f t="shared" si="3"/>
        <v>6BZ4 P1650</v>
      </c>
      <c r="L34" s="2" t="s">
        <v>25</v>
      </c>
      <c r="M34" s="56"/>
      <c r="N34" s="2">
        <v>0</v>
      </c>
      <c r="O34" s="2">
        <v>0</v>
      </c>
      <c r="P34" s="2">
        <v>0</v>
      </c>
      <c r="Q34" s="2">
        <v>-1</v>
      </c>
      <c r="R34" s="2">
        <v>-1</v>
      </c>
      <c r="S34" s="2">
        <v>0</v>
      </c>
      <c r="T34" s="2"/>
      <c r="U34" s="58">
        <v>8.5070516615054173E-2</v>
      </c>
      <c r="V34" s="57">
        <v>0.40427347041482165</v>
      </c>
      <c r="W34" s="2">
        <v>-0.98705691075711555</v>
      </c>
      <c r="X34" s="58">
        <v>0.8966998586038698</v>
      </c>
      <c r="Y34" s="2">
        <v>-4.9113662857176266E-4</v>
      </c>
      <c r="Z34" s="38">
        <v>3.8697436539503194E-5</v>
      </c>
      <c r="AA34" s="2">
        <v>1.5650999999999999</v>
      </c>
      <c r="AB34" s="2">
        <f t="shared" si="4"/>
        <v>0</v>
      </c>
      <c r="AC34" s="2" t="e">
        <f t="shared" si="5"/>
        <v>#VALUE!</v>
      </c>
      <c r="AD34" s="2">
        <f t="shared" si="6"/>
        <v>0</v>
      </c>
      <c r="AE34" s="62" t="e">
        <f t="shared" si="7"/>
        <v>#VALUE!</v>
      </c>
      <c r="AF34" s="63">
        <f t="shared" si="0"/>
        <v>0</v>
      </c>
      <c r="AG34" s="31" t="e">
        <f t="shared" si="8"/>
        <v>#VALUE!</v>
      </c>
      <c r="AH34">
        <f t="shared" si="9"/>
        <v>848.99999999999977</v>
      </c>
      <c r="AI34" s="53">
        <f t="shared" si="10"/>
        <v>1.7051661505419133</v>
      </c>
      <c r="AJ34" s="53">
        <f t="shared" si="11"/>
        <v>0</v>
      </c>
      <c r="AK34" s="52">
        <f t="shared" si="12"/>
        <v>0</v>
      </c>
    </row>
    <row r="35" spans="2:37" x14ac:dyDescent="0.25">
      <c r="B35" s="2" t="s">
        <v>15</v>
      </c>
      <c r="C35" s="2" t="s">
        <v>58</v>
      </c>
      <c r="D35" s="2">
        <v>20141205</v>
      </c>
      <c r="E35" s="2">
        <v>1.655</v>
      </c>
      <c r="F35" s="2" t="s">
        <v>59</v>
      </c>
      <c r="G35" s="2">
        <v>62500</v>
      </c>
      <c r="H35" s="2" t="str">
        <f t="shared" si="2"/>
        <v>GLOBEX</v>
      </c>
      <c r="I35" s="2" t="s">
        <v>17</v>
      </c>
      <c r="J35" s="2" t="s">
        <v>16</v>
      </c>
      <c r="K35" s="2" t="str">
        <f t="shared" si="3"/>
        <v>6BZ4 P1655</v>
      </c>
      <c r="L35" s="2" t="s">
        <v>25</v>
      </c>
      <c r="M35" s="56"/>
      <c r="N35" s="2">
        <v>0</v>
      </c>
      <c r="O35" s="2">
        <v>0</v>
      </c>
      <c r="P35" s="2">
        <v>0</v>
      </c>
      <c r="Q35" s="2">
        <v>-1</v>
      </c>
      <c r="R35" s="2">
        <v>-1</v>
      </c>
      <c r="S35" s="2">
        <v>0</v>
      </c>
      <c r="T35" s="2"/>
      <c r="U35" s="58">
        <v>9.0131182289735531E-2</v>
      </c>
      <c r="V35" s="57">
        <v>0.44049227617840359</v>
      </c>
      <c r="W35" s="2">
        <v>-0.98426134336016369</v>
      </c>
      <c r="X35" s="58">
        <v>0.97085895907125108</v>
      </c>
      <c r="Y35" s="2">
        <v>-6.3142971592561868E-4</v>
      </c>
      <c r="Z35" s="38">
        <v>3.8759053379827657E-5</v>
      </c>
      <c r="AA35" s="2">
        <v>1.5650999999999999</v>
      </c>
      <c r="AB35" s="2">
        <f t="shared" si="4"/>
        <v>0</v>
      </c>
      <c r="AC35" s="2" t="e">
        <f t="shared" si="5"/>
        <v>#VALUE!</v>
      </c>
      <c r="AD35" s="2">
        <f t="shared" si="6"/>
        <v>0</v>
      </c>
      <c r="AE35" s="62" t="e">
        <f t="shared" si="7"/>
        <v>#VALUE!</v>
      </c>
      <c r="AF35" s="63">
        <f t="shared" si="0"/>
        <v>0</v>
      </c>
      <c r="AG35" s="31" t="e">
        <f t="shared" si="8"/>
        <v>#VALUE!</v>
      </c>
      <c r="AH35">
        <f t="shared" si="9"/>
        <v>899.00000000000091</v>
      </c>
      <c r="AI35" s="53">
        <f t="shared" si="10"/>
        <v>2.3118228973544319</v>
      </c>
      <c r="AJ35" s="53">
        <f t="shared" si="11"/>
        <v>0</v>
      </c>
      <c r="AK35" s="52">
        <f t="shared" si="12"/>
        <v>0</v>
      </c>
    </row>
    <row r="36" spans="2:37" x14ac:dyDescent="0.25">
      <c r="B36" s="2" t="s">
        <v>15</v>
      </c>
      <c r="C36" s="2" t="s">
        <v>58</v>
      </c>
      <c r="D36" s="2">
        <v>20141205</v>
      </c>
      <c r="E36" s="2">
        <v>1.51</v>
      </c>
      <c r="F36" s="2" t="s">
        <v>60</v>
      </c>
      <c r="G36" s="2">
        <v>62500</v>
      </c>
      <c r="H36" s="2" t="str">
        <f t="shared" si="2"/>
        <v>GLOBEX</v>
      </c>
      <c r="I36" s="2" t="s">
        <v>17</v>
      </c>
      <c r="J36" s="2" t="s">
        <v>16</v>
      </c>
      <c r="K36" s="2" t="str">
        <f t="shared" si="3"/>
        <v>6BZ4 C1510</v>
      </c>
      <c r="L36" s="2" t="s">
        <v>25</v>
      </c>
      <c r="M36" s="56"/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/>
      <c r="U36" s="58">
        <v>5.5180738412799829E-2</v>
      </c>
      <c r="V36" s="57">
        <v>0.26420497997470704</v>
      </c>
      <c r="W36" s="2">
        <v>0.9903783911365891</v>
      </c>
      <c r="X36" s="58">
        <v>8.4867609479617076E-7</v>
      </c>
      <c r="Y36" s="2">
        <v>-2.4913728829400539E-4</v>
      </c>
      <c r="Z36" s="38">
        <v>2.9470452230999367E-5</v>
      </c>
      <c r="AA36" s="2">
        <v>1.5650999999999999</v>
      </c>
      <c r="AB36" s="2">
        <f t="shared" si="4"/>
        <v>0</v>
      </c>
      <c r="AC36" s="2" t="e">
        <f t="shared" si="5"/>
        <v>#VALUE!</v>
      </c>
      <c r="AD36" s="2">
        <f t="shared" si="6"/>
        <v>0</v>
      </c>
      <c r="AE36" s="62" t="e">
        <f t="shared" si="7"/>
        <v>#VALUE!</v>
      </c>
      <c r="AF36" s="63">
        <f t="shared" si="0"/>
        <v>0</v>
      </c>
      <c r="AG36" s="31" t="e">
        <f t="shared" si="8"/>
        <v>#VALUE!</v>
      </c>
      <c r="AH36">
        <f t="shared" si="9"/>
        <v>550.99999999999932</v>
      </c>
      <c r="AI36" s="53">
        <f t="shared" si="10"/>
        <v>0.80738412799894377</v>
      </c>
      <c r="AJ36" s="53">
        <f t="shared" si="11"/>
        <v>0</v>
      </c>
      <c r="AK36" s="52">
        <f t="shared" si="12"/>
        <v>0</v>
      </c>
    </row>
    <row r="37" spans="2:37" x14ac:dyDescent="0.25">
      <c r="B37" s="2" t="s">
        <v>15</v>
      </c>
      <c r="C37" s="2" t="s">
        <v>58</v>
      </c>
      <c r="D37" s="2">
        <v>20141205</v>
      </c>
      <c r="E37" s="2">
        <v>1.5149999999999999</v>
      </c>
      <c r="F37" s="2" t="s">
        <v>60</v>
      </c>
      <c r="G37" s="2">
        <v>62500</v>
      </c>
      <c r="H37" s="2" t="str">
        <f t="shared" si="2"/>
        <v>GLOBEX</v>
      </c>
      <c r="I37" s="2" t="s">
        <v>17</v>
      </c>
      <c r="J37" s="2" t="s">
        <v>16</v>
      </c>
      <c r="K37" s="2" t="str">
        <f t="shared" si="3"/>
        <v>6BZ4 C1515</v>
      </c>
      <c r="L37" s="2" t="s">
        <v>25</v>
      </c>
      <c r="M37" s="56"/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/>
      <c r="U37" s="58">
        <v>5.0174002271439908E-2</v>
      </c>
      <c r="V37" s="57">
        <v>0.24014391877688013</v>
      </c>
      <c r="W37" s="2">
        <v>0.99029902415853122</v>
      </c>
      <c r="X37" s="58">
        <v>0</v>
      </c>
      <c r="Y37" s="2">
        <v>-2.2813216354481477E-4</v>
      </c>
      <c r="Z37" s="38">
        <v>3.0772230875823758E-5</v>
      </c>
      <c r="AA37" s="2">
        <v>1.5650999999999999</v>
      </c>
      <c r="AB37" s="2">
        <f t="shared" si="4"/>
        <v>0</v>
      </c>
      <c r="AC37" s="2" t="e">
        <f t="shared" si="5"/>
        <v>#VALUE!</v>
      </c>
      <c r="AD37" s="2">
        <f t="shared" si="6"/>
        <v>0</v>
      </c>
      <c r="AE37" s="62" t="e">
        <f t="shared" si="7"/>
        <v>#VALUE!</v>
      </c>
      <c r="AF37" s="63">
        <f t="shared" si="0"/>
        <v>0</v>
      </c>
      <c r="AG37" s="31" t="e">
        <f t="shared" si="8"/>
        <v>#VALUE!</v>
      </c>
      <c r="AH37">
        <f t="shared" si="9"/>
        <v>501.00000000000034</v>
      </c>
      <c r="AI37" s="53">
        <f t="shared" si="10"/>
        <v>0.74002271439871947</v>
      </c>
      <c r="AJ37" s="53">
        <f t="shared" si="11"/>
        <v>0</v>
      </c>
      <c r="AK37" s="52">
        <f t="shared" si="12"/>
        <v>0</v>
      </c>
    </row>
    <row r="38" spans="2:37" x14ac:dyDescent="0.25">
      <c r="B38" s="2" t="s">
        <v>15</v>
      </c>
      <c r="C38" s="2" t="s">
        <v>58</v>
      </c>
      <c r="D38" s="2">
        <v>20141205</v>
      </c>
      <c r="E38" s="2">
        <v>1.52</v>
      </c>
      <c r="F38" s="2" t="s">
        <v>60</v>
      </c>
      <c r="G38" s="2">
        <v>62500</v>
      </c>
      <c r="H38" s="2" t="str">
        <f t="shared" si="2"/>
        <v>GLOBEX</v>
      </c>
      <c r="I38" s="2" t="s">
        <v>17</v>
      </c>
      <c r="J38" s="2" t="s">
        <v>16</v>
      </c>
      <c r="K38" s="2" t="str">
        <f t="shared" si="3"/>
        <v>6BZ4 C1520</v>
      </c>
      <c r="L38" s="2" t="s">
        <v>25</v>
      </c>
      <c r="M38" s="56"/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/>
      <c r="U38" s="58">
        <v>4.5171234214798316E-2</v>
      </c>
      <c r="V38" s="57">
        <v>0.21823570997051434</v>
      </c>
      <c r="W38" s="2">
        <v>0.98975605375086417</v>
      </c>
      <c r="X38" s="58">
        <v>0</v>
      </c>
      <c r="Y38" s="2">
        <v>-2.1789448305739866E-4</v>
      </c>
      <c r="Z38" s="38">
        <v>3.5808848475919752E-5</v>
      </c>
      <c r="AA38" s="2">
        <v>1.5650999999999999</v>
      </c>
      <c r="AB38" s="2">
        <f t="shared" si="4"/>
        <v>0</v>
      </c>
      <c r="AC38" s="2" t="e">
        <f t="shared" si="5"/>
        <v>#VALUE!</v>
      </c>
      <c r="AD38" s="2">
        <f t="shared" si="6"/>
        <v>0</v>
      </c>
      <c r="AE38" s="62" t="e">
        <f t="shared" si="7"/>
        <v>#VALUE!</v>
      </c>
      <c r="AF38" s="63">
        <f t="shared" ref="AF38:AF69" si="13">IF(ISERR(AE38),0,AE38*M38)</f>
        <v>0</v>
      </c>
      <c r="AG38" s="31" t="e">
        <f t="shared" si="8"/>
        <v>#VALUE!</v>
      </c>
      <c r="AH38">
        <f t="shared" si="9"/>
        <v>450.9999999999992</v>
      </c>
      <c r="AI38" s="53">
        <f t="shared" si="10"/>
        <v>0.71234214798397488</v>
      </c>
      <c r="AJ38" s="53">
        <f t="shared" si="11"/>
        <v>0</v>
      </c>
      <c r="AK38" s="52">
        <f t="shared" si="12"/>
        <v>0</v>
      </c>
    </row>
    <row r="39" spans="2:37" x14ac:dyDescent="0.25">
      <c r="B39" s="2" t="s">
        <v>15</v>
      </c>
      <c r="C39" s="2" t="s">
        <v>58</v>
      </c>
      <c r="D39" s="2">
        <v>20141205</v>
      </c>
      <c r="E39" s="2">
        <v>1.5249999999999999</v>
      </c>
      <c r="F39" s="2" t="s">
        <v>60</v>
      </c>
      <c r="G39" s="2">
        <v>62500</v>
      </c>
      <c r="H39" s="2" t="str">
        <f t="shared" si="2"/>
        <v>GLOBEX</v>
      </c>
      <c r="I39" s="2" t="s">
        <v>17</v>
      </c>
      <c r="J39" s="2" t="s">
        <v>16</v>
      </c>
      <c r="K39" s="2" t="str">
        <f t="shared" si="3"/>
        <v>6BZ4 C1525</v>
      </c>
      <c r="L39" s="2" t="s">
        <v>25</v>
      </c>
      <c r="M39" s="56"/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/>
      <c r="U39" s="58">
        <v>4.017984348371216E-2</v>
      </c>
      <c r="V39" s="57">
        <v>0.1984803535556523</v>
      </c>
      <c r="W39" s="2">
        <v>0.98770033251658362</v>
      </c>
      <c r="X39" s="58">
        <v>0</v>
      </c>
      <c r="Y39" s="2">
        <v>-2.3069967905503622E-4</v>
      </c>
      <c r="Z39" s="38">
        <v>3.7211099685380278E-5</v>
      </c>
      <c r="AA39" s="2">
        <v>1.5650999999999999</v>
      </c>
      <c r="AB39" s="2">
        <f t="shared" si="4"/>
        <v>0</v>
      </c>
      <c r="AC39" s="2" t="e">
        <f t="shared" si="5"/>
        <v>#VALUE!</v>
      </c>
      <c r="AD39" s="2">
        <f t="shared" si="6"/>
        <v>0</v>
      </c>
      <c r="AE39" s="62" t="e">
        <f t="shared" si="7"/>
        <v>#VALUE!</v>
      </c>
      <c r="AF39" s="63">
        <f t="shared" si="13"/>
        <v>0</v>
      </c>
      <c r="AG39" s="31" t="e">
        <f t="shared" si="8"/>
        <v>#VALUE!</v>
      </c>
      <c r="AH39">
        <f t="shared" si="9"/>
        <v>401.00000000000023</v>
      </c>
      <c r="AI39" s="53">
        <f t="shared" si="10"/>
        <v>0.79843483712136276</v>
      </c>
      <c r="AJ39" s="53">
        <f t="shared" si="11"/>
        <v>0</v>
      </c>
      <c r="AK39" s="52">
        <f t="shared" si="12"/>
        <v>0</v>
      </c>
    </row>
    <row r="40" spans="2:37" x14ac:dyDescent="0.25">
      <c r="B40" s="2" t="s">
        <v>15</v>
      </c>
      <c r="C40" s="2" t="s">
        <v>58</v>
      </c>
      <c r="D40" s="2">
        <v>20141205</v>
      </c>
      <c r="E40" s="2">
        <v>1.53</v>
      </c>
      <c r="F40" s="2" t="s">
        <v>60</v>
      </c>
      <c r="G40" s="2">
        <v>62500</v>
      </c>
      <c r="H40" s="2" t="str">
        <f t="shared" si="2"/>
        <v>GLOBEX</v>
      </c>
      <c r="I40" s="2" t="s">
        <v>17</v>
      </c>
      <c r="J40" s="2" t="s">
        <v>16</v>
      </c>
      <c r="K40" s="2" t="str">
        <f t="shared" si="3"/>
        <v>6BZ4 C1530</v>
      </c>
      <c r="L40" s="2" t="s">
        <v>25</v>
      </c>
      <c r="M40" s="56"/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/>
      <c r="U40" s="58">
        <v>3.5197576778754069E-2</v>
      </c>
      <c r="V40" s="57">
        <v>0.18087784953227981</v>
      </c>
      <c r="W40" s="2">
        <v>0.98401239466735069</v>
      </c>
      <c r="X40" s="58">
        <v>0</v>
      </c>
      <c r="Y40" s="2">
        <v>-2.6284308136189993E-4</v>
      </c>
      <c r="Z40" s="38">
        <v>3.7272165494546539E-5</v>
      </c>
      <c r="AA40" s="2">
        <v>1.5650999999999999</v>
      </c>
      <c r="AB40" s="2">
        <f t="shared" si="4"/>
        <v>0</v>
      </c>
      <c r="AC40" s="2" t="e">
        <f t="shared" si="5"/>
        <v>#VALUE!</v>
      </c>
      <c r="AD40" s="2">
        <f t="shared" si="6"/>
        <v>0</v>
      </c>
      <c r="AE40" s="62" t="e">
        <f t="shared" si="7"/>
        <v>#VALUE!</v>
      </c>
      <c r="AF40" s="63">
        <f t="shared" si="13"/>
        <v>0</v>
      </c>
      <c r="AG40" s="31" t="e">
        <f t="shared" si="8"/>
        <v>#VALUE!</v>
      </c>
      <c r="AH40">
        <f t="shared" si="9"/>
        <v>350.99999999999909</v>
      </c>
      <c r="AI40" s="53">
        <f t="shared" si="10"/>
        <v>0.97576778754159932</v>
      </c>
      <c r="AJ40" s="53">
        <f t="shared" si="11"/>
        <v>0</v>
      </c>
      <c r="AK40" s="52">
        <f t="shared" si="12"/>
        <v>0</v>
      </c>
    </row>
    <row r="41" spans="2:37" x14ac:dyDescent="0.25">
      <c r="B41" s="2" t="s">
        <v>15</v>
      </c>
      <c r="C41" s="2" t="s">
        <v>58</v>
      </c>
      <c r="D41" s="2">
        <v>20141205</v>
      </c>
      <c r="E41" s="2">
        <v>1.5349999999999999</v>
      </c>
      <c r="F41" s="2" t="s">
        <v>60</v>
      </c>
      <c r="G41" s="2">
        <v>62500</v>
      </c>
      <c r="H41" s="2" t="str">
        <f t="shared" si="2"/>
        <v>GLOBEX</v>
      </c>
      <c r="I41" s="2" t="s">
        <v>17</v>
      </c>
      <c r="J41" s="2" t="s">
        <v>16</v>
      </c>
      <c r="K41" s="2" t="str">
        <f t="shared" si="3"/>
        <v>6BZ4 C1535</v>
      </c>
      <c r="L41" s="2" t="s">
        <v>25</v>
      </c>
      <c r="M41" s="56"/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/>
      <c r="U41" s="58">
        <v>3.0223132760095989E-2</v>
      </c>
      <c r="V41" s="57">
        <v>0.16542819790035423</v>
      </c>
      <c r="W41" s="2">
        <v>0.97850612927498648</v>
      </c>
      <c r="X41" s="58">
        <v>0</v>
      </c>
      <c r="Y41" s="2">
        <v>-3.1219426754247582E-4</v>
      </c>
      <c r="Z41" s="38">
        <v>6.4093262310570276E-5</v>
      </c>
      <c r="AA41" s="2">
        <v>1.5650999999999999</v>
      </c>
      <c r="AB41" s="2">
        <f t="shared" si="4"/>
        <v>0</v>
      </c>
      <c r="AC41" s="2" t="e">
        <f t="shared" si="5"/>
        <v>#VALUE!</v>
      </c>
      <c r="AD41" s="2">
        <f t="shared" si="6"/>
        <v>0</v>
      </c>
      <c r="AE41" s="62" t="e">
        <f t="shared" si="7"/>
        <v>#VALUE!</v>
      </c>
      <c r="AF41" s="63">
        <f t="shared" si="13"/>
        <v>0</v>
      </c>
      <c r="AG41" s="31" t="e">
        <f t="shared" si="8"/>
        <v>#VALUE!</v>
      </c>
      <c r="AH41">
        <f t="shared" si="9"/>
        <v>301.00000000000017</v>
      </c>
      <c r="AI41" s="53">
        <f t="shared" si="10"/>
        <v>1.2313276009597303</v>
      </c>
      <c r="AJ41" s="53">
        <f t="shared" si="11"/>
        <v>0</v>
      </c>
      <c r="AK41" s="52">
        <f t="shared" si="12"/>
        <v>0</v>
      </c>
    </row>
    <row r="42" spans="2:37" x14ac:dyDescent="0.25">
      <c r="B42" s="2" t="s">
        <v>15</v>
      </c>
      <c r="C42" s="2" t="s">
        <v>58</v>
      </c>
      <c r="D42" s="2">
        <v>20141205</v>
      </c>
      <c r="E42" s="2">
        <v>1.54</v>
      </c>
      <c r="F42" s="2" t="s">
        <v>60</v>
      </c>
      <c r="G42" s="2">
        <v>62500</v>
      </c>
      <c r="H42" s="2" t="str">
        <f t="shared" si="2"/>
        <v>GLOBEX</v>
      </c>
      <c r="I42" s="2" t="s">
        <v>17</v>
      </c>
      <c r="J42" s="2" t="s">
        <v>16</v>
      </c>
      <c r="K42" s="2" t="str">
        <f t="shared" si="3"/>
        <v>6BZ4 C1540</v>
      </c>
      <c r="L42" s="2" t="s">
        <v>25</v>
      </c>
      <c r="M42" s="56"/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/>
      <c r="U42" s="58">
        <v>2.52965524313538E-2</v>
      </c>
      <c r="V42" s="57">
        <v>0.15213139865993242</v>
      </c>
      <c r="W42" s="2">
        <v>0.96522940856043193</v>
      </c>
      <c r="X42" s="58">
        <v>0</v>
      </c>
      <c r="Y42" s="2">
        <v>-4.2572685371954631E-4</v>
      </c>
      <c r="Z42" s="38">
        <v>6.9378089698285406E-5</v>
      </c>
      <c r="AA42" s="2">
        <v>1.5650999999999999</v>
      </c>
      <c r="AB42" s="2">
        <f t="shared" si="4"/>
        <v>0</v>
      </c>
      <c r="AC42" s="2" t="e">
        <f t="shared" si="5"/>
        <v>#VALUE!</v>
      </c>
      <c r="AD42" s="2">
        <f t="shared" si="6"/>
        <v>0</v>
      </c>
      <c r="AE42" s="62" t="e">
        <f t="shared" si="7"/>
        <v>#VALUE!</v>
      </c>
      <c r="AF42" s="63">
        <f t="shared" si="13"/>
        <v>0</v>
      </c>
      <c r="AG42" s="31" t="e">
        <f t="shared" si="8"/>
        <v>#VALUE!</v>
      </c>
      <c r="AH42">
        <f t="shared" si="9"/>
        <v>250.99999999999901</v>
      </c>
      <c r="AI42" s="53">
        <f t="shared" si="10"/>
        <v>1.9655243135389924</v>
      </c>
      <c r="AJ42" s="53">
        <f t="shared" si="11"/>
        <v>0</v>
      </c>
      <c r="AK42" s="52">
        <f t="shared" si="12"/>
        <v>0</v>
      </c>
    </row>
    <row r="43" spans="2:37" x14ac:dyDescent="0.25">
      <c r="B43" s="2" t="s">
        <v>15</v>
      </c>
      <c r="C43" s="2" t="s">
        <v>58</v>
      </c>
      <c r="D43" s="2">
        <v>20141205</v>
      </c>
      <c r="E43" s="2">
        <v>1.5449999999999999</v>
      </c>
      <c r="F43" s="2" t="s">
        <v>60</v>
      </c>
      <c r="G43" s="2">
        <v>62500</v>
      </c>
      <c r="H43" s="2" t="str">
        <f t="shared" si="2"/>
        <v>GLOBEX</v>
      </c>
      <c r="I43" s="2" t="s">
        <v>17</v>
      </c>
      <c r="J43" s="2" t="s">
        <v>16</v>
      </c>
      <c r="K43" s="2" t="str">
        <f t="shared" si="3"/>
        <v>6BZ4 C1545</v>
      </c>
      <c r="L43" s="2" t="s">
        <v>25</v>
      </c>
      <c r="M43" s="56"/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/>
      <c r="U43" s="58">
        <v>2.0436404881690615E-2</v>
      </c>
      <c r="V43" s="57">
        <v>0.14098745181098593</v>
      </c>
      <c r="W43" s="2">
        <v>0.9408577625029193</v>
      </c>
      <c r="X43" s="58">
        <v>0</v>
      </c>
      <c r="Y43" s="2">
        <v>-6.0432797633985607E-4</v>
      </c>
      <c r="Z43" s="38">
        <v>1.0864037632226167E-4</v>
      </c>
      <c r="AA43" s="2">
        <v>1.5650999999999999</v>
      </c>
      <c r="AB43" s="2">
        <f t="shared" si="4"/>
        <v>0</v>
      </c>
      <c r="AC43" s="2" t="e">
        <f t="shared" si="5"/>
        <v>#VALUE!</v>
      </c>
      <c r="AD43" s="2">
        <f t="shared" si="6"/>
        <v>0</v>
      </c>
      <c r="AE43" s="62" t="e">
        <f t="shared" si="7"/>
        <v>#VALUE!</v>
      </c>
      <c r="AF43" s="63">
        <f t="shared" si="13"/>
        <v>0</v>
      </c>
      <c r="AG43" s="31" t="e">
        <f t="shared" si="8"/>
        <v>#VALUE!</v>
      </c>
      <c r="AH43">
        <f t="shared" si="9"/>
        <v>201.00000000000006</v>
      </c>
      <c r="AI43" s="53">
        <f t="shared" si="10"/>
        <v>3.3640488169060916</v>
      </c>
      <c r="AJ43" s="53">
        <f t="shared" si="11"/>
        <v>0</v>
      </c>
      <c r="AK43" s="52">
        <f t="shared" si="12"/>
        <v>0</v>
      </c>
    </row>
    <row r="44" spans="2:37" x14ac:dyDescent="0.25">
      <c r="B44" s="2" t="s">
        <v>15</v>
      </c>
      <c r="C44" s="2" t="s">
        <v>58</v>
      </c>
      <c r="D44" s="2">
        <v>20141205</v>
      </c>
      <c r="E44" s="2">
        <v>1.55</v>
      </c>
      <c r="F44" s="2" t="s">
        <v>60</v>
      </c>
      <c r="G44" s="2">
        <v>62500</v>
      </c>
      <c r="H44" s="2" t="str">
        <f t="shared" si="2"/>
        <v>GLOBEX</v>
      </c>
      <c r="I44" s="2" t="s">
        <v>17</v>
      </c>
      <c r="J44" s="2" t="s">
        <v>16</v>
      </c>
      <c r="K44" s="2" t="str">
        <f t="shared" si="3"/>
        <v>6BZ4 C1550</v>
      </c>
      <c r="L44" s="2" t="s">
        <v>25</v>
      </c>
      <c r="M44" s="56"/>
      <c r="N44" s="2">
        <v>0</v>
      </c>
      <c r="O44" s="2">
        <v>0</v>
      </c>
      <c r="P44" s="2">
        <v>0</v>
      </c>
      <c r="Q44" s="2">
        <v>-1</v>
      </c>
      <c r="R44" s="2">
        <v>-1</v>
      </c>
      <c r="S44" s="2">
        <v>0</v>
      </c>
      <c r="T44" s="2"/>
      <c r="U44" s="58">
        <v>1.5724484820930949E-2</v>
      </c>
      <c r="V44" s="57">
        <v>0.13199635735350057</v>
      </c>
      <c r="W44" s="2">
        <v>0.89445659155028767</v>
      </c>
      <c r="X44" s="58">
        <v>0</v>
      </c>
      <c r="Y44" s="2">
        <v>-8.7842645993631025E-4</v>
      </c>
      <c r="Z44" s="38">
        <v>1.6322422823190214E-4</v>
      </c>
      <c r="AA44" s="2">
        <v>1.5650999999999999</v>
      </c>
      <c r="AB44" s="2">
        <f t="shared" si="4"/>
        <v>0</v>
      </c>
      <c r="AC44" s="2" t="e">
        <f t="shared" si="5"/>
        <v>#VALUE!</v>
      </c>
      <c r="AD44" s="2">
        <f t="shared" si="6"/>
        <v>0</v>
      </c>
      <c r="AE44" s="62" t="e">
        <f t="shared" si="7"/>
        <v>#VALUE!</v>
      </c>
      <c r="AF44" s="63">
        <f t="shared" si="13"/>
        <v>0</v>
      </c>
      <c r="AG44" s="31" t="e">
        <f t="shared" si="8"/>
        <v>#VALUE!</v>
      </c>
      <c r="AH44">
        <f t="shared" si="9"/>
        <v>150.99999999999892</v>
      </c>
      <c r="AI44" s="53">
        <f t="shared" si="10"/>
        <v>6.2448482093105611</v>
      </c>
      <c r="AJ44" s="53">
        <f t="shared" si="11"/>
        <v>0</v>
      </c>
      <c r="AK44" s="52">
        <f t="shared" si="12"/>
        <v>0</v>
      </c>
    </row>
    <row r="45" spans="2:37" x14ac:dyDescent="0.25">
      <c r="B45" s="2" t="s">
        <v>15</v>
      </c>
      <c r="C45" s="2" t="s">
        <v>58</v>
      </c>
      <c r="D45" s="2">
        <v>20141205</v>
      </c>
      <c r="E45" s="2">
        <v>1.5549999999999999</v>
      </c>
      <c r="F45" s="2" t="s">
        <v>60</v>
      </c>
      <c r="G45" s="2">
        <v>62500</v>
      </c>
      <c r="H45" s="2" t="str">
        <f t="shared" si="2"/>
        <v>GLOBEX</v>
      </c>
      <c r="I45" s="2" t="s">
        <v>17</v>
      </c>
      <c r="J45" s="2" t="s">
        <v>16</v>
      </c>
      <c r="K45" s="2" t="str">
        <f t="shared" si="3"/>
        <v>6BZ4 C1555</v>
      </c>
      <c r="L45" s="2" t="s">
        <v>25</v>
      </c>
      <c r="M45" s="56"/>
      <c r="N45" s="2">
        <v>0</v>
      </c>
      <c r="O45" s="2">
        <v>0</v>
      </c>
      <c r="P45" s="2">
        <v>0</v>
      </c>
      <c r="Q45" s="2">
        <v>-1</v>
      </c>
      <c r="R45" s="2">
        <v>-1</v>
      </c>
      <c r="S45" s="2">
        <v>0</v>
      </c>
      <c r="T45" s="2"/>
      <c r="U45" s="58">
        <v>1.1298328568095721E-2</v>
      </c>
      <c r="V45" s="57">
        <v>0.12515811528751897</v>
      </c>
      <c r="W45" s="2">
        <v>0.81212876673398537</v>
      </c>
      <c r="X45" s="58">
        <v>0</v>
      </c>
      <c r="Y45" s="2">
        <v>-1.2387985114968151E-3</v>
      </c>
      <c r="Z45" s="38">
        <v>2.6185458969906275E-4</v>
      </c>
      <c r="AA45" s="2">
        <v>1.5650999999999999</v>
      </c>
      <c r="AB45" s="2">
        <f t="shared" si="4"/>
        <v>0</v>
      </c>
      <c r="AC45" s="2" t="e">
        <f t="shared" si="5"/>
        <v>#VALUE!</v>
      </c>
      <c r="AD45" s="2">
        <f t="shared" si="6"/>
        <v>0</v>
      </c>
      <c r="AE45" s="62" t="e">
        <f t="shared" si="7"/>
        <v>#VALUE!</v>
      </c>
      <c r="AF45" s="63">
        <f t="shared" si="13"/>
        <v>0</v>
      </c>
      <c r="AG45" s="31" t="e">
        <f t="shared" si="8"/>
        <v>#VALUE!</v>
      </c>
      <c r="AH45">
        <f t="shared" si="9"/>
        <v>100.99999999999997</v>
      </c>
      <c r="AI45" s="53">
        <f t="shared" si="10"/>
        <v>11.983285680957238</v>
      </c>
      <c r="AJ45" s="53">
        <f t="shared" si="11"/>
        <v>0</v>
      </c>
      <c r="AK45" s="52">
        <f t="shared" si="12"/>
        <v>0</v>
      </c>
    </row>
    <row r="46" spans="2:37" x14ac:dyDescent="0.25">
      <c r="B46" s="2" t="s">
        <v>15</v>
      </c>
      <c r="C46" s="2" t="s">
        <v>58</v>
      </c>
      <c r="D46" s="2">
        <v>20141205</v>
      </c>
      <c r="E46" s="2">
        <v>1.56</v>
      </c>
      <c r="F46" s="2" t="s">
        <v>60</v>
      </c>
      <c r="G46" s="2">
        <v>62500</v>
      </c>
      <c r="H46" s="2" t="str">
        <f t="shared" si="2"/>
        <v>GLOBEX</v>
      </c>
      <c r="I46" s="2" t="s">
        <v>17</v>
      </c>
      <c r="J46" s="2" t="s">
        <v>16</v>
      </c>
      <c r="K46" s="2" t="str">
        <f t="shared" si="3"/>
        <v>6BZ4 C1560</v>
      </c>
      <c r="L46" s="2" t="s">
        <v>25</v>
      </c>
      <c r="M46" s="56"/>
      <c r="N46" s="2">
        <v>9.1000000000000004E-3</v>
      </c>
      <c r="O46" s="2">
        <v>1</v>
      </c>
      <c r="P46" s="2">
        <v>0</v>
      </c>
      <c r="Q46" s="2">
        <v>-1</v>
      </c>
      <c r="R46" s="2">
        <v>-1</v>
      </c>
      <c r="S46" s="2">
        <v>0</v>
      </c>
      <c r="T46" s="2"/>
      <c r="U46" s="58">
        <v>7.4571183521020025E-3</v>
      </c>
      <c r="V46" s="57">
        <v>0.1204727256130127</v>
      </c>
      <c r="W46" s="2">
        <v>0.67818925711837008</v>
      </c>
      <c r="X46" s="58">
        <v>0</v>
      </c>
      <c r="Y46" s="2">
        <v>-1.5769783665466137E-3</v>
      </c>
      <c r="Z46" s="38">
        <v>3.3785598623533534E-4</v>
      </c>
      <c r="AA46" s="2">
        <v>1.5650999999999999</v>
      </c>
      <c r="AB46" s="2">
        <f t="shared" si="4"/>
        <v>0</v>
      </c>
      <c r="AC46" s="2" t="e">
        <f t="shared" si="5"/>
        <v>#VALUE!</v>
      </c>
      <c r="AD46" s="2">
        <f t="shared" si="6"/>
        <v>0</v>
      </c>
      <c r="AE46" s="62" t="e">
        <f t="shared" si="7"/>
        <v>#VALUE!</v>
      </c>
      <c r="AF46" s="63">
        <f t="shared" si="13"/>
        <v>0</v>
      </c>
      <c r="AG46" s="31" t="e">
        <f t="shared" si="8"/>
        <v>#VALUE!</v>
      </c>
      <c r="AH46">
        <f t="shared" si="9"/>
        <v>50.99999999999882</v>
      </c>
      <c r="AI46" s="53">
        <f t="shared" si="10"/>
        <v>23.571183521021212</v>
      </c>
      <c r="AJ46" s="53">
        <f t="shared" si="11"/>
        <v>0</v>
      </c>
      <c r="AK46" s="52">
        <f t="shared" si="12"/>
        <v>0</v>
      </c>
    </row>
    <row r="47" spans="2:37" x14ac:dyDescent="0.25">
      <c r="B47" s="2" t="s">
        <v>15</v>
      </c>
      <c r="C47" s="2" t="s">
        <v>58</v>
      </c>
      <c r="D47" s="2">
        <v>20141205</v>
      </c>
      <c r="E47" s="2">
        <v>1.5649999999999999</v>
      </c>
      <c r="F47" s="2" t="s">
        <v>60</v>
      </c>
      <c r="G47" s="2">
        <v>62500</v>
      </c>
      <c r="H47" s="2" t="str">
        <f t="shared" si="2"/>
        <v>GLOBEX</v>
      </c>
      <c r="I47" s="2" t="s">
        <v>17</v>
      </c>
      <c r="J47" s="2" t="s">
        <v>16</v>
      </c>
      <c r="K47" s="2" t="str">
        <f t="shared" si="3"/>
        <v>6BZ4 C1565</v>
      </c>
      <c r="L47" s="2" t="s">
        <v>25</v>
      </c>
      <c r="M47" s="56"/>
      <c r="N47" s="2">
        <v>6.7000000000000002E-3</v>
      </c>
      <c r="O47" s="2">
        <v>2</v>
      </c>
      <c r="P47" s="2">
        <v>10</v>
      </c>
      <c r="Q47" s="2">
        <v>1.1999999999999999E-3</v>
      </c>
      <c r="R47" s="2">
        <v>7.4000000000000003E-3</v>
      </c>
      <c r="S47" s="2">
        <v>10</v>
      </c>
      <c r="T47" s="2"/>
      <c r="U47" s="58">
        <v>7.4000000022351742E-3</v>
      </c>
      <c r="V47" s="57">
        <v>0.20033945498258379</v>
      </c>
      <c r="W47" s="2">
        <v>0.50448938338421789</v>
      </c>
      <c r="X47" s="58">
        <v>0</v>
      </c>
      <c r="Y47" s="2">
        <v>-2.9458189595816023E-3</v>
      </c>
      <c r="Z47" s="38">
        <v>3.6659256154145461E-4</v>
      </c>
      <c r="AA47" s="2">
        <v>1.5650999999999999</v>
      </c>
      <c r="AB47" s="2">
        <f t="shared" si="4"/>
        <v>0</v>
      </c>
      <c r="AC47" s="2" t="e">
        <f t="shared" si="5"/>
        <v>#VALUE!</v>
      </c>
      <c r="AD47" s="2">
        <f t="shared" si="6"/>
        <v>0</v>
      </c>
      <c r="AE47" s="62" t="e">
        <f t="shared" si="7"/>
        <v>#VALUE!</v>
      </c>
      <c r="AF47" s="63">
        <f t="shared" si="13"/>
        <v>0</v>
      </c>
      <c r="AG47" s="31" t="e">
        <f t="shared" si="8"/>
        <v>#VALUE!</v>
      </c>
      <c r="AH47">
        <f t="shared" si="9"/>
        <v>0.99999999999988987</v>
      </c>
      <c r="AI47" s="53">
        <f t="shared" si="10"/>
        <v>73.000000022351855</v>
      </c>
      <c r="AJ47" s="53">
        <f t="shared" si="11"/>
        <v>0</v>
      </c>
      <c r="AK47" s="52">
        <f t="shared" si="12"/>
        <v>0</v>
      </c>
    </row>
    <row r="48" spans="2:37" x14ac:dyDescent="0.25">
      <c r="B48" s="2" t="s">
        <v>15</v>
      </c>
      <c r="C48" s="2" t="s">
        <v>58</v>
      </c>
      <c r="D48" s="2">
        <v>20141205</v>
      </c>
      <c r="E48" s="2">
        <v>1.57</v>
      </c>
      <c r="F48" s="2" t="s">
        <v>60</v>
      </c>
      <c r="G48" s="2">
        <v>62500</v>
      </c>
      <c r="H48" s="2" t="str">
        <f t="shared" si="2"/>
        <v>GLOBEX</v>
      </c>
      <c r="I48" s="2" t="s">
        <v>17</v>
      </c>
      <c r="J48" s="2" t="s">
        <v>16</v>
      </c>
      <c r="K48" s="2" t="str">
        <f t="shared" si="3"/>
        <v>6BZ4 C1570</v>
      </c>
      <c r="L48" s="2" t="s">
        <v>25</v>
      </c>
      <c r="M48" s="56"/>
      <c r="N48" s="2">
        <v>1.9E-3</v>
      </c>
      <c r="O48" s="2">
        <v>111</v>
      </c>
      <c r="P48" s="2">
        <v>1</v>
      </c>
      <c r="Q48" s="2">
        <v>1.1000000000000001E-3</v>
      </c>
      <c r="R48" s="2">
        <v>5.0000000000000001E-3</v>
      </c>
      <c r="S48" s="2">
        <v>1</v>
      </c>
      <c r="T48" s="2"/>
      <c r="U48" s="58">
        <v>2.3386601062499526E-3</v>
      </c>
      <c r="V48" s="57">
        <v>0.11756050343842617</v>
      </c>
      <c r="W48" s="2">
        <v>0.32753638011934455</v>
      </c>
      <c r="X48" s="58">
        <v>0</v>
      </c>
      <c r="Y48" s="2">
        <v>-1.5495961318951479E-3</v>
      </c>
      <c r="Z48" s="38">
        <v>3.3893723635753086E-4</v>
      </c>
      <c r="AA48" s="2">
        <v>1.5650999999999999</v>
      </c>
      <c r="AB48" s="2">
        <f t="shared" si="4"/>
        <v>0</v>
      </c>
      <c r="AC48" s="2" t="e">
        <f t="shared" si="5"/>
        <v>#VALUE!</v>
      </c>
      <c r="AD48" s="2">
        <f t="shared" si="6"/>
        <v>0</v>
      </c>
      <c r="AE48" s="62" t="e">
        <f t="shared" si="7"/>
        <v>#VALUE!</v>
      </c>
      <c r="AF48" s="63">
        <f t="shared" si="13"/>
        <v>0</v>
      </c>
      <c r="AG48" s="31" t="e">
        <f t="shared" si="8"/>
        <v>#VALUE!</v>
      </c>
      <c r="AH48">
        <f t="shared" si="9"/>
        <v>0</v>
      </c>
      <c r="AI48" s="53">
        <f t="shared" si="10"/>
        <v>23.386601062499526</v>
      </c>
      <c r="AJ48" s="53">
        <f t="shared" si="11"/>
        <v>0</v>
      </c>
      <c r="AK48" s="52">
        <f t="shared" si="12"/>
        <v>0</v>
      </c>
    </row>
    <row r="49" spans="2:37" x14ac:dyDescent="0.25">
      <c r="B49" s="2" t="s">
        <v>15</v>
      </c>
      <c r="C49" s="2" t="s">
        <v>58</v>
      </c>
      <c r="D49" s="2">
        <v>20141205</v>
      </c>
      <c r="E49" s="2">
        <v>1.575</v>
      </c>
      <c r="F49" s="2" t="s">
        <v>60</v>
      </c>
      <c r="G49" s="2">
        <v>62500</v>
      </c>
      <c r="H49" s="2" t="str">
        <f t="shared" si="2"/>
        <v>GLOBEX</v>
      </c>
      <c r="I49" s="2" t="s">
        <v>17</v>
      </c>
      <c r="J49" s="2" t="s">
        <v>16</v>
      </c>
      <c r="K49" s="2" t="str">
        <f t="shared" si="3"/>
        <v>6BZ4 C1575</v>
      </c>
      <c r="L49" s="2" t="s">
        <v>25</v>
      </c>
      <c r="M49" s="56"/>
      <c r="N49" s="2">
        <v>1.1999999999999999E-3</v>
      </c>
      <c r="O49" s="2">
        <v>10</v>
      </c>
      <c r="P49" s="2">
        <v>0</v>
      </c>
      <c r="Q49" s="2">
        <v>-1</v>
      </c>
      <c r="R49" s="2">
        <v>1.1999999999999999E-3</v>
      </c>
      <c r="S49" s="2">
        <v>4</v>
      </c>
      <c r="T49" s="2"/>
      <c r="U49" s="58">
        <v>1.1164091165729115E-3</v>
      </c>
      <c r="V49" s="57">
        <v>0.11933367093836011</v>
      </c>
      <c r="W49" s="2">
        <v>0.18524911076303147</v>
      </c>
      <c r="X49" s="58">
        <v>0</v>
      </c>
      <c r="Y49" s="2">
        <v>-1.1684861695963273E-3</v>
      </c>
      <c r="Z49" s="38">
        <v>2.4830867861856242E-4</v>
      </c>
      <c r="AA49" s="2">
        <v>1.5650999999999999</v>
      </c>
      <c r="AB49" s="2">
        <f t="shared" si="4"/>
        <v>0</v>
      </c>
      <c r="AC49" s="2" t="e">
        <f t="shared" si="5"/>
        <v>#VALUE!</v>
      </c>
      <c r="AD49" s="2">
        <f t="shared" si="6"/>
        <v>0</v>
      </c>
      <c r="AE49" s="62" t="e">
        <f t="shared" si="7"/>
        <v>#VALUE!</v>
      </c>
      <c r="AF49" s="63">
        <f t="shared" si="13"/>
        <v>0</v>
      </c>
      <c r="AG49" s="31" t="e">
        <f t="shared" si="8"/>
        <v>#VALUE!</v>
      </c>
      <c r="AH49">
        <f t="shared" si="9"/>
        <v>0</v>
      </c>
      <c r="AI49" s="53">
        <f t="shared" si="10"/>
        <v>11.164091165729115</v>
      </c>
      <c r="AJ49" s="53">
        <f t="shared" si="11"/>
        <v>0</v>
      </c>
      <c r="AK49" s="52">
        <f t="shared" si="12"/>
        <v>0</v>
      </c>
    </row>
    <row r="50" spans="2:37" x14ac:dyDescent="0.25">
      <c r="B50" s="2" t="s">
        <v>15</v>
      </c>
      <c r="C50" s="2" t="s">
        <v>58</v>
      </c>
      <c r="D50" s="2">
        <v>20141205</v>
      </c>
      <c r="E50" s="2">
        <v>1.58</v>
      </c>
      <c r="F50" s="2" t="s">
        <v>60</v>
      </c>
      <c r="G50" s="2">
        <v>62500</v>
      </c>
      <c r="H50" s="2" t="str">
        <f t="shared" si="2"/>
        <v>GLOBEX</v>
      </c>
      <c r="I50" s="2" t="s">
        <v>17</v>
      </c>
      <c r="J50" s="2" t="s">
        <v>16</v>
      </c>
      <c r="K50" s="2" t="str">
        <f t="shared" si="3"/>
        <v>6BZ4 C1580</v>
      </c>
      <c r="L50" s="2" t="s">
        <v>25</v>
      </c>
      <c r="M50" s="56"/>
      <c r="N50" s="2">
        <v>0</v>
      </c>
      <c r="O50" s="2">
        <v>0</v>
      </c>
      <c r="P50" s="2">
        <v>0</v>
      </c>
      <c r="Q50" s="2">
        <v>-1</v>
      </c>
      <c r="R50" s="2">
        <v>1.5E-3</v>
      </c>
      <c r="S50" s="2">
        <v>1</v>
      </c>
      <c r="T50" s="2"/>
      <c r="U50" s="58">
        <v>5.216474251880307E-4</v>
      </c>
      <c r="V50" s="57">
        <v>0.1232596908297694</v>
      </c>
      <c r="W50" s="2">
        <v>9.6641212812860214E-2</v>
      </c>
      <c r="X50" s="58">
        <v>0</v>
      </c>
      <c r="Y50" s="2">
        <v>-7.6806409255681253E-4</v>
      </c>
      <c r="Z50" s="38">
        <v>1.6479641023945486E-4</v>
      </c>
      <c r="AA50" s="2">
        <v>1.5650999999999999</v>
      </c>
      <c r="AB50" s="2">
        <f t="shared" si="4"/>
        <v>0</v>
      </c>
      <c r="AC50" s="2" t="e">
        <f t="shared" si="5"/>
        <v>#VALUE!</v>
      </c>
      <c r="AD50" s="2">
        <f t="shared" si="6"/>
        <v>0</v>
      </c>
      <c r="AE50" s="62" t="e">
        <f t="shared" si="7"/>
        <v>#VALUE!</v>
      </c>
      <c r="AF50" s="63">
        <f t="shared" si="13"/>
        <v>0</v>
      </c>
      <c r="AG50" s="31" t="e">
        <f t="shared" si="8"/>
        <v>#VALUE!</v>
      </c>
      <c r="AH50">
        <f t="shared" si="9"/>
        <v>0</v>
      </c>
      <c r="AI50" s="53">
        <f t="shared" si="10"/>
        <v>5.2164742518803067</v>
      </c>
      <c r="AJ50" s="53">
        <f t="shared" si="11"/>
        <v>0</v>
      </c>
      <c r="AK50" s="52">
        <f t="shared" si="12"/>
        <v>0</v>
      </c>
    </row>
    <row r="51" spans="2:37" x14ac:dyDescent="0.25">
      <c r="B51" s="2" t="s">
        <v>15</v>
      </c>
      <c r="C51" s="2" t="s">
        <v>58</v>
      </c>
      <c r="D51" s="2">
        <v>20141205</v>
      </c>
      <c r="E51" s="2">
        <v>1.585</v>
      </c>
      <c r="F51" s="2" t="s">
        <v>60</v>
      </c>
      <c r="G51" s="2">
        <v>62500</v>
      </c>
      <c r="H51" s="2" t="str">
        <f t="shared" si="2"/>
        <v>GLOBEX</v>
      </c>
      <c r="I51" s="2" t="s">
        <v>17</v>
      </c>
      <c r="J51" s="2" t="s">
        <v>16</v>
      </c>
      <c r="K51" s="2" t="str">
        <f t="shared" si="3"/>
        <v>6BZ4 C1585</v>
      </c>
      <c r="L51" s="2" t="s">
        <v>25</v>
      </c>
      <c r="M51" s="56"/>
      <c r="N51" s="2">
        <v>2.9999999999999997E-4</v>
      </c>
      <c r="O51" s="2">
        <v>4</v>
      </c>
      <c r="P51" s="2">
        <v>512</v>
      </c>
      <c r="Q51" s="2">
        <v>1E-4</v>
      </c>
      <c r="R51" s="2">
        <v>6.1999999999999998E-3</v>
      </c>
      <c r="S51" s="2">
        <v>10</v>
      </c>
      <c r="T51" s="2"/>
      <c r="U51" s="58">
        <v>2.3998364970128798E-4</v>
      </c>
      <c r="V51" s="57">
        <v>0.1293385631126398</v>
      </c>
      <c r="W51" s="2">
        <v>4.8027688265695208E-2</v>
      </c>
      <c r="X51" s="58">
        <v>0</v>
      </c>
      <c r="Y51" s="2">
        <v>-4.7119122755980345E-4</v>
      </c>
      <c r="Z51" s="38">
        <v>1.1003789530448078E-4</v>
      </c>
      <c r="AA51" s="2">
        <v>1.5650999999999999</v>
      </c>
      <c r="AB51" s="2">
        <f t="shared" si="4"/>
        <v>0</v>
      </c>
      <c r="AC51" s="2" t="e">
        <f t="shared" si="5"/>
        <v>#VALUE!</v>
      </c>
      <c r="AD51" s="2">
        <f t="shared" si="6"/>
        <v>0</v>
      </c>
      <c r="AE51" s="62" t="e">
        <f t="shared" si="7"/>
        <v>#VALUE!</v>
      </c>
      <c r="AF51" s="63">
        <f t="shared" si="13"/>
        <v>0</v>
      </c>
      <c r="AG51" s="31" t="e">
        <f t="shared" si="8"/>
        <v>#VALUE!</v>
      </c>
      <c r="AH51">
        <f t="shared" si="9"/>
        <v>0</v>
      </c>
      <c r="AI51" s="53">
        <f t="shared" si="10"/>
        <v>2.3998364970128798</v>
      </c>
      <c r="AJ51" s="53">
        <f t="shared" si="11"/>
        <v>0</v>
      </c>
      <c r="AK51" s="52">
        <f t="shared" si="12"/>
        <v>0</v>
      </c>
    </row>
    <row r="52" spans="2:37" x14ac:dyDescent="0.25">
      <c r="B52" s="2" t="s">
        <v>15</v>
      </c>
      <c r="C52" s="2" t="s">
        <v>58</v>
      </c>
      <c r="D52" s="2">
        <v>20141205</v>
      </c>
      <c r="E52" s="2">
        <v>1.59</v>
      </c>
      <c r="F52" s="2" t="s">
        <v>60</v>
      </c>
      <c r="G52" s="2">
        <v>62500</v>
      </c>
      <c r="H52" s="2" t="str">
        <f t="shared" si="2"/>
        <v>GLOBEX</v>
      </c>
      <c r="I52" s="2" t="s">
        <v>17</v>
      </c>
      <c r="J52" s="2" t="s">
        <v>16</v>
      </c>
      <c r="K52" s="2" t="str">
        <f t="shared" si="3"/>
        <v>6BZ4 C1590</v>
      </c>
      <c r="L52" s="2" t="s">
        <v>25</v>
      </c>
      <c r="M52" s="56"/>
      <c r="N52" s="2">
        <v>0</v>
      </c>
      <c r="O52" s="2">
        <v>0</v>
      </c>
      <c r="P52" s="2">
        <v>0</v>
      </c>
      <c r="Q52" s="2">
        <v>0</v>
      </c>
      <c r="R52" s="2">
        <v>1.2999999999999999E-3</v>
      </c>
      <c r="S52" s="2">
        <v>1</v>
      </c>
      <c r="T52" s="2"/>
      <c r="U52" s="58">
        <v>1.2118092944529462E-4</v>
      </c>
      <c r="V52" s="57">
        <v>0.13757028778701397</v>
      </c>
      <c r="W52" s="2">
        <v>2.5008897404942047E-2</v>
      </c>
      <c r="X52" s="58">
        <v>0</v>
      </c>
      <c r="Y52" s="2">
        <v>-2.9296286178520485E-4</v>
      </c>
      <c r="Z52" s="38">
        <v>6.7548805491670784E-5</v>
      </c>
      <c r="AA52" s="2">
        <v>1.5650999999999999</v>
      </c>
      <c r="AB52" s="2">
        <f t="shared" si="4"/>
        <v>0</v>
      </c>
      <c r="AC52" s="2" t="e">
        <f t="shared" si="5"/>
        <v>#VALUE!</v>
      </c>
      <c r="AD52" s="2">
        <f t="shared" si="6"/>
        <v>0</v>
      </c>
      <c r="AE52" s="62" t="e">
        <f t="shared" si="7"/>
        <v>#VALUE!</v>
      </c>
      <c r="AF52" s="63">
        <f t="shared" si="13"/>
        <v>0</v>
      </c>
      <c r="AG52" s="31" t="e">
        <f t="shared" si="8"/>
        <v>#VALUE!</v>
      </c>
      <c r="AH52">
        <f t="shared" si="9"/>
        <v>0</v>
      </c>
      <c r="AI52" s="53">
        <f t="shared" si="10"/>
        <v>1.2118092944529462</v>
      </c>
      <c r="AJ52" s="53">
        <f t="shared" si="11"/>
        <v>0</v>
      </c>
      <c r="AK52" s="52">
        <f t="shared" si="12"/>
        <v>0</v>
      </c>
    </row>
    <row r="53" spans="2:37" x14ac:dyDescent="0.25">
      <c r="B53" s="2" t="s">
        <v>15</v>
      </c>
      <c r="C53" s="2" t="s">
        <v>58</v>
      </c>
      <c r="D53" s="2">
        <v>20141205</v>
      </c>
      <c r="E53" s="2">
        <v>1.595</v>
      </c>
      <c r="F53" s="2" t="s">
        <v>60</v>
      </c>
      <c r="G53" s="2">
        <v>62500</v>
      </c>
      <c r="H53" s="2" t="str">
        <f t="shared" si="2"/>
        <v>GLOBEX</v>
      </c>
      <c r="I53" s="2" t="s">
        <v>17</v>
      </c>
      <c r="J53" s="2" t="s">
        <v>16</v>
      </c>
      <c r="K53" s="2" t="str">
        <f t="shared" si="3"/>
        <v>6BZ4 C1595</v>
      </c>
      <c r="L53" s="2" t="s">
        <v>25</v>
      </c>
      <c r="M53" s="56"/>
      <c r="N53" s="2">
        <v>1E-4</v>
      </c>
      <c r="O53" s="2">
        <v>213</v>
      </c>
      <c r="P53" s="2">
        <v>0</v>
      </c>
      <c r="Q53" s="2">
        <v>0</v>
      </c>
      <c r="R53" s="2">
        <v>-1</v>
      </c>
      <c r="S53" s="2">
        <v>0</v>
      </c>
      <c r="T53" s="2"/>
      <c r="U53" s="58">
        <v>7.2126364204528251E-5</v>
      </c>
      <c r="V53" s="57">
        <v>0.14795486485286347</v>
      </c>
      <c r="W53" s="2">
        <v>1.469739074729449E-2</v>
      </c>
      <c r="X53" s="58">
        <v>0</v>
      </c>
      <c r="Y53" s="2">
        <v>-1.9936522724189968E-4</v>
      </c>
      <c r="Z53" s="38">
        <v>3.8055846713397462E-5</v>
      </c>
      <c r="AA53" s="2">
        <v>1.5650999999999999</v>
      </c>
      <c r="AB53" s="2">
        <f t="shared" si="4"/>
        <v>0</v>
      </c>
      <c r="AC53" s="2" t="e">
        <f t="shared" si="5"/>
        <v>#VALUE!</v>
      </c>
      <c r="AD53" s="2">
        <f t="shared" si="6"/>
        <v>0</v>
      </c>
      <c r="AE53" s="62" t="e">
        <f t="shared" si="7"/>
        <v>#VALUE!</v>
      </c>
      <c r="AF53" s="63">
        <f t="shared" si="13"/>
        <v>0</v>
      </c>
      <c r="AG53" s="31" t="e">
        <f t="shared" si="8"/>
        <v>#VALUE!</v>
      </c>
      <c r="AH53">
        <f t="shared" si="9"/>
        <v>0</v>
      </c>
      <c r="AI53" s="53">
        <f t="shared" si="10"/>
        <v>0.72126364204528248</v>
      </c>
      <c r="AJ53" s="53">
        <f t="shared" si="11"/>
        <v>0</v>
      </c>
      <c r="AK53" s="52">
        <f t="shared" si="12"/>
        <v>0</v>
      </c>
    </row>
    <row r="54" spans="2:37" x14ac:dyDescent="0.25">
      <c r="B54" s="2" t="s">
        <v>15</v>
      </c>
      <c r="C54" s="2" t="s">
        <v>58</v>
      </c>
      <c r="D54" s="2">
        <v>20141205</v>
      </c>
      <c r="E54" s="2">
        <v>1.6</v>
      </c>
      <c r="F54" s="2" t="s">
        <v>60</v>
      </c>
      <c r="G54" s="2">
        <v>62500</v>
      </c>
      <c r="H54" s="2" t="str">
        <f t="shared" si="2"/>
        <v>GLOBEX</v>
      </c>
      <c r="I54" s="2" t="s">
        <v>17</v>
      </c>
      <c r="J54" s="2" t="s">
        <v>16</v>
      </c>
      <c r="K54" s="2" t="str">
        <f t="shared" si="3"/>
        <v>6BZ4 C1600</v>
      </c>
      <c r="L54" s="2" t="s">
        <v>25</v>
      </c>
      <c r="M54" s="56"/>
      <c r="N54" s="2">
        <v>0</v>
      </c>
      <c r="O54" s="2">
        <v>0</v>
      </c>
      <c r="P54" s="2">
        <v>0</v>
      </c>
      <c r="Q54" s="2">
        <v>0</v>
      </c>
      <c r="R54" s="2">
        <v>1E-3</v>
      </c>
      <c r="S54" s="2">
        <v>3</v>
      </c>
      <c r="T54" s="2"/>
      <c r="U54" s="58">
        <v>4.7341293692565039E-5</v>
      </c>
      <c r="V54" s="57">
        <v>0.16049229431017409</v>
      </c>
      <c r="W54" s="2">
        <v>9.3796575175678007E-3</v>
      </c>
      <c r="X54" s="58">
        <v>0.95954405647310892</v>
      </c>
      <c r="Y54" s="2">
        <v>-1.4693501410608861E-4</v>
      </c>
      <c r="Z54" s="38">
        <v>2.9477129578996312E-5</v>
      </c>
      <c r="AA54" s="2">
        <v>1.5650999999999999</v>
      </c>
      <c r="AB54" s="2">
        <f t="shared" si="4"/>
        <v>0</v>
      </c>
      <c r="AC54" s="2" t="e">
        <f t="shared" si="5"/>
        <v>#VALUE!</v>
      </c>
      <c r="AD54" s="2">
        <f t="shared" si="6"/>
        <v>0</v>
      </c>
      <c r="AE54" s="62" t="e">
        <f t="shared" si="7"/>
        <v>#VALUE!</v>
      </c>
      <c r="AF54" s="63">
        <f t="shared" si="13"/>
        <v>0</v>
      </c>
      <c r="AG54" s="31" t="e">
        <f t="shared" si="8"/>
        <v>#VALUE!</v>
      </c>
      <c r="AH54">
        <f t="shared" si="9"/>
        <v>0</v>
      </c>
      <c r="AI54" s="53">
        <f t="shared" si="10"/>
        <v>0.4734129369256504</v>
      </c>
      <c r="AJ54" s="53">
        <f t="shared" si="11"/>
        <v>0</v>
      </c>
      <c r="AK54" s="52">
        <f t="shared" si="12"/>
        <v>0</v>
      </c>
    </row>
    <row r="55" spans="2:37" x14ac:dyDescent="0.25">
      <c r="B55" s="2" t="s">
        <v>15</v>
      </c>
      <c r="C55" s="2" t="s">
        <v>58</v>
      </c>
      <c r="D55" s="2">
        <v>20141205</v>
      </c>
      <c r="E55" s="2">
        <v>1.605</v>
      </c>
      <c r="F55" s="2" t="s">
        <v>60</v>
      </c>
      <c r="G55" s="2">
        <v>62500</v>
      </c>
      <c r="H55" s="2" t="str">
        <f t="shared" si="2"/>
        <v>GLOBEX</v>
      </c>
      <c r="I55" s="2" t="s">
        <v>17</v>
      </c>
      <c r="J55" s="2" t="s">
        <v>16</v>
      </c>
      <c r="K55" s="2" t="str">
        <f t="shared" si="3"/>
        <v>6BZ4 C1605</v>
      </c>
      <c r="L55" s="2" t="s">
        <v>25</v>
      </c>
      <c r="M55" s="56"/>
      <c r="N55" s="2">
        <v>0</v>
      </c>
      <c r="O55" s="2">
        <v>0</v>
      </c>
      <c r="P55" s="2">
        <v>0</v>
      </c>
      <c r="Q55" s="2">
        <v>0</v>
      </c>
      <c r="R55" s="2">
        <v>1.95E-2</v>
      </c>
      <c r="S55" s="2">
        <v>1</v>
      </c>
      <c r="T55" s="2"/>
      <c r="U55" s="58">
        <v>3.8359639553938722E-5</v>
      </c>
      <c r="V55" s="57">
        <v>0.17518257615898847</v>
      </c>
      <c r="W55" s="2">
        <v>7.1224100425666325E-3</v>
      </c>
      <c r="X55" s="58">
        <v>0.96421830226224814</v>
      </c>
      <c r="Y55" s="2">
        <v>-1.252089076573424E-4</v>
      </c>
      <c r="Z55" s="38">
        <v>1.9665808409435485E-5</v>
      </c>
      <c r="AA55" s="2">
        <v>1.5650999999999999</v>
      </c>
      <c r="AB55" s="2">
        <f t="shared" si="4"/>
        <v>0</v>
      </c>
      <c r="AC55" s="2" t="e">
        <f t="shared" si="5"/>
        <v>#VALUE!</v>
      </c>
      <c r="AD55" s="2">
        <f t="shared" si="6"/>
        <v>0</v>
      </c>
      <c r="AE55" s="62" t="e">
        <f t="shared" si="7"/>
        <v>#VALUE!</v>
      </c>
      <c r="AF55" s="63">
        <f t="shared" si="13"/>
        <v>0</v>
      </c>
      <c r="AG55" s="31" t="e">
        <f t="shared" si="8"/>
        <v>#VALUE!</v>
      </c>
      <c r="AH55">
        <f t="shared" si="9"/>
        <v>0</v>
      </c>
      <c r="AI55" s="53">
        <f t="shared" si="10"/>
        <v>0.38359639553938724</v>
      </c>
      <c r="AJ55" s="53">
        <f t="shared" si="11"/>
        <v>0</v>
      </c>
      <c r="AK55" s="52">
        <f t="shared" si="12"/>
        <v>0</v>
      </c>
    </row>
    <row r="56" spans="2:37" x14ac:dyDescent="0.25">
      <c r="B56" s="2" t="s">
        <v>15</v>
      </c>
      <c r="C56" s="2" t="s">
        <v>58</v>
      </c>
      <c r="D56" s="2">
        <v>20141205</v>
      </c>
      <c r="E56" s="2">
        <v>1.61</v>
      </c>
      <c r="F56" s="2" t="s">
        <v>60</v>
      </c>
      <c r="G56" s="2">
        <v>62500</v>
      </c>
      <c r="H56" s="2" t="str">
        <f t="shared" si="2"/>
        <v>GLOBEX</v>
      </c>
      <c r="I56" s="2" t="s">
        <v>17</v>
      </c>
      <c r="J56" s="2" t="s">
        <v>16</v>
      </c>
      <c r="K56" s="2" t="str">
        <f t="shared" si="3"/>
        <v>6BZ4 C1610</v>
      </c>
      <c r="L56" s="2" t="s">
        <v>25</v>
      </c>
      <c r="M56" s="56"/>
      <c r="N56" s="2">
        <v>0</v>
      </c>
      <c r="O56" s="2">
        <v>0</v>
      </c>
      <c r="P56" s="2">
        <v>0</v>
      </c>
      <c r="Q56" s="2">
        <v>0</v>
      </c>
      <c r="R56" s="2">
        <v>5.0000000000000001E-3</v>
      </c>
      <c r="S56" s="2">
        <v>2</v>
      </c>
      <c r="T56" s="2"/>
      <c r="U56" s="58">
        <v>3.3708268785229029E-5</v>
      </c>
      <c r="V56" s="57">
        <v>0.19202571039927818</v>
      </c>
      <c r="W56" s="2">
        <v>5.8332014101459308E-3</v>
      </c>
      <c r="X56" s="58">
        <v>0.93145623559933899</v>
      </c>
      <c r="Y56" s="2">
        <v>-1.1523321629706423E-4</v>
      </c>
      <c r="Z56" s="38">
        <v>1.9696361030800222E-5</v>
      </c>
      <c r="AA56" s="2">
        <v>1.5650999999999999</v>
      </c>
      <c r="AB56" s="2">
        <f t="shared" si="4"/>
        <v>0</v>
      </c>
      <c r="AC56" s="2" t="e">
        <f t="shared" si="5"/>
        <v>#VALUE!</v>
      </c>
      <c r="AD56" s="2">
        <f t="shared" si="6"/>
        <v>0</v>
      </c>
      <c r="AE56" s="62" t="e">
        <f t="shared" si="7"/>
        <v>#VALUE!</v>
      </c>
      <c r="AF56" s="63">
        <f t="shared" si="13"/>
        <v>0</v>
      </c>
      <c r="AG56" s="31" t="e">
        <f t="shared" si="8"/>
        <v>#VALUE!</v>
      </c>
      <c r="AH56">
        <f t="shared" si="9"/>
        <v>0</v>
      </c>
      <c r="AI56" s="53">
        <f t="shared" si="10"/>
        <v>0.33708268785229029</v>
      </c>
      <c r="AJ56" s="53">
        <f t="shared" si="11"/>
        <v>0</v>
      </c>
      <c r="AK56" s="52">
        <f t="shared" si="12"/>
        <v>0</v>
      </c>
    </row>
    <row r="57" spans="2:37" x14ac:dyDescent="0.25">
      <c r="B57" s="2" t="s">
        <v>15</v>
      </c>
      <c r="C57" s="2" t="s">
        <v>58</v>
      </c>
      <c r="D57" s="2">
        <v>20141205</v>
      </c>
      <c r="E57" s="2">
        <v>1.615</v>
      </c>
      <c r="F57" s="2" t="s">
        <v>60</v>
      </c>
      <c r="G57" s="2">
        <v>62500</v>
      </c>
      <c r="H57" s="2" t="str">
        <f t="shared" si="2"/>
        <v>GLOBEX</v>
      </c>
      <c r="I57" s="2" t="s">
        <v>17</v>
      </c>
      <c r="J57" s="2" t="s">
        <v>16</v>
      </c>
      <c r="K57" s="2" t="str">
        <f t="shared" si="3"/>
        <v>6BZ4 C1615</v>
      </c>
      <c r="L57" s="2" t="s">
        <v>25</v>
      </c>
      <c r="M57" s="56"/>
      <c r="N57" s="2">
        <v>0</v>
      </c>
      <c r="O57" s="2">
        <v>0</v>
      </c>
      <c r="P57" s="2">
        <v>0</v>
      </c>
      <c r="Q57" s="2">
        <v>0</v>
      </c>
      <c r="R57" s="2">
        <v>2.2700000000000001E-2</v>
      </c>
      <c r="S57" s="2">
        <v>2</v>
      </c>
      <c r="T57" s="2"/>
      <c r="U57" s="58">
        <v>3.3406769725283334E-5</v>
      </c>
      <c r="V57" s="57">
        <v>0.21102169703104323</v>
      </c>
      <c r="W57" s="2">
        <v>5.3227665009588747E-3</v>
      </c>
      <c r="X57" s="58">
        <v>0.78354081495236994</v>
      </c>
      <c r="Y57" s="2">
        <v>-1.170610648750622E-4</v>
      </c>
      <c r="Z57" s="38">
        <v>1.9726854084051157E-5</v>
      </c>
      <c r="AA57" s="2">
        <v>1.5650999999999999</v>
      </c>
      <c r="AB57" s="2">
        <f t="shared" si="4"/>
        <v>0</v>
      </c>
      <c r="AC57" s="2" t="e">
        <f t="shared" si="5"/>
        <v>#VALUE!</v>
      </c>
      <c r="AD57" s="2">
        <f t="shared" si="6"/>
        <v>0</v>
      </c>
      <c r="AE57" s="62" t="e">
        <f t="shared" si="7"/>
        <v>#VALUE!</v>
      </c>
      <c r="AF57" s="63">
        <f t="shared" si="13"/>
        <v>0</v>
      </c>
      <c r="AG57" s="31" t="e">
        <f t="shared" si="8"/>
        <v>#VALUE!</v>
      </c>
      <c r="AH57">
        <f t="shared" si="9"/>
        <v>0</v>
      </c>
      <c r="AI57" s="53">
        <f t="shared" si="10"/>
        <v>0.33406769725283336</v>
      </c>
      <c r="AJ57" s="53">
        <f t="shared" si="11"/>
        <v>0</v>
      </c>
      <c r="AK57" s="52">
        <f t="shared" si="12"/>
        <v>0</v>
      </c>
    </row>
    <row r="58" spans="2:37" x14ac:dyDescent="0.25">
      <c r="B58" s="2" t="s">
        <v>15</v>
      </c>
      <c r="C58" s="2" t="s">
        <v>58</v>
      </c>
      <c r="D58" s="2">
        <v>20141205</v>
      </c>
      <c r="E58" s="2">
        <v>1.62</v>
      </c>
      <c r="F58" s="2" t="s">
        <v>60</v>
      </c>
      <c r="G58" s="2">
        <v>62500</v>
      </c>
      <c r="H58" s="2" t="str">
        <f t="shared" si="2"/>
        <v>GLOBEX</v>
      </c>
      <c r="I58" s="2" t="s">
        <v>17</v>
      </c>
      <c r="J58" s="2" t="s">
        <v>16</v>
      </c>
      <c r="K58" s="2" t="str">
        <f t="shared" si="3"/>
        <v>6BZ4 C1620</v>
      </c>
      <c r="L58" s="2" t="s">
        <v>25</v>
      </c>
      <c r="M58" s="56"/>
      <c r="N58" s="2">
        <v>0</v>
      </c>
      <c r="O58" s="2">
        <v>0</v>
      </c>
      <c r="P58" s="2">
        <v>0</v>
      </c>
      <c r="Q58" s="2">
        <v>0</v>
      </c>
      <c r="R58" s="2">
        <v>1E-4</v>
      </c>
      <c r="S58" s="2">
        <v>2</v>
      </c>
      <c r="T58" s="2"/>
      <c r="U58" s="58">
        <v>3.7474658669514331E-5</v>
      </c>
      <c r="V58" s="57">
        <v>0.23217053605428362</v>
      </c>
      <c r="W58" s="2">
        <v>5.4170141095194035E-3</v>
      </c>
      <c r="X58" s="58">
        <v>0.72296178194305927</v>
      </c>
      <c r="Y58" s="2">
        <v>-1.307453745865314E-4</v>
      </c>
      <c r="Z58" s="38">
        <v>1.9757283687926151E-5</v>
      </c>
      <c r="AA58" s="2">
        <v>1.5650999999999999</v>
      </c>
      <c r="AB58" s="2">
        <f t="shared" si="4"/>
        <v>0</v>
      </c>
      <c r="AC58" s="2" t="e">
        <f t="shared" si="5"/>
        <v>#VALUE!</v>
      </c>
      <c r="AD58" s="2">
        <f t="shared" si="6"/>
        <v>0</v>
      </c>
      <c r="AE58" s="62" t="e">
        <f t="shared" si="7"/>
        <v>#VALUE!</v>
      </c>
      <c r="AF58" s="63">
        <f t="shared" si="13"/>
        <v>0</v>
      </c>
      <c r="AG58" s="31" t="e">
        <f t="shared" si="8"/>
        <v>#VALUE!</v>
      </c>
      <c r="AH58">
        <f t="shared" si="9"/>
        <v>0</v>
      </c>
      <c r="AI58" s="53">
        <f t="shared" si="10"/>
        <v>0.37474658669514332</v>
      </c>
      <c r="AJ58" s="53">
        <f t="shared" si="11"/>
        <v>0</v>
      </c>
      <c r="AK58" s="52">
        <f t="shared" si="12"/>
        <v>0</v>
      </c>
    </row>
    <row r="59" spans="2:37" x14ac:dyDescent="0.25">
      <c r="B59" s="2" t="s">
        <v>15</v>
      </c>
      <c r="C59" s="2" t="s">
        <v>58</v>
      </c>
      <c r="D59" s="2">
        <v>20141205</v>
      </c>
      <c r="E59" s="2">
        <v>1.625</v>
      </c>
      <c r="F59" s="2" t="s">
        <v>60</v>
      </c>
      <c r="G59" s="2">
        <v>62500</v>
      </c>
      <c r="H59" s="2" t="str">
        <f t="shared" si="2"/>
        <v>GLOBEX</v>
      </c>
      <c r="I59" s="2" t="s">
        <v>17</v>
      </c>
      <c r="J59" s="2" t="s">
        <v>16</v>
      </c>
      <c r="K59" s="2" t="str">
        <f t="shared" si="3"/>
        <v>6BZ4 C1625</v>
      </c>
      <c r="L59" s="2" t="s">
        <v>25</v>
      </c>
      <c r="M59" s="56"/>
      <c r="N59" s="2">
        <v>0</v>
      </c>
      <c r="O59" s="2">
        <v>0</v>
      </c>
      <c r="P59" s="2">
        <v>0</v>
      </c>
      <c r="Q59" s="2">
        <v>0</v>
      </c>
      <c r="R59" s="2">
        <v>-1</v>
      </c>
      <c r="S59" s="2">
        <v>0</v>
      </c>
      <c r="T59" s="2"/>
      <c r="U59" s="58">
        <v>4.5931375836816548E-5</v>
      </c>
      <c r="V59" s="57">
        <v>0.25547222746899934</v>
      </c>
      <c r="W59" s="2">
        <v>5.9660562201696056E-3</v>
      </c>
      <c r="X59" s="58">
        <v>0.71397426698489763</v>
      </c>
      <c r="Y59" s="2">
        <v>-1.5633885042448125E-4</v>
      </c>
      <c r="Z59" s="38">
        <v>1.9787647163791068E-5</v>
      </c>
      <c r="AA59" s="2">
        <v>1.5650999999999999</v>
      </c>
      <c r="AB59" s="2">
        <f t="shared" si="4"/>
        <v>0</v>
      </c>
      <c r="AC59" s="2" t="e">
        <f t="shared" si="5"/>
        <v>#VALUE!</v>
      </c>
      <c r="AD59" s="2">
        <f t="shared" si="6"/>
        <v>0</v>
      </c>
      <c r="AE59" s="62" t="e">
        <f t="shared" si="7"/>
        <v>#VALUE!</v>
      </c>
      <c r="AF59" s="63">
        <f t="shared" si="13"/>
        <v>0</v>
      </c>
      <c r="AG59" s="31" t="e">
        <f t="shared" si="8"/>
        <v>#VALUE!</v>
      </c>
      <c r="AH59">
        <f t="shared" si="9"/>
        <v>0</v>
      </c>
      <c r="AI59" s="53">
        <f t="shared" si="10"/>
        <v>0.45931375836816546</v>
      </c>
      <c r="AJ59" s="53">
        <f t="shared" si="11"/>
        <v>0</v>
      </c>
      <c r="AK59" s="52">
        <f t="shared" si="12"/>
        <v>0</v>
      </c>
    </row>
    <row r="60" spans="2:37" x14ac:dyDescent="0.25">
      <c r="B60" s="2" t="s">
        <v>15</v>
      </c>
      <c r="C60" s="2" t="s">
        <v>58</v>
      </c>
      <c r="D60" s="2">
        <v>20141205</v>
      </c>
      <c r="E60" s="2">
        <v>1.63</v>
      </c>
      <c r="F60" s="2" t="s">
        <v>60</v>
      </c>
      <c r="G60" s="2">
        <v>62500</v>
      </c>
      <c r="H60" s="2" t="str">
        <f t="shared" si="2"/>
        <v>GLOBEX</v>
      </c>
      <c r="I60" s="2" t="s">
        <v>17</v>
      </c>
      <c r="J60" s="2" t="s">
        <v>16</v>
      </c>
      <c r="K60" s="2" t="str">
        <f t="shared" si="3"/>
        <v>6BZ4 C1630</v>
      </c>
      <c r="L60" s="2" t="s">
        <v>25</v>
      </c>
      <c r="M60" s="56"/>
      <c r="N60" s="2">
        <v>0</v>
      </c>
      <c r="O60" s="2">
        <v>0</v>
      </c>
      <c r="P60" s="2">
        <v>0</v>
      </c>
      <c r="Q60" s="2">
        <v>0</v>
      </c>
      <c r="R60" s="2">
        <v>-1</v>
      </c>
      <c r="S60" s="2">
        <v>0</v>
      </c>
      <c r="T60" s="2"/>
      <c r="U60" s="58">
        <v>5.879628266652186E-5</v>
      </c>
      <c r="V60" s="57">
        <v>0.2809267712752046</v>
      </c>
      <c r="W60" s="2">
        <v>6.8465843625261889E-3</v>
      </c>
      <c r="X60" s="58">
        <v>0.73228623779271962</v>
      </c>
      <c r="Y60" s="2">
        <v>-1.9389397205251652E-4</v>
      </c>
      <c r="Z60" s="38">
        <v>1.9817943043638273E-5</v>
      </c>
      <c r="AA60" s="2">
        <v>1.5650999999999999</v>
      </c>
      <c r="AB60" s="2">
        <f t="shared" si="4"/>
        <v>0</v>
      </c>
      <c r="AC60" s="2" t="e">
        <f t="shared" si="5"/>
        <v>#VALUE!</v>
      </c>
      <c r="AD60" s="2">
        <f t="shared" si="6"/>
        <v>0</v>
      </c>
      <c r="AE60" s="62" t="e">
        <f t="shared" si="7"/>
        <v>#VALUE!</v>
      </c>
      <c r="AF60" s="63">
        <f t="shared" si="13"/>
        <v>0</v>
      </c>
      <c r="AG60" s="31" t="e">
        <f t="shared" si="8"/>
        <v>#VALUE!</v>
      </c>
      <c r="AH60">
        <f t="shared" si="9"/>
        <v>0</v>
      </c>
      <c r="AI60" s="53">
        <f t="shared" si="10"/>
        <v>0.5879628266652186</v>
      </c>
      <c r="AJ60" s="53">
        <f t="shared" si="11"/>
        <v>0</v>
      </c>
      <c r="AK60" s="52">
        <f t="shared" si="12"/>
        <v>0</v>
      </c>
    </row>
    <row r="61" spans="2:37" x14ac:dyDescent="0.25">
      <c r="B61" s="2" t="s">
        <v>15</v>
      </c>
      <c r="C61" s="2" t="s">
        <v>58</v>
      </c>
      <c r="D61" s="2">
        <v>20141205</v>
      </c>
      <c r="E61" s="2">
        <v>1.635</v>
      </c>
      <c r="F61" s="2" t="s">
        <v>60</v>
      </c>
      <c r="G61" s="2">
        <v>62500</v>
      </c>
      <c r="H61" s="2" t="str">
        <f t="shared" si="2"/>
        <v>GLOBEX</v>
      </c>
      <c r="I61" s="2" t="s">
        <v>17</v>
      </c>
      <c r="J61" s="2" t="s">
        <v>16</v>
      </c>
      <c r="K61" s="2" t="str">
        <f t="shared" si="3"/>
        <v>6BZ4 C1635</v>
      </c>
      <c r="L61" s="2" t="s">
        <v>25</v>
      </c>
      <c r="M61" s="56"/>
      <c r="N61" s="2">
        <v>0</v>
      </c>
      <c r="O61" s="2">
        <v>0</v>
      </c>
      <c r="P61" s="2">
        <v>0</v>
      </c>
      <c r="Q61" s="2">
        <v>0</v>
      </c>
      <c r="R61" s="2">
        <v>5.4000000000000003E-3</v>
      </c>
      <c r="S61" s="2">
        <v>20</v>
      </c>
      <c r="T61" s="2"/>
      <c r="U61" s="58">
        <v>7.6088660456964788E-5</v>
      </c>
      <c r="V61" s="57">
        <v>0.30853416747289941</v>
      </c>
      <c r="W61" s="2">
        <v>7.9604370634031359E-3</v>
      </c>
      <c r="X61" s="58">
        <v>0.76230536640109481</v>
      </c>
      <c r="Y61" s="2">
        <v>-2.4346298812732108E-4</v>
      </c>
      <c r="Z61" s="38">
        <v>1.9848171079106384E-5</v>
      </c>
      <c r="AA61" s="2">
        <v>1.5650999999999999</v>
      </c>
      <c r="AB61" s="2">
        <f t="shared" si="4"/>
        <v>0</v>
      </c>
      <c r="AC61" s="2" t="e">
        <f t="shared" si="5"/>
        <v>#VALUE!</v>
      </c>
      <c r="AD61" s="2">
        <f t="shared" si="6"/>
        <v>0</v>
      </c>
      <c r="AE61" s="62" t="e">
        <f t="shared" si="7"/>
        <v>#VALUE!</v>
      </c>
      <c r="AF61" s="63">
        <f t="shared" si="13"/>
        <v>0</v>
      </c>
      <c r="AG61" s="31" t="e">
        <f t="shared" si="8"/>
        <v>#VALUE!</v>
      </c>
      <c r="AH61">
        <f t="shared" si="9"/>
        <v>0</v>
      </c>
      <c r="AI61" s="53">
        <f t="shared" si="10"/>
        <v>0.76088660456964785</v>
      </c>
      <c r="AJ61" s="53">
        <f t="shared" si="11"/>
        <v>0</v>
      </c>
      <c r="AK61" s="52">
        <f t="shared" si="12"/>
        <v>0</v>
      </c>
    </row>
    <row r="62" spans="2:37" x14ac:dyDescent="0.25">
      <c r="B62" s="2" t="s">
        <v>15</v>
      </c>
      <c r="C62" s="2" t="s">
        <v>58</v>
      </c>
      <c r="D62" s="2">
        <v>20141205</v>
      </c>
      <c r="E62" s="2">
        <v>1.6400000000000001</v>
      </c>
      <c r="F62" s="2" t="s">
        <v>60</v>
      </c>
      <c r="G62" s="2">
        <v>62500</v>
      </c>
      <c r="H62" s="2" t="str">
        <f t="shared" si="2"/>
        <v>GLOBEX</v>
      </c>
      <c r="I62" s="2" t="s">
        <v>17</v>
      </c>
      <c r="J62" s="2" t="s">
        <v>16</v>
      </c>
      <c r="K62" s="2" t="str">
        <f t="shared" si="3"/>
        <v>6BZ4 C1640</v>
      </c>
      <c r="L62" s="2" t="s">
        <v>25</v>
      </c>
      <c r="M62" s="56"/>
      <c r="N62" s="2">
        <v>0</v>
      </c>
      <c r="O62" s="2">
        <v>0</v>
      </c>
      <c r="P62" s="2">
        <v>0</v>
      </c>
      <c r="Q62" s="2">
        <v>0</v>
      </c>
      <c r="R62" s="2">
        <v>-1</v>
      </c>
      <c r="S62" s="2">
        <v>0</v>
      </c>
      <c r="T62" s="2"/>
      <c r="U62" s="58">
        <v>9.782771035915851E-5</v>
      </c>
      <c r="V62" s="57">
        <v>0.33829441606204114</v>
      </c>
      <c r="W62" s="2">
        <v>9.231386342049331E-3</v>
      </c>
      <c r="X62" s="58">
        <v>0.79460596919069038</v>
      </c>
      <c r="Y62" s="2">
        <v>-3.0509791410599559E-4</v>
      </c>
      <c r="Z62" s="38">
        <v>1.9878332249756179E-5</v>
      </c>
      <c r="AA62" s="2">
        <v>1.5650999999999999</v>
      </c>
      <c r="AB62" s="2">
        <f t="shared" si="4"/>
        <v>0</v>
      </c>
      <c r="AC62" s="2" t="e">
        <f t="shared" si="5"/>
        <v>#VALUE!</v>
      </c>
      <c r="AD62" s="2">
        <f t="shared" si="6"/>
        <v>0</v>
      </c>
      <c r="AE62" s="62" t="e">
        <f t="shared" si="7"/>
        <v>#VALUE!</v>
      </c>
      <c r="AF62" s="63">
        <f t="shared" si="13"/>
        <v>0</v>
      </c>
      <c r="AG62" s="31" t="e">
        <f t="shared" si="8"/>
        <v>#VALUE!</v>
      </c>
      <c r="AH62">
        <f t="shared" si="9"/>
        <v>0</v>
      </c>
      <c r="AI62" s="53">
        <f t="shared" si="10"/>
        <v>0.97827710359158515</v>
      </c>
      <c r="AJ62" s="53">
        <f t="shared" si="11"/>
        <v>0</v>
      </c>
      <c r="AK62" s="52">
        <f t="shared" si="12"/>
        <v>0</v>
      </c>
    </row>
    <row r="63" spans="2:37" x14ac:dyDescent="0.25">
      <c r="B63" s="2" t="s">
        <v>15</v>
      </c>
      <c r="C63" s="2" t="s">
        <v>58</v>
      </c>
      <c r="D63" s="2">
        <v>20141205</v>
      </c>
      <c r="E63" s="2">
        <v>1.645</v>
      </c>
      <c r="F63" s="2" t="s">
        <v>60</v>
      </c>
      <c r="G63" s="2">
        <v>62500</v>
      </c>
      <c r="H63" s="2" t="str">
        <f t="shared" si="2"/>
        <v>GLOBEX</v>
      </c>
      <c r="I63" s="2" t="s">
        <v>17</v>
      </c>
      <c r="J63" s="2" t="s">
        <v>16</v>
      </c>
      <c r="K63" s="2" t="str">
        <f t="shared" si="3"/>
        <v>6BZ4 C1645</v>
      </c>
      <c r="L63" s="2" t="s">
        <v>25</v>
      </c>
      <c r="M63" s="56"/>
      <c r="N63" s="2">
        <v>0</v>
      </c>
      <c r="O63" s="2">
        <v>0</v>
      </c>
      <c r="P63" s="2">
        <v>0</v>
      </c>
      <c r="Q63" s="2">
        <v>0</v>
      </c>
      <c r="R63" s="2">
        <v>-1</v>
      </c>
      <c r="S63" s="2">
        <v>0</v>
      </c>
      <c r="T63" s="2"/>
      <c r="U63" s="58">
        <v>1.2403255473835201E-4</v>
      </c>
      <c r="V63" s="57">
        <v>0.37020751704270083</v>
      </c>
      <c r="W63" s="2">
        <v>1.0601392863491977E-2</v>
      </c>
      <c r="X63" s="58">
        <v>0.82390910321157418</v>
      </c>
      <c r="Y63" s="2">
        <v>-3.7885053357087256E-4</v>
      </c>
      <c r="Z63" s="38">
        <v>3.3613221409952267E-5</v>
      </c>
      <c r="AA63" s="2">
        <v>1.5650999999999999</v>
      </c>
      <c r="AB63" s="2">
        <f t="shared" si="4"/>
        <v>0</v>
      </c>
      <c r="AC63" s="2" t="e">
        <f t="shared" si="5"/>
        <v>#VALUE!</v>
      </c>
      <c r="AD63" s="2">
        <f t="shared" si="6"/>
        <v>0</v>
      </c>
      <c r="AE63" s="62" t="e">
        <f t="shared" si="7"/>
        <v>#VALUE!</v>
      </c>
      <c r="AF63" s="63">
        <f t="shared" si="13"/>
        <v>0</v>
      </c>
      <c r="AG63" s="31" t="e">
        <f t="shared" si="8"/>
        <v>#VALUE!</v>
      </c>
      <c r="AH63">
        <f t="shared" si="9"/>
        <v>0</v>
      </c>
      <c r="AI63" s="53">
        <f t="shared" si="10"/>
        <v>1.2403255473835202</v>
      </c>
      <c r="AJ63" s="53">
        <f t="shared" si="11"/>
        <v>0</v>
      </c>
      <c r="AK63" s="52">
        <f t="shared" si="12"/>
        <v>0</v>
      </c>
    </row>
    <row r="64" spans="2:37" x14ac:dyDescent="0.25">
      <c r="B64" s="2" t="s">
        <v>15</v>
      </c>
      <c r="C64" s="2" t="s">
        <v>58</v>
      </c>
      <c r="D64" s="2">
        <v>20141205</v>
      </c>
      <c r="E64" s="2">
        <v>1.65</v>
      </c>
      <c r="F64" s="2" t="s">
        <v>60</v>
      </c>
      <c r="G64" s="2">
        <v>62500</v>
      </c>
      <c r="H64" s="2" t="str">
        <f t="shared" si="2"/>
        <v>GLOBEX</v>
      </c>
      <c r="I64" s="2" t="s">
        <v>17</v>
      </c>
      <c r="J64" s="2" t="s">
        <v>16</v>
      </c>
      <c r="K64" s="2" t="str">
        <f t="shared" si="3"/>
        <v>6BZ4 C1650</v>
      </c>
      <c r="L64" s="2" t="s">
        <v>25</v>
      </c>
      <c r="M64" s="56"/>
      <c r="N64" s="2">
        <v>0</v>
      </c>
      <c r="O64" s="2">
        <v>0</v>
      </c>
      <c r="P64" s="2">
        <v>0</v>
      </c>
      <c r="Q64" s="2">
        <v>0</v>
      </c>
      <c r="R64" s="2">
        <v>-1</v>
      </c>
      <c r="S64" s="2">
        <v>0</v>
      </c>
      <c r="T64" s="2"/>
      <c r="U64" s="58">
        <v>1.7095647955773504E-4</v>
      </c>
      <c r="V64" s="57">
        <v>0.40427347041482165</v>
      </c>
      <c r="W64" s="2">
        <v>1.3016096373638784E-2</v>
      </c>
      <c r="X64" s="58">
        <v>0.89656273865530178</v>
      </c>
      <c r="Y64" s="2">
        <v>-4.916201945875079E-4</v>
      </c>
      <c r="Z64" s="38">
        <v>3.8703956722565386E-5</v>
      </c>
      <c r="AA64" s="2">
        <v>1.5650999999999999</v>
      </c>
      <c r="AB64" s="2">
        <f t="shared" si="4"/>
        <v>0</v>
      </c>
      <c r="AC64" s="2" t="e">
        <f t="shared" si="5"/>
        <v>#VALUE!</v>
      </c>
      <c r="AD64" s="2">
        <f t="shared" si="6"/>
        <v>0</v>
      </c>
      <c r="AE64" s="62" t="e">
        <f t="shared" si="7"/>
        <v>#VALUE!</v>
      </c>
      <c r="AF64" s="63">
        <f t="shared" si="13"/>
        <v>0</v>
      </c>
      <c r="AG64" s="31" t="e">
        <f t="shared" si="8"/>
        <v>#VALUE!</v>
      </c>
      <c r="AH64">
        <f t="shared" si="9"/>
        <v>0</v>
      </c>
      <c r="AI64" s="53">
        <f t="shared" si="10"/>
        <v>1.7095647955773505</v>
      </c>
      <c r="AJ64" s="53">
        <f t="shared" si="11"/>
        <v>0</v>
      </c>
      <c r="AK64" s="52">
        <f t="shared" si="12"/>
        <v>0</v>
      </c>
    </row>
    <row r="65" spans="2:37" x14ac:dyDescent="0.25">
      <c r="B65" s="2" t="s">
        <v>15</v>
      </c>
      <c r="C65" s="2" t="s">
        <v>58</v>
      </c>
      <c r="D65" s="2">
        <v>20141205</v>
      </c>
      <c r="E65" s="2">
        <v>1.655</v>
      </c>
      <c r="F65" s="2" t="s">
        <v>60</v>
      </c>
      <c r="G65" s="2">
        <v>62500</v>
      </c>
      <c r="H65" s="2" t="str">
        <f t="shared" si="2"/>
        <v>GLOBEX</v>
      </c>
      <c r="I65" s="2" t="s">
        <v>17</v>
      </c>
      <c r="J65" s="2" t="s">
        <v>16</v>
      </c>
      <c r="K65" s="2" t="str">
        <f t="shared" si="3"/>
        <v>6BZ4 C1655</v>
      </c>
      <c r="L65" s="2" t="s">
        <v>25</v>
      </c>
      <c r="M65" s="56"/>
      <c r="N65" s="2">
        <v>0</v>
      </c>
      <c r="O65" s="2">
        <v>0</v>
      </c>
      <c r="P65" s="2">
        <v>0</v>
      </c>
      <c r="Q65" s="2">
        <v>0</v>
      </c>
      <c r="R65" s="2">
        <v>-1</v>
      </c>
      <c r="S65" s="2">
        <v>0</v>
      </c>
      <c r="T65" s="2"/>
      <c r="U65" s="58">
        <v>2.3165590829105819E-4</v>
      </c>
      <c r="V65" s="57">
        <v>0.44049227617840359</v>
      </c>
      <c r="W65" s="2">
        <v>1.5811261977233655E-2</v>
      </c>
      <c r="X65" s="58">
        <v>0.97073908073251758</v>
      </c>
      <c r="Y65" s="2">
        <v>-6.3194333685412407E-4</v>
      </c>
      <c r="Z65" s="38">
        <v>3.876200967410198E-5</v>
      </c>
      <c r="AA65" s="2">
        <v>1.5650999999999999</v>
      </c>
      <c r="AB65" s="2">
        <f t="shared" si="4"/>
        <v>0</v>
      </c>
      <c r="AC65" s="2" t="e">
        <f t="shared" si="5"/>
        <v>#VALUE!</v>
      </c>
      <c r="AD65" s="2">
        <f t="shared" si="6"/>
        <v>0</v>
      </c>
      <c r="AE65" s="62" t="e">
        <f t="shared" si="7"/>
        <v>#VALUE!</v>
      </c>
      <c r="AF65" s="63">
        <f t="shared" si="13"/>
        <v>0</v>
      </c>
      <c r="AG65" s="31" t="e">
        <f t="shared" si="8"/>
        <v>#VALUE!</v>
      </c>
      <c r="AH65">
        <f t="shared" si="9"/>
        <v>0</v>
      </c>
      <c r="AI65" s="53">
        <f t="shared" si="10"/>
        <v>2.3165590829105818</v>
      </c>
      <c r="AJ65" s="53">
        <f t="shared" si="11"/>
        <v>0</v>
      </c>
      <c r="AK65" s="52">
        <f t="shared" si="12"/>
        <v>0</v>
      </c>
    </row>
    <row r="66" spans="2:37" x14ac:dyDescent="0.25">
      <c r="B66" s="2" t="s">
        <v>15</v>
      </c>
      <c r="C66" s="2" t="s">
        <v>58</v>
      </c>
      <c r="D66" s="2">
        <v>20141212</v>
      </c>
      <c r="E66" s="2">
        <v>1.51</v>
      </c>
      <c r="F66" s="2" t="s">
        <v>59</v>
      </c>
      <c r="G66" s="2">
        <v>62500</v>
      </c>
      <c r="H66" s="2" t="str">
        <f>I66</f>
        <v>GLOBEX</v>
      </c>
      <c r="I66" s="2" t="s">
        <v>17</v>
      </c>
      <c r="J66" s="2" t="s">
        <v>16</v>
      </c>
      <c r="K66" s="2" t="str">
        <f>CONCATENATE("6B2Z4 ",F66,E66*1000)</f>
        <v>6B2Z4 P1510</v>
      </c>
      <c r="L66" s="2" t="s">
        <v>122</v>
      </c>
      <c r="M66" s="56"/>
      <c r="N66" s="2">
        <v>0</v>
      </c>
      <c r="O66" s="2">
        <v>0</v>
      </c>
      <c r="P66" s="2">
        <v>0</v>
      </c>
      <c r="Q66" s="2">
        <v>0</v>
      </c>
      <c r="R66" s="2">
        <v>4.0000000000000002E-4</v>
      </c>
      <c r="S66" s="2">
        <v>25</v>
      </c>
      <c r="T66" s="2"/>
      <c r="U66" s="58">
        <v>1.4024361866305218E-4</v>
      </c>
      <c r="V66" s="57">
        <v>0.10908946559042221</v>
      </c>
      <c r="W66" s="2">
        <v>-1.5048388587889306E-2</v>
      </c>
      <c r="X66" s="58">
        <v>0</v>
      </c>
      <c r="Y66" s="2">
        <v>-5.8744395122650194E-5</v>
      </c>
      <c r="Z66" s="38">
        <v>1.0005822846616781E-4</v>
      </c>
      <c r="AA66" s="2">
        <v>1.5642</v>
      </c>
      <c r="AB66" s="2">
        <f t="shared" si="4"/>
        <v>0</v>
      </c>
      <c r="AC66" s="2" t="e">
        <f t="shared" si="5"/>
        <v>#VALUE!</v>
      </c>
      <c r="AD66" s="2">
        <f t="shared" si="6"/>
        <v>0</v>
      </c>
      <c r="AE66" s="62" t="e">
        <f t="shared" si="7"/>
        <v>#VALUE!</v>
      </c>
      <c r="AF66" s="63">
        <f t="shared" si="13"/>
        <v>0</v>
      </c>
      <c r="AG66" s="31" t="e">
        <f t="shared" si="8"/>
        <v>#VALUE!</v>
      </c>
      <c r="AH66">
        <f t="shared" si="9"/>
        <v>0</v>
      </c>
      <c r="AI66" s="53">
        <f t="shared" si="10"/>
        <v>1.4024361866305217</v>
      </c>
      <c r="AJ66" s="53">
        <f t="shared" si="11"/>
        <v>0</v>
      </c>
      <c r="AK66" s="52">
        <f t="shared" ref="AK66:AK104" si="14">MAX(0,AJ66*6.25)</f>
        <v>0</v>
      </c>
    </row>
    <row r="67" spans="2:37" x14ac:dyDescent="0.25">
      <c r="B67" s="2" t="s">
        <v>15</v>
      </c>
      <c r="C67" s="2" t="s">
        <v>58</v>
      </c>
      <c r="D67" s="2">
        <v>20141212</v>
      </c>
      <c r="E67" s="2">
        <v>1.5149999999999999</v>
      </c>
      <c r="F67" s="2" t="s">
        <v>59</v>
      </c>
      <c r="G67" s="2">
        <v>62500</v>
      </c>
      <c r="H67" s="2" t="str">
        <f t="shared" ref="H67:H125" si="15">I67</f>
        <v>GLOBEX</v>
      </c>
      <c r="I67" s="2" t="s">
        <v>17</v>
      </c>
      <c r="J67" s="2" t="s">
        <v>16</v>
      </c>
      <c r="K67" s="2" t="str">
        <f t="shared" ref="K67:K125" si="16">CONCATENATE("6B2Z4 ",F67,E67*1000)</f>
        <v>6B2Z4 P1515</v>
      </c>
      <c r="L67" s="2" t="s">
        <v>122</v>
      </c>
      <c r="M67" s="56"/>
      <c r="N67" s="2">
        <v>0</v>
      </c>
      <c r="O67" s="2">
        <v>0</v>
      </c>
      <c r="P67" s="2">
        <v>0</v>
      </c>
      <c r="Q67" s="2">
        <v>0</v>
      </c>
      <c r="R67" s="2">
        <v>4.0000000000000002E-4</v>
      </c>
      <c r="S67" s="2">
        <v>25</v>
      </c>
      <c r="T67" s="2"/>
      <c r="U67" s="58">
        <v>1.7091252918472518E-4</v>
      </c>
      <c r="V67" s="57">
        <v>0.10347358242750815</v>
      </c>
      <c r="W67" s="2">
        <v>-1.8909580693521087E-2</v>
      </c>
      <c r="X67" s="58">
        <v>0</v>
      </c>
      <c r="Y67" s="2">
        <v>-6.8065663889373048E-5</v>
      </c>
      <c r="Z67" s="38">
        <v>1.4050543620535127E-4</v>
      </c>
      <c r="AA67" s="2">
        <v>1.5642</v>
      </c>
      <c r="AB67" s="2">
        <f t="shared" si="4"/>
        <v>0</v>
      </c>
      <c r="AC67" s="2" t="e">
        <f t="shared" si="5"/>
        <v>#VALUE!</v>
      </c>
      <c r="AD67" s="2">
        <f t="shared" si="6"/>
        <v>0</v>
      </c>
      <c r="AE67" s="62" t="e">
        <f t="shared" si="7"/>
        <v>#VALUE!</v>
      </c>
      <c r="AF67" s="63">
        <f t="shared" si="13"/>
        <v>0</v>
      </c>
      <c r="AG67" s="31" t="e">
        <f t="shared" si="8"/>
        <v>#VALUE!</v>
      </c>
      <c r="AH67">
        <f t="shared" si="9"/>
        <v>0</v>
      </c>
      <c r="AI67" s="53">
        <f t="shared" si="10"/>
        <v>1.7091252918472517</v>
      </c>
      <c r="AJ67" s="53">
        <f t="shared" si="11"/>
        <v>0</v>
      </c>
      <c r="AK67" s="52">
        <f t="shared" si="14"/>
        <v>0</v>
      </c>
    </row>
    <row r="68" spans="2:37" x14ac:dyDescent="0.25">
      <c r="B68" s="2" t="s">
        <v>15</v>
      </c>
      <c r="C68" s="2" t="s">
        <v>58</v>
      </c>
      <c r="D68" s="2">
        <v>20141212</v>
      </c>
      <c r="E68" s="2">
        <v>1.52</v>
      </c>
      <c r="F68" s="2" t="s">
        <v>59</v>
      </c>
      <c r="G68" s="2">
        <v>62500</v>
      </c>
      <c r="H68" s="2" t="str">
        <f t="shared" si="15"/>
        <v>GLOBEX</v>
      </c>
      <c r="I68" s="2" t="s">
        <v>17</v>
      </c>
      <c r="J68" s="2" t="s">
        <v>16</v>
      </c>
      <c r="K68" s="2" t="str">
        <f t="shared" si="16"/>
        <v>6B2Z4 P1520</v>
      </c>
      <c r="L68" s="2" t="s">
        <v>122</v>
      </c>
      <c r="M68" s="56"/>
      <c r="N68" s="2">
        <v>0</v>
      </c>
      <c r="O68" s="2">
        <v>0</v>
      </c>
      <c r="P68" s="2">
        <v>0</v>
      </c>
      <c r="Q68" s="2">
        <v>-1</v>
      </c>
      <c r="R68" s="2">
        <v>5.0000000000000001E-4</v>
      </c>
      <c r="S68" s="2">
        <v>25</v>
      </c>
      <c r="T68" s="2"/>
      <c r="U68" s="58">
        <v>2.2087118979903026E-4</v>
      </c>
      <c r="V68" s="57">
        <v>9.8277391541415682E-2</v>
      </c>
      <c r="W68" s="2">
        <v>-2.485039263321118E-2</v>
      </c>
      <c r="X68" s="58">
        <v>0</v>
      </c>
      <c r="Y68" s="2">
        <v>-8.1461483749445217E-5</v>
      </c>
      <c r="Z68" s="38">
        <v>1.6841938704917933E-4</v>
      </c>
      <c r="AA68" s="2">
        <v>1.5642</v>
      </c>
      <c r="AB68" s="2">
        <f t="shared" si="4"/>
        <v>0</v>
      </c>
      <c r="AC68" s="2" t="e">
        <f t="shared" si="5"/>
        <v>#VALUE!</v>
      </c>
      <c r="AD68" s="2">
        <f t="shared" si="6"/>
        <v>0</v>
      </c>
      <c r="AE68" s="62" t="e">
        <f t="shared" si="7"/>
        <v>#VALUE!</v>
      </c>
      <c r="AF68" s="63">
        <f t="shared" si="13"/>
        <v>0</v>
      </c>
      <c r="AG68" s="31" t="e">
        <f t="shared" si="8"/>
        <v>#VALUE!</v>
      </c>
      <c r="AH68">
        <f t="shared" si="9"/>
        <v>0</v>
      </c>
      <c r="AI68" s="53">
        <f t="shared" si="10"/>
        <v>2.2087118979903027</v>
      </c>
      <c r="AJ68" s="53">
        <f t="shared" si="11"/>
        <v>0</v>
      </c>
      <c r="AK68" s="52">
        <f t="shared" si="14"/>
        <v>0</v>
      </c>
    </row>
    <row r="69" spans="2:37" x14ac:dyDescent="0.25">
      <c r="B69" s="2" t="s">
        <v>15</v>
      </c>
      <c r="C69" s="2" t="s">
        <v>58</v>
      </c>
      <c r="D69" s="2">
        <v>20141212</v>
      </c>
      <c r="E69" s="2">
        <v>1.5249999999999999</v>
      </c>
      <c r="F69" s="2" t="s">
        <v>59</v>
      </c>
      <c r="G69" s="2">
        <v>62500</v>
      </c>
      <c r="H69" s="2" t="str">
        <f t="shared" si="15"/>
        <v>GLOBEX</v>
      </c>
      <c r="I69" s="2" t="s">
        <v>17</v>
      </c>
      <c r="J69" s="2" t="s">
        <v>16</v>
      </c>
      <c r="K69" s="2" t="str">
        <f t="shared" si="16"/>
        <v>6B2Z4 P1525</v>
      </c>
      <c r="L69" s="2" t="s">
        <v>122</v>
      </c>
      <c r="M69" s="56"/>
      <c r="N69" s="2">
        <v>0</v>
      </c>
      <c r="O69" s="2">
        <v>0</v>
      </c>
      <c r="P69" s="2">
        <v>0</v>
      </c>
      <c r="Q69" s="2">
        <v>-1</v>
      </c>
      <c r="R69" s="2">
        <v>5.9999999999999995E-4</v>
      </c>
      <c r="S69" s="2">
        <v>25</v>
      </c>
      <c r="T69" s="2"/>
      <c r="U69" s="58">
        <v>3.0525823040291824E-4</v>
      </c>
      <c r="V69" s="57">
        <v>9.3500892932148361E-2</v>
      </c>
      <c r="W69" s="2">
        <v>-3.4496333851781462E-2</v>
      </c>
      <c r="X69" s="58">
        <v>0</v>
      </c>
      <c r="Y69" s="2">
        <v>-1.0166154490831713E-4</v>
      </c>
      <c r="Z69" s="38">
        <v>2.1293197973217736E-4</v>
      </c>
      <c r="AA69" s="2">
        <v>1.5642</v>
      </c>
      <c r="AB69" s="2">
        <f t="shared" si="4"/>
        <v>0</v>
      </c>
      <c r="AC69" s="2" t="e">
        <f t="shared" si="5"/>
        <v>#VALUE!</v>
      </c>
      <c r="AD69" s="2">
        <f t="shared" si="6"/>
        <v>0</v>
      </c>
      <c r="AE69" s="62" t="e">
        <f t="shared" si="7"/>
        <v>#VALUE!</v>
      </c>
      <c r="AF69" s="63">
        <f t="shared" si="13"/>
        <v>0</v>
      </c>
      <c r="AG69" s="31" t="e">
        <f t="shared" si="8"/>
        <v>#VALUE!</v>
      </c>
      <c r="AH69">
        <f t="shared" si="9"/>
        <v>0</v>
      </c>
      <c r="AI69" s="53">
        <f t="shared" si="10"/>
        <v>3.0525823040291824</v>
      </c>
      <c r="AJ69" s="53">
        <f t="shared" si="11"/>
        <v>0</v>
      </c>
      <c r="AK69" s="52">
        <f t="shared" si="14"/>
        <v>0</v>
      </c>
    </row>
    <row r="70" spans="2:37" x14ac:dyDescent="0.25">
      <c r="B70" s="2" t="s">
        <v>15</v>
      </c>
      <c r="C70" s="2" t="s">
        <v>58</v>
      </c>
      <c r="D70" s="2">
        <v>20141212</v>
      </c>
      <c r="E70" s="2">
        <v>1.53</v>
      </c>
      <c r="F70" s="2" t="s">
        <v>59</v>
      </c>
      <c r="G70" s="2">
        <v>62500</v>
      </c>
      <c r="H70" s="2" t="str">
        <f t="shared" si="15"/>
        <v>GLOBEX</v>
      </c>
      <c r="I70" s="2" t="s">
        <v>17</v>
      </c>
      <c r="J70" s="2" t="s">
        <v>16</v>
      </c>
      <c r="K70" s="2" t="str">
        <f t="shared" si="16"/>
        <v>6B2Z4 P1530</v>
      </c>
      <c r="L70" s="2" t="s">
        <v>122</v>
      </c>
      <c r="M70" s="56"/>
      <c r="N70" s="2">
        <v>0</v>
      </c>
      <c r="O70" s="2">
        <v>0</v>
      </c>
      <c r="P70" s="2">
        <v>25</v>
      </c>
      <c r="Q70" s="2">
        <v>1E-4</v>
      </c>
      <c r="R70" s="2">
        <v>6.9999999999999999E-4</v>
      </c>
      <c r="S70" s="2">
        <v>25</v>
      </c>
      <c r="T70" s="2"/>
      <c r="U70" s="58">
        <v>4.2430784877228365E-4</v>
      </c>
      <c r="V70" s="57">
        <v>8.9144086599702632E-2</v>
      </c>
      <c r="W70" s="2">
        <v>-4.7955376057874304E-2</v>
      </c>
      <c r="X70" s="58">
        <v>0</v>
      </c>
      <c r="Y70" s="2">
        <v>-1.2692565479226184E-4</v>
      </c>
      <c r="Z70" s="38">
        <v>2.7569349430633667E-4</v>
      </c>
      <c r="AA70" s="2">
        <v>1.5642</v>
      </c>
      <c r="AB70" s="2">
        <f t="shared" si="4"/>
        <v>0</v>
      </c>
      <c r="AC70" s="2" t="e">
        <f t="shared" si="5"/>
        <v>#VALUE!</v>
      </c>
      <c r="AD70" s="2">
        <f t="shared" si="6"/>
        <v>0</v>
      </c>
      <c r="AE70" s="62" t="e">
        <f t="shared" si="7"/>
        <v>#VALUE!</v>
      </c>
      <c r="AF70" s="63">
        <f t="shared" ref="AF70:AF101" si="17">IF(ISERR(AE70),0,AE70*M70)</f>
        <v>0</v>
      </c>
      <c r="AG70" s="31" t="e">
        <f t="shared" si="8"/>
        <v>#VALUE!</v>
      </c>
      <c r="AH70">
        <f t="shared" si="9"/>
        <v>0</v>
      </c>
      <c r="AI70" s="53">
        <f t="shared" si="10"/>
        <v>4.243078487722836</v>
      </c>
      <c r="AJ70" s="53">
        <f t="shared" si="11"/>
        <v>0</v>
      </c>
      <c r="AK70" s="52">
        <f t="shared" si="14"/>
        <v>0</v>
      </c>
    </row>
    <row r="71" spans="2:37" x14ac:dyDescent="0.25">
      <c r="B71" s="2" t="s">
        <v>15</v>
      </c>
      <c r="C71" s="2" t="s">
        <v>58</v>
      </c>
      <c r="D71" s="2">
        <v>20141212</v>
      </c>
      <c r="E71" s="2">
        <v>1.5349999999999999</v>
      </c>
      <c r="F71" s="2" t="s">
        <v>59</v>
      </c>
      <c r="G71" s="2">
        <v>62500</v>
      </c>
      <c r="H71" s="2" t="str">
        <f t="shared" si="15"/>
        <v>GLOBEX</v>
      </c>
      <c r="I71" s="2" t="s">
        <v>17</v>
      </c>
      <c r="J71" s="2" t="s">
        <v>16</v>
      </c>
      <c r="K71" s="2" t="str">
        <f t="shared" si="16"/>
        <v>6B2Z4 P1535</v>
      </c>
      <c r="L71" s="2" t="s">
        <v>122</v>
      </c>
      <c r="M71" s="56"/>
      <c r="N71" s="2">
        <v>0</v>
      </c>
      <c r="O71" s="2">
        <v>0</v>
      </c>
      <c r="P71" s="2">
        <v>25</v>
      </c>
      <c r="Q71" s="2">
        <v>2.9999999999999997E-4</v>
      </c>
      <c r="R71" s="2">
        <v>1E-3</v>
      </c>
      <c r="S71" s="2">
        <v>25</v>
      </c>
      <c r="T71" s="2"/>
      <c r="U71" s="58">
        <v>6.1686464319775445E-4</v>
      </c>
      <c r="V71" s="57">
        <v>8.5206972544082049E-2</v>
      </c>
      <c r="W71" s="2">
        <v>-6.889121112523823E-2</v>
      </c>
      <c r="X71" s="58">
        <v>0</v>
      </c>
      <c r="Y71" s="2">
        <v>-1.6176339292787062E-4</v>
      </c>
      <c r="Z71" s="38">
        <v>3.6851100970617713E-4</v>
      </c>
      <c r="AA71" s="2">
        <v>1.5642</v>
      </c>
      <c r="AB71" s="2">
        <f t="shared" ref="AB71:AB125" si="18">W71*M71</f>
        <v>0</v>
      </c>
      <c r="AC71" s="2" t="e">
        <f t="shared" ref="AC71:AC125" si="19">AE71*M71</f>
        <v>#VALUE!</v>
      </c>
      <c r="AD71" s="2">
        <f t="shared" ref="AD71:AD125" si="20">Y71*M71</f>
        <v>0</v>
      </c>
      <c r="AE71" s="62" t="e">
        <f t="shared" ref="AE71:AE125" si="21">BSGamma($AA$17,E71,D71,0.001,V71)</f>
        <v>#VALUE!</v>
      </c>
      <c r="AF71" s="63">
        <f t="shared" si="17"/>
        <v>0</v>
      </c>
      <c r="AG71" s="31" t="e">
        <f t="shared" ref="AG71:AG125" si="22">IF(AE71 = 0,0,(Y71*-10000)/AE71)</f>
        <v>#VALUE!</v>
      </c>
      <c r="AH71">
        <f t="shared" ref="AH71:AH125" si="23">IF(F71="C",MAX(0,$AA$14-E71),MAX(0,E71-$AA$14))*10000</f>
        <v>0</v>
      </c>
      <c r="AI71" s="53">
        <f t="shared" ref="AI71:AI125" si="24">MAX(0,(U71*10000)-AH71)</f>
        <v>6.1686464319775443</v>
      </c>
      <c r="AJ71" s="53">
        <f t="shared" ref="AJ71:AJ125" si="25">AI71*M71</f>
        <v>0</v>
      </c>
      <c r="AK71" s="52">
        <f t="shared" si="14"/>
        <v>0</v>
      </c>
    </row>
    <row r="72" spans="2:37" x14ac:dyDescent="0.25">
      <c r="B72" s="2" t="s">
        <v>15</v>
      </c>
      <c r="C72" s="2" t="s">
        <v>58</v>
      </c>
      <c r="D72" s="2">
        <v>20141212</v>
      </c>
      <c r="E72" s="2">
        <v>1.54</v>
      </c>
      <c r="F72" s="2" t="s">
        <v>59</v>
      </c>
      <c r="G72" s="2">
        <v>62500</v>
      </c>
      <c r="H72" s="2" t="str">
        <f t="shared" si="15"/>
        <v>GLOBEX</v>
      </c>
      <c r="I72" s="2" t="s">
        <v>17</v>
      </c>
      <c r="J72" s="2" t="s">
        <v>16</v>
      </c>
      <c r="K72" s="2" t="str">
        <f t="shared" si="16"/>
        <v>6B2Z4 P1540</v>
      </c>
      <c r="L72" s="2" t="s">
        <v>122</v>
      </c>
      <c r="M72" s="56"/>
      <c r="N72" s="2">
        <v>0</v>
      </c>
      <c r="O72" s="2">
        <v>0</v>
      </c>
      <c r="P72" s="2">
        <v>25</v>
      </c>
      <c r="Q72" s="2">
        <v>5.9999999999999995E-4</v>
      </c>
      <c r="R72" s="2">
        <v>1.2999999999999999E-3</v>
      </c>
      <c r="S72" s="2">
        <v>25</v>
      </c>
      <c r="T72" s="2"/>
      <c r="U72" s="58">
        <v>9.375124077932583E-4</v>
      </c>
      <c r="V72" s="57">
        <v>8.1689550765279506E-2</v>
      </c>
      <c r="W72" s="2">
        <v>-0.1011482523224258</v>
      </c>
      <c r="X72" s="58">
        <v>0</v>
      </c>
      <c r="Y72" s="2">
        <v>-2.061677808913667E-4</v>
      </c>
      <c r="Z72" s="38">
        <v>4.1707176381629556E-4</v>
      </c>
      <c r="AA72" s="2">
        <v>1.5642</v>
      </c>
      <c r="AB72" s="2">
        <f t="shared" si="18"/>
        <v>0</v>
      </c>
      <c r="AC72" s="2" t="e">
        <f t="shared" si="19"/>
        <v>#VALUE!</v>
      </c>
      <c r="AD72" s="2">
        <f t="shared" si="20"/>
        <v>0</v>
      </c>
      <c r="AE72" s="62" t="e">
        <f t="shared" si="21"/>
        <v>#VALUE!</v>
      </c>
      <c r="AF72" s="63">
        <f t="shared" si="17"/>
        <v>0</v>
      </c>
      <c r="AG72" s="31" t="e">
        <f t="shared" si="22"/>
        <v>#VALUE!</v>
      </c>
      <c r="AH72">
        <f t="shared" si="23"/>
        <v>0</v>
      </c>
      <c r="AI72" s="53">
        <f t="shared" si="24"/>
        <v>9.3751240779325826</v>
      </c>
      <c r="AJ72" s="53">
        <f t="shared" si="25"/>
        <v>0</v>
      </c>
      <c r="AK72" s="52">
        <f t="shared" si="14"/>
        <v>0</v>
      </c>
    </row>
    <row r="73" spans="2:37" x14ac:dyDescent="0.25">
      <c r="B73" s="2" t="s">
        <v>15</v>
      </c>
      <c r="C73" s="2" t="s">
        <v>58</v>
      </c>
      <c r="D73" s="2">
        <v>20141212</v>
      </c>
      <c r="E73" s="2">
        <v>1.5449999999999999</v>
      </c>
      <c r="F73" s="2" t="s">
        <v>59</v>
      </c>
      <c r="G73" s="2">
        <v>62500</v>
      </c>
      <c r="H73" s="2" t="str">
        <f t="shared" si="15"/>
        <v>GLOBEX</v>
      </c>
      <c r="I73" s="2" t="s">
        <v>17</v>
      </c>
      <c r="J73" s="2" t="s">
        <v>16</v>
      </c>
      <c r="K73" s="2" t="str">
        <f t="shared" si="16"/>
        <v>6B2Z4 P1545</v>
      </c>
      <c r="L73" s="2" t="s">
        <v>122</v>
      </c>
      <c r="M73" s="56"/>
      <c r="N73" s="2">
        <v>0</v>
      </c>
      <c r="O73" s="2">
        <v>0</v>
      </c>
      <c r="P73" s="2">
        <v>25</v>
      </c>
      <c r="Q73" s="2">
        <v>1.1000000000000001E-3</v>
      </c>
      <c r="R73" s="2">
        <v>1.8E-3</v>
      </c>
      <c r="S73" s="2">
        <v>25</v>
      </c>
      <c r="T73" s="2"/>
      <c r="U73" s="58">
        <v>1.416978241784104E-3</v>
      </c>
      <c r="V73" s="57">
        <v>7.8591821263305661E-2</v>
      </c>
      <c r="W73" s="2">
        <v>-0.14660509614944628</v>
      </c>
      <c r="X73" s="58">
        <v>0</v>
      </c>
      <c r="Y73" s="2">
        <v>-2.5777221457805126E-4</v>
      </c>
      <c r="Z73" s="38">
        <v>5.7387567731013197E-4</v>
      </c>
      <c r="AA73" s="2">
        <v>1.5642</v>
      </c>
      <c r="AB73" s="2">
        <f t="shared" si="18"/>
        <v>0</v>
      </c>
      <c r="AC73" s="2" t="e">
        <f t="shared" si="19"/>
        <v>#VALUE!</v>
      </c>
      <c r="AD73" s="2">
        <f t="shared" si="20"/>
        <v>0</v>
      </c>
      <c r="AE73" s="62" t="e">
        <f t="shared" si="21"/>
        <v>#VALUE!</v>
      </c>
      <c r="AF73" s="63">
        <f t="shared" si="17"/>
        <v>0</v>
      </c>
      <c r="AG73" s="31" t="e">
        <f t="shared" si="22"/>
        <v>#VALUE!</v>
      </c>
      <c r="AH73">
        <f t="shared" si="23"/>
        <v>0</v>
      </c>
      <c r="AI73" s="53">
        <f t="shared" si="24"/>
        <v>14.16978241784104</v>
      </c>
      <c r="AJ73" s="53">
        <f t="shared" si="25"/>
        <v>0</v>
      </c>
      <c r="AK73" s="52">
        <f t="shared" si="14"/>
        <v>0</v>
      </c>
    </row>
    <row r="74" spans="2:37" x14ac:dyDescent="0.25">
      <c r="B74" s="2" t="s">
        <v>15</v>
      </c>
      <c r="C74" s="2" t="s">
        <v>58</v>
      </c>
      <c r="D74" s="2">
        <v>20141212</v>
      </c>
      <c r="E74" s="2">
        <v>1.55</v>
      </c>
      <c r="F74" s="2" t="s">
        <v>59</v>
      </c>
      <c r="G74" s="2">
        <v>62500</v>
      </c>
      <c r="H74" s="2" t="str">
        <f t="shared" si="15"/>
        <v>GLOBEX</v>
      </c>
      <c r="I74" s="2" t="s">
        <v>17</v>
      </c>
      <c r="J74" s="2" t="s">
        <v>16</v>
      </c>
      <c r="K74" s="2" t="str">
        <f t="shared" si="16"/>
        <v>6B2Z4 P1550</v>
      </c>
      <c r="L74" s="2" t="s">
        <v>122</v>
      </c>
      <c r="M74" s="56"/>
      <c r="N74" s="2">
        <v>0</v>
      </c>
      <c r="O74" s="2">
        <v>0</v>
      </c>
      <c r="P74" s="2">
        <v>25</v>
      </c>
      <c r="Q74" s="2">
        <v>1.9E-3</v>
      </c>
      <c r="R74" s="2">
        <v>2.5999999999999999E-3</v>
      </c>
      <c r="S74" s="2">
        <v>25</v>
      </c>
      <c r="T74" s="2"/>
      <c r="U74" s="58">
        <v>2.6000000070780516E-3</v>
      </c>
      <c r="V74" s="57">
        <v>8.2106750773082798E-2</v>
      </c>
      <c r="W74" s="2">
        <v>-0.22845899713945739</v>
      </c>
      <c r="X74" s="58">
        <v>0</v>
      </c>
      <c r="Y74" s="2">
        <v>-3.5504937711312948E-4</v>
      </c>
      <c r="Z74" s="38">
        <v>7.3156742612437301E-4</v>
      </c>
      <c r="AA74" s="2">
        <v>1.5642</v>
      </c>
      <c r="AB74" s="2">
        <f t="shared" si="18"/>
        <v>0</v>
      </c>
      <c r="AC74" s="2" t="e">
        <f t="shared" si="19"/>
        <v>#VALUE!</v>
      </c>
      <c r="AD74" s="2">
        <f t="shared" si="20"/>
        <v>0</v>
      </c>
      <c r="AE74" s="62" t="e">
        <f t="shared" si="21"/>
        <v>#VALUE!</v>
      </c>
      <c r="AF74" s="63">
        <f t="shared" si="17"/>
        <v>0</v>
      </c>
      <c r="AG74" s="31" t="e">
        <f t="shared" si="22"/>
        <v>#VALUE!</v>
      </c>
      <c r="AH74">
        <f t="shared" si="23"/>
        <v>0</v>
      </c>
      <c r="AI74" s="53">
        <f t="shared" si="24"/>
        <v>26.000000070780516</v>
      </c>
      <c r="AJ74" s="53">
        <f t="shared" si="25"/>
        <v>0</v>
      </c>
      <c r="AK74" s="52">
        <f t="shared" si="14"/>
        <v>0</v>
      </c>
    </row>
    <row r="75" spans="2:37" x14ac:dyDescent="0.25">
      <c r="B75" s="2" t="s">
        <v>15</v>
      </c>
      <c r="C75" s="2" t="s">
        <v>58</v>
      </c>
      <c r="D75" s="2">
        <v>20141212</v>
      </c>
      <c r="E75" s="2">
        <v>1.5549999999999999</v>
      </c>
      <c r="F75" s="2" t="s">
        <v>59</v>
      </c>
      <c r="G75" s="2">
        <v>62500</v>
      </c>
      <c r="H75" s="2" t="str">
        <f t="shared" si="15"/>
        <v>GLOBEX</v>
      </c>
      <c r="I75" s="2" t="s">
        <v>17</v>
      </c>
      <c r="J75" s="2" t="s">
        <v>16</v>
      </c>
      <c r="K75" s="2" t="str">
        <f t="shared" si="16"/>
        <v>6B2Z4 P1555</v>
      </c>
      <c r="L75" s="2" t="s">
        <v>122</v>
      </c>
      <c r="M75" s="56"/>
      <c r="N75" s="2">
        <v>0</v>
      </c>
      <c r="O75" s="2">
        <v>0</v>
      </c>
      <c r="P75" s="2">
        <v>25</v>
      </c>
      <c r="Q75" s="2">
        <v>3.0000000000000001E-3</v>
      </c>
      <c r="R75" s="2">
        <v>3.7000000000000002E-3</v>
      </c>
      <c r="S75" s="2">
        <v>25</v>
      </c>
      <c r="T75" s="2"/>
      <c r="U75" s="58">
        <v>3.7000000011175871E-3</v>
      </c>
      <c r="V75" s="57">
        <v>7.8934224134678738E-2</v>
      </c>
      <c r="W75" s="2">
        <v>-0.30734476741151529</v>
      </c>
      <c r="X75" s="58">
        <v>0</v>
      </c>
      <c r="Y75" s="2">
        <v>-3.9760947845931372E-4</v>
      </c>
      <c r="Z75" s="38">
        <v>8.6018280787818809E-4</v>
      </c>
      <c r="AA75" s="2">
        <v>1.5642</v>
      </c>
      <c r="AB75" s="2">
        <f t="shared" si="18"/>
        <v>0</v>
      </c>
      <c r="AC75" s="2" t="e">
        <f t="shared" si="19"/>
        <v>#VALUE!</v>
      </c>
      <c r="AD75" s="2">
        <f t="shared" si="20"/>
        <v>0</v>
      </c>
      <c r="AE75" s="62" t="e">
        <f t="shared" si="21"/>
        <v>#VALUE!</v>
      </c>
      <c r="AF75" s="63">
        <f t="shared" si="17"/>
        <v>0</v>
      </c>
      <c r="AG75" s="31" t="e">
        <f t="shared" si="22"/>
        <v>#VALUE!</v>
      </c>
      <c r="AH75">
        <f t="shared" si="23"/>
        <v>0</v>
      </c>
      <c r="AI75" s="53">
        <f t="shared" si="24"/>
        <v>37.000000011175871</v>
      </c>
      <c r="AJ75" s="53">
        <f t="shared" si="25"/>
        <v>0</v>
      </c>
      <c r="AK75" s="52">
        <f t="shared" si="14"/>
        <v>0</v>
      </c>
    </row>
    <row r="76" spans="2:37" x14ac:dyDescent="0.25">
      <c r="B76" s="2" t="s">
        <v>15</v>
      </c>
      <c r="C76" s="2" t="s">
        <v>58</v>
      </c>
      <c r="D76" s="2">
        <v>20141212</v>
      </c>
      <c r="E76" s="2">
        <v>1.56</v>
      </c>
      <c r="F76" s="2" t="s">
        <v>59</v>
      </c>
      <c r="G76" s="2">
        <v>62500</v>
      </c>
      <c r="H76" s="2" t="str">
        <f t="shared" si="15"/>
        <v>GLOBEX</v>
      </c>
      <c r="I76" s="2" t="s">
        <v>17</v>
      </c>
      <c r="J76" s="2" t="s">
        <v>16</v>
      </c>
      <c r="K76" s="2" t="str">
        <f t="shared" si="16"/>
        <v>6B2Z4 P1560</v>
      </c>
      <c r="L76" s="2" t="s">
        <v>122</v>
      </c>
      <c r="M76" s="56"/>
      <c r="N76" s="2">
        <v>0</v>
      </c>
      <c r="O76" s="2">
        <v>0</v>
      </c>
      <c r="P76" s="2">
        <v>25</v>
      </c>
      <c r="Q76" s="2">
        <v>4.4999999999999997E-3</v>
      </c>
      <c r="R76" s="2">
        <v>5.3E-3</v>
      </c>
      <c r="S76" s="2">
        <v>25</v>
      </c>
      <c r="T76" s="2"/>
      <c r="U76" s="58">
        <v>5.2999998442828655E-3</v>
      </c>
      <c r="V76" s="57">
        <v>7.6751744999702859E-2</v>
      </c>
      <c r="W76" s="2">
        <v>-0.40536358511188464</v>
      </c>
      <c r="X76" s="58">
        <v>0</v>
      </c>
      <c r="Y76" s="2">
        <v>-4.2732813817634654E-4</v>
      </c>
      <c r="Z76" s="38">
        <v>9.3336399045366829E-4</v>
      </c>
      <c r="AA76" s="2">
        <v>1.5642</v>
      </c>
      <c r="AB76" s="2">
        <f t="shared" si="18"/>
        <v>0</v>
      </c>
      <c r="AC76" s="2" t="e">
        <f t="shared" si="19"/>
        <v>#VALUE!</v>
      </c>
      <c r="AD76" s="2">
        <f t="shared" si="20"/>
        <v>0</v>
      </c>
      <c r="AE76" s="62" t="e">
        <f t="shared" si="21"/>
        <v>#VALUE!</v>
      </c>
      <c r="AF76" s="63">
        <f t="shared" si="17"/>
        <v>0</v>
      </c>
      <c r="AG76" s="31" t="e">
        <f t="shared" si="22"/>
        <v>#VALUE!</v>
      </c>
      <c r="AH76">
        <f t="shared" si="23"/>
        <v>0</v>
      </c>
      <c r="AI76" s="53">
        <f t="shared" si="24"/>
        <v>52.999998442828655</v>
      </c>
      <c r="AJ76" s="53">
        <f t="shared" si="25"/>
        <v>0</v>
      </c>
      <c r="AK76" s="52">
        <f t="shared" si="14"/>
        <v>0</v>
      </c>
    </row>
    <row r="77" spans="2:37" x14ac:dyDescent="0.25">
      <c r="B77" s="2" t="s">
        <v>15</v>
      </c>
      <c r="C77" s="2" t="s">
        <v>58</v>
      </c>
      <c r="D77" s="2">
        <v>20141212</v>
      </c>
      <c r="E77" s="2">
        <v>1.5649999999999999</v>
      </c>
      <c r="F77" s="2" t="s">
        <v>59</v>
      </c>
      <c r="G77" s="2">
        <v>62500</v>
      </c>
      <c r="H77" s="2" t="str">
        <f t="shared" si="15"/>
        <v>GLOBEX</v>
      </c>
      <c r="I77" s="2" t="s">
        <v>17</v>
      </c>
      <c r="J77" s="2" t="s">
        <v>16</v>
      </c>
      <c r="K77" s="2" t="str">
        <f t="shared" si="16"/>
        <v>6B2Z4 P1565</v>
      </c>
      <c r="L77" s="2" t="s">
        <v>122</v>
      </c>
      <c r="M77" s="56"/>
      <c r="N77" s="2">
        <v>0</v>
      </c>
      <c r="O77" s="2">
        <v>0</v>
      </c>
      <c r="P77" s="2">
        <v>20</v>
      </c>
      <c r="Q77" s="2">
        <v>6.6E-3</v>
      </c>
      <c r="R77" s="2">
        <v>7.4000000000000003E-3</v>
      </c>
      <c r="S77" s="2">
        <v>20</v>
      </c>
      <c r="T77" s="2"/>
      <c r="U77" s="58">
        <v>7.4000000022351742E-3</v>
      </c>
      <c r="V77" s="57">
        <v>7.4396303419425852E-2</v>
      </c>
      <c r="W77" s="2">
        <v>-0.5158690329125325</v>
      </c>
      <c r="X77" s="58">
        <v>0</v>
      </c>
      <c r="Y77" s="2">
        <v>-4.2621403421939149E-4</v>
      </c>
      <c r="Z77" s="38">
        <v>9.3486136098653271E-4</v>
      </c>
      <c r="AA77" s="2">
        <v>1.5642</v>
      </c>
      <c r="AB77" s="2">
        <f t="shared" si="18"/>
        <v>0</v>
      </c>
      <c r="AC77" s="2" t="e">
        <f t="shared" si="19"/>
        <v>#VALUE!</v>
      </c>
      <c r="AD77" s="2">
        <f t="shared" si="20"/>
        <v>0</v>
      </c>
      <c r="AE77" s="62" t="e">
        <f t="shared" si="21"/>
        <v>#VALUE!</v>
      </c>
      <c r="AF77" s="63">
        <f t="shared" si="17"/>
        <v>0</v>
      </c>
      <c r="AG77" s="31" t="e">
        <f t="shared" si="22"/>
        <v>#VALUE!</v>
      </c>
      <c r="AH77">
        <f t="shared" si="23"/>
        <v>0</v>
      </c>
      <c r="AI77" s="53">
        <f t="shared" si="24"/>
        <v>74.000000022351742</v>
      </c>
      <c r="AJ77" s="53">
        <f t="shared" si="25"/>
        <v>0</v>
      </c>
      <c r="AK77" s="52">
        <f t="shared" si="14"/>
        <v>0</v>
      </c>
    </row>
    <row r="78" spans="2:37" x14ac:dyDescent="0.25">
      <c r="B78" s="2" t="s">
        <v>15</v>
      </c>
      <c r="C78" s="2" t="s">
        <v>58</v>
      </c>
      <c r="D78" s="2">
        <v>20141212</v>
      </c>
      <c r="E78" s="2">
        <v>1.57</v>
      </c>
      <c r="F78" s="2" t="s">
        <v>59</v>
      </c>
      <c r="G78" s="2">
        <v>62500</v>
      </c>
      <c r="H78" s="2" t="str">
        <f t="shared" si="15"/>
        <v>GLOBEX</v>
      </c>
      <c r="I78" s="2" t="s">
        <v>17</v>
      </c>
      <c r="J78" s="2" t="s">
        <v>16</v>
      </c>
      <c r="K78" s="2" t="str">
        <f t="shared" si="16"/>
        <v>6B2Z4 P1570</v>
      </c>
      <c r="L78" s="2" t="s">
        <v>122</v>
      </c>
      <c r="M78" s="56"/>
      <c r="N78" s="2">
        <v>8.0999999999999996E-3</v>
      </c>
      <c r="O78" s="2">
        <v>20</v>
      </c>
      <c r="P78" s="2">
        <v>20</v>
      </c>
      <c r="Q78" s="2">
        <v>9.2999999999999992E-3</v>
      </c>
      <c r="R78" s="2">
        <v>1.0200000000000001E-2</v>
      </c>
      <c r="S78" s="2">
        <v>20</v>
      </c>
      <c r="T78" s="2"/>
      <c r="U78" s="58">
        <v>9.849963790279654E-3</v>
      </c>
      <c r="V78" s="57">
        <v>6.9398557905767433E-2</v>
      </c>
      <c r="W78" s="2">
        <v>-0.63690171392061634</v>
      </c>
      <c r="X78" s="58">
        <v>0</v>
      </c>
      <c r="Y78" s="2">
        <v>-3.7354043882210003E-4</v>
      </c>
      <c r="Z78" s="38">
        <v>8.6433033212210582E-4</v>
      </c>
      <c r="AA78" s="2">
        <v>1.5642</v>
      </c>
      <c r="AB78" s="2">
        <f t="shared" si="18"/>
        <v>0</v>
      </c>
      <c r="AC78" s="2" t="e">
        <f t="shared" si="19"/>
        <v>#VALUE!</v>
      </c>
      <c r="AD78" s="2">
        <f t="shared" si="20"/>
        <v>0</v>
      </c>
      <c r="AE78" s="62" t="e">
        <f t="shared" si="21"/>
        <v>#VALUE!</v>
      </c>
      <c r="AF78" s="63">
        <f t="shared" si="17"/>
        <v>0</v>
      </c>
      <c r="AG78" s="31" t="e">
        <f t="shared" si="22"/>
        <v>#VALUE!</v>
      </c>
      <c r="AH78">
        <f t="shared" si="23"/>
        <v>49.000000000001265</v>
      </c>
      <c r="AI78" s="53">
        <f t="shared" si="24"/>
        <v>49.499637902795271</v>
      </c>
      <c r="AJ78" s="53">
        <f t="shared" si="25"/>
        <v>0</v>
      </c>
      <c r="AK78" s="52">
        <f t="shared" si="14"/>
        <v>0</v>
      </c>
    </row>
    <row r="79" spans="2:37" x14ac:dyDescent="0.25">
      <c r="B79" s="2" t="s">
        <v>15</v>
      </c>
      <c r="C79" s="2" t="s">
        <v>58</v>
      </c>
      <c r="D79" s="2">
        <v>20141212</v>
      </c>
      <c r="E79" s="2">
        <v>1.575</v>
      </c>
      <c r="F79" s="2" t="s">
        <v>59</v>
      </c>
      <c r="G79" s="2">
        <v>62500</v>
      </c>
      <c r="H79" s="2" t="str">
        <f t="shared" si="15"/>
        <v>GLOBEX</v>
      </c>
      <c r="I79" s="2" t="s">
        <v>17</v>
      </c>
      <c r="J79" s="2" t="s">
        <v>16</v>
      </c>
      <c r="K79" s="2" t="str">
        <f t="shared" si="16"/>
        <v>6B2Z4 P1575</v>
      </c>
      <c r="L79" s="2" t="s">
        <v>122</v>
      </c>
      <c r="M79" s="56"/>
      <c r="N79" s="2">
        <v>0</v>
      </c>
      <c r="O79" s="2">
        <v>0</v>
      </c>
      <c r="P79" s="2">
        <v>20</v>
      </c>
      <c r="Q79" s="2">
        <v>1.2500000000000001E-2</v>
      </c>
      <c r="R79" s="2">
        <v>1.3899999999999999E-2</v>
      </c>
      <c r="S79" s="2">
        <v>20</v>
      </c>
      <c r="T79" s="2"/>
      <c r="U79" s="58">
        <v>1.3283389033889077E-2</v>
      </c>
      <c r="V79" s="57">
        <v>6.881898206473025E-2</v>
      </c>
      <c r="W79" s="2">
        <v>-0.74548194298778125</v>
      </c>
      <c r="X79" s="58">
        <v>0</v>
      </c>
      <c r="Y79" s="2">
        <v>-3.1622184771077586E-4</v>
      </c>
      <c r="Z79" s="38">
        <v>7.3745516222636226E-4</v>
      </c>
      <c r="AA79" s="2">
        <v>1.5642</v>
      </c>
      <c r="AB79" s="2">
        <f t="shared" si="18"/>
        <v>0</v>
      </c>
      <c r="AC79" s="2" t="e">
        <f t="shared" si="19"/>
        <v>#VALUE!</v>
      </c>
      <c r="AD79" s="2">
        <f t="shared" si="20"/>
        <v>0</v>
      </c>
      <c r="AE79" s="62" t="e">
        <f t="shared" si="21"/>
        <v>#VALUE!</v>
      </c>
      <c r="AF79" s="63">
        <f t="shared" si="17"/>
        <v>0</v>
      </c>
      <c r="AG79" s="31" t="e">
        <f t="shared" si="22"/>
        <v>#VALUE!</v>
      </c>
      <c r="AH79">
        <f t="shared" si="23"/>
        <v>99.000000000000199</v>
      </c>
      <c r="AI79" s="53">
        <f t="shared" si="24"/>
        <v>33.833890338890569</v>
      </c>
      <c r="AJ79" s="53">
        <f t="shared" si="25"/>
        <v>0</v>
      </c>
      <c r="AK79" s="52">
        <f t="shared" si="14"/>
        <v>0</v>
      </c>
    </row>
    <row r="80" spans="2:37" x14ac:dyDescent="0.25">
      <c r="B80" s="2" t="s">
        <v>15</v>
      </c>
      <c r="C80" s="2" t="s">
        <v>58</v>
      </c>
      <c r="D80" s="2">
        <v>20141212</v>
      </c>
      <c r="E80" s="2">
        <v>1.58</v>
      </c>
      <c r="F80" s="2" t="s">
        <v>59</v>
      </c>
      <c r="G80" s="2">
        <v>62500</v>
      </c>
      <c r="H80" s="2" t="str">
        <f t="shared" si="15"/>
        <v>GLOBEX</v>
      </c>
      <c r="I80" s="2" t="s">
        <v>17</v>
      </c>
      <c r="J80" s="2" t="s">
        <v>16</v>
      </c>
      <c r="K80" s="2" t="str">
        <f t="shared" si="16"/>
        <v>6B2Z4 P1580</v>
      </c>
      <c r="L80" s="2" t="s">
        <v>122</v>
      </c>
      <c r="M80" s="56"/>
      <c r="N80" s="2">
        <v>0</v>
      </c>
      <c r="O80" s="2">
        <v>0</v>
      </c>
      <c r="P80" s="2">
        <v>20</v>
      </c>
      <c r="Q80" s="2">
        <v>1.6299999999999999E-2</v>
      </c>
      <c r="R80" s="2">
        <v>1.8100000000000002E-2</v>
      </c>
      <c r="S80" s="2">
        <v>20</v>
      </c>
      <c r="T80" s="2"/>
      <c r="U80" s="58">
        <v>1.7238446061206374E-2</v>
      </c>
      <c r="V80" s="57">
        <v>6.8659098500514659E-2</v>
      </c>
      <c r="W80" s="2">
        <v>-0.83383467431171088</v>
      </c>
      <c r="X80" s="58">
        <v>0</v>
      </c>
      <c r="Y80" s="2">
        <v>-2.4504692679877814E-4</v>
      </c>
      <c r="Z80" s="38">
        <v>5.803494090360975E-4</v>
      </c>
      <c r="AA80" s="2">
        <v>1.5642</v>
      </c>
      <c r="AB80" s="2">
        <f t="shared" si="18"/>
        <v>0</v>
      </c>
      <c r="AC80" s="2" t="e">
        <f t="shared" si="19"/>
        <v>#VALUE!</v>
      </c>
      <c r="AD80" s="2">
        <f t="shared" si="20"/>
        <v>0</v>
      </c>
      <c r="AE80" s="62" t="e">
        <f t="shared" si="21"/>
        <v>#VALUE!</v>
      </c>
      <c r="AF80" s="63">
        <f t="shared" si="17"/>
        <v>0</v>
      </c>
      <c r="AG80" s="31" t="e">
        <f t="shared" si="22"/>
        <v>#VALUE!</v>
      </c>
      <c r="AH80">
        <f t="shared" si="23"/>
        <v>149.00000000000136</v>
      </c>
      <c r="AI80" s="53">
        <f t="shared" si="24"/>
        <v>23.384460612062384</v>
      </c>
      <c r="AJ80" s="53">
        <f t="shared" si="25"/>
        <v>0</v>
      </c>
      <c r="AK80" s="52">
        <f t="shared" si="14"/>
        <v>0</v>
      </c>
    </row>
    <row r="81" spans="2:37" x14ac:dyDescent="0.25">
      <c r="B81" s="2" t="s">
        <v>15</v>
      </c>
      <c r="C81" s="2" t="s">
        <v>58</v>
      </c>
      <c r="D81" s="2">
        <v>20141212</v>
      </c>
      <c r="E81" s="2">
        <v>1.585</v>
      </c>
      <c r="F81" s="2" t="s">
        <v>59</v>
      </c>
      <c r="G81" s="2">
        <v>62500</v>
      </c>
      <c r="H81" s="2" t="str">
        <f t="shared" si="15"/>
        <v>GLOBEX</v>
      </c>
      <c r="I81" s="2" t="s">
        <v>17</v>
      </c>
      <c r="J81" s="2" t="s">
        <v>16</v>
      </c>
      <c r="K81" s="2" t="str">
        <f t="shared" si="16"/>
        <v>6B2Z4 P1585</v>
      </c>
      <c r="L81" s="2" t="s">
        <v>122</v>
      </c>
      <c r="M81" s="56"/>
      <c r="N81" s="2">
        <v>0</v>
      </c>
      <c r="O81" s="2">
        <v>0</v>
      </c>
      <c r="P81" s="2">
        <v>20</v>
      </c>
      <c r="Q81" s="2">
        <v>2.0500000000000001E-2</v>
      </c>
      <c r="R81" s="2">
        <v>2.2599999999999999E-2</v>
      </c>
      <c r="S81" s="2">
        <v>20</v>
      </c>
      <c r="T81" s="2"/>
      <c r="U81" s="58">
        <v>2.1592768441763846E-2</v>
      </c>
      <c r="V81" s="57">
        <v>6.8918907213120661E-2</v>
      </c>
      <c r="W81" s="2">
        <v>-0.89843898729750027</v>
      </c>
      <c r="X81" s="58">
        <v>0.31230709313196536</v>
      </c>
      <c r="Y81" s="2">
        <v>-1.7512937547703081E-4</v>
      </c>
      <c r="Z81" s="38">
        <v>4.4260838687426585E-4</v>
      </c>
      <c r="AA81" s="2">
        <v>1.5642</v>
      </c>
      <c r="AB81" s="2">
        <f t="shared" si="18"/>
        <v>0</v>
      </c>
      <c r="AC81" s="2" t="e">
        <f t="shared" si="19"/>
        <v>#VALUE!</v>
      </c>
      <c r="AD81" s="2">
        <f t="shared" si="20"/>
        <v>0</v>
      </c>
      <c r="AE81" s="62" t="e">
        <f t="shared" si="21"/>
        <v>#VALUE!</v>
      </c>
      <c r="AF81" s="63">
        <f t="shared" si="17"/>
        <v>0</v>
      </c>
      <c r="AG81" s="31" t="e">
        <f t="shared" si="22"/>
        <v>#VALUE!</v>
      </c>
      <c r="AH81">
        <f t="shared" si="23"/>
        <v>199.00000000000028</v>
      </c>
      <c r="AI81" s="53">
        <f t="shared" si="24"/>
        <v>16.927684417638176</v>
      </c>
      <c r="AJ81" s="53">
        <f t="shared" si="25"/>
        <v>0</v>
      </c>
      <c r="AK81" s="52">
        <f t="shared" si="14"/>
        <v>0</v>
      </c>
    </row>
    <row r="82" spans="2:37" x14ac:dyDescent="0.25">
      <c r="B82" s="2" t="s">
        <v>15</v>
      </c>
      <c r="C82" s="2" t="s">
        <v>58</v>
      </c>
      <c r="D82" s="2">
        <v>20141212</v>
      </c>
      <c r="E82" s="2">
        <v>1.59</v>
      </c>
      <c r="F82" s="2" t="s">
        <v>59</v>
      </c>
      <c r="G82" s="2">
        <v>62500</v>
      </c>
      <c r="H82" s="2" t="str">
        <f t="shared" si="15"/>
        <v>GLOBEX</v>
      </c>
      <c r="I82" s="2" t="s">
        <v>17</v>
      </c>
      <c r="J82" s="2" t="s">
        <v>16</v>
      </c>
      <c r="K82" s="2" t="str">
        <f t="shared" si="16"/>
        <v>6B2Z4 P1590</v>
      </c>
      <c r="L82" s="2" t="s">
        <v>122</v>
      </c>
      <c r="M82" s="56"/>
      <c r="N82" s="2">
        <v>0</v>
      </c>
      <c r="O82" s="2">
        <v>0</v>
      </c>
      <c r="P82" s="2">
        <v>20</v>
      </c>
      <c r="Q82" s="2">
        <v>2.5100000000000001E-2</v>
      </c>
      <c r="R82" s="2">
        <v>2.7300000000000001E-2</v>
      </c>
      <c r="S82" s="2">
        <v>20</v>
      </c>
      <c r="T82" s="2"/>
      <c r="U82" s="58">
        <v>2.6221137682861727E-2</v>
      </c>
      <c r="V82" s="57">
        <v>6.9598408202555362E-2</v>
      </c>
      <c r="W82" s="2">
        <v>-0.941242699965532</v>
      </c>
      <c r="X82" s="58">
        <v>1.4557493288944705E-10</v>
      </c>
      <c r="Y82" s="2">
        <v>-1.1700372223668011E-4</v>
      </c>
      <c r="Z82" s="38">
        <v>3.1968125444058887E-4</v>
      </c>
      <c r="AA82" s="2">
        <v>1.5642</v>
      </c>
      <c r="AB82" s="2">
        <f t="shared" si="18"/>
        <v>0</v>
      </c>
      <c r="AC82" s="2" t="e">
        <f t="shared" si="19"/>
        <v>#VALUE!</v>
      </c>
      <c r="AD82" s="2">
        <f t="shared" si="20"/>
        <v>0</v>
      </c>
      <c r="AE82" s="62" t="e">
        <f t="shared" si="21"/>
        <v>#VALUE!</v>
      </c>
      <c r="AF82" s="63">
        <f t="shared" si="17"/>
        <v>0</v>
      </c>
      <c r="AG82" s="31" t="e">
        <f t="shared" si="22"/>
        <v>#VALUE!</v>
      </c>
      <c r="AH82">
        <f t="shared" si="23"/>
        <v>249.00000000000145</v>
      </c>
      <c r="AI82" s="53">
        <f t="shared" si="24"/>
        <v>13.21137682861584</v>
      </c>
      <c r="AJ82" s="53">
        <f t="shared" si="25"/>
        <v>0</v>
      </c>
      <c r="AK82" s="52">
        <f t="shared" si="14"/>
        <v>0</v>
      </c>
    </row>
    <row r="83" spans="2:37" x14ac:dyDescent="0.25">
      <c r="B83" s="2" t="s">
        <v>15</v>
      </c>
      <c r="C83" s="2" t="s">
        <v>58</v>
      </c>
      <c r="D83" s="2">
        <v>20141212</v>
      </c>
      <c r="E83" s="2">
        <v>1.595</v>
      </c>
      <c r="F83" s="2" t="s">
        <v>59</v>
      </c>
      <c r="G83" s="2">
        <v>62500</v>
      </c>
      <c r="H83" s="2" t="str">
        <f t="shared" si="15"/>
        <v>GLOBEX</v>
      </c>
      <c r="I83" s="2" t="s">
        <v>17</v>
      </c>
      <c r="J83" s="2" t="s">
        <v>16</v>
      </c>
      <c r="K83" s="2" t="str">
        <f t="shared" si="16"/>
        <v>6B2Z4 P1595</v>
      </c>
      <c r="L83" s="2" t="s">
        <v>122</v>
      </c>
      <c r="M83" s="56"/>
      <c r="N83" s="2">
        <v>0</v>
      </c>
      <c r="O83" s="2">
        <v>0</v>
      </c>
      <c r="P83" s="2">
        <v>20</v>
      </c>
      <c r="Q83" s="2">
        <v>2.9899999999999999E-2</v>
      </c>
      <c r="R83" s="2">
        <v>3.2099999999999997E-2</v>
      </c>
      <c r="S83" s="2">
        <v>20</v>
      </c>
      <c r="T83" s="2"/>
      <c r="U83" s="58">
        <v>3.101912880198604E-2</v>
      </c>
      <c r="V83" s="57">
        <v>7.0697601468808102E-2</v>
      </c>
      <c r="W83" s="2">
        <v>-0.96735155062787792</v>
      </c>
      <c r="X83" s="58">
        <v>0.95512081462560372</v>
      </c>
      <c r="Y83" s="2">
        <v>-7.4427053950772829E-5</v>
      </c>
      <c r="Z83" s="38">
        <v>2.2006132875511744E-4</v>
      </c>
      <c r="AA83" s="2">
        <v>1.5642</v>
      </c>
      <c r="AB83" s="2">
        <f t="shared" si="18"/>
        <v>0</v>
      </c>
      <c r="AC83" s="2" t="e">
        <f t="shared" si="19"/>
        <v>#VALUE!</v>
      </c>
      <c r="AD83" s="2">
        <f t="shared" si="20"/>
        <v>0</v>
      </c>
      <c r="AE83" s="62" t="e">
        <f t="shared" si="21"/>
        <v>#VALUE!</v>
      </c>
      <c r="AF83" s="63">
        <f t="shared" si="17"/>
        <v>0</v>
      </c>
      <c r="AG83" s="31" t="e">
        <f t="shared" si="22"/>
        <v>#VALUE!</v>
      </c>
      <c r="AH83">
        <f t="shared" si="23"/>
        <v>299.0000000000004</v>
      </c>
      <c r="AI83" s="53">
        <f t="shared" si="24"/>
        <v>11.191288019859996</v>
      </c>
      <c r="AJ83" s="53">
        <f t="shared" si="25"/>
        <v>0</v>
      </c>
      <c r="AK83" s="52">
        <f t="shared" si="14"/>
        <v>0</v>
      </c>
    </row>
    <row r="84" spans="2:37" x14ac:dyDescent="0.25">
      <c r="B84" s="2" t="s">
        <v>15</v>
      </c>
      <c r="C84" s="2" t="s">
        <v>58</v>
      </c>
      <c r="D84" s="2">
        <v>20141212</v>
      </c>
      <c r="E84" s="2">
        <v>1.6</v>
      </c>
      <c r="F84" s="2" t="s">
        <v>59</v>
      </c>
      <c r="G84" s="2">
        <v>62500</v>
      </c>
      <c r="H84" s="2" t="str">
        <f t="shared" si="15"/>
        <v>GLOBEX</v>
      </c>
      <c r="I84" s="2" t="s">
        <v>17</v>
      </c>
      <c r="J84" s="2" t="s">
        <v>16</v>
      </c>
      <c r="K84" s="2" t="str">
        <f t="shared" si="16"/>
        <v>6B2Z4 P1600</v>
      </c>
      <c r="L84" s="2" t="s">
        <v>122</v>
      </c>
      <c r="M84" s="56"/>
      <c r="N84" s="2">
        <v>0</v>
      </c>
      <c r="O84" s="2">
        <v>0</v>
      </c>
      <c r="P84" s="2">
        <v>20</v>
      </c>
      <c r="Q84" s="2">
        <v>3.4799999999999998E-2</v>
      </c>
      <c r="R84" s="2">
        <v>3.7100000000000001E-2</v>
      </c>
      <c r="S84" s="2">
        <v>20</v>
      </c>
      <c r="T84" s="2"/>
      <c r="U84" s="58">
        <v>3.5913001313962231E-2</v>
      </c>
      <c r="V84" s="57">
        <v>7.2216487011885988E-2</v>
      </c>
      <c r="W84" s="2">
        <v>-0.98238765674169393</v>
      </c>
      <c r="X84" s="58">
        <v>8.8368733316568249E-2</v>
      </c>
      <c r="Y84" s="2">
        <v>-4.5882789192456088E-5</v>
      </c>
      <c r="Z84" s="38">
        <v>1.4465128217956008E-4</v>
      </c>
      <c r="AA84" s="2">
        <v>1.5642</v>
      </c>
      <c r="AB84" s="2">
        <f t="shared" si="18"/>
        <v>0</v>
      </c>
      <c r="AC84" s="2" t="e">
        <f t="shared" si="19"/>
        <v>#VALUE!</v>
      </c>
      <c r="AD84" s="2">
        <f t="shared" si="20"/>
        <v>0</v>
      </c>
      <c r="AE84" s="62" t="e">
        <f t="shared" si="21"/>
        <v>#VALUE!</v>
      </c>
      <c r="AF84" s="63">
        <f t="shared" si="17"/>
        <v>0</v>
      </c>
      <c r="AG84" s="31" t="e">
        <f t="shared" si="22"/>
        <v>#VALUE!</v>
      </c>
      <c r="AH84">
        <f t="shared" si="23"/>
        <v>349.00000000000153</v>
      </c>
      <c r="AI84" s="53">
        <f t="shared" si="24"/>
        <v>10.130013139620758</v>
      </c>
      <c r="AJ84" s="53">
        <f t="shared" si="25"/>
        <v>0</v>
      </c>
      <c r="AK84" s="52">
        <f t="shared" si="14"/>
        <v>0</v>
      </c>
    </row>
    <row r="85" spans="2:37" x14ac:dyDescent="0.25">
      <c r="B85" s="2" t="s">
        <v>15</v>
      </c>
      <c r="C85" s="2" t="s">
        <v>58</v>
      </c>
      <c r="D85" s="2">
        <v>20141212</v>
      </c>
      <c r="E85" s="2">
        <v>1.605</v>
      </c>
      <c r="F85" s="2" t="s">
        <v>59</v>
      </c>
      <c r="G85" s="2">
        <v>62500</v>
      </c>
      <c r="H85" s="2" t="str">
        <f t="shared" si="15"/>
        <v>GLOBEX</v>
      </c>
      <c r="I85" s="2" t="s">
        <v>17</v>
      </c>
      <c r="J85" s="2" t="s">
        <v>16</v>
      </c>
      <c r="K85" s="2" t="str">
        <f t="shared" si="16"/>
        <v>6B2Z4 P1605</v>
      </c>
      <c r="L85" s="2" t="s">
        <v>122</v>
      </c>
      <c r="M85" s="56"/>
      <c r="N85" s="2">
        <v>0</v>
      </c>
      <c r="O85" s="2">
        <v>0</v>
      </c>
      <c r="P85" s="2">
        <v>20</v>
      </c>
      <c r="Q85" s="2">
        <v>3.9699999999999999E-2</v>
      </c>
      <c r="R85" s="2">
        <v>4.2000000000000003E-2</v>
      </c>
      <c r="S85" s="2">
        <v>20</v>
      </c>
      <c r="T85" s="2"/>
      <c r="U85" s="58">
        <v>4.0857647090208234E-2</v>
      </c>
      <c r="V85" s="57">
        <v>7.4155064831785467E-2</v>
      </c>
      <c r="W85" s="2">
        <v>-0.99081709690255992</v>
      </c>
      <c r="X85" s="58">
        <v>0.96871027631197282</v>
      </c>
      <c r="Y85" s="2">
        <v>-2.7631934819026774E-5</v>
      </c>
      <c r="Z85" s="38">
        <v>9.0414758917051197E-5</v>
      </c>
      <c r="AA85" s="2">
        <v>1.5642</v>
      </c>
      <c r="AB85" s="2">
        <f t="shared" si="18"/>
        <v>0</v>
      </c>
      <c r="AC85" s="2" t="e">
        <f t="shared" si="19"/>
        <v>#VALUE!</v>
      </c>
      <c r="AD85" s="2">
        <f t="shared" si="20"/>
        <v>0</v>
      </c>
      <c r="AE85" s="62" t="e">
        <f t="shared" si="21"/>
        <v>#VALUE!</v>
      </c>
      <c r="AF85" s="63">
        <f t="shared" si="17"/>
        <v>0</v>
      </c>
      <c r="AG85" s="31" t="e">
        <f t="shared" si="22"/>
        <v>#VALUE!</v>
      </c>
      <c r="AH85">
        <f t="shared" si="23"/>
        <v>399.00000000000045</v>
      </c>
      <c r="AI85" s="53">
        <f t="shared" si="24"/>
        <v>9.5764709020818941</v>
      </c>
      <c r="AJ85" s="53">
        <f t="shared" si="25"/>
        <v>0</v>
      </c>
      <c r="AK85" s="52">
        <f t="shared" si="14"/>
        <v>0</v>
      </c>
    </row>
    <row r="86" spans="2:37" x14ac:dyDescent="0.25">
      <c r="B86" s="2" t="s">
        <v>15</v>
      </c>
      <c r="C86" s="2" t="s">
        <v>58</v>
      </c>
      <c r="D86" s="2">
        <v>20141212</v>
      </c>
      <c r="E86" s="2">
        <v>1.61</v>
      </c>
      <c r="F86" s="2" t="s">
        <v>59</v>
      </c>
      <c r="G86" s="2">
        <v>62500</v>
      </c>
      <c r="H86" s="2" t="str">
        <f t="shared" si="15"/>
        <v>GLOBEX</v>
      </c>
      <c r="I86" s="2" t="s">
        <v>17</v>
      </c>
      <c r="J86" s="2" t="s">
        <v>16</v>
      </c>
      <c r="K86" s="2" t="str">
        <f t="shared" si="16"/>
        <v>6B2Z4 P1610</v>
      </c>
      <c r="L86" s="2" t="s">
        <v>122</v>
      </c>
      <c r="M86" s="56"/>
      <c r="N86" s="2">
        <v>0</v>
      </c>
      <c r="O86" s="2">
        <v>0</v>
      </c>
      <c r="P86" s="2">
        <v>20</v>
      </c>
      <c r="Q86" s="2">
        <v>4.4699999999999997E-2</v>
      </c>
      <c r="R86" s="2">
        <v>4.7E-2</v>
      </c>
      <c r="S86" s="2">
        <v>20</v>
      </c>
      <c r="T86" s="2"/>
      <c r="U86" s="58">
        <v>4.5831666032853526E-2</v>
      </c>
      <c r="V86" s="57">
        <v>7.6513334928510091E-2</v>
      </c>
      <c r="W86" s="2">
        <v>-0.99506620802919665</v>
      </c>
      <c r="X86" s="58">
        <v>0.89302224548306097</v>
      </c>
      <c r="Y86" s="2">
        <v>-1.7196847431938451E-5</v>
      </c>
      <c r="Z86" s="38">
        <v>5.8489489376818693E-5</v>
      </c>
      <c r="AA86" s="2">
        <v>1.5642</v>
      </c>
      <c r="AB86" s="2">
        <f t="shared" si="18"/>
        <v>0</v>
      </c>
      <c r="AC86" s="2" t="e">
        <f t="shared" si="19"/>
        <v>#VALUE!</v>
      </c>
      <c r="AD86" s="2">
        <f t="shared" si="20"/>
        <v>0</v>
      </c>
      <c r="AE86" s="62" t="e">
        <f t="shared" si="21"/>
        <v>#VALUE!</v>
      </c>
      <c r="AF86" s="63">
        <f t="shared" si="17"/>
        <v>0</v>
      </c>
      <c r="AG86" s="31" t="e">
        <f t="shared" si="22"/>
        <v>#VALUE!</v>
      </c>
      <c r="AH86">
        <f t="shared" si="23"/>
        <v>449.00000000000159</v>
      </c>
      <c r="AI86" s="53">
        <f t="shared" si="24"/>
        <v>9.3166603285336578</v>
      </c>
      <c r="AJ86" s="53">
        <f t="shared" si="25"/>
        <v>0</v>
      </c>
      <c r="AK86" s="52">
        <f t="shared" si="14"/>
        <v>0</v>
      </c>
    </row>
    <row r="87" spans="2:37" x14ac:dyDescent="0.25">
      <c r="B87" s="2" t="s">
        <v>15</v>
      </c>
      <c r="C87" s="2" t="s">
        <v>58</v>
      </c>
      <c r="D87" s="2">
        <v>20141212</v>
      </c>
      <c r="E87" s="2">
        <v>1.615</v>
      </c>
      <c r="F87" s="2" t="s">
        <v>59</v>
      </c>
      <c r="G87" s="2">
        <v>62500</v>
      </c>
      <c r="H87" s="2" t="str">
        <f t="shared" si="15"/>
        <v>GLOBEX</v>
      </c>
      <c r="I87" s="2" t="s">
        <v>17</v>
      </c>
      <c r="J87" s="2" t="s">
        <v>16</v>
      </c>
      <c r="K87" s="2" t="str">
        <f t="shared" si="16"/>
        <v>6B2Z4 P1615</v>
      </c>
      <c r="L87" s="2" t="s">
        <v>122</v>
      </c>
      <c r="M87" s="56"/>
      <c r="N87" s="2">
        <v>0</v>
      </c>
      <c r="O87" s="2">
        <v>0</v>
      </c>
      <c r="P87" s="2">
        <v>20</v>
      </c>
      <c r="Q87" s="2">
        <v>4.9700000000000001E-2</v>
      </c>
      <c r="R87" s="2">
        <v>5.1999999999999998E-2</v>
      </c>
      <c r="S87" s="2">
        <v>20</v>
      </c>
      <c r="T87" s="2"/>
      <c r="U87" s="58">
        <v>5.0818822908783166E-2</v>
      </c>
      <c r="V87" s="57">
        <v>7.9291297302056307E-2</v>
      </c>
      <c r="W87" s="2">
        <v>-0.99725158365350686</v>
      </c>
      <c r="X87" s="58">
        <v>0.55577517275093047</v>
      </c>
      <c r="Y87" s="2">
        <v>-1.1360915932008898E-5</v>
      </c>
      <c r="Z87" s="38">
        <v>3.9133684143988212E-5</v>
      </c>
      <c r="AA87" s="2">
        <v>1.5642</v>
      </c>
      <c r="AB87" s="2">
        <f t="shared" si="18"/>
        <v>0</v>
      </c>
      <c r="AC87" s="2" t="e">
        <f t="shared" si="19"/>
        <v>#VALUE!</v>
      </c>
      <c r="AD87" s="2">
        <f t="shared" si="20"/>
        <v>0</v>
      </c>
      <c r="AE87" s="62" t="e">
        <f t="shared" si="21"/>
        <v>#VALUE!</v>
      </c>
      <c r="AF87" s="63">
        <f t="shared" si="17"/>
        <v>0</v>
      </c>
      <c r="AG87" s="31" t="e">
        <f t="shared" si="22"/>
        <v>#VALUE!</v>
      </c>
      <c r="AH87">
        <f t="shared" si="23"/>
        <v>499.00000000000057</v>
      </c>
      <c r="AI87" s="53">
        <f t="shared" si="24"/>
        <v>9.1882290878310755</v>
      </c>
      <c r="AJ87" s="53">
        <f t="shared" si="25"/>
        <v>0</v>
      </c>
      <c r="AK87" s="52">
        <f t="shared" si="14"/>
        <v>0</v>
      </c>
    </row>
    <row r="88" spans="2:37" x14ac:dyDescent="0.25">
      <c r="B88" s="2" t="s">
        <v>15</v>
      </c>
      <c r="C88" s="2" t="s">
        <v>58</v>
      </c>
      <c r="D88" s="2">
        <v>20141212</v>
      </c>
      <c r="E88" s="2">
        <v>1.62</v>
      </c>
      <c r="F88" s="2" t="s">
        <v>59</v>
      </c>
      <c r="G88" s="2">
        <v>62500</v>
      </c>
      <c r="H88" s="2" t="str">
        <f t="shared" si="15"/>
        <v>GLOBEX</v>
      </c>
      <c r="I88" s="2" t="s">
        <v>17</v>
      </c>
      <c r="J88" s="2" t="s">
        <v>16</v>
      </c>
      <c r="K88" s="2" t="str">
        <f t="shared" si="16"/>
        <v>6B2Z4 P1620</v>
      </c>
      <c r="L88" s="2" t="s">
        <v>122</v>
      </c>
      <c r="M88" s="56"/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/>
      <c r="U88" s="58">
        <v>5.5810241044231573E-2</v>
      </c>
      <c r="V88" s="57">
        <v>8.2488951952424117E-2</v>
      </c>
      <c r="W88" s="2">
        <v>-0.99872032790875331</v>
      </c>
      <c r="X88" s="58">
        <v>0.32862269706191033</v>
      </c>
      <c r="Y88" s="2">
        <v>-7.1170250806483598E-6</v>
      </c>
      <c r="Z88" s="38">
        <v>2.6133492212039588E-5</v>
      </c>
      <c r="AA88" s="2">
        <v>1.5642</v>
      </c>
      <c r="AB88" s="2">
        <f t="shared" si="18"/>
        <v>0</v>
      </c>
      <c r="AC88" s="2" t="e">
        <f t="shared" si="19"/>
        <v>#VALUE!</v>
      </c>
      <c r="AD88" s="2">
        <f t="shared" si="20"/>
        <v>0</v>
      </c>
      <c r="AE88" s="62" t="e">
        <f t="shared" si="21"/>
        <v>#VALUE!</v>
      </c>
      <c r="AF88" s="63">
        <f t="shared" si="17"/>
        <v>0</v>
      </c>
      <c r="AG88" s="31" t="e">
        <f t="shared" si="22"/>
        <v>#VALUE!</v>
      </c>
      <c r="AH88">
        <f t="shared" si="23"/>
        <v>549.00000000000171</v>
      </c>
      <c r="AI88" s="53">
        <f t="shared" si="24"/>
        <v>9.102410442314067</v>
      </c>
      <c r="AJ88" s="53">
        <f t="shared" si="25"/>
        <v>0</v>
      </c>
      <c r="AK88" s="52">
        <f t="shared" si="14"/>
        <v>0</v>
      </c>
    </row>
    <row r="89" spans="2:37" x14ac:dyDescent="0.25">
      <c r="B89" s="2" t="s">
        <v>15</v>
      </c>
      <c r="C89" s="2" t="s">
        <v>58</v>
      </c>
      <c r="D89" s="2">
        <v>20141212</v>
      </c>
      <c r="E89" s="2">
        <v>1.625</v>
      </c>
      <c r="F89" s="2" t="s">
        <v>59</v>
      </c>
      <c r="G89" s="2">
        <v>62500</v>
      </c>
      <c r="H89" s="2" t="str">
        <f t="shared" si="15"/>
        <v>GLOBEX</v>
      </c>
      <c r="I89" s="2" t="s">
        <v>17</v>
      </c>
      <c r="J89" s="2" t="s">
        <v>16</v>
      </c>
      <c r="K89" s="2" t="str">
        <f t="shared" si="16"/>
        <v>6B2Z4 P1625</v>
      </c>
      <c r="L89" s="2" t="s">
        <v>122</v>
      </c>
      <c r="M89" s="56"/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/>
      <c r="U89" s="58">
        <v>6.080730140755982E-2</v>
      </c>
      <c r="V89" s="57">
        <v>8.6106298879613519E-2</v>
      </c>
      <c r="W89" s="2">
        <v>-0.99927152965490784</v>
      </c>
      <c r="X89" s="58">
        <v>0.23426743885702728</v>
      </c>
      <c r="Y89" s="2">
        <v>-5.4134136970684019E-6</v>
      </c>
      <c r="Z89" s="38">
        <v>1.8762684211678926E-5</v>
      </c>
      <c r="AA89" s="2">
        <v>1.5642</v>
      </c>
      <c r="AB89" s="2">
        <f t="shared" si="18"/>
        <v>0</v>
      </c>
      <c r="AC89" s="2" t="e">
        <f t="shared" si="19"/>
        <v>#VALUE!</v>
      </c>
      <c r="AD89" s="2">
        <f t="shared" si="20"/>
        <v>0</v>
      </c>
      <c r="AE89" s="62" t="e">
        <f t="shared" si="21"/>
        <v>#VALUE!</v>
      </c>
      <c r="AF89" s="63">
        <f t="shared" si="17"/>
        <v>0</v>
      </c>
      <c r="AG89" s="31" t="e">
        <f t="shared" si="22"/>
        <v>#VALUE!</v>
      </c>
      <c r="AH89">
        <f t="shared" si="23"/>
        <v>599.00000000000068</v>
      </c>
      <c r="AI89" s="53">
        <f t="shared" si="24"/>
        <v>9.0730140755974844</v>
      </c>
      <c r="AJ89" s="53">
        <f t="shared" si="25"/>
        <v>0</v>
      </c>
      <c r="AK89" s="52">
        <f t="shared" si="14"/>
        <v>0</v>
      </c>
    </row>
    <row r="90" spans="2:37" x14ac:dyDescent="0.25">
      <c r="B90" s="2" t="s">
        <v>15</v>
      </c>
      <c r="C90" s="2" t="s">
        <v>58</v>
      </c>
      <c r="D90" s="2">
        <v>20141212</v>
      </c>
      <c r="E90" s="2">
        <v>1.63</v>
      </c>
      <c r="F90" s="2" t="s">
        <v>59</v>
      </c>
      <c r="G90" s="2">
        <v>62500</v>
      </c>
      <c r="H90" s="2" t="str">
        <f t="shared" si="15"/>
        <v>GLOBEX</v>
      </c>
      <c r="I90" s="2" t="s">
        <v>17</v>
      </c>
      <c r="J90" s="2" t="s">
        <v>16</v>
      </c>
      <c r="K90" s="2" t="str">
        <f t="shared" si="16"/>
        <v>6B2Z4 P1630</v>
      </c>
      <c r="L90" s="2" t="s">
        <v>122</v>
      </c>
      <c r="M90" s="56"/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/>
      <c r="U90" s="58">
        <v>6.5805048176177078E-2</v>
      </c>
      <c r="V90" s="57">
        <v>9.0143338083628066E-2</v>
      </c>
      <c r="W90" s="2">
        <v>-0.99968592676117185</v>
      </c>
      <c r="X90" s="58">
        <v>0.16573057236891009</v>
      </c>
      <c r="Y90" s="2">
        <v>-4.0743950792055731E-6</v>
      </c>
      <c r="Z90" s="38">
        <v>1.4424443326138681E-5</v>
      </c>
      <c r="AA90" s="2">
        <v>1.5642</v>
      </c>
      <c r="AB90" s="2">
        <f t="shared" si="18"/>
        <v>0</v>
      </c>
      <c r="AC90" s="2" t="e">
        <f t="shared" si="19"/>
        <v>#VALUE!</v>
      </c>
      <c r="AD90" s="2">
        <f t="shared" si="20"/>
        <v>0</v>
      </c>
      <c r="AE90" s="62" t="e">
        <f t="shared" si="21"/>
        <v>#VALUE!</v>
      </c>
      <c r="AF90" s="63">
        <f t="shared" si="17"/>
        <v>0</v>
      </c>
      <c r="AG90" s="31" t="e">
        <f t="shared" si="22"/>
        <v>#VALUE!</v>
      </c>
      <c r="AH90">
        <f t="shared" si="23"/>
        <v>648.99999999999955</v>
      </c>
      <c r="AI90" s="53">
        <f t="shared" si="24"/>
        <v>9.0504817617712661</v>
      </c>
      <c r="AJ90" s="53">
        <f t="shared" si="25"/>
        <v>0</v>
      </c>
      <c r="AK90" s="52">
        <f t="shared" si="14"/>
        <v>0</v>
      </c>
    </row>
    <row r="91" spans="2:37" x14ac:dyDescent="0.25">
      <c r="B91" s="2" t="s">
        <v>15</v>
      </c>
      <c r="C91" s="2" t="s">
        <v>58</v>
      </c>
      <c r="D91" s="2">
        <v>20141212</v>
      </c>
      <c r="E91" s="2">
        <v>1.635</v>
      </c>
      <c r="F91" s="2" t="s">
        <v>59</v>
      </c>
      <c r="G91" s="2">
        <v>62500</v>
      </c>
      <c r="H91" s="2" t="str">
        <f t="shared" si="15"/>
        <v>GLOBEX</v>
      </c>
      <c r="I91" s="2" t="s">
        <v>17</v>
      </c>
      <c r="J91" s="2" t="s">
        <v>16</v>
      </c>
      <c r="K91" s="2" t="str">
        <f t="shared" si="16"/>
        <v>6B2Z4 P1635</v>
      </c>
      <c r="L91" s="2" t="s">
        <v>122</v>
      </c>
      <c r="M91" s="56"/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/>
      <c r="U91" s="58">
        <v>7.0803294364885874E-2</v>
      </c>
      <c r="V91" s="57">
        <v>9.4600069564467759E-2</v>
      </c>
      <c r="W91" s="2">
        <v>-0.999999999999999</v>
      </c>
      <c r="X91" s="58">
        <v>0.11570355845254587</v>
      </c>
      <c r="Y91" s="2">
        <v>-2.9997405643752208E-6</v>
      </c>
      <c r="Z91" s="38">
        <v>1.0671266081563324E-5</v>
      </c>
      <c r="AA91" s="2">
        <v>1.5642</v>
      </c>
      <c r="AB91" s="2">
        <f t="shared" si="18"/>
        <v>0</v>
      </c>
      <c r="AC91" s="2" t="e">
        <f t="shared" si="19"/>
        <v>#VALUE!</v>
      </c>
      <c r="AD91" s="2">
        <f t="shared" si="20"/>
        <v>0</v>
      </c>
      <c r="AE91" s="62" t="e">
        <f t="shared" si="21"/>
        <v>#VALUE!</v>
      </c>
      <c r="AF91" s="63">
        <f t="shared" si="17"/>
        <v>0</v>
      </c>
      <c r="AG91" s="31" t="e">
        <f t="shared" si="22"/>
        <v>#VALUE!</v>
      </c>
      <c r="AH91">
        <f t="shared" si="23"/>
        <v>699.00000000000068</v>
      </c>
      <c r="AI91" s="53">
        <f t="shared" si="24"/>
        <v>9.0329436488580086</v>
      </c>
      <c r="AJ91" s="53">
        <f t="shared" si="25"/>
        <v>0</v>
      </c>
      <c r="AK91" s="52">
        <f t="shared" si="14"/>
        <v>0</v>
      </c>
    </row>
    <row r="92" spans="2:37" x14ac:dyDescent="0.25">
      <c r="B92" s="2" t="s">
        <v>15</v>
      </c>
      <c r="C92" s="2" t="s">
        <v>58</v>
      </c>
      <c r="D92" s="2">
        <v>20141212</v>
      </c>
      <c r="E92" s="2">
        <v>1.6400000000000001</v>
      </c>
      <c r="F92" s="2" t="s">
        <v>59</v>
      </c>
      <c r="G92" s="2">
        <v>62500</v>
      </c>
      <c r="H92" s="2" t="str">
        <f t="shared" si="15"/>
        <v>GLOBEX</v>
      </c>
      <c r="I92" s="2" t="s">
        <v>17</v>
      </c>
      <c r="J92" s="2" t="s">
        <v>16</v>
      </c>
      <c r="K92" s="2" t="str">
        <f t="shared" si="16"/>
        <v>6B2Z4 P1640</v>
      </c>
      <c r="L92" s="2" t="s">
        <v>122</v>
      </c>
      <c r="M92" s="56"/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/>
      <c r="U92" s="58">
        <v>7.5802867299009688E-2</v>
      </c>
      <c r="V92" s="57">
        <v>9.9476493322129045E-2</v>
      </c>
      <c r="W92" s="2">
        <v>-0.999999999999999</v>
      </c>
      <c r="X92" s="58">
        <v>9.717201547329514E-2</v>
      </c>
      <c r="Y92" s="2">
        <v>-2.7195614108035901E-6</v>
      </c>
      <c r="Z92" s="38">
        <v>8.8596744049485032E-6</v>
      </c>
      <c r="AA92" s="2">
        <v>1.5642</v>
      </c>
      <c r="AB92" s="2">
        <f t="shared" si="18"/>
        <v>0</v>
      </c>
      <c r="AC92" s="2" t="e">
        <f t="shared" si="19"/>
        <v>#VALUE!</v>
      </c>
      <c r="AD92" s="2">
        <f t="shared" si="20"/>
        <v>0</v>
      </c>
      <c r="AE92" s="62" t="e">
        <f t="shared" si="21"/>
        <v>#VALUE!</v>
      </c>
      <c r="AF92" s="63">
        <f t="shared" si="17"/>
        <v>0</v>
      </c>
      <c r="AG92" s="31" t="e">
        <f t="shared" si="22"/>
        <v>#VALUE!</v>
      </c>
      <c r="AH92">
        <f t="shared" si="23"/>
        <v>749.00000000000193</v>
      </c>
      <c r="AI92" s="53">
        <f t="shared" si="24"/>
        <v>9.0286729900949467</v>
      </c>
      <c r="AJ92" s="53">
        <f t="shared" si="25"/>
        <v>0</v>
      </c>
      <c r="AK92" s="52">
        <f t="shared" si="14"/>
        <v>0</v>
      </c>
    </row>
    <row r="93" spans="2:37" x14ac:dyDescent="0.25">
      <c r="B93" s="2" t="s">
        <v>15</v>
      </c>
      <c r="C93" s="2" t="s">
        <v>58</v>
      </c>
      <c r="D93" s="2">
        <v>20141212</v>
      </c>
      <c r="E93" s="2">
        <v>1.645</v>
      </c>
      <c r="F93" s="2" t="s">
        <v>59</v>
      </c>
      <c r="G93" s="2">
        <v>62500</v>
      </c>
      <c r="H93" s="2" t="str">
        <f t="shared" si="15"/>
        <v>GLOBEX</v>
      </c>
      <c r="I93" s="2" t="s">
        <v>17</v>
      </c>
      <c r="J93" s="2" t="s">
        <v>16</v>
      </c>
      <c r="K93" s="2" t="str">
        <f t="shared" si="16"/>
        <v>6B2Z4 P1645</v>
      </c>
      <c r="L93" s="2" t="s">
        <v>122</v>
      </c>
      <c r="M93" s="56"/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/>
      <c r="U93" s="58">
        <v>8.0802648662578025E-2</v>
      </c>
      <c r="V93" s="57">
        <v>0.10477260935661192</v>
      </c>
      <c r="W93" s="2">
        <v>-0.999999999999999</v>
      </c>
      <c r="X93" s="58">
        <v>8.4850529324475107E-2</v>
      </c>
      <c r="Y93" s="2">
        <v>-2.5857661098615359E-6</v>
      </c>
      <c r="Z93" s="38">
        <v>8.0982375790794592E-6</v>
      </c>
      <c r="AA93" s="2">
        <v>1.5642</v>
      </c>
      <c r="AB93" s="2">
        <f t="shared" si="18"/>
        <v>0</v>
      </c>
      <c r="AC93" s="2" t="e">
        <f t="shared" si="19"/>
        <v>#VALUE!</v>
      </c>
      <c r="AD93" s="2">
        <f t="shared" si="20"/>
        <v>0</v>
      </c>
      <c r="AE93" s="62" t="e">
        <f t="shared" si="21"/>
        <v>#VALUE!</v>
      </c>
      <c r="AF93" s="63">
        <f t="shared" si="17"/>
        <v>0</v>
      </c>
      <c r="AG93" s="31" t="e">
        <f t="shared" si="22"/>
        <v>#VALUE!</v>
      </c>
      <c r="AH93">
        <f t="shared" si="23"/>
        <v>799.0000000000008</v>
      </c>
      <c r="AI93" s="53">
        <f t="shared" si="24"/>
        <v>9.0264866257793983</v>
      </c>
      <c r="AJ93" s="53">
        <f t="shared" si="25"/>
        <v>0</v>
      </c>
      <c r="AK93" s="52">
        <f t="shared" si="14"/>
        <v>0</v>
      </c>
    </row>
    <row r="94" spans="2:37" x14ac:dyDescent="0.25">
      <c r="B94" s="2" t="s">
        <v>15</v>
      </c>
      <c r="C94" s="2" t="s">
        <v>58</v>
      </c>
      <c r="D94" s="2">
        <v>20141212</v>
      </c>
      <c r="E94" s="2">
        <v>1.65</v>
      </c>
      <c r="F94" s="2" t="s">
        <v>59</v>
      </c>
      <c r="G94" s="2">
        <v>62500</v>
      </c>
      <c r="H94" s="2" t="str">
        <f t="shared" si="15"/>
        <v>GLOBEX</v>
      </c>
      <c r="I94" s="2" t="s">
        <v>17</v>
      </c>
      <c r="J94" s="2" t="s">
        <v>16</v>
      </c>
      <c r="K94" s="2" t="str">
        <f t="shared" si="16"/>
        <v>6B2Z4 P1650</v>
      </c>
      <c r="L94" s="2" t="s">
        <v>122</v>
      </c>
      <c r="M94" s="56"/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/>
      <c r="U94" s="58">
        <v>8.5802592579225401E-2</v>
      </c>
      <c r="V94" s="57">
        <v>0.11048841766791995</v>
      </c>
      <c r="W94" s="2">
        <v>-0.999999999999999</v>
      </c>
      <c r="X94" s="58">
        <v>7.6854006162068209E-2</v>
      </c>
      <c r="Y94" s="2">
        <v>-2.5755545616893304E-6</v>
      </c>
      <c r="Z94" s="38">
        <v>7.6181248955392578E-6</v>
      </c>
      <c r="AA94" s="2">
        <v>1.5642</v>
      </c>
      <c r="AB94" s="2">
        <f t="shared" si="18"/>
        <v>0</v>
      </c>
      <c r="AC94" s="2" t="e">
        <f t="shared" si="19"/>
        <v>#VALUE!</v>
      </c>
      <c r="AD94" s="2">
        <f t="shared" si="20"/>
        <v>0</v>
      </c>
      <c r="AE94" s="62" t="e">
        <f t="shared" si="21"/>
        <v>#VALUE!</v>
      </c>
      <c r="AF94" s="63">
        <f t="shared" si="17"/>
        <v>0</v>
      </c>
      <c r="AG94" s="31" t="e">
        <f t="shared" si="22"/>
        <v>#VALUE!</v>
      </c>
      <c r="AH94">
        <f t="shared" si="23"/>
        <v>848.99999999999977</v>
      </c>
      <c r="AI94" s="53">
        <f t="shared" si="24"/>
        <v>9.0259257922542702</v>
      </c>
      <c r="AJ94" s="53">
        <f t="shared" si="25"/>
        <v>0</v>
      </c>
      <c r="AK94" s="52">
        <f t="shared" si="14"/>
        <v>0</v>
      </c>
    </row>
    <row r="95" spans="2:37" x14ac:dyDescent="0.25">
      <c r="B95" s="2" t="s">
        <v>15</v>
      </c>
      <c r="C95" s="2" t="s">
        <v>58</v>
      </c>
      <c r="D95" s="2">
        <v>20141212</v>
      </c>
      <c r="E95" s="2">
        <v>1.655</v>
      </c>
      <c r="F95" s="2" t="s">
        <v>59</v>
      </c>
      <c r="G95" s="2">
        <v>62500</v>
      </c>
      <c r="H95" s="2" t="str">
        <f t="shared" si="15"/>
        <v>GLOBEX</v>
      </c>
      <c r="I95" s="2" t="s">
        <v>17</v>
      </c>
      <c r="J95" s="2" t="s">
        <v>16</v>
      </c>
      <c r="K95" s="2" t="str">
        <f t="shared" si="16"/>
        <v>6B2Z4 P1655</v>
      </c>
      <c r="L95" s="2" t="s">
        <v>122</v>
      </c>
      <c r="M95" s="56"/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/>
      <c r="U95" s="58">
        <v>9.0802697769349655E-2</v>
      </c>
      <c r="V95" s="57">
        <v>0.11662391825604956</v>
      </c>
      <c r="W95" s="2">
        <v>-0.999999999999999</v>
      </c>
      <c r="X95" s="58">
        <v>7.2216037511528886E-2</v>
      </c>
      <c r="Y95" s="2">
        <v>-2.6899540681410207E-6</v>
      </c>
      <c r="Z95" s="38">
        <v>7.4182551762641546E-6</v>
      </c>
      <c r="AA95" s="2">
        <v>1.5642</v>
      </c>
      <c r="AB95" s="2">
        <f t="shared" si="18"/>
        <v>0</v>
      </c>
      <c r="AC95" s="2" t="e">
        <f t="shared" si="19"/>
        <v>#VALUE!</v>
      </c>
      <c r="AD95" s="2">
        <f t="shared" si="20"/>
        <v>0</v>
      </c>
      <c r="AE95" s="62" t="e">
        <f t="shared" si="21"/>
        <v>#VALUE!</v>
      </c>
      <c r="AF95" s="63">
        <f t="shared" si="17"/>
        <v>0</v>
      </c>
      <c r="AG95" s="31" t="e">
        <f t="shared" si="22"/>
        <v>#VALUE!</v>
      </c>
      <c r="AH95">
        <f t="shared" si="23"/>
        <v>899.00000000000091</v>
      </c>
      <c r="AI95" s="53">
        <f t="shared" si="24"/>
        <v>9.0269776934956099</v>
      </c>
      <c r="AJ95" s="53">
        <f t="shared" si="25"/>
        <v>0</v>
      </c>
      <c r="AK95" s="52">
        <f t="shared" si="14"/>
        <v>0</v>
      </c>
    </row>
    <row r="96" spans="2:37" x14ac:dyDescent="0.25">
      <c r="B96" s="2" t="s">
        <v>15</v>
      </c>
      <c r="C96" s="2" t="s">
        <v>58</v>
      </c>
      <c r="D96" s="2">
        <v>20141212</v>
      </c>
      <c r="E96" s="2">
        <v>1.51</v>
      </c>
      <c r="F96" s="2" t="s">
        <v>60</v>
      </c>
      <c r="G96" s="2">
        <v>62500</v>
      </c>
      <c r="H96" s="2" t="str">
        <f t="shared" si="15"/>
        <v>GLOBEX</v>
      </c>
      <c r="I96" s="2" t="s">
        <v>17</v>
      </c>
      <c r="J96" s="2" t="s">
        <v>16</v>
      </c>
      <c r="K96" s="2" t="str">
        <f t="shared" si="16"/>
        <v>6B2Z4 C1510</v>
      </c>
      <c r="L96" s="2" t="s">
        <v>122</v>
      </c>
      <c r="M96" s="56"/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/>
      <c r="U96" s="58">
        <v>5.4319785196485774E-2</v>
      </c>
      <c r="V96" s="57">
        <v>0.10723529180589253</v>
      </c>
      <c r="W96" s="2">
        <v>0.98707203057288928</v>
      </c>
      <c r="X96" s="58">
        <v>0</v>
      </c>
      <c r="Y96" s="2">
        <v>-5.2469350336438748E-5</v>
      </c>
      <c r="Z96" s="38">
        <v>9.4423028760788619E-5</v>
      </c>
      <c r="AA96" s="2">
        <v>1.5642</v>
      </c>
      <c r="AB96" s="2">
        <f t="shared" si="18"/>
        <v>0</v>
      </c>
      <c r="AC96" s="2" t="e">
        <f t="shared" si="19"/>
        <v>#VALUE!</v>
      </c>
      <c r="AD96" s="2">
        <f t="shared" si="20"/>
        <v>0</v>
      </c>
      <c r="AE96" s="62" t="e">
        <f t="shared" si="21"/>
        <v>#VALUE!</v>
      </c>
      <c r="AF96" s="63">
        <f t="shared" si="17"/>
        <v>0</v>
      </c>
      <c r="AG96" s="31" t="e">
        <f t="shared" si="22"/>
        <v>#VALUE!</v>
      </c>
      <c r="AH96">
        <f t="shared" si="23"/>
        <v>550.99999999999932</v>
      </c>
      <c r="AI96" s="53">
        <f t="shared" si="24"/>
        <v>0</v>
      </c>
      <c r="AJ96" s="53">
        <f t="shared" si="25"/>
        <v>0</v>
      </c>
      <c r="AK96" s="52">
        <f t="shared" si="14"/>
        <v>0</v>
      </c>
    </row>
    <row r="97" spans="2:37" x14ac:dyDescent="0.25">
      <c r="B97" s="2" t="s">
        <v>15</v>
      </c>
      <c r="C97" s="2" t="s">
        <v>58</v>
      </c>
      <c r="D97" s="2">
        <v>20141212</v>
      </c>
      <c r="E97" s="2">
        <v>1.5149999999999999</v>
      </c>
      <c r="F97" s="2" t="s">
        <v>60</v>
      </c>
      <c r="G97" s="2">
        <v>62500</v>
      </c>
      <c r="H97" s="2" t="str">
        <f t="shared" si="15"/>
        <v>GLOBEX</v>
      </c>
      <c r="I97" s="2" t="s">
        <v>17</v>
      </c>
      <c r="J97" s="2" t="s">
        <v>16</v>
      </c>
      <c r="K97" s="2" t="str">
        <f t="shared" si="16"/>
        <v>6B2Z4 C1515</v>
      </c>
      <c r="L97" s="2" t="s">
        <v>122</v>
      </c>
      <c r="M97" s="56"/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/>
      <c r="U97" s="58">
        <v>4.9356611380239168E-2</v>
      </c>
      <c r="V97" s="57">
        <v>0.10224471891346454</v>
      </c>
      <c r="W97" s="2">
        <v>0.98271392014671832</v>
      </c>
      <c r="X97" s="58">
        <v>0</v>
      </c>
      <c r="Y97" s="2">
        <v>-6.3812852870000851E-5</v>
      </c>
      <c r="Z97" s="38">
        <v>1.3146516798166752E-4</v>
      </c>
      <c r="AA97" s="2">
        <v>1.5642</v>
      </c>
      <c r="AB97" s="2">
        <f t="shared" si="18"/>
        <v>0</v>
      </c>
      <c r="AC97" s="2" t="e">
        <f t="shared" si="19"/>
        <v>#VALUE!</v>
      </c>
      <c r="AD97" s="2">
        <f t="shared" si="20"/>
        <v>0</v>
      </c>
      <c r="AE97" s="62" t="e">
        <f t="shared" si="21"/>
        <v>#VALUE!</v>
      </c>
      <c r="AF97" s="63">
        <f t="shared" si="17"/>
        <v>0</v>
      </c>
      <c r="AG97" s="31" t="e">
        <f t="shared" si="22"/>
        <v>#VALUE!</v>
      </c>
      <c r="AH97">
        <f t="shared" si="23"/>
        <v>501.00000000000034</v>
      </c>
      <c r="AI97" s="53">
        <f t="shared" si="24"/>
        <v>0</v>
      </c>
      <c r="AJ97" s="53">
        <f t="shared" si="25"/>
        <v>0</v>
      </c>
      <c r="AK97" s="52">
        <f t="shared" si="14"/>
        <v>0</v>
      </c>
    </row>
    <row r="98" spans="2:37" x14ac:dyDescent="0.25">
      <c r="B98" s="2" t="s">
        <v>15</v>
      </c>
      <c r="C98" s="2" t="s">
        <v>58</v>
      </c>
      <c r="D98" s="2">
        <v>20141212</v>
      </c>
      <c r="E98" s="2">
        <v>1.52</v>
      </c>
      <c r="F98" s="2" t="s">
        <v>60</v>
      </c>
      <c r="G98" s="2">
        <v>62500</v>
      </c>
      <c r="H98" s="2" t="str">
        <f t="shared" si="15"/>
        <v>GLOBEX</v>
      </c>
      <c r="I98" s="2" t="s">
        <v>17</v>
      </c>
      <c r="J98" s="2" t="s">
        <v>16</v>
      </c>
      <c r="K98" s="2" t="str">
        <f t="shared" si="16"/>
        <v>6B2Z4 C1520</v>
      </c>
      <c r="L98" s="2" t="s">
        <v>122</v>
      </c>
      <c r="M98" s="56"/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/>
      <c r="U98" s="58">
        <v>4.440670335962453E-2</v>
      </c>
      <c r="V98" s="57">
        <v>9.7579074379925856E-2</v>
      </c>
      <c r="W98" s="2">
        <v>0.9767743652221681</v>
      </c>
      <c r="X98" s="58">
        <v>0</v>
      </c>
      <c r="Y98" s="2">
        <v>-7.8007163637898805E-5</v>
      </c>
      <c r="Z98" s="38">
        <v>1.6841908281380741E-4</v>
      </c>
      <c r="AA98" s="2">
        <v>1.5642</v>
      </c>
      <c r="AB98" s="2">
        <f t="shared" si="18"/>
        <v>0</v>
      </c>
      <c r="AC98" s="2" t="e">
        <f t="shared" si="19"/>
        <v>#VALUE!</v>
      </c>
      <c r="AD98" s="2">
        <f t="shared" si="20"/>
        <v>0</v>
      </c>
      <c r="AE98" s="62" t="e">
        <f t="shared" si="21"/>
        <v>#VALUE!</v>
      </c>
      <c r="AF98" s="63">
        <f t="shared" si="17"/>
        <v>0</v>
      </c>
      <c r="AG98" s="31" t="e">
        <f t="shared" si="22"/>
        <v>#VALUE!</v>
      </c>
      <c r="AH98">
        <f t="shared" si="23"/>
        <v>450.9999999999992</v>
      </c>
      <c r="AI98" s="53">
        <f t="shared" si="24"/>
        <v>0</v>
      </c>
      <c r="AJ98" s="53">
        <f t="shared" si="25"/>
        <v>0</v>
      </c>
      <c r="AK98" s="52">
        <f t="shared" si="14"/>
        <v>0</v>
      </c>
    </row>
    <row r="99" spans="2:37" x14ac:dyDescent="0.25">
      <c r="B99" s="2" t="s">
        <v>15</v>
      </c>
      <c r="C99" s="2" t="s">
        <v>58</v>
      </c>
      <c r="D99" s="2">
        <v>20141212</v>
      </c>
      <c r="E99" s="2">
        <v>1.5249999999999999</v>
      </c>
      <c r="F99" s="2" t="s">
        <v>60</v>
      </c>
      <c r="G99" s="2">
        <v>62500</v>
      </c>
      <c r="H99" s="2" t="str">
        <f t="shared" si="15"/>
        <v>GLOBEX</v>
      </c>
      <c r="I99" s="2" t="s">
        <v>17</v>
      </c>
      <c r="J99" s="2" t="s">
        <v>16</v>
      </c>
      <c r="K99" s="2" t="str">
        <f t="shared" si="16"/>
        <v>6B2Z4 C1525</v>
      </c>
      <c r="L99" s="2" t="s">
        <v>122</v>
      </c>
      <c r="M99" s="56"/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/>
      <c r="U99" s="58">
        <v>3.9498694572012154E-2</v>
      </c>
      <c r="V99" s="57">
        <v>9.3238358205276484E-2</v>
      </c>
      <c r="W99" s="2">
        <v>0.96650233880327663</v>
      </c>
      <c r="X99" s="58">
        <v>0</v>
      </c>
      <c r="Y99" s="2">
        <v>-1.0021199337090616E-4</v>
      </c>
      <c r="Z99" s="38">
        <v>2.1013366778226822E-4</v>
      </c>
      <c r="AA99" s="2">
        <v>1.5642</v>
      </c>
      <c r="AB99" s="2">
        <f t="shared" si="18"/>
        <v>0</v>
      </c>
      <c r="AC99" s="2" t="e">
        <f t="shared" si="19"/>
        <v>#VALUE!</v>
      </c>
      <c r="AD99" s="2">
        <f t="shared" si="20"/>
        <v>0</v>
      </c>
      <c r="AE99" s="62" t="e">
        <f t="shared" si="21"/>
        <v>#VALUE!</v>
      </c>
      <c r="AF99" s="63">
        <f t="shared" si="17"/>
        <v>0</v>
      </c>
      <c r="AG99" s="31" t="e">
        <f t="shared" si="22"/>
        <v>#VALUE!</v>
      </c>
      <c r="AH99">
        <f t="shared" si="23"/>
        <v>401.00000000000023</v>
      </c>
      <c r="AI99" s="53">
        <f t="shared" si="24"/>
        <v>0</v>
      </c>
      <c r="AJ99" s="53">
        <f t="shared" si="25"/>
        <v>0</v>
      </c>
      <c r="AK99" s="52">
        <f t="shared" si="14"/>
        <v>0</v>
      </c>
    </row>
    <row r="100" spans="2:37" x14ac:dyDescent="0.25">
      <c r="B100" s="2" t="s">
        <v>15</v>
      </c>
      <c r="C100" s="2" t="s">
        <v>58</v>
      </c>
      <c r="D100" s="2">
        <v>20141212</v>
      </c>
      <c r="E100" s="2">
        <v>1.53</v>
      </c>
      <c r="F100" s="2" t="s">
        <v>60</v>
      </c>
      <c r="G100" s="2">
        <v>62500</v>
      </c>
      <c r="H100" s="2" t="str">
        <f t="shared" si="15"/>
        <v>GLOBEX</v>
      </c>
      <c r="I100" s="2" t="s">
        <v>17</v>
      </c>
      <c r="J100" s="2" t="s">
        <v>16</v>
      </c>
      <c r="K100" s="2" t="str">
        <f t="shared" si="16"/>
        <v>6B2Z4 C1530</v>
      </c>
      <c r="L100" s="2" t="s">
        <v>122</v>
      </c>
      <c r="M100" s="56"/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/>
      <c r="U100" s="58">
        <v>3.4624608160590938E-2</v>
      </c>
      <c r="V100" s="57">
        <v>8.9222570389523526E-2</v>
      </c>
      <c r="W100" s="2">
        <v>0.95251170745195557</v>
      </c>
      <c r="X100" s="58">
        <v>0</v>
      </c>
      <c r="Y100" s="2">
        <v>-1.271536281950097E-4</v>
      </c>
      <c r="Z100" s="38">
        <v>2.7569276046187502E-4</v>
      </c>
      <c r="AA100" s="2">
        <v>1.5642</v>
      </c>
      <c r="AB100" s="2">
        <f t="shared" si="18"/>
        <v>0</v>
      </c>
      <c r="AC100" s="2" t="e">
        <f t="shared" si="19"/>
        <v>#VALUE!</v>
      </c>
      <c r="AD100" s="2">
        <f t="shared" si="20"/>
        <v>0</v>
      </c>
      <c r="AE100" s="62" t="e">
        <f t="shared" si="21"/>
        <v>#VALUE!</v>
      </c>
      <c r="AF100" s="63">
        <f t="shared" si="17"/>
        <v>0</v>
      </c>
      <c r="AG100" s="31" t="e">
        <f t="shared" si="22"/>
        <v>#VALUE!</v>
      </c>
      <c r="AH100">
        <f t="shared" si="23"/>
        <v>350.99999999999909</v>
      </c>
      <c r="AI100" s="53">
        <f t="shared" si="24"/>
        <v>0</v>
      </c>
      <c r="AJ100" s="53">
        <f t="shared" si="25"/>
        <v>0</v>
      </c>
      <c r="AK100" s="52">
        <f t="shared" si="14"/>
        <v>0</v>
      </c>
    </row>
    <row r="101" spans="2:37" x14ac:dyDescent="0.25">
      <c r="B101" s="2" t="s">
        <v>15</v>
      </c>
      <c r="C101" s="2" t="s">
        <v>58</v>
      </c>
      <c r="D101" s="2">
        <v>20141212</v>
      </c>
      <c r="E101" s="2">
        <v>1.5349999999999999</v>
      </c>
      <c r="F101" s="2" t="s">
        <v>60</v>
      </c>
      <c r="G101" s="2">
        <v>62500</v>
      </c>
      <c r="H101" s="2" t="str">
        <f t="shared" si="15"/>
        <v>GLOBEX</v>
      </c>
      <c r="I101" s="2" t="s">
        <v>17</v>
      </c>
      <c r="J101" s="2" t="s">
        <v>16</v>
      </c>
      <c r="K101" s="2" t="str">
        <f t="shared" si="16"/>
        <v>6B2Z4 C1535</v>
      </c>
      <c r="L101" s="2" t="s">
        <v>122</v>
      </c>
      <c r="M101" s="56"/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/>
      <c r="U101" s="58">
        <v>2.9824240434176308E-2</v>
      </c>
      <c r="V101" s="57">
        <v>8.5531710932656324E-2</v>
      </c>
      <c r="W101" s="2">
        <v>0.93109328133273772</v>
      </c>
      <c r="X101" s="58">
        <v>0</v>
      </c>
      <c r="Y101" s="2">
        <v>-1.6345104842675119E-4</v>
      </c>
      <c r="Z101" s="38">
        <v>3.7299240816645804E-4</v>
      </c>
      <c r="AA101" s="2">
        <v>1.5642</v>
      </c>
      <c r="AB101" s="2">
        <f t="shared" si="18"/>
        <v>0</v>
      </c>
      <c r="AC101" s="2" t="e">
        <f t="shared" si="19"/>
        <v>#VALUE!</v>
      </c>
      <c r="AD101" s="2">
        <f t="shared" si="20"/>
        <v>0</v>
      </c>
      <c r="AE101" s="62" t="e">
        <f t="shared" si="21"/>
        <v>#VALUE!</v>
      </c>
      <c r="AF101" s="63">
        <f t="shared" si="17"/>
        <v>0</v>
      </c>
      <c r="AG101" s="31" t="e">
        <f t="shared" si="22"/>
        <v>#VALUE!</v>
      </c>
      <c r="AH101">
        <f t="shared" si="23"/>
        <v>301.00000000000017</v>
      </c>
      <c r="AI101" s="53">
        <f t="shared" si="24"/>
        <v>0</v>
      </c>
      <c r="AJ101" s="53">
        <f t="shared" si="25"/>
        <v>0</v>
      </c>
      <c r="AK101" s="52">
        <f t="shared" si="14"/>
        <v>0</v>
      </c>
    </row>
    <row r="102" spans="2:37" x14ac:dyDescent="0.25">
      <c r="B102" s="2" t="s">
        <v>15</v>
      </c>
      <c r="C102" s="2" t="s">
        <v>58</v>
      </c>
      <c r="D102" s="2">
        <v>20141212</v>
      </c>
      <c r="E102" s="2">
        <v>1.54</v>
      </c>
      <c r="F102" s="2" t="s">
        <v>60</v>
      </c>
      <c r="G102" s="2">
        <v>62500</v>
      </c>
      <c r="H102" s="2" t="str">
        <f t="shared" si="15"/>
        <v>GLOBEX</v>
      </c>
      <c r="I102" s="2" t="s">
        <v>17</v>
      </c>
      <c r="J102" s="2" t="s">
        <v>16</v>
      </c>
      <c r="K102" s="2" t="str">
        <f t="shared" si="16"/>
        <v>6B2Z4 C1540</v>
      </c>
      <c r="L102" s="2" t="s">
        <v>122</v>
      </c>
      <c r="M102" s="56"/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/>
      <c r="U102" s="58">
        <v>2.5155949349616805E-2</v>
      </c>
      <c r="V102" s="57">
        <v>8.2165779834681985E-2</v>
      </c>
      <c r="W102" s="2">
        <v>0.89819873517080717</v>
      </c>
      <c r="X102" s="58">
        <v>0</v>
      </c>
      <c r="Y102" s="2">
        <v>-2.0917589293509284E-4</v>
      </c>
      <c r="Z102" s="38">
        <v>4.2459505496081698E-4</v>
      </c>
      <c r="AA102" s="2">
        <v>1.5642</v>
      </c>
      <c r="AB102" s="2">
        <f t="shared" si="18"/>
        <v>0</v>
      </c>
      <c r="AC102" s="2" t="e">
        <f t="shared" si="19"/>
        <v>#VALUE!</v>
      </c>
      <c r="AD102" s="2">
        <f t="shared" si="20"/>
        <v>0</v>
      </c>
      <c r="AE102" s="62" t="e">
        <f t="shared" si="21"/>
        <v>#VALUE!</v>
      </c>
      <c r="AF102" s="63">
        <f t="shared" ref="AF102:AF125" si="26">IF(ISERR(AE102),0,AE102*M102)</f>
        <v>0</v>
      </c>
      <c r="AG102" s="31" t="e">
        <f t="shared" si="22"/>
        <v>#VALUE!</v>
      </c>
      <c r="AH102">
        <f t="shared" si="23"/>
        <v>250.99999999999901</v>
      </c>
      <c r="AI102" s="53">
        <f t="shared" si="24"/>
        <v>0.55949349616903987</v>
      </c>
      <c r="AJ102" s="53">
        <f t="shared" si="25"/>
        <v>0</v>
      </c>
      <c r="AK102" s="52">
        <f t="shared" si="14"/>
        <v>0</v>
      </c>
    </row>
    <row r="103" spans="2:37" x14ac:dyDescent="0.25">
      <c r="B103" s="2" t="s">
        <v>15</v>
      </c>
      <c r="C103" s="2" t="s">
        <v>58</v>
      </c>
      <c r="D103" s="2">
        <v>20141212</v>
      </c>
      <c r="E103" s="2">
        <v>1.5449999999999999</v>
      </c>
      <c r="F103" s="2" t="s">
        <v>60</v>
      </c>
      <c r="G103" s="2">
        <v>62500</v>
      </c>
      <c r="H103" s="2" t="str">
        <f t="shared" si="15"/>
        <v>GLOBEX</v>
      </c>
      <c r="I103" s="2" t="s">
        <v>17</v>
      </c>
      <c r="J103" s="2" t="s">
        <v>16</v>
      </c>
      <c r="K103" s="2" t="str">
        <f t="shared" si="16"/>
        <v>6B2Z4 C1545</v>
      </c>
      <c r="L103" s="2" t="s">
        <v>122</v>
      </c>
      <c r="M103" s="56"/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/>
      <c r="U103" s="58">
        <v>2.0646510785923843E-2</v>
      </c>
      <c r="V103" s="57">
        <v>7.9124777095596954E-2</v>
      </c>
      <c r="W103" s="2">
        <v>0.85232660263713667</v>
      </c>
      <c r="X103" s="58">
        <v>0</v>
      </c>
      <c r="Y103" s="2">
        <v>-2.6134138565999206E-4</v>
      </c>
      <c r="Z103" s="38">
        <v>5.7387340318520649E-4</v>
      </c>
      <c r="AA103" s="2">
        <v>1.5642</v>
      </c>
      <c r="AB103" s="2">
        <f t="shared" si="18"/>
        <v>0</v>
      </c>
      <c r="AC103" s="2" t="e">
        <f t="shared" si="19"/>
        <v>#VALUE!</v>
      </c>
      <c r="AD103" s="2">
        <f t="shared" si="20"/>
        <v>0</v>
      </c>
      <c r="AE103" s="62" t="e">
        <f t="shared" si="21"/>
        <v>#VALUE!</v>
      </c>
      <c r="AF103" s="63">
        <f t="shared" si="26"/>
        <v>0</v>
      </c>
      <c r="AG103" s="31" t="e">
        <f t="shared" si="22"/>
        <v>#VALUE!</v>
      </c>
      <c r="AH103">
        <f t="shared" si="23"/>
        <v>201.00000000000006</v>
      </c>
      <c r="AI103" s="53">
        <f t="shared" si="24"/>
        <v>5.4651078592383726</v>
      </c>
      <c r="AJ103" s="53">
        <f t="shared" si="25"/>
        <v>0</v>
      </c>
      <c r="AK103" s="52">
        <f t="shared" si="14"/>
        <v>0</v>
      </c>
    </row>
    <row r="104" spans="2:37" x14ac:dyDescent="0.25">
      <c r="B104" s="2" t="s">
        <v>15</v>
      </c>
      <c r="C104" s="2" t="s">
        <v>58</v>
      </c>
      <c r="D104" s="2">
        <v>20141212</v>
      </c>
      <c r="E104" s="2">
        <v>1.55</v>
      </c>
      <c r="F104" s="2" t="s">
        <v>60</v>
      </c>
      <c r="G104" s="2">
        <v>62500</v>
      </c>
      <c r="H104" s="2" t="str">
        <f t="shared" si="15"/>
        <v>GLOBEX</v>
      </c>
      <c r="I104" s="2" t="s">
        <v>17</v>
      </c>
      <c r="J104" s="2" t="s">
        <v>16</v>
      </c>
      <c r="K104" s="2" t="str">
        <f t="shared" si="16"/>
        <v>6B2Z4 C1550</v>
      </c>
      <c r="L104" s="2" t="s">
        <v>122</v>
      </c>
      <c r="M104" s="56"/>
      <c r="N104" s="2">
        <v>0</v>
      </c>
      <c r="O104" s="2">
        <v>0</v>
      </c>
      <c r="P104" s="2">
        <v>20</v>
      </c>
      <c r="Q104" s="2">
        <v>1.5699999999999999E-2</v>
      </c>
      <c r="R104" s="2">
        <v>1.72E-2</v>
      </c>
      <c r="S104" s="2">
        <v>20</v>
      </c>
      <c r="T104" s="2"/>
      <c r="U104" s="58">
        <v>1.7200000584125519E-2</v>
      </c>
      <c r="V104" s="57">
        <v>8.7588735445913224E-2</v>
      </c>
      <c r="W104" s="2">
        <v>0.75726981248408365</v>
      </c>
      <c r="X104" s="58">
        <v>0</v>
      </c>
      <c r="Y104" s="2">
        <v>-3.9156215779300965E-4</v>
      </c>
      <c r="Z104" s="38">
        <v>7.3156210508588948E-4</v>
      </c>
      <c r="AA104" s="2">
        <v>1.5642</v>
      </c>
      <c r="AB104" s="2">
        <f t="shared" si="18"/>
        <v>0</v>
      </c>
      <c r="AC104" s="2" t="e">
        <f t="shared" si="19"/>
        <v>#VALUE!</v>
      </c>
      <c r="AD104" s="2">
        <f t="shared" si="20"/>
        <v>0</v>
      </c>
      <c r="AE104" s="62" t="e">
        <f t="shared" si="21"/>
        <v>#VALUE!</v>
      </c>
      <c r="AF104" s="63">
        <f t="shared" si="26"/>
        <v>0</v>
      </c>
      <c r="AG104" s="31" t="e">
        <f t="shared" si="22"/>
        <v>#VALUE!</v>
      </c>
      <c r="AH104">
        <f t="shared" si="23"/>
        <v>150.99999999999892</v>
      </c>
      <c r="AI104" s="53">
        <f t="shared" si="24"/>
        <v>21.000005841256268</v>
      </c>
      <c r="AJ104" s="53">
        <f t="shared" si="25"/>
        <v>0</v>
      </c>
      <c r="AK104" s="52">
        <f t="shared" si="14"/>
        <v>0</v>
      </c>
    </row>
    <row r="105" spans="2:37" x14ac:dyDescent="0.25">
      <c r="B105" s="2" t="s">
        <v>15</v>
      </c>
      <c r="C105" s="2" t="s">
        <v>58</v>
      </c>
      <c r="D105" s="2">
        <v>20141213</v>
      </c>
      <c r="E105" s="2">
        <v>1.5549999999999999</v>
      </c>
      <c r="F105" s="2" t="s">
        <v>60</v>
      </c>
      <c r="G105" s="2">
        <v>62500</v>
      </c>
      <c r="H105" s="2" t="str">
        <f t="shared" si="15"/>
        <v>GLOBEX</v>
      </c>
      <c r="I105" s="2" t="s">
        <v>17</v>
      </c>
      <c r="J105" s="2" t="s">
        <v>16</v>
      </c>
      <c r="K105" s="2" t="str">
        <f t="shared" si="16"/>
        <v>6B2Z4 C1555</v>
      </c>
      <c r="L105" s="2" t="s">
        <v>122</v>
      </c>
      <c r="M105" s="56"/>
      <c r="N105" s="2"/>
      <c r="O105" s="2"/>
      <c r="P105" s="2"/>
      <c r="Q105" s="2"/>
      <c r="R105" s="2"/>
      <c r="S105" s="2"/>
      <c r="T105" s="2"/>
      <c r="U105" s="58"/>
      <c r="V105" s="57"/>
      <c r="W105" s="2"/>
      <c r="X105" s="58"/>
      <c r="Y105" s="2"/>
      <c r="Z105" s="38"/>
      <c r="AA105" s="2"/>
      <c r="AB105" s="2">
        <f t="shared" si="18"/>
        <v>0</v>
      </c>
      <c r="AC105" s="2" t="e">
        <f t="shared" si="19"/>
        <v>#VALUE!</v>
      </c>
      <c r="AD105" s="2">
        <f t="shared" si="20"/>
        <v>0</v>
      </c>
      <c r="AE105" s="62" t="e">
        <f t="shared" si="21"/>
        <v>#VALUE!</v>
      </c>
      <c r="AF105" s="63">
        <f t="shared" si="26"/>
        <v>0</v>
      </c>
      <c r="AG105" s="31" t="e">
        <f t="shared" si="22"/>
        <v>#VALUE!</v>
      </c>
      <c r="AH105">
        <f t="shared" si="23"/>
        <v>100.99999999999997</v>
      </c>
      <c r="AI105" s="53">
        <f t="shared" si="24"/>
        <v>0</v>
      </c>
      <c r="AJ105" s="53">
        <f t="shared" si="25"/>
        <v>0</v>
      </c>
      <c r="AK105" s="52">
        <f t="shared" ref="AK105:AK125" si="27">MAX(0,AJ105*6.25)</f>
        <v>0</v>
      </c>
    </row>
    <row r="106" spans="2:37" x14ac:dyDescent="0.25">
      <c r="B106" s="2" t="s">
        <v>15</v>
      </c>
      <c r="C106" s="2" t="s">
        <v>58</v>
      </c>
      <c r="D106" s="2">
        <v>20141214</v>
      </c>
      <c r="E106" s="2">
        <v>1.56</v>
      </c>
      <c r="F106" s="2" t="s">
        <v>60</v>
      </c>
      <c r="G106" s="2">
        <v>62500</v>
      </c>
      <c r="H106" s="2" t="str">
        <f t="shared" si="15"/>
        <v>GLOBEX</v>
      </c>
      <c r="I106" s="2" t="s">
        <v>17</v>
      </c>
      <c r="J106" s="2" t="s">
        <v>16</v>
      </c>
      <c r="K106" s="2" t="str">
        <f t="shared" si="16"/>
        <v>6B2Z4 C1560</v>
      </c>
      <c r="L106" s="2" t="s">
        <v>122</v>
      </c>
      <c r="M106" s="56"/>
      <c r="N106" s="2"/>
      <c r="O106" s="2"/>
      <c r="P106" s="2"/>
      <c r="Q106" s="2"/>
      <c r="R106" s="2"/>
      <c r="S106" s="2"/>
      <c r="T106" s="2"/>
      <c r="U106" s="58"/>
      <c r="V106" s="57"/>
      <c r="W106" s="2"/>
      <c r="X106" s="58"/>
      <c r="Y106" s="2"/>
      <c r="Z106" s="38"/>
      <c r="AA106" s="2"/>
      <c r="AB106" s="2">
        <f t="shared" si="18"/>
        <v>0</v>
      </c>
      <c r="AC106" s="2" t="e">
        <f t="shared" si="19"/>
        <v>#VALUE!</v>
      </c>
      <c r="AD106" s="2">
        <f t="shared" si="20"/>
        <v>0</v>
      </c>
      <c r="AE106" s="62" t="e">
        <f t="shared" si="21"/>
        <v>#VALUE!</v>
      </c>
      <c r="AF106" s="63">
        <f t="shared" si="26"/>
        <v>0</v>
      </c>
      <c r="AG106" s="31" t="e">
        <f t="shared" si="22"/>
        <v>#VALUE!</v>
      </c>
      <c r="AH106">
        <f t="shared" si="23"/>
        <v>50.99999999999882</v>
      </c>
      <c r="AI106" s="53">
        <f t="shared" si="24"/>
        <v>0</v>
      </c>
      <c r="AJ106" s="53">
        <f t="shared" si="25"/>
        <v>0</v>
      </c>
      <c r="AK106" s="52">
        <f t="shared" si="27"/>
        <v>0</v>
      </c>
    </row>
    <row r="107" spans="2:37" x14ac:dyDescent="0.25">
      <c r="B107" s="2" t="s">
        <v>15</v>
      </c>
      <c r="C107" s="2" t="s">
        <v>58</v>
      </c>
      <c r="D107" s="2">
        <v>20141215</v>
      </c>
      <c r="E107" s="2">
        <v>1.5649999999999999</v>
      </c>
      <c r="F107" s="2" t="s">
        <v>60</v>
      </c>
      <c r="G107" s="2">
        <v>62500</v>
      </c>
      <c r="H107" s="2" t="str">
        <f t="shared" si="15"/>
        <v>GLOBEX</v>
      </c>
      <c r="I107" s="2" t="s">
        <v>17</v>
      </c>
      <c r="J107" s="2" t="s">
        <v>16</v>
      </c>
      <c r="K107" s="2" t="str">
        <f t="shared" si="16"/>
        <v>6B2Z4 C1565</v>
      </c>
      <c r="L107" s="2" t="s">
        <v>122</v>
      </c>
      <c r="M107" s="56"/>
      <c r="N107" s="2"/>
      <c r="O107" s="2"/>
      <c r="P107" s="2"/>
      <c r="Q107" s="2"/>
      <c r="R107" s="2"/>
      <c r="S107" s="2"/>
      <c r="T107" s="2"/>
      <c r="U107" s="58"/>
      <c r="V107" s="57"/>
      <c r="W107" s="2"/>
      <c r="X107" s="58"/>
      <c r="Y107" s="2"/>
      <c r="Z107" s="38"/>
      <c r="AA107" s="2"/>
      <c r="AB107" s="2">
        <f t="shared" si="18"/>
        <v>0</v>
      </c>
      <c r="AC107" s="2" t="e">
        <f t="shared" si="19"/>
        <v>#VALUE!</v>
      </c>
      <c r="AD107" s="2">
        <f t="shared" si="20"/>
        <v>0</v>
      </c>
      <c r="AE107" s="62" t="e">
        <f t="shared" si="21"/>
        <v>#VALUE!</v>
      </c>
      <c r="AF107" s="63">
        <f t="shared" si="26"/>
        <v>0</v>
      </c>
      <c r="AG107" s="31" t="e">
        <f t="shared" si="22"/>
        <v>#VALUE!</v>
      </c>
      <c r="AH107">
        <f t="shared" si="23"/>
        <v>0.99999999999988987</v>
      </c>
      <c r="AI107" s="53">
        <f t="shared" si="24"/>
        <v>0</v>
      </c>
      <c r="AJ107" s="53">
        <f t="shared" si="25"/>
        <v>0</v>
      </c>
      <c r="AK107" s="52">
        <f t="shared" si="27"/>
        <v>0</v>
      </c>
    </row>
    <row r="108" spans="2:37" x14ac:dyDescent="0.25">
      <c r="B108" s="2" t="s">
        <v>15</v>
      </c>
      <c r="C108" s="2" t="s">
        <v>58</v>
      </c>
      <c r="D108" s="2">
        <v>20141216</v>
      </c>
      <c r="E108" s="2">
        <v>1.57</v>
      </c>
      <c r="F108" s="2" t="s">
        <v>60</v>
      </c>
      <c r="G108" s="2">
        <v>62500</v>
      </c>
      <c r="H108" s="2" t="str">
        <f t="shared" si="15"/>
        <v>GLOBEX</v>
      </c>
      <c r="I108" s="2" t="s">
        <v>17</v>
      </c>
      <c r="J108" s="2" t="s">
        <v>16</v>
      </c>
      <c r="K108" s="2" t="str">
        <f t="shared" si="16"/>
        <v>6B2Z4 C1570</v>
      </c>
      <c r="L108" s="2" t="s">
        <v>122</v>
      </c>
      <c r="M108" s="56"/>
      <c r="N108" s="2"/>
      <c r="O108" s="2"/>
      <c r="P108" s="2"/>
      <c r="Q108" s="2"/>
      <c r="R108" s="2"/>
      <c r="S108" s="2"/>
      <c r="T108" s="2"/>
      <c r="U108" s="58"/>
      <c r="V108" s="57"/>
      <c r="W108" s="2"/>
      <c r="X108" s="58"/>
      <c r="Y108" s="2"/>
      <c r="Z108" s="38"/>
      <c r="AA108" s="2"/>
      <c r="AB108" s="2">
        <f t="shared" si="18"/>
        <v>0</v>
      </c>
      <c r="AC108" s="2" t="e">
        <f t="shared" si="19"/>
        <v>#VALUE!</v>
      </c>
      <c r="AD108" s="2">
        <f t="shared" si="20"/>
        <v>0</v>
      </c>
      <c r="AE108" s="62" t="e">
        <f t="shared" si="21"/>
        <v>#VALUE!</v>
      </c>
      <c r="AF108" s="63">
        <f t="shared" si="26"/>
        <v>0</v>
      </c>
      <c r="AG108" s="31" t="e">
        <f t="shared" si="22"/>
        <v>#VALUE!</v>
      </c>
      <c r="AH108">
        <f t="shared" si="23"/>
        <v>0</v>
      </c>
      <c r="AI108" s="53">
        <f t="shared" si="24"/>
        <v>0</v>
      </c>
      <c r="AJ108" s="53">
        <f t="shared" si="25"/>
        <v>0</v>
      </c>
      <c r="AK108" s="52">
        <f t="shared" si="27"/>
        <v>0</v>
      </c>
    </row>
    <row r="109" spans="2:37" x14ac:dyDescent="0.25">
      <c r="B109" s="2" t="s">
        <v>15</v>
      </c>
      <c r="C109" s="2" t="s">
        <v>58</v>
      </c>
      <c r="D109" s="2">
        <v>20141217</v>
      </c>
      <c r="E109" s="2">
        <v>1.575</v>
      </c>
      <c r="F109" s="2" t="s">
        <v>60</v>
      </c>
      <c r="G109" s="2">
        <v>62500</v>
      </c>
      <c r="H109" s="2" t="str">
        <f t="shared" si="15"/>
        <v>GLOBEX</v>
      </c>
      <c r="I109" s="2" t="s">
        <v>17</v>
      </c>
      <c r="J109" s="2" t="s">
        <v>16</v>
      </c>
      <c r="K109" s="2" t="str">
        <f t="shared" si="16"/>
        <v>6B2Z4 C1575</v>
      </c>
      <c r="L109" s="2" t="s">
        <v>122</v>
      </c>
      <c r="M109" s="56"/>
      <c r="N109" s="2"/>
      <c r="O109" s="2"/>
      <c r="P109" s="2"/>
      <c r="Q109" s="2"/>
      <c r="R109" s="2"/>
      <c r="S109" s="2"/>
      <c r="T109" s="2"/>
      <c r="U109" s="58"/>
      <c r="V109" s="57"/>
      <c r="W109" s="2"/>
      <c r="X109" s="58"/>
      <c r="Y109" s="2"/>
      <c r="Z109" s="38"/>
      <c r="AA109" s="2"/>
      <c r="AB109" s="2">
        <f t="shared" si="18"/>
        <v>0</v>
      </c>
      <c r="AC109" s="2" t="e">
        <f t="shared" si="19"/>
        <v>#VALUE!</v>
      </c>
      <c r="AD109" s="2">
        <f t="shared" si="20"/>
        <v>0</v>
      </c>
      <c r="AE109" s="62" t="e">
        <f t="shared" si="21"/>
        <v>#VALUE!</v>
      </c>
      <c r="AF109" s="63">
        <f t="shared" si="26"/>
        <v>0</v>
      </c>
      <c r="AG109" s="31" t="e">
        <f t="shared" si="22"/>
        <v>#VALUE!</v>
      </c>
      <c r="AH109">
        <f t="shared" si="23"/>
        <v>0</v>
      </c>
      <c r="AI109" s="53">
        <f t="shared" si="24"/>
        <v>0</v>
      </c>
      <c r="AJ109" s="53">
        <f t="shared" si="25"/>
        <v>0</v>
      </c>
      <c r="AK109" s="52">
        <f t="shared" si="27"/>
        <v>0</v>
      </c>
    </row>
    <row r="110" spans="2:37" x14ac:dyDescent="0.25">
      <c r="B110" s="2" t="s">
        <v>15</v>
      </c>
      <c r="C110" s="2" t="s">
        <v>58</v>
      </c>
      <c r="D110" s="2">
        <v>20141218</v>
      </c>
      <c r="E110" s="2">
        <v>1.58</v>
      </c>
      <c r="F110" s="2" t="s">
        <v>60</v>
      </c>
      <c r="G110" s="2">
        <v>62500</v>
      </c>
      <c r="H110" s="2" t="str">
        <f t="shared" si="15"/>
        <v>GLOBEX</v>
      </c>
      <c r="I110" s="2" t="s">
        <v>17</v>
      </c>
      <c r="J110" s="2" t="s">
        <v>16</v>
      </c>
      <c r="K110" s="2" t="str">
        <f t="shared" si="16"/>
        <v>6B2Z4 C1580</v>
      </c>
      <c r="L110" s="2" t="s">
        <v>122</v>
      </c>
      <c r="M110" s="56"/>
      <c r="N110" s="2"/>
      <c r="O110" s="2"/>
      <c r="P110" s="2"/>
      <c r="Q110" s="2"/>
      <c r="R110" s="2"/>
      <c r="S110" s="2"/>
      <c r="T110" s="2"/>
      <c r="U110" s="58"/>
      <c r="V110" s="57"/>
      <c r="W110" s="2"/>
      <c r="X110" s="58"/>
      <c r="Y110" s="2"/>
      <c r="Z110" s="38"/>
      <c r="AA110" s="2"/>
      <c r="AB110" s="2">
        <f t="shared" si="18"/>
        <v>0</v>
      </c>
      <c r="AC110" s="2" t="e">
        <f t="shared" si="19"/>
        <v>#VALUE!</v>
      </c>
      <c r="AD110" s="2">
        <f t="shared" si="20"/>
        <v>0</v>
      </c>
      <c r="AE110" s="62" t="e">
        <f t="shared" si="21"/>
        <v>#VALUE!</v>
      </c>
      <c r="AF110" s="63">
        <f t="shared" si="26"/>
        <v>0</v>
      </c>
      <c r="AG110" s="31" t="e">
        <f t="shared" si="22"/>
        <v>#VALUE!</v>
      </c>
      <c r="AH110">
        <f t="shared" si="23"/>
        <v>0</v>
      </c>
      <c r="AI110" s="53">
        <f t="shared" si="24"/>
        <v>0</v>
      </c>
      <c r="AJ110" s="53">
        <f t="shared" si="25"/>
        <v>0</v>
      </c>
      <c r="AK110" s="52">
        <f t="shared" si="27"/>
        <v>0</v>
      </c>
    </row>
    <row r="111" spans="2:37" x14ac:dyDescent="0.25">
      <c r="B111" s="2" t="s">
        <v>15</v>
      </c>
      <c r="C111" s="2" t="s">
        <v>58</v>
      </c>
      <c r="D111" s="2">
        <v>20141219</v>
      </c>
      <c r="E111" s="2">
        <v>1.585</v>
      </c>
      <c r="F111" s="2" t="s">
        <v>60</v>
      </c>
      <c r="G111" s="2">
        <v>62500</v>
      </c>
      <c r="H111" s="2" t="str">
        <f t="shared" si="15"/>
        <v>GLOBEX</v>
      </c>
      <c r="I111" s="2" t="s">
        <v>17</v>
      </c>
      <c r="J111" s="2" t="s">
        <v>16</v>
      </c>
      <c r="K111" s="2" t="str">
        <f t="shared" si="16"/>
        <v>6B2Z4 C1585</v>
      </c>
      <c r="L111" s="2" t="s">
        <v>122</v>
      </c>
      <c r="M111" s="56"/>
      <c r="N111" s="2"/>
      <c r="O111" s="2"/>
      <c r="P111" s="2"/>
      <c r="Q111" s="2"/>
      <c r="R111" s="2"/>
      <c r="S111" s="2"/>
      <c r="T111" s="2"/>
      <c r="U111" s="58"/>
      <c r="V111" s="57"/>
      <c r="W111" s="2"/>
      <c r="X111" s="58"/>
      <c r="Y111" s="2"/>
      <c r="Z111" s="38"/>
      <c r="AA111" s="2"/>
      <c r="AB111" s="2">
        <f t="shared" si="18"/>
        <v>0</v>
      </c>
      <c r="AC111" s="2" t="e">
        <f t="shared" si="19"/>
        <v>#VALUE!</v>
      </c>
      <c r="AD111" s="2">
        <f t="shared" si="20"/>
        <v>0</v>
      </c>
      <c r="AE111" s="62" t="e">
        <f t="shared" si="21"/>
        <v>#VALUE!</v>
      </c>
      <c r="AF111" s="63">
        <f t="shared" si="26"/>
        <v>0</v>
      </c>
      <c r="AG111" s="31" t="e">
        <f t="shared" si="22"/>
        <v>#VALUE!</v>
      </c>
      <c r="AH111">
        <f t="shared" si="23"/>
        <v>0</v>
      </c>
      <c r="AI111" s="53">
        <f t="shared" si="24"/>
        <v>0</v>
      </c>
      <c r="AJ111" s="53">
        <f t="shared" si="25"/>
        <v>0</v>
      </c>
      <c r="AK111" s="52">
        <f t="shared" si="27"/>
        <v>0</v>
      </c>
    </row>
    <row r="112" spans="2:37" x14ac:dyDescent="0.25">
      <c r="B112" s="2" t="s">
        <v>15</v>
      </c>
      <c r="C112" s="2" t="s">
        <v>58</v>
      </c>
      <c r="D112" s="2">
        <v>20141220</v>
      </c>
      <c r="E112" s="2">
        <v>1.59</v>
      </c>
      <c r="F112" s="2" t="s">
        <v>60</v>
      </c>
      <c r="G112" s="2">
        <v>62500</v>
      </c>
      <c r="H112" s="2" t="str">
        <f t="shared" si="15"/>
        <v>GLOBEX</v>
      </c>
      <c r="I112" s="2" t="s">
        <v>17</v>
      </c>
      <c r="J112" s="2" t="s">
        <v>16</v>
      </c>
      <c r="K112" s="2" t="str">
        <f t="shared" si="16"/>
        <v>6B2Z4 C1590</v>
      </c>
      <c r="L112" s="2" t="s">
        <v>122</v>
      </c>
      <c r="M112" s="56"/>
      <c r="N112" s="2"/>
      <c r="O112" s="2"/>
      <c r="P112" s="2"/>
      <c r="Q112" s="2"/>
      <c r="R112" s="2"/>
      <c r="S112" s="2"/>
      <c r="T112" s="2"/>
      <c r="U112" s="58"/>
      <c r="V112" s="57"/>
      <c r="W112" s="2"/>
      <c r="X112" s="58"/>
      <c r="Y112" s="2"/>
      <c r="Z112" s="38"/>
      <c r="AA112" s="2"/>
      <c r="AB112" s="2">
        <f t="shared" si="18"/>
        <v>0</v>
      </c>
      <c r="AC112" s="2" t="e">
        <f t="shared" si="19"/>
        <v>#VALUE!</v>
      </c>
      <c r="AD112" s="2">
        <f t="shared" si="20"/>
        <v>0</v>
      </c>
      <c r="AE112" s="62" t="e">
        <f t="shared" si="21"/>
        <v>#VALUE!</v>
      </c>
      <c r="AF112" s="63">
        <f t="shared" si="26"/>
        <v>0</v>
      </c>
      <c r="AG112" s="31" t="e">
        <f t="shared" si="22"/>
        <v>#VALUE!</v>
      </c>
      <c r="AH112">
        <f t="shared" si="23"/>
        <v>0</v>
      </c>
      <c r="AI112" s="53">
        <f t="shared" si="24"/>
        <v>0</v>
      </c>
      <c r="AJ112" s="53">
        <f t="shared" si="25"/>
        <v>0</v>
      </c>
      <c r="AK112" s="52">
        <f t="shared" si="27"/>
        <v>0</v>
      </c>
    </row>
    <row r="113" spans="2:37" x14ac:dyDescent="0.25">
      <c r="B113" s="2" t="s">
        <v>15</v>
      </c>
      <c r="C113" s="2" t="s">
        <v>58</v>
      </c>
      <c r="D113" s="2">
        <v>20141221</v>
      </c>
      <c r="E113" s="2">
        <v>1.595</v>
      </c>
      <c r="F113" s="2" t="s">
        <v>60</v>
      </c>
      <c r="G113" s="2">
        <v>62500</v>
      </c>
      <c r="H113" s="2" t="str">
        <f t="shared" si="15"/>
        <v>GLOBEX</v>
      </c>
      <c r="I113" s="2" t="s">
        <v>17</v>
      </c>
      <c r="J113" s="2" t="s">
        <v>16</v>
      </c>
      <c r="K113" s="2" t="str">
        <f t="shared" si="16"/>
        <v>6B2Z4 C1595</v>
      </c>
      <c r="L113" s="2" t="s">
        <v>122</v>
      </c>
      <c r="M113" s="56"/>
      <c r="N113" s="2"/>
      <c r="O113" s="2"/>
      <c r="P113" s="2"/>
      <c r="Q113" s="2"/>
      <c r="R113" s="2"/>
      <c r="S113" s="2"/>
      <c r="T113" s="2"/>
      <c r="U113" s="58"/>
      <c r="V113" s="57"/>
      <c r="W113" s="2"/>
      <c r="X113" s="58"/>
      <c r="Y113" s="2"/>
      <c r="Z113" s="38"/>
      <c r="AA113" s="2"/>
      <c r="AB113" s="2">
        <f t="shared" si="18"/>
        <v>0</v>
      </c>
      <c r="AC113" s="2" t="e">
        <f t="shared" si="19"/>
        <v>#VALUE!</v>
      </c>
      <c r="AD113" s="2">
        <f t="shared" si="20"/>
        <v>0</v>
      </c>
      <c r="AE113" s="62" t="e">
        <f t="shared" si="21"/>
        <v>#VALUE!</v>
      </c>
      <c r="AF113" s="63">
        <f t="shared" si="26"/>
        <v>0</v>
      </c>
      <c r="AG113" s="31" t="e">
        <f t="shared" si="22"/>
        <v>#VALUE!</v>
      </c>
      <c r="AH113">
        <f t="shared" si="23"/>
        <v>0</v>
      </c>
      <c r="AI113" s="53">
        <f t="shared" si="24"/>
        <v>0</v>
      </c>
      <c r="AJ113" s="53">
        <f t="shared" si="25"/>
        <v>0</v>
      </c>
      <c r="AK113" s="52">
        <f t="shared" si="27"/>
        <v>0</v>
      </c>
    </row>
    <row r="114" spans="2:37" x14ac:dyDescent="0.25">
      <c r="B114" s="2" t="s">
        <v>15</v>
      </c>
      <c r="C114" s="2" t="s">
        <v>58</v>
      </c>
      <c r="D114" s="2">
        <v>20141222</v>
      </c>
      <c r="E114" s="2">
        <v>1.6</v>
      </c>
      <c r="F114" s="2" t="s">
        <v>60</v>
      </c>
      <c r="G114" s="2">
        <v>62500</v>
      </c>
      <c r="H114" s="2" t="str">
        <f t="shared" si="15"/>
        <v>GLOBEX</v>
      </c>
      <c r="I114" s="2" t="s">
        <v>17</v>
      </c>
      <c r="J114" s="2" t="s">
        <v>16</v>
      </c>
      <c r="K114" s="2" t="str">
        <f t="shared" si="16"/>
        <v>6B2Z4 C1600</v>
      </c>
      <c r="L114" s="2" t="s">
        <v>122</v>
      </c>
      <c r="M114" s="56"/>
      <c r="N114" s="2"/>
      <c r="O114" s="2"/>
      <c r="P114" s="2"/>
      <c r="Q114" s="2"/>
      <c r="R114" s="2"/>
      <c r="S114" s="2"/>
      <c r="T114" s="2"/>
      <c r="U114" s="58"/>
      <c r="V114" s="57"/>
      <c r="W114" s="2"/>
      <c r="X114" s="58"/>
      <c r="Y114" s="2"/>
      <c r="Z114" s="38"/>
      <c r="AA114" s="2"/>
      <c r="AB114" s="2">
        <f t="shared" si="18"/>
        <v>0</v>
      </c>
      <c r="AC114" s="2" t="e">
        <f t="shared" si="19"/>
        <v>#VALUE!</v>
      </c>
      <c r="AD114" s="2">
        <f t="shared" si="20"/>
        <v>0</v>
      </c>
      <c r="AE114" s="62" t="e">
        <f t="shared" si="21"/>
        <v>#VALUE!</v>
      </c>
      <c r="AF114" s="63">
        <f t="shared" si="26"/>
        <v>0</v>
      </c>
      <c r="AG114" s="31" t="e">
        <f t="shared" si="22"/>
        <v>#VALUE!</v>
      </c>
      <c r="AH114">
        <f t="shared" si="23"/>
        <v>0</v>
      </c>
      <c r="AI114" s="53">
        <f t="shared" si="24"/>
        <v>0</v>
      </c>
      <c r="AJ114" s="53">
        <f t="shared" si="25"/>
        <v>0</v>
      </c>
      <c r="AK114" s="52">
        <f t="shared" si="27"/>
        <v>0</v>
      </c>
    </row>
    <row r="115" spans="2:37" x14ac:dyDescent="0.25">
      <c r="B115" s="2" t="s">
        <v>15</v>
      </c>
      <c r="C115" s="2" t="s">
        <v>58</v>
      </c>
      <c r="D115" s="2">
        <v>20141223</v>
      </c>
      <c r="E115" s="2">
        <v>1.605</v>
      </c>
      <c r="F115" s="2" t="s">
        <v>60</v>
      </c>
      <c r="G115" s="2">
        <v>62500</v>
      </c>
      <c r="H115" s="2" t="str">
        <f t="shared" si="15"/>
        <v>GLOBEX</v>
      </c>
      <c r="I115" s="2" t="s">
        <v>17</v>
      </c>
      <c r="J115" s="2" t="s">
        <v>16</v>
      </c>
      <c r="K115" s="2" t="str">
        <f t="shared" si="16"/>
        <v>6B2Z4 C1605</v>
      </c>
      <c r="L115" s="2" t="s">
        <v>122</v>
      </c>
      <c r="M115" s="56"/>
      <c r="N115" s="2"/>
      <c r="O115" s="2"/>
      <c r="P115" s="2"/>
      <c r="Q115" s="2"/>
      <c r="R115" s="2"/>
      <c r="S115" s="2"/>
      <c r="T115" s="2"/>
      <c r="U115" s="58"/>
      <c r="V115" s="57"/>
      <c r="W115" s="2"/>
      <c r="X115" s="58"/>
      <c r="Y115" s="2"/>
      <c r="Z115" s="38"/>
      <c r="AA115" s="2"/>
      <c r="AB115" s="2">
        <f t="shared" si="18"/>
        <v>0</v>
      </c>
      <c r="AC115" s="2" t="e">
        <f t="shared" si="19"/>
        <v>#VALUE!</v>
      </c>
      <c r="AD115" s="2">
        <f t="shared" si="20"/>
        <v>0</v>
      </c>
      <c r="AE115" s="62" t="e">
        <f t="shared" si="21"/>
        <v>#VALUE!</v>
      </c>
      <c r="AF115" s="63">
        <f t="shared" si="26"/>
        <v>0</v>
      </c>
      <c r="AG115" s="31" t="e">
        <f t="shared" si="22"/>
        <v>#VALUE!</v>
      </c>
      <c r="AH115">
        <f t="shared" si="23"/>
        <v>0</v>
      </c>
      <c r="AI115" s="53">
        <f t="shared" si="24"/>
        <v>0</v>
      </c>
      <c r="AJ115" s="53">
        <f t="shared" si="25"/>
        <v>0</v>
      </c>
      <c r="AK115" s="52">
        <f t="shared" si="27"/>
        <v>0</v>
      </c>
    </row>
    <row r="116" spans="2:37" x14ac:dyDescent="0.25">
      <c r="B116" s="2" t="s">
        <v>15</v>
      </c>
      <c r="C116" s="2" t="s">
        <v>58</v>
      </c>
      <c r="D116" s="2">
        <v>20141224</v>
      </c>
      <c r="E116" s="2">
        <v>1.61</v>
      </c>
      <c r="F116" s="2" t="s">
        <v>60</v>
      </c>
      <c r="G116" s="2">
        <v>62500</v>
      </c>
      <c r="H116" s="2" t="str">
        <f t="shared" si="15"/>
        <v>GLOBEX</v>
      </c>
      <c r="I116" s="2" t="s">
        <v>17</v>
      </c>
      <c r="J116" s="2" t="s">
        <v>16</v>
      </c>
      <c r="K116" s="2" t="str">
        <f t="shared" si="16"/>
        <v>6B2Z4 C1610</v>
      </c>
      <c r="L116" s="2" t="s">
        <v>122</v>
      </c>
      <c r="M116" s="56"/>
      <c r="N116" s="2"/>
      <c r="O116" s="2"/>
      <c r="P116" s="2"/>
      <c r="Q116" s="2"/>
      <c r="R116" s="2"/>
      <c r="S116" s="2"/>
      <c r="T116" s="2"/>
      <c r="U116" s="58"/>
      <c r="V116" s="57"/>
      <c r="W116" s="2"/>
      <c r="X116" s="58"/>
      <c r="Y116" s="2"/>
      <c r="Z116" s="38"/>
      <c r="AA116" s="2"/>
      <c r="AB116" s="2">
        <f t="shared" si="18"/>
        <v>0</v>
      </c>
      <c r="AC116" s="2" t="e">
        <f t="shared" si="19"/>
        <v>#VALUE!</v>
      </c>
      <c r="AD116" s="2">
        <f t="shared" si="20"/>
        <v>0</v>
      </c>
      <c r="AE116" s="62" t="e">
        <f t="shared" si="21"/>
        <v>#VALUE!</v>
      </c>
      <c r="AF116" s="63">
        <f t="shared" si="26"/>
        <v>0</v>
      </c>
      <c r="AG116" s="31" t="e">
        <f t="shared" si="22"/>
        <v>#VALUE!</v>
      </c>
      <c r="AH116">
        <f t="shared" si="23"/>
        <v>0</v>
      </c>
      <c r="AI116" s="53">
        <f t="shared" si="24"/>
        <v>0</v>
      </c>
      <c r="AJ116" s="53">
        <f t="shared" si="25"/>
        <v>0</v>
      </c>
      <c r="AK116" s="52">
        <f t="shared" si="27"/>
        <v>0</v>
      </c>
    </row>
    <row r="117" spans="2:37" x14ac:dyDescent="0.25">
      <c r="B117" s="2" t="s">
        <v>15</v>
      </c>
      <c r="C117" s="2" t="s">
        <v>58</v>
      </c>
      <c r="D117" s="2">
        <v>20141225</v>
      </c>
      <c r="E117" s="2">
        <v>1.615</v>
      </c>
      <c r="F117" s="2" t="s">
        <v>60</v>
      </c>
      <c r="G117" s="2">
        <v>62500</v>
      </c>
      <c r="H117" s="2" t="str">
        <f t="shared" si="15"/>
        <v>GLOBEX</v>
      </c>
      <c r="I117" s="2" t="s">
        <v>17</v>
      </c>
      <c r="J117" s="2" t="s">
        <v>16</v>
      </c>
      <c r="K117" s="2" t="str">
        <f t="shared" si="16"/>
        <v>6B2Z4 C1615</v>
      </c>
      <c r="L117" s="2" t="s">
        <v>122</v>
      </c>
      <c r="M117" s="56"/>
      <c r="N117" s="2"/>
      <c r="O117" s="2"/>
      <c r="P117" s="2"/>
      <c r="Q117" s="2"/>
      <c r="R117" s="2"/>
      <c r="S117" s="2"/>
      <c r="T117" s="2"/>
      <c r="U117" s="58"/>
      <c r="V117" s="57"/>
      <c r="W117" s="2"/>
      <c r="X117" s="58"/>
      <c r="Y117" s="2"/>
      <c r="Z117" s="38"/>
      <c r="AA117" s="2"/>
      <c r="AB117" s="2">
        <f t="shared" si="18"/>
        <v>0</v>
      </c>
      <c r="AC117" s="2" t="e">
        <f t="shared" si="19"/>
        <v>#VALUE!</v>
      </c>
      <c r="AD117" s="2">
        <f t="shared" si="20"/>
        <v>0</v>
      </c>
      <c r="AE117" s="62" t="e">
        <f t="shared" si="21"/>
        <v>#VALUE!</v>
      </c>
      <c r="AF117" s="63">
        <f t="shared" si="26"/>
        <v>0</v>
      </c>
      <c r="AG117" s="31" t="e">
        <f t="shared" si="22"/>
        <v>#VALUE!</v>
      </c>
      <c r="AH117">
        <f t="shared" si="23"/>
        <v>0</v>
      </c>
      <c r="AI117" s="53">
        <f t="shared" si="24"/>
        <v>0</v>
      </c>
      <c r="AJ117" s="53">
        <f t="shared" si="25"/>
        <v>0</v>
      </c>
      <c r="AK117" s="52">
        <f t="shared" si="27"/>
        <v>0</v>
      </c>
    </row>
    <row r="118" spans="2:37" x14ac:dyDescent="0.25">
      <c r="B118" s="2" t="s">
        <v>15</v>
      </c>
      <c r="C118" s="2" t="s">
        <v>58</v>
      </c>
      <c r="D118" s="2">
        <v>20141226</v>
      </c>
      <c r="E118" s="2">
        <v>1.62</v>
      </c>
      <c r="F118" s="2" t="s">
        <v>60</v>
      </c>
      <c r="G118" s="2">
        <v>62500</v>
      </c>
      <c r="H118" s="2" t="str">
        <f t="shared" si="15"/>
        <v>GLOBEX</v>
      </c>
      <c r="I118" s="2" t="s">
        <v>17</v>
      </c>
      <c r="J118" s="2" t="s">
        <v>16</v>
      </c>
      <c r="K118" s="2" t="str">
        <f t="shared" si="16"/>
        <v>6B2Z4 C1620</v>
      </c>
      <c r="L118" s="2" t="s">
        <v>122</v>
      </c>
      <c r="M118" s="56"/>
      <c r="N118" s="2"/>
      <c r="O118" s="2"/>
      <c r="P118" s="2"/>
      <c r="Q118" s="2"/>
      <c r="R118" s="2"/>
      <c r="S118" s="2"/>
      <c r="T118" s="2"/>
      <c r="U118" s="58"/>
      <c r="V118" s="57"/>
      <c r="W118" s="2"/>
      <c r="X118" s="58"/>
      <c r="Y118" s="2"/>
      <c r="Z118" s="38"/>
      <c r="AA118" s="2"/>
      <c r="AB118" s="2">
        <f t="shared" si="18"/>
        <v>0</v>
      </c>
      <c r="AC118" s="2" t="e">
        <f t="shared" si="19"/>
        <v>#VALUE!</v>
      </c>
      <c r="AD118" s="2">
        <f t="shared" si="20"/>
        <v>0</v>
      </c>
      <c r="AE118" s="62" t="e">
        <f t="shared" si="21"/>
        <v>#VALUE!</v>
      </c>
      <c r="AF118" s="63">
        <f t="shared" si="26"/>
        <v>0</v>
      </c>
      <c r="AG118" s="31" t="e">
        <f t="shared" si="22"/>
        <v>#VALUE!</v>
      </c>
      <c r="AH118">
        <f t="shared" si="23"/>
        <v>0</v>
      </c>
      <c r="AI118" s="53">
        <f t="shared" si="24"/>
        <v>0</v>
      </c>
      <c r="AJ118" s="53">
        <f t="shared" si="25"/>
        <v>0</v>
      </c>
      <c r="AK118" s="52">
        <f t="shared" si="27"/>
        <v>0</v>
      </c>
    </row>
    <row r="119" spans="2:37" x14ac:dyDescent="0.25">
      <c r="B119" s="2" t="s">
        <v>15</v>
      </c>
      <c r="C119" s="2" t="s">
        <v>58</v>
      </c>
      <c r="D119" s="2">
        <v>20141227</v>
      </c>
      <c r="E119" s="2">
        <v>1.625</v>
      </c>
      <c r="F119" s="2" t="s">
        <v>60</v>
      </c>
      <c r="G119" s="2">
        <v>62500</v>
      </c>
      <c r="H119" s="2" t="str">
        <f t="shared" si="15"/>
        <v>GLOBEX</v>
      </c>
      <c r="I119" s="2" t="s">
        <v>17</v>
      </c>
      <c r="J119" s="2" t="s">
        <v>16</v>
      </c>
      <c r="K119" s="2" t="str">
        <f t="shared" si="16"/>
        <v>6B2Z4 C1625</v>
      </c>
      <c r="L119" s="2" t="s">
        <v>122</v>
      </c>
      <c r="M119" s="56"/>
      <c r="N119" s="2"/>
      <c r="O119" s="2"/>
      <c r="P119" s="2"/>
      <c r="Q119" s="2"/>
      <c r="R119" s="2"/>
      <c r="S119" s="2"/>
      <c r="T119" s="2"/>
      <c r="U119" s="58"/>
      <c r="V119" s="57"/>
      <c r="W119" s="2"/>
      <c r="X119" s="58"/>
      <c r="Y119" s="2"/>
      <c r="Z119" s="38"/>
      <c r="AA119" s="2"/>
      <c r="AB119" s="2">
        <f t="shared" si="18"/>
        <v>0</v>
      </c>
      <c r="AC119" s="2" t="e">
        <f t="shared" si="19"/>
        <v>#VALUE!</v>
      </c>
      <c r="AD119" s="2">
        <f t="shared" si="20"/>
        <v>0</v>
      </c>
      <c r="AE119" s="62" t="e">
        <f t="shared" si="21"/>
        <v>#VALUE!</v>
      </c>
      <c r="AF119" s="63">
        <f t="shared" si="26"/>
        <v>0</v>
      </c>
      <c r="AG119" s="31" t="e">
        <f t="shared" si="22"/>
        <v>#VALUE!</v>
      </c>
      <c r="AH119">
        <f t="shared" si="23"/>
        <v>0</v>
      </c>
      <c r="AI119" s="53">
        <f t="shared" si="24"/>
        <v>0</v>
      </c>
      <c r="AJ119" s="53">
        <f t="shared" si="25"/>
        <v>0</v>
      </c>
      <c r="AK119" s="52">
        <f t="shared" si="27"/>
        <v>0</v>
      </c>
    </row>
    <row r="120" spans="2:37" x14ac:dyDescent="0.25">
      <c r="B120" s="2" t="s">
        <v>15</v>
      </c>
      <c r="C120" s="2" t="s">
        <v>58</v>
      </c>
      <c r="D120" s="2">
        <v>20141228</v>
      </c>
      <c r="E120" s="2">
        <v>1.63</v>
      </c>
      <c r="F120" s="2" t="s">
        <v>60</v>
      </c>
      <c r="G120" s="2">
        <v>62500</v>
      </c>
      <c r="H120" s="2" t="str">
        <f t="shared" si="15"/>
        <v>GLOBEX</v>
      </c>
      <c r="I120" s="2" t="s">
        <v>17</v>
      </c>
      <c r="J120" s="2" t="s">
        <v>16</v>
      </c>
      <c r="K120" s="2" t="str">
        <f t="shared" si="16"/>
        <v>6B2Z4 C1630</v>
      </c>
      <c r="L120" s="2" t="s">
        <v>122</v>
      </c>
      <c r="M120" s="56"/>
      <c r="N120" s="2"/>
      <c r="O120" s="2"/>
      <c r="P120" s="2"/>
      <c r="Q120" s="2"/>
      <c r="R120" s="2"/>
      <c r="S120" s="2"/>
      <c r="T120" s="2"/>
      <c r="U120" s="58"/>
      <c r="V120" s="57"/>
      <c r="W120" s="2"/>
      <c r="X120" s="58"/>
      <c r="Y120" s="2"/>
      <c r="Z120" s="38"/>
      <c r="AA120" s="2"/>
      <c r="AB120" s="2">
        <f t="shared" si="18"/>
        <v>0</v>
      </c>
      <c r="AC120" s="2" t="e">
        <f t="shared" si="19"/>
        <v>#VALUE!</v>
      </c>
      <c r="AD120" s="2">
        <f t="shared" si="20"/>
        <v>0</v>
      </c>
      <c r="AE120" s="62" t="e">
        <f t="shared" si="21"/>
        <v>#VALUE!</v>
      </c>
      <c r="AF120" s="63">
        <f t="shared" si="26"/>
        <v>0</v>
      </c>
      <c r="AG120" s="31" t="e">
        <f t="shared" si="22"/>
        <v>#VALUE!</v>
      </c>
      <c r="AH120">
        <f t="shared" si="23"/>
        <v>0</v>
      </c>
      <c r="AI120" s="53">
        <f t="shared" si="24"/>
        <v>0</v>
      </c>
      <c r="AJ120" s="53">
        <f t="shared" si="25"/>
        <v>0</v>
      </c>
      <c r="AK120" s="52">
        <f t="shared" si="27"/>
        <v>0</v>
      </c>
    </row>
    <row r="121" spans="2:37" x14ac:dyDescent="0.25">
      <c r="B121" s="2" t="s">
        <v>15</v>
      </c>
      <c r="C121" s="2" t="s">
        <v>58</v>
      </c>
      <c r="D121" s="2">
        <v>20141229</v>
      </c>
      <c r="E121" s="2">
        <v>1.635</v>
      </c>
      <c r="F121" s="2" t="s">
        <v>60</v>
      </c>
      <c r="G121" s="2">
        <v>62500</v>
      </c>
      <c r="H121" s="2" t="str">
        <f t="shared" si="15"/>
        <v>GLOBEX</v>
      </c>
      <c r="I121" s="2" t="s">
        <v>17</v>
      </c>
      <c r="J121" s="2" t="s">
        <v>16</v>
      </c>
      <c r="K121" s="2" t="str">
        <f t="shared" si="16"/>
        <v>6B2Z4 C1635</v>
      </c>
      <c r="L121" s="2" t="s">
        <v>122</v>
      </c>
      <c r="M121" s="56"/>
      <c r="N121" s="2"/>
      <c r="O121" s="2"/>
      <c r="P121" s="2"/>
      <c r="Q121" s="2"/>
      <c r="R121" s="2"/>
      <c r="S121" s="2"/>
      <c r="T121" s="2"/>
      <c r="U121" s="58"/>
      <c r="V121" s="57"/>
      <c r="W121" s="2"/>
      <c r="X121" s="58"/>
      <c r="Y121" s="2"/>
      <c r="Z121" s="38"/>
      <c r="AA121" s="2"/>
      <c r="AB121" s="2">
        <f t="shared" si="18"/>
        <v>0</v>
      </c>
      <c r="AC121" s="2" t="e">
        <f t="shared" si="19"/>
        <v>#VALUE!</v>
      </c>
      <c r="AD121" s="2">
        <f t="shared" si="20"/>
        <v>0</v>
      </c>
      <c r="AE121" s="62" t="e">
        <f t="shared" si="21"/>
        <v>#VALUE!</v>
      </c>
      <c r="AF121" s="63">
        <f t="shared" si="26"/>
        <v>0</v>
      </c>
      <c r="AG121" s="31" t="e">
        <f t="shared" si="22"/>
        <v>#VALUE!</v>
      </c>
      <c r="AH121">
        <f t="shared" si="23"/>
        <v>0</v>
      </c>
      <c r="AI121" s="53">
        <f t="shared" si="24"/>
        <v>0</v>
      </c>
      <c r="AJ121" s="53">
        <f t="shared" si="25"/>
        <v>0</v>
      </c>
      <c r="AK121" s="52">
        <f t="shared" si="27"/>
        <v>0</v>
      </c>
    </row>
    <row r="122" spans="2:37" x14ac:dyDescent="0.25">
      <c r="B122" s="2" t="s">
        <v>15</v>
      </c>
      <c r="C122" s="2" t="s">
        <v>58</v>
      </c>
      <c r="D122" s="2">
        <v>20141230</v>
      </c>
      <c r="E122" s="2">
        <v>1.6400000000000001</v>
      </c>
      <c r="F122" s="2" t="s">
        <v>60</v>
      </c>
      <c r="G122" s="2">
        <v>62500</v>
      </c>
      <c r="H122" s="2" t="str">
        <f t="shared" si="15"/>
        <v>GLOBEX</v>
      </c>
      <c r="I122" s="2" t="s">
        <v>17</v>
      </c>
      <c r="J122" s="2" t="s">
        <v>16</v>
      </c>
      <c r="K122" s="2" t="str">
        <f t="shared" si="16"/>
        <v>6B2Z4 C1640</v>
      </c>
      <c r="L122" s="2" t="s">
        <v>122</v>
      </c>
      <c r="M122" s="56"/>
      <c r="N122" s="2"/>
      <c r="O122" s="2"/>
      <c r="P122" s="2"/>
      <c r="Q122" s="2"/>
      <c r="R122" s="2"/>
      <c r="S122" s="2"/>
      <c r="T122" s="2"/>
      <c r="U122" s="58"/>
      <c r="V122" s="57"/>
      <c r="W122" s="2"/>
      <c r="X122" s="58"/>
      <c r="Y122" s="2"/>
      <c r="Z122" s="38"/>
      <c r="AA122" s="2"/>
      <c r="AB122" s="2">
        <f t="shared" si="18"/>
        <v>0</v>
      </c>
      <c r="AC122" s="2" t="e">
        <f t="shared" si="19"/>
        <v>#VALUE!</v>
      </c>
      <c r="AD122" s="2">
        <f t="shared" si="20"/>
        <v>0</v>
      </c>
      <c r="AE122" s="62" t="e">
        <f t="shared" si="21"/>
        <v>#VALUE!</v>
      </c>
      <c r="AF122" s="63">
        <f t="shared" si="26"/>
        <v>0</v>
      </c>
      <c r="AG122" s="31" t="e">
        <f t="shared" si="22"/>
        <v>#VALUE!</v>
      </c>
      <c r="AH122">
        <f t="shared" si="23"/>
        <v>0</v>
      </c>
      <c r="AI122" s="53">
        <f t="shared" si="24"/>
        <v>0</v>
      </c>
      <c r="AJ122" s="53">
        <f t="shared" si="25"/>
        <v>0</v>
      </c>
      <c r="AK122" s="52">
        <f t="shared" si="27"/>
        <v>0</v>
      </c>
    </row>
    <row r="123" spans="2:37" x14ac:dyDescent="0.25">
      <c r="B123" s="2" t="s">
        <v>15</v>
      </c>
      <c r="C123" s="2" t="s">
        <v>58</v>
      </c>
      <c r="D123" s="2">
        <v>20141231</v>
      </c>
      <c r="E123" s="2">
        <v>1.645</v>
      </c>
      <c r="F123" s="2" t="s">
        <v>60</v>
      </c>
      <c r="G123" s="2">
        <v>62500</v>
      </c>
      <c r="H123" s="2" t="str">
        <f t="shared" si="15"/>
        <v>GLOBEX</v>
      </c>
      <c r="I123" s="2" t="s">
        <v>17</v>
      </c>
      <c r="J123" s="2" t="s">
        <v>16</v>
      </c>
      <c r="K123" s="2" t="str">
        <f t="shared" si="16"/>
        <v>6B2Z4 C1645</v>
      </c>
      <c r="L123" s="2" t="s">
        <v>122</v>
      </c>
      <c r="M123" s="56"/>
      <c r="N123" s="2"/>
      <c r="O123" s="2"/>
      <c r="P123" s="2"/>
      <c r="Q123" s="2"/>
      <c r="R123" s="2"/>
      <c r="S123" s="2"/>
      <c r="T123" s="2"/>
      <c r="U123" s="58"/>
      <c r="V123" s="57"/>
      <c r="W123" s="2"/>
      <c r="X123" s="58"/>
      <c r="Y123" s="2"/>
      <c r="Z123" s="38"/>
      <c r="AA123" s="2"/>
      <c r="AB123" s="2">
        <f t="shared" si="18"/>
        <v>0</v>
      </c>
      <c r="AC123" s="2" t="e">
        <f t="shared" si="19"/>
        <v>#VALUE!</v>
      </c>
      <c r="AD123" s="2">
        <f t="shared" si="20"/>
        <v>0</v>
      </c>
      <c r="AE123" s="62" t="e">
        <f t="shared" si="21"/>
        <v>#VALUE!</v>
      </c>
      <c r="AF123" s="63">
        <f t="shared" si="26"/>
        <v>0</v>
      </c>
      <c r="AG123" s="31" t="e">
        <f t="shared" si="22"/>
        <v>#VALUE!</v>
      </c>
      <c r="AH123">
        <f t="shared" si="23"/>
        <v>0</v>
      </c>
      <c r="AI123" s="53">
        <f t="shared" si="24"/>
        <v>0</v>
      </c>
      <c r="AJ123" s="53">
        <f t="shared" si="25"/>
        <v>0</v>
      </c>
      <c r="AK123" s="52">
        <f t="shared" si="27"/>
        <v>0</v>
      </c>
    </row>
    <row r="124" spans="2:37" x14ac:dyDescent="0.25">
      <c r="B124" s="2" t="s">
        <v>15</v>
      </c>
      <c r="C124" s="2" t="s">
        <v>58</v>
      </c>
      <c r="D124" s="2">
        <v>20141232</v>
      </c>
      <c r="E124" s="2">
        <v>1.65</v>
      </c>
      <c r="F124" s="2" t="s">
        <v>60</v>
      </c>
      <c r="G124" s="2">
        <v>62500</v>
      </c>
      <c r="H124" s="2" t="str">
        <f t="shared" si="15"/>
        <v>GLOBEX</v>
      </c>
      <c r="I124" s="2" t="s">
        <v>17</v>
      </c>
      <c r="J124" s="2" t="s">
        <v>16</v>
      </c>
      <c r="K124" s="2" t="str">
        <f t="shared" si="16"/>
        <v>6B2Z4 C1650</v>
      </c>
      <c r="L124" s="2" t="s">
        <v>122</v>
      </c>
      <c r="M124" s="56"/>
      <c r="N124" s="2"/>
      <c r="O124" s="2"/>
      <c r="P124" s="2"/>
      <c r="Q124" s="2"/>
      <c r="R124" s="2"/>
      <c r="S124" s="2"/>
      <c r="T124" s="2"/>
      <c r="U124" s="58"/>
      <c r="V124" s="57"/>
      <c r="W124" s="2"/>
      <c r="X124" s="58"/>
      <c r="Y124" s="2"/>
      <c r="Z124" s="38"/>
      <c r="AA124" s="2"/>
      <c r="AB124" s="2">
        <f t="shared" si="18"/>
        <v>0</v>
      </c>
      <c r="AC124" s="2" t="e">
        <f t="shared" si="19"/>
        <v>#VALUE!</v>
      </c>
      <c r="AD124" s="2">
        <f t="shared" si="20"/>
        <v>0</v>
      </c>
      <c r="AE124" s="62" t="e">
        <f t="shared" si="21"/>
        <v>#VALUE!</v>
      </c>
      <c r="AF124" s="63">
        <f t="shared" si="26"/>
        <v>0</v>
      </c>
      <c r="AG124" s="31" t="e">
        <f t="shared" si="22"/>
        <v>#VALUE!</v>
      </c>
      <c r="AH124">
        <f t="shared" si="23"/>
        <v>0</v>
      </c>
      <c r="AI124" s="53">
        <f t="shared" si="24"/>
        <v>0</v>
      </c>
      <c r="AJ124" s="53">
        <f t="shared" si="25"/>
        <v>0</v>
      </c>
      <c r="AK124" s="52">
        <f t="shared" si="27"/>
        <v>0</v>
      </c>
    </row>
    <row r="125" spans="2:37" x14ac:dyDescent="0.25">
      <c r="B125" s="2" t="s">
        <v>15</v>
      </c>
      <c r="C125" s="2" t="s">
        <v>58</v>
      </c>
      <c r="D125" s="2">
        <v>20141233</v>
      </c>
      <c r="E125" s="2">
        <v>1.655</v>
      </c>
      <c r="F125" s="2" t="s">
        <v>60</v>
      </c>
      <c r="G125" s="2">
        <v>62500</v>
      </c>
      <c r="H125" s="2" t="str">
        <f t="shared" si="15"/>
        <v>GLOBEX</v>
      </c>
      <c r="I125" s="2" t="s">
        <v>17</v>
      </c>
      <c r="J125" s="2" t="s">
        <v>16</v>
      </c>
      <c r="K125" s="2" t="str">
        <f t="shared" si="16"/>
        <v>6B2Z4 C1655</v>
      </c>
      <c r="L125" s="2" t="s">
        <v>122</v>
      </c>
      <c r="M125" s="56"/>
      <c r="N125" s="2"/>
      <c r="O125" s="2"/>
      <c r="P125" s="2"/>
      <c r="Q125" s="2"/>
      <c r="R125" s="2"/>
      <c r="S125" s="2"/>
      <c r="T125" s="2"/>
      <c r="U125" s="58"/>
      <c r="V125" s="57"/>
      <c r="W125" s="2"/>
      <c r="X125" s="58"/>
      <c r="Y125" s="2"/>
      <c r="Z125" s="38"/>
      <c r="AA125" s="2"/>
      <c r="AB125" s="2">
        <f t="shared" si="18"/>
        <v>0</v>
      </c>
      <c r="AC125" s="2" t="e">
        <f t="shared" si="19"/>
        <v>#VALUE!</v>
      </c>
      <c r="AD125" s="2">
        <f t="shared" si="20"/>
        <v>0</v>
      </c>
      <c r="AE125" s="62" t="e">
        <f t="shared" si="21"/>
        <v>#VALUE!</v>
      </c>
      <c r="AF125" s="63">
        <f t="shared" si="26"/>
        <v>0</v>
      </c>
      <c r="AG125" s="31" t="e">
        <f t="shared" si="22"/>
        <v>#VALUE!</v>
      </c>
      <c r="AH125">
        <f t="shared" si="23"/>
        <v>0</v>
      </c>
      <c r="AI125" s="53">
        <f t="shared" si="24"/>
        <v>0</v>
      </c>
      <c r="AJ125" s="53">
        <f t="shared" si="25"/>
        <v>0</v>
      </c>
      <c r="AK125" s="52">
        <f t="shared" si="27"/>
        <v>0</v>
      </c>
    </row>
  </sheetData>
  <dataConsolidate link="1"/>
  <mergeCells count="5">
    <mergeCell ref="B4:P4"/>
    <mergeCell ref="Q4:S4"/>
    <mergeCell ref="T4:AA4"/>
    <mergeCell ref="AB4:AD4"/>
    <mergeCell ref="AE1:AK1"/>
  </mergeCells>
  <conditionalFormatting sqref="AG6:AG125">
    <cfRule type="top10" dxfId="0" priority="1" rank="10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mbSubscribeWatchlist">
          <controlPr defaultSize="0" autoLine="0" r:id="rId5">
            <anchor moveWithCells="1">
              <from>
                <xdr:col>3</xdr:col>
                <xdr:colOff>9525</xdr:colOff>
                <xdr:row>0</xdr:row>
                <xdr:rowOff>57150</xdr:rowOff>
              </from>
              <to>
                <xdr:col>5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3313" r:id="rId4" name="cmbSubscribeWatch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7"/>
  <sheetViews>
    <sheetView workbookViewId="0">
      <selection activeCell="A7" sqref="A7"/>
    </sheetView>
  </sheetViews>
  <sheetFormatPr defaultRowHeight="15" x14ac:dyDescent="0.25"/>
  <cols>
    <col min="1" max="1" width="29.85546875" customWidth="1"/>
  </cols>
  <sheetData>
    <row r="1" spans="1:2" x14ac:dyDescent="0.25">
      <c r="A1" t="s">
        <v>185</v>
      </c>
      <c r="B1">
        <v>74</v>
      </c>
    </row>
    <row r="2" spans="1:2" x14ac:dyDescent="0.25">
      <c r="A2" t="s">
        <v>186</v>
      </c>
      <c r="B2">
        <v>1003</v>
      </c>
    </row>
    <row r="3" spans="1:2" x14ac:dyDescent="0.25">
      <c r="A3" t="s">
        <v>187</v>
      </c>
      <c r="B3">
        <v>45</v>
      </c>
    </row>
    <row r="4" spans="1:2" x14ac:dyDescent="0.25">
      <c r="A4" t="s">
        <v>188</v>
      </c>
      <c r="B4">
        <v>65</v>
      </c>
    </row>
    <row r="5" spans="1:2" x14ac:dyDescent="0.25">
      <c r="A5" t="s">
        <v>191</v>
      </c>
      <c r="B5">
        <v>1E-4</v>
      </c>
    </row>
    <row r="6" spans="1:2" x14ac:dyDescent="0.25">
      <c r="A6" t="s">
        <v>192</v>
      </c>
      <c r="B6">
        <v>37</v>
      </c>
    </row>
    <row r="7" spans="1:2" x14ac:dyDescent="0.25">
      <c r="A7" t="s">
        <v>193</v>
      </c>
      <c r="B7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6964"/>
  <sheetViews>
    <sheetView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  <col min="6" max="6" width="21" customWidth="1"/>
    <col min="7" max="7" width="29.85546875" customWidth="1"/>
  </cols>
  <sheetData>
    <row r="1" spans="1:1" x14ac:dyDescent="0.25">
      <c r="A1" s="29" t="s">
        <v>202</v>
      </c>
    </row>
    <row r="2" spans="1:1" x14ac:dyDescent="0.25">
      <c r="A2" s="76" t="s">
        <v>203</v>
      </c>
    </row>
    <row r="3" spans="1:1" x14ac:dyDescent="0.25">
      <c r="A3" s="29" t="s">
        <v>204</v>
      </c>
    </row>
    <row r="4" spans="1:1" x14ac:dyDescent="0.25">
      <c r="A4" s="29" t="s">
        <v>205</v>
      </c>
    </row>
    <row r="5" spans="1:1" x14ac:dyDescent="0.25">
      <c r="A5" s="29" t="s">
        <v>206</v>
      </c>
    </row>
    <row r="6" spans="1:1" x14ac:dyDescent="0.25">
      <c r="A6" s="29" t="s">
        <v>207</v>
      </c>
    </row>
    <row r="7" spans="1:1" x14ac:dyDescent="0.25">
      <c r="A7" s="29" t="s">
        <v>208</v>
      </c>
    </row>
    <row r="8" spans="1:1" x14ac:dyDescent="0.25">
      <c r="A8" s="29" t="s">
        <v>209</v>
      </c>
    </row>
    <row r="9" spans="1:1" x14ac:dyDescent="0.25">
      <c r="A9" s="29" t="s">
        <v>210</v>
      </c>
    </row>
    <row r="10" spans="1:1" x14ac:dyDescent="0.25">
      <c r="A10" s="29" t="s">
        <v>211</v>
      </c>
    </row>
    <row r="11" spans="1:1" x14ac:dyDescent="0.25">
      <c r="A11" s="29" t="s">
        <v>212</v>
      </c>
    </row>
    <row r="12" spans="1:1" x14ac:dyDescent="0.25">
      <c r="A12" s="29" t="s">
        <v>213</v>
      </c>
    </row>
    <row r="13" spans="1:1" x14ac:dyDescent="0.25">
      <c r="A13" s="29" t="s">
        <v>214</v>
      </c>
    </row>
    <row r="14" spans="1:1" x14ac:dyDescent="0.25">
      <c r="A14" s="29" t="s">
        <v>215</v>
      </c>
    </row>
    <row r="15" spans="1:1" x14ac:dyDescent="0.25">
      <c r="A15" s="29" t="s">
        <v>216</v>
      </c>
    </row>
    <row r="16" spans="1:1" x14ac:dyDescent="0.25">
      <c r="A16" t="s">
        <v>217</v>
      </c>
    </row>
    <row r="17" spans="1:1" x14ac:dyDescent="0.25">
      <c r="A17" t="s">
        <v>218</v>
      </c>
    </row>
    <row r="18" spans="1:1" x14ac:dyDescent="0.25">
      <c r="A18" s="76" t="s">
        <v>219</v>
      </c>
    </row>
    <row r="19" spans="1:1" x14ac:dyDescent="0.25">
      <c r="A19" s="29" t="s">
        <v>220</v>
      </c>
    </row>
    <row r="20" spans="1:1" x14ac:dyDescent="0.25">
      <c r="A20" s="76" t="s">
        <v>221</v>
      </c>
    </row>
    <row r="21" spans="1:1" x14ac:dyDescent="0.25">
      <c r="A21" s="29" t="s">
        <v>222</v>
      </c>
    </row>
    <row r="22" spans="1:1" x14ac:dyDescent="0.25">
      <c r="A22" s="76" t="s">
        <v>223</v>
      </c>
    </row>
    <row r="23" spans="1:1" x14ac:dyDescent="0.25">
      <c r="A23" s="29" t="s">
        <v>224</v>
      </c>
    </row>
    <row r="24" spans="1:1" x14ac:dyDescent="0.25">
      <c r="A24" s="76" t="s">
        <v>225</v>
      </c>
    </row>
    <row r="25" spans="1:1" x14ac:dyDescent="0.25">
      <c r="A25" s="29" t="s">
        <v>226</v>
      </c>
    </row>
    <row r="26" spans="1:1" x14ac:dyDescent="0.25">
      <c r="A26" s="76" t="s">
        <v>227</v>
      </c>
    </row>
    <row r="27" spans="1:1" x14ac:dyDescent="0.25">
      <c r="A27" s="29" t="s">
        <v>228</v>
      </c>
    </row>
    <row r="28" spans="1:1" x14ac:dyDescent="0.25">
      <c r="A28" s="76" t="s">
        <v>229</v>
      </c>
    </row>
    <row r="29" spans="1:1" x14ac:dyDescent="0.25">
      <c r="A29" s="29" t="s">
        <v>230</v>
      </c>
    </row>
    <row r="30" spans="1:1" x14ac:dyDescent="0.25">
      <c r="A30" t="s">
        <v>231</v>
      </c>
    </row>
    <row r="31" spans="1:1" x14ac:dyDescent="0.25">
      <c r="A31" t="s">
        <v>232</v>
      </c>
    </row>
    <row r="32" spans="1:1" x14ac:dyDescent="0.25">
      <c r="A32" t="s">
        <v>233</v>
      </c>
    </row>
    <row r="33" spans="1:1" x14ac:dyDescent="0.25">
      <c r="A33" t="s">
        <v>234</v>
      </c>
    </row>
    <row r="34" spans="1:1" x14ac:dyDescent="0.25">
      <c r="A34" t="s">
        <v>235</v>
      </c>
    </row>
    <row r="35" spans="1:1" x14ac:dyDescent="0.25">
      <c r="A35" t="s">
        <v>236</v>
      </c>
    </row>
    <row r="36" spans="1:1" x14ac:dyDescent="0.25">
      <c r="A36" t="s">
        <v>237</v>
      </c>
    </row>
    <row r="37" spans="1:1" x14ac:dyDescent="0.25">
      <c r="A37" t="s">
        <v>238</v>
      </c>
    </row>
    <row r="38" spans="1:1" x14ac:dyDescent="0.25">
      <c r="A38" s="76" t="s">
        <v>239</v>
      </c>
    </row>
    <row r="39" spans="1:1" x14ac:dyDescent="0.25">
      <c r="A39" s="76" t="s">
        <v>240</v>
      </c>
    </row>
    <row r="40" spans="1:1" x14ac:dyDescent="0.25">
      <c r="A40" s="76" t="s">
        <v>241</v>
      </c>
    </row>
    <row r="41" spans="1:1" x14ac:dyDescent="0.25">
      <c r="A41" s="76" t="s">
        <v>242</v>
      </c>
    </row>
    <row r="42" spans="1:1" x14ac:dyDescent="0.25">
      <c r="A42" s="108" t="s">
        <v>243</v>
      </c>
    </row>
    <row r="43" spans="1:1" x14ac:dyDescent="0.25">
      <c r="A43" s="108" t="s">
        <v>244</v>
      </c>
    </row>
    <row r="44" spans="1:1" x14ac:dyDescent="0.25">
      <c r="A44" s="76" t="s">
        <v>245</v>
      </c>
    </row>
    <row r="45" spans="1:1" x14ac:dyDescent="0.25">
      <c r="A45" s="29" t="s">
        <v>246</v>
      </c>
    </row>
    <row r="46" spans="1:1" x14ac:dyDescent="0.25">
      <c r="A46" s="76" t="s">
        <v>247</v>
      </c>
    </row>
    <row r="47" spans="1:1" x14ac:dyDescent="0.25">
      <c r="A47" s="29" t="s">
        <v>248</v>
      </c>
    </row>
    <row r="48" spans="1:1" x14ac:dyDescent="0.25">
      <c r="A48" s="29" t="s">
        <v>249</v>
      </c>
    </row>
    <row r="49" spans="1:1" x14ac:dyDescent="0.25">
      <c r="A49" s="29" t="s">
        <v>250</v>
      </c>
    </row>
    <row r="50" spans="1:1" x14ac:dyDescent="0.25">
      <c r="A50" s="29" t="s">
        <v>251</v>
      </c>
    </row>
    <row r="51" spans="1:1" x14ac:dyDescent="0.25">
      <c r="A51" s="76" t="s">
        <v>252</v>
      </c>
    </row>
    <row r="52" spans="1:1" x14ac:dyDescent="0.25">
      <c r="A52" s="29" t="s">
        <v>253</v>
      </c>
    </row>
    <row r="53" spans="1:1" x14ac:dyDescent="0.25">
      <c r="A53" s="29" t="s">
        <v>254</v>
      </c>
    </row>
    <row r="54" spans="1:1" x14ac:dyDescent="0.25">
      <c r="A54" s="29" t="s">
        <v>255</v>
      </c>
    </row>
    <row r="55" spans="1:1" x14ac:dyDescent="0.25">
      <c r="A55" s="29" t="s">
        <v>255</v>
      </c>
    </row>
    <row r="56" spans="1:1" x14ac:dyDescent="0.25">
      <c r="A56" s="76" t="s">
        <v>256</v>
      </c>
    </row>
    <row r="57" spans="1:1" x14ac:dyDescent="0.25">
      <c r="A57" s="76" t="s">
        <v>257</v>
      </c>
    </row>
    <row r="58" spans="1:1" x14ac:dyDescent="0.25">
      <c r="A58" s="76" t="s">
        <v>258</v>
      </c>
    </row>
    <row r="59" spans="1:1" x14ac:dyDescent="0.25">
      <c r="A59" s="76" t="s">
        <v>259</v>
      </c>
    </row>
    <row r="60" spans="1:1" x14ac:dyDescent="0.25">
      <c r="A60" s="76" t="s">
        <v>260</v>
      </c>
    </row>
    <row r="61" spans="1:1" x14ac:dyDescent="0.25">
      <c r="A61" s="76" t="s">
        <v>261</v>
      </c>
    </row>
    <row r="62" spans="1:1" x14ac:dyDescent="0.25">
      <c r="A62" s="76" t="s">
        <v>262</v>
      </c>
    </row>
    <row r="63" spans="1:1" x14ac:dyDescent="0.25">
      <c r="A63" s="76" t="s">
        <v>263</v>
      </c>
    </row>
    <row r="64" spans="1:1" x14ac:dyDescent="0.25">
      <c r="A64" s="76" t="s">
        <v>264</v>
      </c>
    </row>
    <row r="65" spans="1:1" x14ac:dyDescent="0.25">
      <c r="A65" s="76" t="s">
        <v>265</v>
      </c>
    </row>
    <row r="66" spans="1:1" x14ac:dyDescent="0.25">
      <c r="A66" s="76" t="s">
        <v>266</v>
      </c>
    </row>
    <row r="67" spans="1:1" x14ac:dyDescent="0.25">
      <c r="A67" s="76" t="s">
        <v>267</v>
      </c>
    </row>
    <row r="68" spans="1:1" x14ac:dyDescent="0.25">
      <c r="A68" s="76" t="s">
        <v>268</v>
      </c>
    </row>
    <row r="69" spans="1:1" x14ac:dyDescent="0.25">
      <c r="A69" s="76" t="s">
        <v>269</v>
      </c>
    </row>
    <row r="70" spans="1:1" x14ac:dyDescent="0.25">
      <c r="A70" s="108" t="s">
        <v>270</v>
      </c>
    </row>
    <row r="71" spans="1:1" x14ac:dyDescent="0.25">
      <c r="A71" s="76" t="s">
        <v>271</v>
      </c>
    </row>
    <row r="72" spans="1:1" x14ac:dyDescent="0.25">
      <c r="A72" s="76" t="s">
        <v>272</v>
      </c>
    </row>
    <row r="73" spans="1:1" x14ac:dyDescent="0.25">
      <c r="A73" s="76" t="s">
        <v>273</v>
      </c>
    </row>
    <row r="74" spans="1:1" x14ac:dyDescent="0.25">
      <c r="A74" s="76" t="s">
        <v>274</v>
      </c>
    </row>
    <row r="75" spans="1:1" x14ac:dyDescent="0.25">
      <c r="A75" s="76" t="s">
        <v>275</v>
      </c>
    </row>
    <row r="207" spans="1:1" x14ac:dyDescent="0.25">
      <c r="A207" s="76" t="s">
        <v>276</v>
      </c>
    </row>
    <row r="208" spans="1:1" x14ac:dyDescent="0.25">
      <c r="A208" s="76" t="s">
        <v>277</v>
      </c>
    </row>
    <row r="909" spans="1:1" x14ac:dyDescent="0.25">
      <c r="A909" s="108" t="s">
        <v>278</v>
      </c>
    </row>
    <row r="910" spans="1:1" x14ac:dyDescent="0.25">
      <c r="A910" s="76" t="s">
        <v>279</v>
      </c>
    </row>
    <row r="911" spans="1:1" x14ac:dyDescent="0.25">
      <c r="A911" s="76" t="s">
        <v>280</v>
      </c>
    </row>
    <row r="1000" spans="1:1" x14ac:dyDescent="0.25">
      <c r="A1000" s="76" t="s">
        <v>281</v>
      </c>
    </row>
    <row r="1001" spans="1:1" x14ac:dyDescent="0.25">
      <c r="A1001" s="76" t="s">
        <v>282</v>
      </c>
    </row>
    <row r="1002" spans="1:1" x14ac:dyDescent="0.25">
      <c r="A1002" s="76" t="s">
        <v>283</v>
      </c>
    </row>
    <row r="1003" spans="1:1" x14ac:dyDescent="0.25">
      <c r="A1003" s="76" t="s">
        <v>284</v>
      </c>
    </row>
    <row r="1004" spans="1:1" x14ac:dyDescent="0.25">
      <c r="A1004" s="76" t="s">
        <v>285</v>
      </c>
    </row>
    <row r="1061" spans="1:1" x14ac:dyDescent="0.25">
      <c r="A1061" s="76" t="s">
        <v>286</v>
      </c>
    </row>
    <row r="1062" spans="1:1" x14ac:dyDescent="0.25">
      <c r="A1062" s="76" t="s">
        <v>287</v>
      </c>
    </row>
    <row r="1063" spans="1:1" x14ac:dyDescent="0.25">
      <c r="A1063" s="76" t="s">
        <v>288</v>
      </c>
    </row>
    <row r="1064" spans="1:1" x14ac:dyDescent="0.25">
      <c r="A1064" s="76" t="s">
        <v>289</v>
      </c>
    </row>
    <row r="1065" spans="1:1" x14ac:dyDescent="0.25">
      <c r="A1065" s="76" t="s">
        <v>290</v>
      </c>
    </row>
    <row r="1066" spans="1:1" x14ac:dyDescent="0.25">
      <c r="A1066" s="76" t="s">
        <v>291</v>
      </c>
    </row>
    <row r="1067" spans="1:1" x14ac:dyDescent="0.25">
      <c r="A1067" s="76" t="s">
        <v>292</v>
      </c>
    </row>
    <row r="1068" spans="1:1" x14ac:dyDescent="0.25">
      <c r="A1068" s="76" t="s">
        <v>293</v>
      </c>
    </row>
    <row r="1069" spans="1:1" x14ac:dyDescent="0.25">
      <c r="A1069" s="76" t="s">
        <v>294</v>
      </c>
    </row>
    <row r="1070" spans="1:1" x14ac:dyDescent="0.25">
      <c r="A1070" s="76" t="s">
        <v>295</v>
      </c>
    </row>
    <row r="1071" spans="1:1" x14ac:dyDescent="0.25">
      <c r="A1071" s="76" t="s">
        <v>296</v>
      </c>
    </row>
    <row r="1072" spans="1:1" x14ac:dyDescent="0.25">
      <c r="A1072" s="76" t="s">
        <v>297</v>
      </c>
    </row>
    <row r="1073" spans="1:1" x14ac:dyDescent="0.25">
      <c r="A1073" s="76" t="s">
        <v>298</v>
      </c>
    </row>
    <row r="1176" spans="1:1" x14ac:dyDescent="0.25">
      <c r="A1176" s="76" t="s">
        <v>299</v>
      </c>
    </row>
    <row r="1197" spans="1:1" x14ac:dyDescent="0.25">
      <c r="A1197" s="108" t="s">
        <v>300</v>
      </c>
    </row>
    <row r="1198" spans="1:1" x14ac:dyDescent="0.25">
      <c r="A1198" s="76" t="s">
        <v>301</v>
      </c>
    </row>
    <row r="1199" spans="1:1" x14ac:dyDescent="0.25">
      <c r="A1199" s="76" t="s">
        <v>302</v>
      </c>
    </row>
    <row r="1202" spans="1:1" x14ac:dyDescent="0.25">
      <c r="A1202" s="76" t="s">
        <v>303</v>
      </c>
    </row>
    <row r="1203" spans="1:1" x14ac:dyDescent="0.25">
      <c r="A1203" s="76" t="s">
        <v>304</v>
      </c>
    </row>
    <row r="1238" spans="1:1" x14ac:dyDescent="0.25">
      <c r="A1238" s="76" t="s">
        <v>305</v>
      </c>
    </row>
    <row r="1239" spans="1:1" x14ac:dyDescent="0.25">
      <c r="A1239" s="76" t="s">
        <v>306</v>
      </c>
    </row>
    <row r="1240" spans="1:1" x14ac:dyDescent="0.25">
      <c r="A1240" s="76" t="s">
        <v>307</v>
      </c>
    </row>
    <row r="1241" spans="1:1" x14ac:dyDescent="0.25">
      <c r="A1241" s="108" t="s">
        <v>308</v>
      </c>
    </row>
    <row r="1242" spans="1:1" x14ac:dyDescent="0.25">
      <c r="A1242" s="108" t="s">
        <v>309</v>
      </c>
    </row>
    <row r="1243" spans="1:1" x14ac:dyDescent="0.25">
      <c r="A1243" s="76" t="s">
        <v>310</v>
      </c>
    </row>
    <row r="1244" spans="1:1" x14ac:dyDescent="0.25">
      <c r="A1244" s="29" t="s">
        <v>311</v>
      </c>
    </row>
    <row r="1245" spans="1:1" x14ac:dyDescent="0.25">
      <c r="A1245" s="76" t="s">
        <v>312</v>
      </c>
    </row>
    <row r="1246" spans="1:1" x14ac:dyDescent="0.25">
      <c r="A1246" s="76" t="s">
        <v>313</v>
      </c>
    </row>
    <row r="1247" spans="1:1" x14ac:dyDescent="0.25">
      <c r="A1247" s="76" t="s">
        <v>314</v>
      </c>
    </row>
    <row r="1248" spans="1:1" x14ac:dyDescent="0.25">
      <c r="A1248" s="108" t="s">
        <v>315</v>
      </c>
    </row>
    <row r="1249" spans="1:1" x14ac:dyDescent="0.25">
      <c r="A1249" s="108" t="s">
        <v>316</v>
      </c>
    </row>
    <row r="1250" spans="1:1" x14ac:dyDescent="0.25">
      <c r="A1250" s="76" t="s">
        <v>317</v>
      </c>
    </row>
    <row r="1251" spans="1:1" x14ac:dyDescent="0.25">
      <c r="A1251" s="29" t="s">
        <v>318</v>
      </c>
    </row>
    <row r="1252" spans="1:1" x14ac:dyDescent="0.25">
      <c r="A1252" s="76" t="s">
        <v>319</v>
      </c>
    </row>
    <row r="1253" spans="1:1" x14ac:dyDescent="0.25">
      <c r="A1253" s="76" t="s">
        <v>320</v>
      </c>
    </row>
    <row r="1254" spans="1:1" x14ac:dyDescent="0.25">
      <c r="A1254" s="76" t="s">
        <v>321</v>
      </c>
    </row>
    <row r="1255" spans="1:1" x14ac:dyDescent="0.25">
      <c r="A1255" s="108" t="s">
        <v>322</v>
      </c>
    </row>
    <row r="1256" spans="1:1" x14ac:dyDescent="0.25">
      <c r="A1256" s="108" t="s">
        <v>323</v>
      </c>
    </row>
    <row r="1257" spans="1:1" x14ac:dyDescent="0.25">
      <c r="A1257" s="76" t="s">
        <v>324</v>
      </c>
    </row>
    <row r="1258" spans="1:1" x14ac:dyDescent="0.25">
      <c r="A1258" s="29" t="s">
        <v>325</v>
      </c>
    </row>
    <row r="1259" spans="1:1" x14ac:dyDescent="0.25">
      <c r="A1259" s="76" t="s">
        <v>326</v>
      </c>
    </row>
    <row r="1260" spans="1:1" x14ac:dyDescent="0.25">
      <c r="A1260" s="76" t="s">
        <v>327</v>
      </c>
    </row>
    <row r="1261" spans="1:1" x14ac:dyDescent="0.25">
      <c r="A1261" s="76" t="s">
        <v>328</v>
      </c>
    </row>
    <row r="1262" spans="1:1" x14ac:dyDescent="0.25">
      <c r="A1262" s="108" t="s">
        <v>329</v>
      </c>
    </row>
    <row r="1263" spans="1:1" x14ac:dyDescent="0.25">
      <c r="A1263" s="108" t="s">
        <v>330</v>
      </c>
    </row>
    <row r="1264" spans="1:1" x14ac:dyDescent="0.25">
      <c r="A1264" s="76" t="s">
        <v>331</v>
      </c>
    </row>
    <row r="1265" spans="1:1" x14ac:dyDescent="0.25">
      <c r="A1265" s="29" t="s">
        <v>332</v>
      </c>
    </row>
    <row r="1266" spans="1:1" x14ac:dyDescent="0.25">
      <c r="A1266" s="76" t="s">
        <v>333</v>
      </c>
    </row>
    <row r="1267" spans="1:1" x14ac:dyDescent="0.25">
      <c r="A1267" s="76" t="s">
        <v>334</v>
      </c>
    </row>
    <row r="1268" spans="1:1" x14ac:dyDescent="0.25">
      <c r="A1268" s="76" t="s">
        <v>335</v>
      </c>
    </row>
    <row r="1269" spans="1:1" x14ac:dyDescent="0.25">
      <c r="A1269" s="108" t="s">
        <v>336</v>
      </c>
    </row>
    <row r="1270" spans="1:1" x14ac:dyDescent="0.25">
      <c r="A1270" s="108" t="s">
        <v>337</v>
      </c>
    </row>
    <row r="1271" spans="1:1" x14ac:dyDescent="0.25">
      <c r="A1271" s="76" t="s">
        <v>338</v>
      </c>
    </row>
    <row r="1272" spans="1:1" x14ac:dyDescent="0.25">
      <c r="A1272" s="29" t="s">
        <v>339</v>
      </c>
    </row>
    <row r="1273" spans="1:1" x14ac:dyDescent="0.25">
      <c r="A1273" s="108" t="s">
        <v>340</v>
      </c>
    </row>
    <row r="1274" spans="1:1" x14ac:dyDescent="0.25">
      <c r="A1274" s="76" t="s">
        <v>341</v>
      </c>
    </row>
    <row r="1279" spans="1:1" x14ac:dyDescent="0.25">
      <c r="A1279" s="76" t="s">
        <v>342</v>
      </c>
    </row>
    <row r="1280" spans="1:1" x14ac:dyDescent="0.25">
      <c r="A1280" s="76" t="s">
        <v>343</v>
      </c>
    </row>
    <row r="1281" spans="1:1" x14ac:dyDescent="0.25">
      <c r="A1281" s="76" t="s">
        <v>344</v>
      </c>
    </row>
    <row r="1433" spans="1:1" x14ac:dyDescent="0.25">
      <c r="A1433" s="76" t="s">
        <v>345</v>
      </c>
    </row>
    <row r="1434" spans="1:1" x14ac:dyDescent="0.25">
      <c r="A1434" s="76" t="s">
        <v>346</v>
      </c>
    </row>
    <row r="1435" spans="1:1" x14ac:dyDescent="0.25">
      <c r="A1435" s="76" t="s">
        <v>347</v>
      </c>
    </row>
    <row r="1436" spans="1:1" x14ac:dyDescent="0.25">
      <c r="A1436" s="76" t="s">
        <v>348</v>
      </c>
    </row>
    <row r="1497" spans="1:1" x14ac:dyDescent="0.25">
      <c r="A1497" s="108" t="s">
        <v>349</v>
      </c>
    </row>
    <row r="1498" spans="1:1" x14ac:dyDescent="0.25">
      <c r="A1498" s="76" t="s">
        <v>350</v>
      </c>
    </row>
    <row r="1499" spans="1:1" x14ac:dyDescent="0.25">
      <c r="A1499" s="76" t="s">
        <v>351</v>
      </c>
    </row>
    <row r="1500" spans="1:1" x14ac:dyDescent="0.25">
      <c r="A1500" s="76" t="s">
        <v>352</v>
      </c>
    </row>
    <row r="1501" spans="1:1" x14ac:dyDescent="0.25">
      <c r="A1501" s="76" t="s">
        <v>353</v>
      </c>
    </row>
    <row r="1502" spans="1:1" x14ac:dyDescent="0.25">
      <c r="A1502" s="76" t="s">
        <v>354</v>
      </c>
    </row>
    <row r="1503" spans="1:1" x14ac:dyDescent="0.25">
      <c r="A1503" s="76" t="s">
        <v>355</v>
      </c>
    </row>
    <row r="1504" spans="1:1" x14ac:dyDescent="0.25">
      <c r="A1504" s="76" t="s">
        <v>356</v>
      </c>
    </row>
    <row r="1505" spans="1:1" x14ac:dyDescent="0.25">
      <c r="A1505" s="76" t="s">
        <v>357</v>
      </c>
    </row>
    <row r="1642" spans="1:1" x14ac:dyDescent="0.25">
      <c r="A1642" s="76" t="s">
        <v>358</v>
      </c>
    </row>
    <row r="1643" spans="1:1" x14ac:dyDescent="0.25">
      <c r="A1643" s="76" t="s">
        <v>359</v>
      </c>
    </row>
    <row r="1644" spans="1:1" x14ac:dyDescent="0.25">
      <c r="A1644" s="76" t="s">
        <v>360</v>
      </c>
    </row>
    <row r="1645" spans="1:1" x14ac:dyDescent="0.25">
      <c r="A1645" s="76" t="s">
        <v>361</v>
      </c>
    </row>
    <row r="1646" spans="1:1" x14ac:dyDescent="0.25">
      <c r="A1646" s="76" t="s">
        <v>362</v>
      </c>
    </row>
    <row r="1647" spans="1:1" x14ac:dyDescent="0.25">
      <c r="A1647" s="76" t="s">
        <v>363</v>
      </c>
    </row>
    <row r="1648" spans="1:1" x14ac:dyDescent="0.25">
      <c r="A1648" s="76" t="s">
        <v>364</v>
      </c>
    </row>
    <row r="1649" spans="1:1" x14ac:dyDescent="0.25">
      <c r="A1649" s="76" t="s">
        <v>365</v>
      </c>
    </row>
    <row r="1650" spans="1:1" x14ac:dyDescent="0.25">
      <c r="A1650" s="76" t="s">
        <v>366</v>
      </c>
    </row>
    <row r="1651" spans="1:1" x14ac:dyDescent="0.25">
      <c r="A1651" s="76" t="s">
        <v>367</v>
      </c>
    </row>
    <row r="1652" spans="1:1" x14ac:dyDescent="0.25">
      <c r="A1652" s="76" t="s">
        <v>368</v>
      </c>
    </row>
    <row r="1653" spans="1:1" x14ac:dyDescent="0.25">
      <c r="A1653" s="76" t="s">
        <v>369</v>
      </c>
    </row>
    <row r="1654" spans="1:1" x14ac:dyDescent="0.25">
      <c r="A1654" s="76" t="s">
        <v>370</v>
      </c>
    </row>
    <row r="1655" spans="1:1" x14ac:dyDescent="0.25">
      <c r="A1655" s="108" t="s">
        <v>371</v>
      </c>
    </row>
    <row r="1656" spans="1:1" x14ac:dyDescent="0.25">
      <c r="A1656" s="76" t="s">
        <v>372</v>
      </c>
    </row>
    <row r="1806" spans="1:1" x14ac:dyDescent="0.25">
      <c r="A1806" s="76" t="s">
        <v>373</v>
      </c>
    </row>
    <row r="1807" spans="1:1" x14ac:dyDescent="0.25">
      <c r="A1807" s="76" t="s">
        <v>374</v>
      </c>
    </row>
    <row r="1808" spans="1:1" x14ac:dyDescent="0.25">
      <c r="A1808" s="76" t="s">
        <v>375</v>
      </c>
    </row>
    <row r="1809" spans="1:1" x14ac:dyDescent="0.25">
      <c r="A1809" s="76" t="s">
        <v>376</v>
      </c>
    </row>
    <row r="1810" spans="1:1" x14ac:dyDescent="0.25">
      <c r="A1810" s="76" t="s">
        <v>377</v>
      </c>
    </row>
    <row r="1811" spans="1:1" x14ac:dyDescent="0.25">
      <c r="A1811" s="76" t="s">
        <v>378</v>
      </c>
    </row>
    <row r="1856" spans="1:1" x14ac:dyDescent="0.25">
      <c r="A1856" s="76" t="s">
        <v>379</v>
      </c>
    </row>
    <row r="1857" spans="1:1" x14ac:dyDescent="0.25">
      <c r="A1857" s="76" t="s">
        <v>380</v>
      </c>
    </row>
    <row r="1858" spans="1:1" x14ac:dyDescent="0.25">
      <c r="A1858" s="76" t="s">
        <v>381</v>
      </c>
    </row>
    <row r="1859" spans="1:1" x14ac:dyDescent="0.25">
      <c r="A1859" s="76" t="s">
        <v>382</v>
      </c>
    </row>
    <row r="1860" spans="1:1" x14ac:dyDescent="0.25">
      <c r="A1860" s="76" t="s">
        <v>383</v>
      </c>
    </row>
    <row r="1861" spans="1:1" x14ac:dyDescent="0.25">
      <c r="A1861" s="76" t="s">
        <v>384</v>
      </c>
    </row>
    <row r="2288" spans="1:1" x14ac:dyDescent="0.25">
      <c r="A2288" s="76" t="s">
        <v>385</v>
      </c>
    </row>
    <row r="2289" spans="1:1" x14ac:dyDescent="0.25">
      <c r="A2289" s="76" t="s">
        <v>386</v>
      </c>
    </row>
    <row r="2290" spans="1:1" x14ac:dyDescent="0.25">
      <c r="A2290" s="76" t="s">
        <v>387</v>
      </c>
    </row>
    <row r="2291" spans="1:1" x14ac:dyDescent="0.25">
      <c r="A2291" s="76" t="s">
        <v>388</v>
      </c>
    </row>
    <row r="2292" spans="1:1" x14ac:dyDescent="0.25">
      <c r="A2292" s="76" t="s">
        <v>389</v>
      </c>
    </row>
    <row r="2293" spans="1:1" x14ac:dyDescent="0.25">
      <c r="A2293" s="76" t="s">
        <v>390</v>
      </c>
    </row>
    <row r="2294" spans="1:1" x14ac:dyDescent="0.25">
      <c r="A2294" s="76" t="s">
        <v>391</v>
      </c>
    </row>
    <row r="2295" spans="1:1" x14ac:dyDescent="0.25">
      <c r="A2295" s="108" t="s">
        <v>392</v>
      </c>
    </row>
    <row r="2296" spans="1:1" x14ac:dyDescent="0.25">
      <c r="A2296" s="76" t="s">
        <v>393</v>
      </c>
    </row>
    <row r="2302" spans="1:1" x14ac:dyDescent="0.25">
      <c r="A2302" s="76" t="s">
        <v>394</v>
      </c>
    </row>
    <row r="2303" spans="1:1" x14ac:dyDescent="0.25">
      <c r="A2303" s="76" t="s">
        <v>395</v>
      </c>
    </row>
    <row r="2304" spans="1:1" x14ac:dyDescent="0.25">
      <c r="A2304" s="76" t="s">
        <v>396</v>
      </c>
    </row>
    <row r="2305" spans="1:1" x14ac:dyDescent="0.25">
      <c r="A2305" s="76" t="s">
        <v>397</v>
      </c>
    </row>
    <row r="2306" spans="1:1" x14ac:dyDescent="0.25">
      <c r="A2306" s="76" t="s">
        <v>398</v>
      </c>
    </row>
    <row r="2307" spans="1:1" x14ac:dyDescent="0.25">
      <c r="A2307" s="76" t="s">
        <v>399</v>
      </c>
    </row>
    <row r="2308" spans="1:1" x14ac:dyDescent="0.25">
      <c r="A2308" s="76" t="s">
        <v>400</v>
      </c>
    </row>
    <row r="2309" spans="1:1" x14ac:dyDescent="0.25">
      <c r="A2309" s="76" t="s">
        <v>401</v>
      </c>
    </row>
    <row r="2310" spans="1:1" x14ac:dyDescent="0.25">
      <c r="A2310" s="76" t="s">
        <v>402</v>
      </c>
    </row>
    <row r="2417" spans="1:1" x14ac:dyDescent="0.25">
      <c r="A2417" s="76" t="s">
        <v>404</v>
      </c>
    </row>
    <row r="2418" spans="1:1" x14ac:dyDescent="0.25">
      <c r="A2418" s="76" t="s">
        <v>405</v>
      </c>
    </row>
    <row r="2625" spans="1:1" x14ac:dyDescent="0.25">
      <c r="A2625" s="76" t="s">
        <v>406</v>
      </c>
    </row>
    <row r="2626" spans="1:1" x14ac:dyDescent="0.25">
      <c r="A2626" s="76" t="s">
        <v>407</v>
      </c>
    </row>
    <row r="2627" spans="1:1" x14ac:dyDescent="0.25">
      <c r="A2627" s="76" t="s">
        <v>408</v>
      </c>
    </row>
    <row r="2628" spans="1:1" x14ac:dyDescent="0.25">
      <c r="A2628" s="76" t="s">
        <v>409</v>
      </c>
    </row>
    <row r="2629" spans="1:1" x14ac:dyDescent="0.25">
      <c r="A2629" s="76" t="s">
        <v>410</v>
      </c>
    </row>
    <row r="2630" spans="1:1" x14ac:dyDescent="0.25">
      <c r="A2630" s="108" t="s">
        <v>411</v>
      </c>
    </row>
    <row r="2631" spans="1:1" x14ac:dyDescent="0.25">
      <c r="A2631" s="76" t="s">
        <v>412</v>
      </c>
    </row>
    <row r="2632" spans="1:1" x14ac:dyDescent="0.25">
      <c r="A2632" s="76" t="s">
        <v>413</v>
      </c>
    </row>
    <row r="2633" spans="1:1" x14ac:dyDescent="0.25">
      <c r="A2633" s="76" t="s">
        <v>414</v>
      </c>
    </row>
    <row r="2634" spans="1:1" x14ac:dyDescent="0.25">
      <c r="A2634" s="76" t="s">
        <v>415</v>
      </c>
    </row>
    <row r="2963" spans="1:1" x14ac:dyDescent="0.25">
      <c r="A2963" s="76" t="s">
        <v>416</v>
      </c>
    </row>
    <row r="2964" spans="1:1" x14ac:dyDescent="0.25">
      <c r="A2964" s="76" t="s">
        <v>417</v>
      </c>
    </row>
    <row r="2965" spans="1:1" x14ac:dyDescent="0.25">
      <c r="A2965" s="76" t="s">
        <v>418</v>
      </c>
    </row>
    <row r="2966" spans="1:1" x14ac:dyDescent="0.25">
      <c r="A2966" s="76" t="s">
        <v>419</v>
      </c>
    </row>
    <row r="3123" spans="1:1" x14ac:dyDescent="0.25">
      <c r="A3123" s="76" t="s">
        <v>420</v>
      </c>
    </row>
    <row r="3124" spans="1:1" x14ac:dyDescent="0.25">
      <c r="A3124" s="76" t="s">
        <v>421</v>
      </c>
    </row>
    <row r="3546" spans="1:1" x14ac:dyDescent="0.25">
      <c r="A3546" s="76" t="s">
        <v>422</v>
      </c>
    </row>
    <row r="3547" spans="1:1" x14ac:dyDescent="0.25">
      <c r="A3547" s="76" t="s">
        <v>423</v>
      </c>
    </row>
    <row r="3554" spans="1:1" x14ac:dyDescent="0.25">
      <c r="A3554" s="76" t="s">
        <v>424</v>
      </c>
    </row>
    <row r="3555" spans="1:1" x14ac:dyDescent="0.25">
      <c r="A3555" s="76" t="s">
        <v>425</v>
      </c>
    </row>
    <row r="3556" spans="1:1" x14ac:dyDescent="0.25">
      <c r="A3556" s="108" t="s">
        <v>426</v>
      </c>
    </row>
    <row r="3557" spans="1:1" x14ac:dyDescent="0.25">
      <c r="A3557" s="76" t="s">
        <v>427</v>
      </c>
    </row>
    <row r="3558" spans="1:1" x14ac:dyDescent="0.25">
      <c r="A3558" s="76" t="s">
        <v>428</v>
      </c>
    </row>
    <row r="3559" spans="1:1" x14ac:dyDescent="0.25">
      <c r="A3559" s="76" t="s">
        <v>429</v>
      </c>
    </row>
    <row r="3580" spans="1:1" x14ac:dyDescent="0.25">
      <c r="A3580" s="76" t="s">
        <v>430</v>
      </c>
    </row>
    <row r="3581" spans="1:1" x14ac:dyDescent="0.25">
      <c r="A3581" s="76" t="s">
        <v>431</v>
      </c>
    </row>
    <row r="3584" spans="1:1" x14ac:dyDescent="0.25">
      <c r="A3584" s="76" t="s">
        <v>432</v>
      </c>
    </row>
    <row r="3585" spans="1:1" x14ac:dyDescent="0.25">
      <c r="A3585" s="76" t="s">
        <v>433</v>
      </c>
    </row>
    <row r="3586" spans="1:1" x14ac:dyDescent="0.25">
      <c r="A3586" s="76" t="s">
        <v>434</v>
      </c>
    </row>
    <row r="3587" spans="1:1" x14ac:dyDescent="0.25">
      <c r="A3587" s="108" t="s">
        <v>435</v>
      </c>
    </row>
    <row r="3588" spans="1:1" x14ac:dyDescent="0.25">
      <c r="A3588" s="108" t="s">
        <v>436</v>
      </c>
    </row>
    <row r="3589" spans="1:1" x14ac:dyDescent="0.25">
      <c r="A3589" s="76" t="s">
        <v>437</v>
      </c>
    </row>
    <row r="3590" spans="1:1" x14ac:dyDescent="0.25">
      <c r="A3590" s="29" t="s">
        <v>438</v>
      </c>
    </row>
    <row r="3591" spans="1:1" x14ac:dyDescent="0.25">
      <c r="A3591" s="76" t="s">
        <v>439</v>
      </c>
    </row>
    <row r="3592" spans="1:1" x14ac:dyDescent="0.25">
      <c r="A3592" s="76" t="s">
        <v>440</v>
      </c>
    </row>
    <row r="3593" spans="1:1" x14ac:dyDescent="0.25">
      <c r="A3593" s="76" t="s">
        <v>441</v>
      </c>
    </row>
    <row r="3594" spans="1:1" x14ac:dyDescent="0.25">
      <c r="A3594" s="108" t="s">
        <v>442</v>
      </c>
    </row>
    <row r="3595" spans="1:1" x14ac:dyDescent="0.25">
      <c r="A3595" s="108" t="s">
        <v>443</v>
      </c>
    </row>
    <row r="3596" spans="1:1" x14ac:dyDescent="0.25">
      <c r="A3596" s="76" t="s">
        <v>444</v>
      </c>
    </row>
    <row r="3597" spans="1:1" x14ac:dyDescent="0.25">
      <c r="A3597" s="29" t="s">
        <v>445</v>
      </c>
    </row>
    <row r="3598" spans="1:1" x14ac:dyDescent="0.25">
      <c r="A3598" s="76" t="s">
        <v>446</v>
      </c>
    </row>
    <row r="3599" spans="1:1" x14ac:dyDescent="0.25">
      <c r="A3599" s="76" t="s">
        <v>447</v>
      </c>
    </row>
    <row r="3600" spans="1:1" x14ac:dyDescent="0.25">
      <c r="A3600" s="76" t="s">
        <v>448</v>
      </c>
    </row>
    <row r="3601" spans="1:1" x14ac:dyDescent="0.25">
      <c r="A3601" s="108" t="s">
        <v>449</v>
      </c>
    </row>
    <row r="3602" spans="1:1" x14ac:dyDescent="0.25">
      <c r="A3602" s="108" t="s">
        <v>450</v>
      </c>
    </row>
    <row r="3603" spans="1:1" x14ac:dyDescent="0.25">
      <c r="A3603" s="76" t="s">
        <v>451</v>
      </c>
    </row>
    <row r="3604" spans="1:1" x14ac:dyDescent="0.25">
      <c r="A3604" s="29" t="s">
        <v>452</v>
      </c>
    </row>
    <row r="3605" spans="1:1" x14ac:dyDescent="0.25">
      <c r="A3605" s="76" t="s">
        <v>453</v>
      </c>
    </row>
    <row r="3606" spans="1:1" x14ac:dyDescent="0.25">
      <c r="A3606" s="76" t="s">
        <v>454</v>
      </c>
    </row>
    <row r="3607" spans="1:1" x14ac:dyDescent="0.25">
      <c r="A3607" s="76" t="s">
        <v>455</v>
      </c>
    </row>
    <row r="3608" spans="1:1" x14ac:dyDescent="0.25">
      <c r="A3608" s="108" t="s">
        <v>456</v>
      </c>
    </row>
    <row r="3609" spans="1:1" x14ac:dyDescent="0.25">
      <c r="A3609" s="108" t="s">
        <v>457</v>
      </c>
    </row>
    <row r="3610" spans="1:1" x14ac:dyDescent="0.25">
      <c r="A3610" s="76" t="s">
        <v>458</v>
      </c>
    </row>
    <row r="3611" spans="1:1" x14ac:dyDescent="0.25">
      <c r="A3611" s="29" t="s">
        <v>459</v>
      </c>
    </row>
    <row r="3612" spans="1:1" x14ac:dyDescent="0.25">
      <c r="A3612" s="76" t="s">
        <v>460</v>
      </c>
    </row>
    <row r="3613" spans="1:1" x14ac:dyDescent="0.25">
      <c r="A3613" s="76" t="s">
        <v>461</v>
      </c>
    </row>
    <row r="3614" spans="1:1" x14ac:dyDescent="0.25">
      <c r="A3614" s="76" t="s">
        <v>462</v>
      </c>
    </row>
    <row r="3615" spans="1:1" x14ac:dyDescent="0.25">
      <c r="A3615" s="108" t="s">
        <v>463</v>
      </c>
    </row>
    <row r="3616" spans="1:1" x14ac:dyDescent="0.25">
      <c r="A3616" s="108" t="s">
        <v>464</v>
      </c>
    </row>
    <row r="3617" spans="1:1" x14ac:dyDescent="0.25">
      <c r="A3617" s="76" t="s">
        <v>465</v>
      </c>
    </row>
    <row r="3618" spans="1:1" x14ac:dyDescent="0.25">
      <c r="A3618" s="29" t="s">
        <v>466</v>
      </c>
    </row>
    <row r="3619" spans="1:1" x14ac:dyDescent="0.25">
      <c r="A3619" s="76" t="s">
        <v>467</v>
      </c>
    </row>
    <row r="3664" spans="1:1" x14ac:dyDescent="0.25">
      <c r="A3664" s="76" t="s">
        <v>468</v>
      </c>
    </row>
    <row r="3665" spans="1:1" x14ac:dyDescent="0.25">
      <c r="A3665" s="76" t="s">
        <v>469</v>
      </c>
    </row>
    <row r="3666" spans="1:1" x14ac:dyDescent="0.25">
      <c r="A3666" s="76" t="s">
        <v>470</v>
      </c>
    </row>
    <row r="3671" spans="1:1" x14ac:dyDescent="0.25">
      <c r="A3671" s="76" t="s">
        <v>471</v>
      </c>
    </row>
    <row r="3672" spans="1:1" x14ac:dyDescent="0.25">
      <c r="A3672" s="108" t="s">
        <v>472</v>
      </c>
    </row>
    <row r="3673" spans="1:1" x14ac:dyDescent="0.25">
      <c r="A3673" s="76" t="s">
        <v>473</v>
      </c>
    </row>
    <row r="3674" spans="1:1" x14ac:dyDescent="0.25">
      <c r="A3674" s="76" t="s">
        <v>474</v>
      </c>
    </row>
    <row r="3736" spans="1:1" x14ac:dyDescent="0.25">
      <c r="A3736" s="76" t="s">
        <v>475</v>
      </c>
    </row>
    <row r="3737" spans="1:1" x14ac:dyDescent="0.25">
      <c r="A3737" s="76" t="s">
        <v>476</v>
      </c>
    </row>
    <row r="3738" spans="1:1" x14ac:dyDescent="0.25">
      <c r="A3738" s="76" t="s">
        <v>477</v>
      </c>
    </row>
    <row r="4013" spans="1:1" x14ac:dyDescent="0.25">
      <c r="A4013" s="76" t="s">
        <v>478</v>
      </c>
    </row>
    <row r="4014" spans="1:1" x14ac:dyDescent="0.25">
      <c r="A4014" s="76" t="s">
        <v>479</v>
      </c>
    </row>
    <row r="4015" spans="1:1" x14ac:dyDescent="0.25">
      <c r="A4015" s="76" t="s">
        <v>480</v>
      </c>
    </row>
    <row r="4016" spans="1:1" x14ac:dyDescent="0.25">
      <c r="A4016" s="76" t="s">
        <v>481</v>
      </c>
    </row>
    <row r="4017" spans="1:1" x14ac:dyDescent="0.25">
      <c r="A4017" s="76" t="s">
        <v>482</v>
      </c>
    </row>
    <row r="4018" spans="1:1" x14ac:dyDescent="0.25">
      <c r="A4018" s="76" t="s">
        <v>483</v>
      </c>
    </row>
    <row r="4019" spans="1:1" x14ac:dyDescent="0.25">
      <c r="A4019" s="76" t="s">
        <v>484</v>
      </c>
    </row>
    <row r="4020" spans="1:1" x14ac:dyDescent="0.25">
      <c r="A4020" s="108" t="s">
        <v>485</v>
      </c>
    </row>
    <row r="4021" spans="1:1" x14ac:dyDescent="0.25">
      <c r="A4021" s="76" t="s">
        <v>486</v>
      </c>
    </row>
    <row r="4086" spans="1:1" x14ac:dyDescent="0.25">
      <c r="A4086" s="29" t="s">
        <v>487</v>
      </c>
    </row>
    <row r="4087" spans="1:1" x14ac:dyDescent="0.25">
      <c r="A4087" s="76" t="s">
        <v>488</v>
      </c>
    </row>
    <row r="4088" spans="1:1" x14ac:dyDescent="0.25">
      <c r="A4088" s="76" t="s">
        <v>489</v>
      </c>
    </row>
    <row r="4089" spans="1:1" x14ac:dyDescent="0.25">
      <c r="A4089" s="76" t="s">
        <v>490</v>
      </c>
    </row>
    <row r="4090" spans="1:1" x14ac:dyDescent="0.25">
      <c r="A4090" s="76" t="s">
        <v>491</v>
      </c>
    </row>
    <row r="4111" spans="1:1" x14ac:dyDescent="0.25">
      <c r="A4111" s="76" t="s">
        <v>492</v>
      </c>
    </row>
    <row r="4112" spans="1:1" x14ac:dyDescent="0.25">
      <c r="A4112" s="76" t="s">
        <v>493</v>
      </c>
    </row>
    <row r="4113" spans="1:1" x14ac:dyDescent="0.25">
      <c r="A4113" s="29" t="s">
        <v>494</v>
      </c>
    </row>
    <row r="4114" spans="1:1" x14ac:dyDescent="0.25">
      <c r="A4114" s="76" t="s">
        <v>495</v>
      </c>
    </row>
    <row r="4115" spans="1:1" x14ac:dyDescent="0.25">
      <c r="A4115" s="76" t="s">
        <v>496</v>
      </c>
    </row>
    <row r="4116" spans="1:1" x14ac:dyDescent="0.25">
      <c r="A4116" s="108" t="s">
        <v>497</v>
      </c>
    </row>
    <row r="4117" spans="1:1" x14ac:dyDescent="0.25">
      <c r="A4117" s="76" t="s">
        <v>498</v>
      </c>
    </row>
    <row r="4118" spans="1:1" x14ac:dyDescent="0.25">
      <c r="A4118" s="29" t="s">
        <v>499</v>
      </c>
    </row>
    <row r="4119" spans="1:1" x14ac:dyDescent="0.25">
      <c r="A4119" s="76" t="s">
        <v>500</v>
      </c>
    </row>
    <row r="4120" spans="1:1" x14ac:dyDescent="0.25">
      <c r="A4120" s="76" t="s">
        <v>501</v>
      </c>
    </row>
    <row r="4121" spans="1:1" x14ac:dyDescent="0.25">
      <c r="A4121" s="76" t="s">
        <v>502</v>
      </c>
    </row>
    <row r="4122" spans="1:1" x14ac:dyDescent="0.25">
      <c r="A4122" s="76" t="s">
        <v>503</v>
      </c>
    </row>
    <row r="4123" spans="1:1" x14ac:dyDescent="0.25">
      <c r="A4123" s="76" t="s">
        <v>504</v>
      </c>
    </row>
    <row r="4124" spans="1:1" x14ac:dyDescent="0.25">
      <c r="A4124" s="76" t="s">
        <v>505</v>
      </c>
    </row>
    <row r="4125" spans="1:1" x14ac:dyDescent="0.25">
      <c r="A4125" s="76" t="s">
        <v>506</v>
      </c>
    </row>
    <row r="4126" spans="1:1" x14ac:dyDescent="0.25">
      <c r="A4126" s="76" t="s">
        <v>507</v>
      </c>
    </row>
    <row r="4127" spans="1:1" x14ac:dyDescent="0.25">
      <c r="A4127" s="76" t="s">
        <v>508</v>
      </c>
    </row>
    <row r="4128" spans="1:1" x14ac:dyDescent="0.25">
      <c r="A4128" s="76" t="s">
        <v>509</v>
      </c>
    </row>
    <row r="4129" spans="1:1" x14ac:dyDescent="0.25">
      <c r="A4129" s="29" t="s">
        <v>510</v>
      </c>
    </row>
    <row r="4130" spans="1:1" x14ac:dyDescent="0.25">
      <c r="A4130" s="76" t="s">
        <v>511</v>
      </c>
    </row>
    <row r="4131" spans="1:1" x14ac:dyDescent="0.25">
      <c r="A4131" s="76" t="s">
        <v>512</v>
      </c>
    </row>
    <row r="4132" spans="1:1" x14ac:dyDescent="0.25">
      <c r="A4132" s="76" t="s">
        <v>513</v>
      </c>
    </row>
    <row r="4133" spans="1:1" x14ac:dyDescent="0.25">
      <c r="A4133" s="76" t="s">
        <v>514</v>
      </c>
    </row>
    <row r="4134" spans="1:1" x14ac:dyDescent="0.25">
      <c r="A4134" s="108" t="s">
        <v>515</v>
      </c>
    </row>
    <row r="4135" spans="1:1" x14ac:dyDescent="0.25">
      <c r="A4135" s="76" t="s">
        <v>516</v>
      </c>
    </row>
    <row r="4138" spans="1:1" x14ac:dyDescent="0.25">
      <c r="A4138" s="29" t="s">
        <v>517</v>
      </c>
    </row>
    <row r="4139" spans="1:1" x14ac:dyDescent="0.25">
      <c r="A4139" s="76" t="s">
        <v>518</v>
      </c>
    </row>
    <row r="4140" spans="1:1" x14ac:dyDescent="0.25">
      <c r="A4140" s="76" t="s">
        <v>519</v>
      </c>
    </row>
    <row r="4141" spans="1:1" x14ac:dyDescent="0.25">
      <c r="A4141" s="76" t="s">
        <v>520</v>
      </c>
    </row>
    <row r="4142" spans="1:1" x14ac:dyDescent="0.25">
      <c r="A4142" s="76" t="s">
        <v>521</v>
      </c>
    </row>
    <row r="4143" spans="1:1" x14ac:dyDescent="0.25">
      <c r="A4143" s="76" t="s">
        <v>522</v>
      </c>
    </row>
    <row r="4245" spans="1:1" x14ac:dyDescent="0.25">
      <c r="A4245" s="29" t="s">
        <v>523</v>
      </c>
    </row>
    <row r="4246" spans="1:1" x14ac:dyDescent="0.25">
      <c r="A4246" s="108" t="s">
        <v>524</v>
      </c>
    </row>
    <row r="4247" spans="1:1" x14ac:dyDescent="0.25">
      <c r="A4247" s="76" t="s">
        <v>525</v>
      </c>
    </row>
    <row r="4248" spans="1:1" x14ac:dyDescent="0.25">
      <c r="A4248" s="76" t="s">
        <v>526</v>
      </c>
    </row>
    <row r="4249" spans="1:1" x14ac:dyDescent="0.25">
      <c r="A4249" s="29" t="s">
        <v>527</v>
      </c>
    </row>
    <row r="4250" spans="1:1" x14ac:dyDescent="0.25">
      <c r="A4250" s="76" t="s">
        <v>528</v>
      </c>
    </row>
    <row r="4251" spans="1:1" x14ac:dyDescent="0.25">
      <c r="A4251" s="76" t="s">
        <v>529</v>
      </c>
    </row>
    <row r="4296" spans="1:1" x14ac:dyDescent="0.25">
      <c r="A4296" s="76" t="s">
        <v>530</v>
      </c>
    </row>
    <row r="4297" spans="1:1" x14ac:dyDescent="0.25">
      <c r="A4297" s="76" t="s">
        <v>531</v>
      </c>
    </row>
    <row r="4298" spans="1:1" x14ac:dyDescent="0.25">
      <c r="A4298" s="76" t="s">
        <v>532</v>
      </c>
    </row>
    <row r="4299" spans="1:1" x14ac:dyDescent="0.25">
      <c r="A4299" s="76" t="s">
        <v>533</v>
      </c>
    </row>
    <row r="4300" spans="1:1" x14ac:dyDescent="0.25">
      <c r="A4300" s="29" t="s">
        <v>534</v>
      </c>
    </row>
    <row r="4301" spans="1:1" x14ac:dyDescent="0.25">
      <c r="A4301" s="29" t="s">
        <v>535</v>
      </c>
    </row>
    <row r="4347" spans="1:1" x14ac:dyDescent="0.25">
      <c r="A4347" s="76" t="s">
        <v>536</v>
      </c>
    </row>
    <row r="4348" spans="1:1" x14ac:dyDescent="0.25">
      <c r="A4348" s="76" t="s">
        <v>537</v>
      </c>
    </row>
    <row r="4349" spans="1:1" x14ac:dyDescent="0.25">
      <c r="A4349" s="76" t="s">
        <v>538</v>
      </c>
    </row>
    <row r="4350" spans="1:1" x14ac:dyDescent="0.25">
      <c r="A4350" s="76" t="s">
        <v>539</v>
      </c>
    </row>
    <row r="4351" spans="1:1" x14ac:dyDescent="0.25">
      <c r="A4351" s="76" t="s">
        <v>540</v>
      </c>
    </row>
    <row r="4352" spans="1:1" x14ac:dyDescent="0.25">
      <c r="A4352" s="76" t="s">
        <v>541</v>
      </c>
    </row>
    <row r="4353" spans="1:1" x14ac:dyDescent="0.25">
      <c r="A4353" s="108" t="s">
        <v>542</v>
      </c>
    </row>
    <row r="4354" spans="1:1" x14ac:dyDescent="0.25">
      <c r="A4354" s="76" t="s">
        <v>543</v>
      </c>
    </row>
    <row r="4357" spans="1:1" x14ac:dyDescent="0.25">
      <c r="A4357" s="76" t="s">
        <v>544</v>
      </c>
    </row>
    <row r="4358" spans="1:1" x14ac:dyDescent="0.25">
      <c r="A4358" s="76" t="s">
        <v>545</v>
      </c>
    </row>
    <row r="4359" spans="1:1" x14ac:dyDescent="0.25">
      <c r="A4359" s="29" t="s">
        <v>546</v>
      </c>
    </row>
    <row r="4360" spans="1:1" x14ac:dyDescent="0.25">
      <c r="A4360" s="76" t="s">
        <v>547</v>
      </c>
    </row>
    <row r="4361" spans="1:1" x14ac:dyDescent="0.25">
      <c r="A4361" s="76" t="s">
        <v>548</v>
      </c>
    </row>
    <row r="4362" spans="1:1" x14ac:dyDescent="0.25">
      <c r="A4362" s="76" t="s">
        <v>549</v>
      </c>
    </row>
    <row r="4363" spans="1:1" x14ac:dyDescent="0.25">
      <c r="A4363" s="108" t="s">
        <v>550</v>
      </c>
    </row>
    <row r="4364" spans="1:1" x14ac:dyDescent="0.25">
      <c r="A4364" s="108" t="s">
        <v>551</v>
      </c>
    </row>
    <row r="4365" spans="1:1" x14ac:dyDescent="0.25">
      <c r="A4365" s="76" t="s">
        <v>552</v>
      </c>
    </row>
    <row r="4366" spans="1:1" x14ac:dyDescent="0.25">
      <c r="A4366" s="29" t="s">
        <v>553</v>
      </c>
    </row>
    <row r="4367" spans="1:1" x14ac:dyDescent="0.25">
      <c r="A4367" s="76" t="s">
        <v>554</v>
      </c>
    </row>
    <row r="4368" spans="1:1" x14ac:dyDescent="0.25">
      <c r="A4368" s="76" t="s">
        <v>555</v>
      </c>
    </row>
    <row r="4369" spans="1:1" x14ac:dyDescent="0.25">
      <c r="A4369" s="76" t="s">
        <v>556</v>
      </c>
    </row>
    <row r="4370" spans="1:1" x14ac:dyDescent="0.25">
      <c r="A4370" s="108" t="s">
        <v>557</v>
      </c>
    </row>
    <row r="4371" spans="1:1" x14ac:dyDescent="0.25">
      <c r="A4371" s="108" t="s">
        <v>558</v>
      </c>
    </row>
    <row r="4372" spans="1:1" x14ac:dyDescent="0.25">
      <c r="A4372" s="76" t="s">
        <v>559</v>
      </c>
    </row>
    <row r="4373" spans="1:1" x14ac:dyDescent="0.25">
      <c r="A4373" s="29" t="s">
        <v>560</v>
      </c>
    </row>
    <row r="4374" spans="1:1" x14ac:dyDescent="0.25">
      <c r="A4374" s="76" t="s">
        <v>561</v>
      </c>
    </row>
    <row r="4375" spans="1:1" x14ac:dyDescent="0.25">
      <c r="A4375" s="76" t="s">
        <v>562</v>
      </c>
    </row>
    <row r="4376" spans="1:1" x14ac:dyDescent="0.25">
      <c r="A4376" s="76" t="s">
        <v>563</v>
      </c>
    </row>
    <row r="4377" spans="1:1" x14ac:dyDescent="0.25">
      <c r="A4377" s="108" t="s">
        <v>564</v>
      </c>
    </row>
    <row r="4378" spans="1:1" x14ac:dyDescent="0.25">
      <c r="A4378" s="108" t="s">
        <v>565</v>
      </c>
    </row>
    <row r="4379" spans="1:1" x14ac:dyDescent="0.25">
      <c r="A4379" s="76" t="s">
        <v>566</v>
      </c>
    </row>
    <row r="4380" spans="1:1" x14ac:dyDescent="0.25">
      <c r="A4380" s="29" t="s">
        <v>567</v>
      </c>
    </row>
    <row r="4381" spans="1:1" x14ac:dyDescent="0.25">
      <c r="A4381" s="76" t="s">
        <v>568</v>
      </c>
    </row>
    <row r="4382" spans="1:1" x14ac:dyDescent="0.25">
      <c r="A4382" s="76" t="s">
        <v>569</v>
      </c>
    </row>
    <row r="4383" spans="1:1" x14ac:dyDescent="0.25">
      <c r="A4383" s="76" t="s">
        <v>570</v>
      </c>
    </row>
    <row r="4384" spans="1:1" x14ac:dyDescent="0.25">
      <c r="A4384" s="108" t="s">
        <v>571</v>
      </c>
    </row>
    <row r="4385" spans="1:1" x14ac:dyDescent="0.25">
      <c r="A4385" s="108" t="s">
        <v>572</v>
      </c>
    </row>
    <row r="4386" spans="1:1" x14ac:dyDescent="0.25">
      <c r="A4386" s="76" t="s">
        <v>573</v>
      </c>
    </row>
    <row r="4387" spans="1:1" x14ac:dyDescent="0.25">
      <c r="A4387" s="29" t="s">
        <v>574</v>
      </c>
    </row>
    <row r="4388" spans="1:1" x14ac:dyDescent="0.25">
      <c r="A4388" s="76" t="s">
        <v>575</v>
      </c>
    </row>
    <row r="4389" spans="1:1" x14ac:dyDescent="0.25">
      <c r="A4389" s="76" t="s">
        <v>576</v>
      </c>
    </row>
    <row r="4390" spans="1:1" x14ac:dyDescent="0.25">
      <c r="A4390" s="76" t="s">
        <v>577</v>
      </c>
    </row>
    <row r="4391" spans="1:1" x14ac:dyDescent="0.25">
      <c r="A4391" s="108" t="s">
        <v>578</v>
      </c>
    </row>
    <row r="4392" spans="1:1" x14ac:dyDescent="0.25">
      <c r="A4392" s="108" t="s">
        <v>579</v>
      </c>
    </row>
    <row r="4393" spans="1:1" x14ac:dyDescent="0.25">
      <c r="A4393" s="76" t="s">
        <v>580</v>
      </c>
    </row>
    <row r="4394" spans="1:1" x14ac:dyDescent="0.25">
      <c r="A4394" s="29" t="s">
        <v>581</v>
      </c>
    </row>
    <row r="4395" spans="1:1" x14ac:dyDescent="0.25">
      <c r="A4395" s="76" t="s">
        <v>582</v>
      </c>
    </row>
    <row r="4396" spans="1:1" x14ac:dyDescent="0.25">
      <c r="A4396" s="76" t="s">
        <v>583</v>
      </c>
    </row>
    <row r="4397" spans="1:1" x14ac:dyDescent="0.25">
      <c r="A4397" s="76" t="s">
        <v>584</v>
      </c>
    </row>
    <row r="4398" spans="1:1" x14ac:dyDescent="0.25">
      <c r="A4398" s="108" t="s">
        <v>585</v>
      </c>
    </row>
    <row r="4399" spans="1:1" x14ac:dyDescent="0.25">
      <c r="A4399" s="108" t="s">
        <v>586</v>
      </c>
    </row>
    <row r="4400" spans="1:1" x14ac:dyDescent="0.25">
      <c r="A4400" s="76" t="s">
        <v>587</v>
      </c>
    </row>
    <row r="4401" spans="1:1" x14ac:dyDescent="0.25">
      <c r="A4401" s="29" t="s">
        <v>588</v>
      </c>
    </row>
    <row r="4402" spans="1:1" x14ac:dyDescent="0.25">
      <c r="A4402" s="76" t="s">
        <v>589</v>
      </c>
    </row>
    <row r="4403" spans="1:1" x14ac:dyDescent="0.25">
      <c r="A4403" s="76" t="s">
        <v>590</v>
      </c>
    </row>
    <row r="4404" spans="1:1" x14ac:dyDescent="0.25">
      <c r="A4404" s="76" t="s">
        <v>591</v>
      </c>
    </row>
    <row r="4405" spans="1:1" x14ac:dyDescent="0.25">
      <c r="A4405" s="76" t="s">
        <v>592</v>
      </c>
    </row>
    <row r="4406" spans="1:1" x14ac:dyDescent="0.25">
      <c r="A4406" s="76" t="s">
        <v>593</v>
      </c>
    </row>
    <row r="4407" spans="1:1" x14ac:dyDescent="0.25">
      <c r="A4407" s="108" t="s">
        <v>594</v>
      </c>
    </row>
    <row r="4408" spans="1:1" x14ac:dyDescent="0.25">
      <c r="A4408" s="76" t="s">
        <v>595</v>
      </c>
    </row>
    <row r="4449" spans="1:1" x14ac:dyDescent="0.25">
      <c r="A4449" s="29" t="s">
        <v>596</v>
      </c>
    </row>
    <row r="4470" spans="1:1" x14ac:dyDescent="0.25">
      <c r="A4470" s="76" t="s">
        <v>597</v>
      </c>
    </row>
    <row r="4471" spans="1:1" x14ac:dyDescent="0.25">
      <c r="A4471" s="76" t="s">
        <v>598</v>
      </c>
    </row>
    <row r="4472" spans="1:1" x14ac:dyDescent="0.25">
      <c r="A4472" s="76" t="s">
        <v>599</v>
      </c>
    </row>
    <row r="4473" spans="1:1" x14ac:dyDescent="0.25">
      <c r="A4473" s="76" t="s">
        <v>600</v>
      </c>
    </row>
    <row r="4474" spans="1:1" x14ac:dyDescent="0.25">
      <c r="A4474" s="76" t="s">
        <v>601</v>
      </c>
    </row>
    <row r="4475" spans="1:1" x14ac:dyDescent="0.25">
      <c r="A4475" s="76" t="s">
        <v>602</v>
      </c>
    </row>
    <row r="4480" spans="1:1" x14ac:dyDescent="0.25">
      <c r="A4480" s="29" t="s">
        <v>603</v>
      </c>
    </row>
    <row r="4481" spans="1:1" x14ac:dyDescent="0.25">
      <c r="A4481" s="76" t="s">
        <v>604</v>
      </c>
    </row>
    <row r="4482" spans="1:1" x14ac:dyDescent="0.25">
      <c r="A4482" s="76" t="s">
        <v>605</v>
      </c>
    </row>
    <row r="4483" spans="1:1" x14ac:dyDescent="0.25">
      <c r="A4483" s="76" t="s">
        <v>606</v>
      </c>
    </row>
    <row r="4484" spans="1:1" x14ac:dyDescent="0.25">
      <c r="A4484" s="76" t="s">
        <v>607</v>
      </c>
    </row>
    <row r="4485" spans="1:1" x14ac:dyDescent="0.25">
      <c r="A4485" s="76" t="s">
        <v>608</v>
      </c>
    </row>
    <row r="4486" spans="1:1" x14ac:dyDescent="0.25">
      <c r="A4486" s="76" t="s">
        <v>609</v>
      </c>
    </row>
    <row r="4487" spans="1:1" x14ac:dyDescent="0.25">
      <c r="A4487" s="76" t="s">
        <v>610</v>
      </c>
    </row>
    <row r="4571" spans="1:1" x14ac:dyDescent="0.25">
      <c r="A4571" s="76" t="s">
        <v>611</v>
      </c>
    </row>
    <row r="4572" spans="1:1" x14ac:dyDescent="0.25">
      <c r="A4572" s="108" t="s">
        <v>612</v>
      </c>
    </row>
    <row r="4573" spans="1:1" x14ac:dyDescent="0.25">
      <c r="A4573" s="76" t="s">
        <v>613</v>
      </c>
    </row>
    <row r="4574" spans="1:1" x14ac:dyDescent="0.25">
      <c r="A4574" s="76" t="s">
        <v>614</v>
      </c>
    </row>
    <row r="4575" spans="1:1" x14ac:dyDescent="0.25">
      <c r="A4575" s="76" t="s">
        <v>615</v>
      </c>
    </row>
    <row r="4576" spans="1:1" x14ac:dyDescent="0.25">
      <c r="A4576" s="29" t="s">
        <v>616</v>
      </c>
    </row>
    <row r="4577" spans="1:1" x14ac:dyDescent="0.25">
      <c r="A4577" s="76" t="s">
        <v>617</v>
      </c>
    </row>
    <row r="4578" spans="1:1" x14ac:dyDescent="0.25">
      <c r="A4578" s="76" t="s">
        <v>618</v>
      </c>
    </row>
    <row r="4579" spans="1:1" x14ac:dyDescent="0.25">
      <c r="A4579" s="76" t="s">
        <v>619</v>
      </c>
    </row>
    <row r="4580" spans="1:1" x14ac:dyDescent="0.25">
      <c r="A4580" s="76" t="s">
        <v>620</v>
      </c>
    </row>
    <row r="4581" spans="1:1" x14ac:dyDescent="0.25">
      <c r="A4581" s="76" t="s">
        <v>621</v>
      </c>
    </row>
    <row r="4582" spans="1:1" x14ac:dyDescent="0.25">
      <c r="A4582" s="76" t="s">
        <v>622</v>
      </c>
    </row>
    <row r="4583" spans="1:1" x14ac:dyDescent="0.25">
      <c r="A4583" s="76" t="s">
        <v>623</v>
      </c>
    </row>
    <row r="4584" spans="1:1" x14ac:dyDescent="0.25">
      <c r="A4584" s="76" t="s">
        <v>624</v>
      </c>
    </row>
    <row r="4585" spans="1:1" x14ac:dyDescent="0.25">
      <c r="A4585" s="76" t="s">
        <v>625</v>
      </c>
    </row>
    <row r="4586" spans="1:1" x14ac:dyDescent="0.25">
      <c r="A4586" s="76" t="s">
        <v>626</v>
      </c>
    </row>
    <row r="4587" spans="1:1" x14ac:dyDescent="0.25">
      <c r="A4587" s="76" t="s">
        <v>627</v>
      </c>
    </row>
    <row r="4588" spans="1:1" x14ac:dyDescent="0.25">
      <c r="A4588" s="76" t="s">
        <v>628</v>
      </c>
    </row>
    <row r="4589" spans="1:1" x14ac:dyDescent="0.25">
      <c r="A4589" s="76" t="s">
        <v>629</v>
      </c>
    </row>
    <row r="4590" spans="1:1" x14ac:dyDescent="0.25">
      <c r="A4590" s="76" t="s">
        <v>630</v>
      </c>
    </row>
    <row r="4591" spans="1:1" x14ac:dyDescent="0.25">
      <c r="A4591" s="76" t="s">
        <v>631</v>
      </c>
    </row>
    <row r="4592" spans="1:1" x14ac:dyDescent="0.25">
      <c r="A4592" s="108" t="s">
        <v>632</v>
      </c>
    </row>
    <row r="4593" spans="1:1" x14ac:dyDescent="0.25">
      <c r="A4593" s="76" t="s">
        <v>633</v>
      </c>
    </row>
    <row r="4594" spans="1:1" x14ac:dyDescent="0.25">
      <c r="A4594" s="76" t="s">
        <v>634</v>
      </c>
    </row>
    <row r="4595" spans="1:1" x14ac:dyDescent="0.25">
      <c r="A4595" s="29" t="s">
        <v>635</v>
      </c>
    </row>
    <row r="4596" spans="1:1" x14ac:dyDescent="0.25">
      <c r="A4596" s="76" t="s">
        <v>636</v>
      </c>
    </row>
    <row r="4659" spans="1:1" x14ac:dyDescent="0.25">
      <c r="A4659" s="76" t="s">
        <v>637</v>
      </c>
    </row>
    <row r="4660" spans="1:1" x14ac:dyDescent="0.25">
      <c r="A4660" s="76" t="s">
        <v>638</v>
      </c>
    </row>
    <row r="4661" spans="1:1" x14ac:dyDescent="0.25">
      <c r="A4661" s="76" t="s">
        <v>639</v>
      </c>
    </row>
    <row r="4662" spans="1:1" x14ac:dyDescent="0.25">
      <c r="A4662" s="76" t="s">
        <v>640</v>
      </c>
    </row>
    <row r="4663" spans="1:1" x14ac:dyDescent="0.25">
      <c r="A4663" s="76" t="s">
        <v>641</v>
      </c>
    </row>
    <row r="4664" spans="1:1" x14ac:dyDescent="0.25">
      <c r="A4664" s="76" t="s">
        <v>642</v>
      </c>
    </row>
    <row r="4705" spans="1:1" x14ac:dyDescent="0.25">
      <c r="A4705" s="29" t="s">
        <v>643</v>
      </c>
    </row>
    <row r="4706" spans="1:1" x14ac:dyDescent="0.25">
      <c r="A4706" s="76" t="s">
        <v>644</v>
      </c>
    </row>
    <row r="4707" spans="1:1" x14ac:dyDescent="0.25">
      <c r="A4707" s="76" t="s">
        <v>645</v>
      </c>
    </row>
    <row r="4708" spans="1:1" x14ac:dyDescent="0.25">
      <c r="A4708" s="76" t="s">
        <v>646</v>
      </c>
    </row>
    <row r="4709" spans="1:1" x14ac:dyDescent="0.25">
      <c r="A4709" s="76" t="s">
        <v>647</v>
      </c>
    </row>
    <row r="4710" spans="1:1" x14ac:dyDescent="0.25">
      <c r="A4710" s="29" t="s">
        <v>648</v>
      </c>
    </row>
    <row r="4711" spans="1:1" x14ac:dyDescent="0.25">
      <c r="A4711" s="108" t="s">
        <v>649</v>
      </c>
    </row>
    <row r="4712" spans="1:1" x14ac:dyDescent="0.25">
      <c r="A4712" s="76" t="s">
        <v>650</v>
      </c>
    </row>
    <row r="4713" spans="1:1" x14ac:dyDescent="0.25">
      <c r="A4713" s="29" t="s">
        <v>651</v>
      </c>
    </row>
    <row r="4714" spans="1:1" x14ac:dyDescent="0.25">
      <c r="A4714" s="76" t="s">
        <v>652</v>
      </c>
    </row>
    <row r="4715" spans="1:1" x14ac:dyDescent="0.25">
      <c r="A4715" s="76" t="s">
        <v>653</v>
      </c>
    </row>
    <row r="4716" spans="1:1" x14ac:dyDescent="0.25">
      <c r="A4716" s="76" t="s">
        <v>654</v>
      </c>
    </row>
    <row r="4717" spans="1:1" x14ac:dyDescent="0.25">
      <c r="A4717" s="76" t="s">
        <v>655</v>
      </c>
    </row>
    <row r="4718" spans="1:1" x14ac:dyDescent="0.25">
      <c r="A4718" s="76" t="s">
        <v>656</v>
      </c>
    </row>
    <row r="4719" spans="1:1" x14ac:dyDescent="0.25">
      <c r="A4719" s="29" t="s">
        <v>657</v>
      </c>
    </row>
    <row r="4720" spans="1:1" x14ac:dyDescent="0.25">
      <c r="A4720" s="108" t="s">
        <v>658</v>
      </c>
    </row>
    <row r="4721" spans="1:1" x14ac:dyDescent="0.25">
      <c r="A4721" s="76" t="s">
        <v>659</v>
      </c>
    </row>
    <row r="4722" spans="1:1" x14ac:dyDescent="0.25">
      <c r="A4722" s="29" t="s">
        <v>660</v>
      </c>
    </row>
    <row r="4723" spans="1:1" x14ac:dyDescent="0.25">
      <c r="A4723" s="76" t="s">
        <v>661</v>
      </c>
    </row>
    <row r="4724" spans="1:1" x14ac:dyDescent="0.25">
      <c r="A4724" s="76" t="s">
        <v>662</v>
      </c>
    </row>
    <row r="4725" spans="1:1" x14ac:dyDescent="0.25">
      <c r="A4725" s="76" t="s">
        <v>663</v>
      </c>
    </row>
    <row r="4726" spans="1:1" x14ac:dyDescent="0.25">
      <c r="A4726" s="76" t="s">
        <v>664</v>
      </c>
    </row>
    <row r="4767" spans="1:1" x14ac:dyDescent="0.25">
      <c r="A4767" s="76" t="s">
        <v>665</v>
      </c>
    </row>
    <row r="4768" spans="1:1" x14ac:dyDescent="0.25">
      <c r="A4768" s="76" t="s">
        <v>666</v>
      </c>
    </row>
    <row r="4769" spans="1:1" x14ac:dyDescent="0.25">
      <c r="A4769" s="76" t="s">
        <v>667</v>
      </c>
    </row>
    <row r="4770" spans="1:1" x14ac:dyDescent="0.25">
      <c r="A4770" s="76" t="s">
        <v>668</v>
      </c>
    </row>
    <row r="4771" spans="1:1" x14ac:dyDescent="0.25">
      <c r="A4771" s="76" t="s">
        <v>669</v>
      </c>
    </row>
    <row r="4772" spans="1:1" x14ac:dyDescent="0.25">
      <c r="A4772" s="29" t="s">
        <v>670</v>
      </c>
    </row>
    <row r="4773" spans="1:1" x14ac:dyDescent="0.25">
      <c r="A4773" s="108" t="s">
        <v>671</v>
      </c>
    </row>
    <row r="4774" spans="1:1" x14ac:dyDescent="0.25">
      <c r="A4774" s="76" t="s">
        <v>672</v>
      </c>
    </row>
    <row r="4775" spans="1:1" x14ac:dyDescent="0.25">
      <c r="A4775" s="29" t="s">
        <v>673</v>
      </c>
    </row>
    <row r="4776" spans="1:1" x14ac:dyDescent="0.25">
      <c r="A4776" s="76" t="s">
        <v>674</v>
      </c>
    </row>
    <row r="4777" spans="1:1" x14ac:dyDescent="0.25">
      <c r="A4777" s="76" t="s">
        <v>675</v>
      </c>
    </row>
    <row r="4778" spans="1:1" x14ac:dyDescent="0.25">
      <c r="A4778" s="76" t="s">
        <v>676</v>
      </c>
    </row>
    <row r="4779" spans="1:1" x14ac:dyDescent="0.25">
      <c r="A4779" s="76" t="s">
        <v>677</v>
      </c>
    </row>
    <row r="4780" spans="1:1" x14ac:dyDescent="0.25">
      <c r="A4780" s="76" t="s">
        <v>678</v>
      </c>
    </row>
    <row r="4781" spans="1:1" x14ac:dyDescent="0.25">
      <c r="A4781" s="108" t="s">
        <v>679</v>
      </c>
    </row>
    <row r="4782" spans="1:1" x14ac:dyDescent="0.25">
      <c r="A4782" s="108" t="s">
        <v>680</v>
      </c>
    </row>
    <row r="4783" spans="1:1" x14ac:dyDescent="0.25">
      <c r="A4783" s="76" t="s">
        <v>681</v>
      </c>
    </row>
    <row r="4784" spans="1:1" x14ac:dyDescent="0.25">
      <c r="A4784" s="29" t="s">
        <v>682</v>
      </c>
    </row>
    <row r="4785" spans="1:1" x14ac:dyDescent="0.25">
      <c r="A4785" s="76" t="s">
        <v>683</v>
      </c>
    </row>
    <row r="4786" spans="1:1" x14ac:dyDescent="0.25">
      <c r="A4786" s="76" t="s">
        <v>684</v>
      </c>
    </row>
    <row r="4787" spans="1:1" x14ac:dyDescent="0.25">
      <c r="A4787" s="76" t="s">
        <v>685</v>
      </c>
    </row>
    <row r="4788" spans="1:1" x14ac:dyDescent="0.25">
      <c r="A4788" s="108" t="s">
        <v>686</v>
      </c>
    </row>
    <row r="4789" spans="1:1" x14ac:dyDescent="0.25">
      <c r="A4789" s="108" t="s">
        <v>687</v>
      </c>
    </row>
    <row r="4790" spans="1:1" x14ac:dyDescent="0.25">
      <c r="A4790" s="76" t="s">
        <v>688</v>
      </c>
    </row>
    <row r="4791" spans="1:1" x14ac:dyDescent="0.25">
      <c r="A4791" s="29" t="s">
        <v>689</v>
      </c>
    </row>
    <row r="4792" spans="1:1" x14ac:dyDescent="0.25">
      <c r="A4792" s="76" t="s">
        <v>690</v>
      </c>
    </row>
    <row r="4793" spans="1:1" x14ac:dyDescent="0.25">
      <c r="A4793" s="76" t="s">
        <v>691</v>
      </c>
    </row>
    <row r="4794" spans="1:1" x14ac:dyDescent="0.25">
      <c r="A4794" s="76" t="s">
        <v>692</v>
      </c>
    </row>
    <row r="4795" spans="1:1" x14ac:dyDescent="0.25">
      <c r="A4795" s="108" t="s">
        <v>693</v>
      </c>
    </row>
    <row r="4796" spans="1:1" x14ac:dyDescent="0.25">
      <c r="A4796" s="108" t="s">
        <v>694</v>
      </c>
    </row>
    <row r="4797" spans="1:1" x14ac:dyDescent="0.25">
      <c r="A4797" s="76" t="s">
        <v>695</v>
      </c>
    </row>
    <row r="4798" spans="1:1" x14ac:dyDescent="0.25">
      <c r="A4798" s="29" t="s">
        <v>696</v>
      </c>
    </row>
    <row r="4799" spans="1:1" x14ac:dyDescent="0.25">
      <c r="A4799" s="76" t="s">
        <v>697</v>
      </c>
    </row>
    <row r="4800" spans="1:1" x14ac:dyDescent="0.25">
      <c r="A4800" s="76" t="s">
        <v>698</v>
      </c>
    </row>
    <row r="4801" spans="1:1" x14ac:dyDescent="0.25">
      <c r="A4801" s="76" t="s">
        <v>699</v>
      </c>
    </row>
    <row r="4802" spans="1:1" x14ac:dyDescent="0.25">
      <c r="A4802" s="108" t="s">
        <v>700</v>
      </c>
    </row>
    <row r="4803" spans="1:1" x14ac:dyDescent="0.25">
      <c r="A4803" s="108" t="s">
        <v>701</v>
      </c>
    </row>
    <row r="4804" spans="1:1" x14ac:dyDescent="0.25">
      <c r="A4804" s="76" t="s">
        <v>702</v>
      </c>
    </row>
    <row r="4805" spans="1:1" x14ac:dyDescent="0.25">
      <c r="A4805" s="29" t="s">
        <v>703</v>
      </c>
    </row>
    <row r="4806" spans="1:1" x14ac:dyDescent="0.25">
      <c r="A4806" s="76" t="s">
        <v>704</v>
      </c>
    </row>
    <row r="4807" spans="1:1" x14ac:dyDescent="0.25">
      <c r="A4807" s="76" t="s">
        <v>705</v>
      </c>
    </row>
    <row r="4808" spans="1:1" x14ac:dyDescent="0.25">
      <c r="A4808" s="76" t="s">
        <v>706</v>
      </c>
    </row>
    <row r="4809" spans="1:1" x14ac:dyDescent="0.25">
      <c r="A4809" s="108" t="s">
        <v>707</v>
      </c>
    </row>
    <row r="4810" spans="1:1" x14ac:dyDescent="0.25">
      <c r="A4810" s="108" t="s">
        <v>708</v>
      </c>
    </row>
    <row r="4811" spans="1:1" x14ac:dyDescent="0.25">
      <c r="A4811" s="76" t="s">
        <v>709</v>
      </c>
    </row>
    <row r="4812" spans="1:1" x14ac:dyDescent="0.25">
      <c r="A4812" s="29" t="s">
        <v>710</v>
      </c>
    </row>
    <row r="4813" spans="1:1" x14ac:dyDescent="0.25">
      <c r="A4813" s="76" t="s">
        <v>711</v>
      </c>
    </row>
    <row r="4814" spans="1:1" x14ac:dyDescent="0.25">
      <c r="A4814" s="76" t="s">
        <v>712</v>
      </c>
    </row>
    <row r="4815" spans="1:1" x14ac:dyDescent="0.25">
      <c r="A4815" s="76" t="s">
        <v>713</v>
      </c>
    </row>
    <row r="4816" spans="1:1" x14ac:dyDescent="0.25">
      <c r="A4816" s="108" t="s">
        <v>714</v>
      </c>
    </row>
    <row r="4817" spans="1:1" x14ac:dyDescent="0.25">
      <c r="A4817" s="108" t="s">
        <v>715</v>
      </c>
    </row>
    <row r="4818" spans="1:1" x14ac:dyDescent="0.25">
      <c r="A4818" s="76" t="s">
        <v>716</v>
      </c>
    </row>
    <row r="4819" spans="1:1" x14ac:dyDescent="0.25">
      <c r="A4819" s="29" t="s">
        <v>717</v>
      </c>
    </row>
    <row r="4820" spans="1:1" x14ac:dyDescent="0.25">
      <c r="A4820" s="76" t="s">
        <v>718</v>
      </c>
    </row>
    <row r="5016" spans="1:1" x14ac:dyDescent="0.25">
      <c r="A5016" s="76" t="s">
        <v>719</v>
      </c>
    </row>
    <row r="5017" spans="1:1" x14ac:dyDescent="0.25">
      <c r="A5017" s="76" t="s">
        <v>720</v>
      </c>
    </row>
    <row r="5018" spans="1:1" x14ac:dyDescent="0.25">
      <c r="A5018" s="108" t="s">
        <v>721</v>
      </c>
    </row>
    <row r="5019" spans="1:1" x14ac:dyDescent="0.25">
      <c r="A5019" s="76" t="s">
        <v>722</v>
      </c>
    </row>
    <row r="5020" spans="1:1" x14ac:dyDescent="0.25">
      <c r="A5020" s="76" t="s">
        <v>723</v>
      </c>
    </row>
    <row r="5021" spans="1:1" x14ac:dyDescent="0.25">
      <c r="A5021" s="76" t="s">
        <v>724</v>
      </c>
    </row>
    <row r="5022" spans="1:1" x14ac:dyDescent="0.25">
      <c r="A5022" s="76" t="s">
        <v>725</v>
      </c>
    </row>
    <row r="5023" spans="1:1" x14ac:dyDescent="0.25">
      <c r="A5023" s="76" t="s">
        <v>726</v>
      </c>
    </row>
    <row r="5024" spans="1:1" x14ac:dyDescent="0.25">
      <c r="A5024" s="76" t="s">
        <v>727</v>
      </c>
    </row>
    <row r="5025" spans="1:1" x14ac:dyDescent="0.25">
      <c r="A5025" s="76" t="s">
        <v>728</v>
      </c>
    </row>
    <row r="5026" spans="1:1" x14ac:dyDescent="0.25">
      <c r="A5026" s="108" t="s">
        <v>729</v>
      </c>
    </row>
    <row r="5027" spans="1:1" x14ac:dyDescent="0.25">
      <c r="A5027" s="76" t="s">
        <v>730</v>
      </c>
    </row>
    <row r="5028" spans="1:1" x14ac:dyDescent="0.25">
      <c r="A5028" s="29" t="s">
        <v>731</v>
      </c>
    </row>
    <row r="5029" spans="1:1" x14ac:dyDescent="0.25">
      <c r="A5029" s="76" t="s">
        <v>732</v>
      </c>
    </row>
    <row r="5030" spans="1:1" x14ac:dyDescent="0.25">
      <c r="A5030" s="76" t="s">
        <v>733</v>
      </c>
    </row>
    <row r="5031" spans="1:1" x14ac:dyDescent="0.25">
      <c r="A5031" s="76" t="s">
        <v>734</v>
      </c>
    </row>
    <row r="5032" spans="1:1" x14ac:dyDescent="0.25">
      <c r="A5032" s="76" t="s">
        <v>735</v>
      </c>
    </row>
    <row r="5033" spans="1:1" x14ac:dyDescent="0.25">
      <c r="A5033" s="76" t="s">
        <v>736</v>
      </c>
    </row>
    <row r="5034" spans="1:1" x14ac:dyDescent="0.25">
      <c r="A5034" s="76" t="s">
        <v>737</v>
      </c>
    </row>
    <row r="5035" spans="1:1" x14ac:dyDescent="0.25">
      <c r="A5035" s="76" t="s">
        <v>738</v>
      </c>
    </row>
    <row r="5036" spans="1:1" x14ac:dyDescent="0.25">
      <c r="A5036" s="76" t="s">
        <v>739</v>
      </c>
    </row>
    <row r="5037" spans="1:1" x14ac:dyDescent="0.25">
      <c r="A5037" s="76" t="s">
        <v>740</v>
      </c>
    </row>
    <row r="5038" spans="1:1" x14ac:dyDescent="0.25">
      <c r="A5038" s="76" t="s">
        <v>741</v>
      </c>
    </row>
    <row r="5039" spans="1:1" x14ac:dyDescent="0.25">
      <c r="A5039" s="76" t="s">
        <v>742</v>
      </c>
    </row>
    <row r="5040" spans="1:1" x14ac:dyDescent="0.25">
      <c r="A5040" s="29" t="s">
        <v>743</v>
      </c>
    </row>
    <row r="5041" spans="1:1" x14ac:dyDescent="0.25">
      <c r="A5041" s="76" t="s">
        <v>744</v>
      </c>
    </row>
    <row r="5042" spans="1:1" x14ac:dyDescent="0.25">
      <c r="A5042" s="108" t="s">
        <v>745</v>
      </c>
    </row>
    <row r="5043" spans="1:1" x14ac:dyDescent="0.25">
      <c r="A5043" s="76" t="s">
        <v>746</v>
      </c>
    </row>
    <row r="5044" spans="1:1" x14ac:dyDescent="0.25">
      <c r="A5044" s="76" t="s">
        <v>747</v>
      </c>
    </row>
    <row r="5045" spans="1:1" x14ac:dyDescent="0.25">
      <c r="A5045" s="76" t="s">
        <v>748</v>
      </c>
    </row>
    <row r="5046" spans="1:1" x14ac:dyDescent="0.25">
      <c r="A5046" s="76" t="s">
        <v>749</v>
      </c>
    </row>
    <row r="5047" spans="1:1" x14ac:dyDescent="0.25">
      <c r="A5047" s="76" t="s">
        <v>750</v>
      </c>
    </row>
    <row r="5048" spans="1:1" x14ac:dyDescent="0.25">
      <c r="A5048" s="76" t="s">
        <v>751</v>
      </c>
    </row>
    <row r="5049" spans="1:1" x14ac:dyDescent="0.25">
      <c r="A5049" s="76" t="s">
        <v>752</v>
      </c>
    </row>
    <row r="5050" spans="1:1" x14ac:dyDescent="0.25">
      <c r="A5050" s="76" t="s">
        <v>753</v>
      </c>
    </row>
    <row r="5051" spans="1:1" x14ac:dyDescent="0.25">
      <c r="A5051" s="76" t="s">
        <v>754</v>
      </c>
    </row>
    <row r="5052" spans="1:1" x14ac:dyDescent="0.25">
      <c r="A5052" s="76" t="s">
        <v>755</v>
      </c>
    </row>
    <row r="5053" spans="1:1" x14ac:dyDescent="0.25">
      <c r="A5053" s="76" t="s">
        <v>756</v>
      </c>
    </row>
    <row r="5054" spans="1:1" x14ac:dyDescent="0.25">
      <c r="A5054" s="76" t="s">
        <v>757</v>
      </c>
    </row>
    <row r="5055" spans="1:1" x14ac:dyDescent="0.25">
      <c r="A5055" s="76" t="s">
        <v>758</v>
      </c>
    </row>
    <row r="5056" spans="1:1" x14ac:dyDescent="0.25">
      <c r="A5056" s="76" t="s">
        <v>759</v>
      </c>
    </row>
    <row r="5057" spans="1:1" x14ac:dyDescent="0.25">
      <c r="A5057" s="76" t="s">
        <v>760</v>
      </c>
    </row>
    <row r="5058" spans="1:1" x14ac:dyDescent="0.25">
      <c r="A5058" s="76" t="s">
        <v>761</v>
      </c>
    </row>
    <row r="5059" spans="1:1" x14ac:dyDescent="0.25">
      <c r="A5059" s="76" t="s">
        <v>762</v>
      </c>
    </row>
    <row r="5060" spans="1:1" x14ac:dyDescent="0.25">
      <c r="A5060" s="76" t="s">
        <v>763</v>
      </c>
    </row>
    <row r="5061" spans="1:1" x14ac:dyDescent="0.25">
      <c r="A5061" s="76" t="s">
        <v>764</v>
      </c>
    </row>
    <row r="5062" spans="1:1" x14ac:dyDescent="0.25">
      <c r="A5062" s="76" t="s">
        <v>765</v>
      </c>
    </row>
    <row r="5063" spans="1:1" x14ac:dyDescent="0.25">
      <c r="A5063" s="76" t="s">
        <v>766</v>
      </c>
    </row>
    <row r="5064" spans="1:1" x14ac:dyDescent="0.25">
      <c r="A5064" s="76" t="s">
        <v>767</v>
      </c>
    </row>
    <row r="5065" spans="1:1" x14ac:dyDescent="0.25">
      <c r="A5065" s="76" t="s">
        <v>768</v>
      </c>
    </row>
    <row r="5066" spans="1:1" x14ac:dyDescent="0.25">
      <c r="A5066" s="29" t="s">
        <v>769</v>
      </c>
    </row>
    <row r="5067" spans="1:1" x14ac:dyDescent="0.25">
      <c r="A5067" s="76" t="s">
        <v>770</v>
      </c>
    </row>
    <row r="5068" spans="1:1" x14ac:dyDescent="0.25">
      <c r="A5068" s="76" t="s">
        <v>771</v>
      </c>
    </row>
    <row r="5069" spans="1:1" x14ac:dyDescent="0.25">
      <c r="A5069" s="76" t="s">
        <v>772</v>
      </c>
    </row>
    <row r="5070" spans="1:1" x14ac:dyDescent="0.25">
      <c r="A5070" s="76" t="s">
        <v>773</v>
      </c>
    </row>
    <row r="5071" spans="1:1" x14ac:dyDescent="0.25">
      <c r="A5071" s="76" t="s">
        <v>774</v>
      </c>
    </row>
    <row r="5072" spans="1:1" x14ac:dyDescent="0.25">
      <c r="A5072" s="76" t="s">
        <v>775</v>
      </c>
    </row>
    <row r="5073" spans="1:1" x14ac:dyDescent="0.25">
      <c r="A5073" s="76" t="s">
        <v>776</v>
      </c>
    </row>
    <row r="5074" spans="1:1" x14ac:dyDescent="0.25">
      <c r="A5074" s="76" t="s">
        <v>777</v>
      </c>
    </row>
    <row r="5075" spans="1:1" x14ac:dyDescent="0.25">
      <c r="A5075" s="76" t="s">
        <v>778</v>
      </c>
    </row>
    <row r="5076" spans="1:1" x14ac:dyDescent="0.25">
      <c r="A5076" s="76" t="s">
        <v>779</v>
      </c>
    </row>
    <row r="5077" spans="1:1" x14ac:dyDescent="0.25">
      <c r="A5077" s="76" t="s">
        <v>780</v>
      </c>
    </row>
    <row r="5078" spans="1:1" x14ac:dyDescent="0.25">
      <c r="A5078" s="76" t="s">
        <v>781</v>
      </c>
    </row>
    <row r="5079" spans="1:1" x14ac:dyDescent="0.25">
      <c r="A5079" s="76" t="s">
        <v>782</v>
      </c>
    </row>
    <row r="5080" spans="1:1" x14ac:dyDescent="0.25">
      <c r="A5080" s="108" t="s">
        <v>783</v>
      </c>
    </row>
    <row r="5081" spans="1:1" x14ac:dyDescent="0.25">
      <c r="A5081" s="76" t="s">
        <v>784</v>
      </c>
    </row>
    <row r="5082" spans="1:1" x14ac:dyDescent="0.25">
      <c r="A5082" s="29" t="s">
        <v>785</v>
      </c>
    </row>
    <row r="5083" spans="1:1" x14ac:dyDescent="0.25">
      <c r="A5083" s="76" t="s">
        <v>786</v>
      </c>
    </row>
    <row r="5084" spans="1:1" x14ac:dyDescent="0.25">
      <c r="A5084" s="76" t="s">
        <v>787</v>
      </c>
    </row>
    <row r="5085" spans="1:1" x14ac:dyDescent="0.25">
      <c r="A5085" s="76" t="s">
        <v>788</v>
      </c>
    </row>
    <row r="5086" spans="1:1" x14ac:dyDescent="0.25">
      <c r="A5086" s="76" t="s">
        <v>789</v>
      </c>
    </row>
    <row r="5087" spans="1:1" x14ac:dyDescent="0.25">
      <c r="A5087" s="76" t="s">
        <v>790</v>
      </c>
    </row>
    <row r="5088" spans="1:1" x14ac:dyDescent="0.25">
      <c r="A5088" s="76" t="s">
        <v>791</v>
      </c>
    </row>
    <row r="5089" spans="1:1" x14ac:dyDescent="0.25">
      <c r="A5089" s="76" t="s">
        <v>792</v>
      </c>
    </row>
    <row r="5090" spans="1:1" x14ac:dyDescent="0.25">
      <c r="A5090" s="76" t="s">
        <v>793</v>
      </c>
    </row>
    <row r="5091" spans="1:1" x14ac:dyDescent="0.25">
      <c r="A5091" s="76" t="s">
        <v>794</v>
      </c>
    </row>
    <row r="5092" spans="1:1" x14ac:dyDescent="0.25">
      <c r="A5092" s="108" t="s">
        <v>795</v>
      </c>
    </row>
    <row r="5093" spans="1:1" x14ac:dyDescent="0.25">
      <c r="A5093" s="76" t="s">
        <v>796</v>
      </c>
    </row>
    <row r="5094" spans="1:1" x14ac:dyDescent="0.25">
      <c r="A5094" s="29" t="s">
        <v>797</v>
      </c>
    </row>
    <row r="5095" spans="1:1" x14ac:dyDescent="0.25">
      <c r="A5095" s="29" t="s">
        <v>798</v>
      </c>
    </row>
    <row r="5096" spans="1:1" x14ac:dyDescent="0.25">
      <c r="A5096" s="76" t="s">
        <v>799</v>
      </c>
    </row>
    <row r="5097" spans="1:1" x14ac:dyDescent="0.25">
      <c r="A5097" s="108" t="s">
        <v>800</v>
      </c>
    </row>
    <row r="5098" spans="1:1" x14ac:dyDescent="0.25">
      <c r="A5098" s="76" t="s">
        <v>801</v>
      </c>
    </row>
    <row r="5099" spans="1:1" x14ac:dyDescent="0.25">
      <c r="A5099" s="76" t="s">
        <v>802</v>
      </c>
    </row>
    <row r="5100" spans="1:1" x14ac:dyDescent="0.25">
      <c r="A5100" s="76" t="s">
        <v>803</v>
      </c>
    </row>
    <row r="5101" spans="1:1" x14ac:dyDescent="0.25">
      <c r="A5101" s="76" t="s">
        <v>804</v>
      </c>
    </row>
    <row r="5102" spans="1:1" x14ac:dyDescent="0.25">
      <c r="A5102" s="76" t="s">
        <v>805</v>
      </c>
    </row>
    <row r="5103" spans="1:1" x14ac:dyDescent="0.25">
      <c r="A5103" s="108" t="s">
        <v>806</v>
      </c>
    </row>
    <row r="5104" spans="1:1" x14ac:dyDescent="0.25">
      <c r="A5104" s="108" t="s">
        <v>807</v>
      </c>
    </row>
    <row r="5105" spans="1:1" x14ac:dyDescent="0.25">
      <c r="A5105" s="76" t="s">
        <v>808</v>
      </c>
    </row>
    <row r="5106" spans="1:1" x14ac:dyDescent="0.25">
      <c r="A5106" s="29" t="s">
        <v>809</v>
      </c>
    </row>
    <row r="5107" spans="1:1" x14ac:dyDescent="0.25">
      <c r="A5107" s="76" t="s">
        <v>810</v>
      </c>
    </row>
    <row r="5108" spans="1:1" x14ac:dyDescent="0.25">
      <c r="A5108" s="76" t="s">
        <v>811</v>
      </c>
    </row>
    <row r="5109" spans="1:1" x14ac:dyDescent="0.25">
      <c r="A5109" s="76" t="s">
        <v>812</v>
      </c>
    </row>
    <row r="5110" spans="1:1" x14ac:dyDescent="0.25">
      <c r="A5110" s="108" t="s">
        <v>813</v>
      </c>
    </row>
    <row r="5111" spans="1:1" x14ac:dyDescent="0.25">
      <c r="A5111" s="108" t="s">
        <v>814</v>
      </c>
    </row>
    <row r="5112" spans="1:1" x14ac:dyDescent="0.25">
      <c r="A5112" s="76" t="s">
        <v>815</v>
      </c>
    </row>
    <row r="5113" spans="1:1" x14ac:dyDescent="0.25">
      <c r="A5113" s="29" t="s">
        <v>816</v>
      </c>
    </row>
    <row r="5114" spans="1:1" x14ac:dyDescent="0.25">
      <c r="A5114" s="76" t="s">
        <v>817</v>
      </c>
    </row>
    <row r="5115" spans="1:1" x14ac:dyDescent="0.25">
      <c r="A5115" s="76" t="s">
        <v>818</v>
      </c>
    </row>
    <row r="5116" spans="1:1" x14ac:dyDescent="0.25">
      <c r="A5116" s="76" t="s">
        <v>819</v>
      </c>
    </row>
    <row r="5117" spans="1:1" x14ac:dyDescent="0.25">
      <c r="A5117" s="108" t="s">
        <v>820</v>
      </c>
    </row>
    <row r="5118" spans="1:1" x14ac:dyDescent="0.25">
      <c r="A5118" s="108" t="s">
        <v>821</v>
      </c>
    </row>
    <row r="5119" spans="1:1" x14ac:dyDescent="0.25">
      <c r="A5119" s="76" t="s">
        <v>822</v>
      </c>
    </row>
    <row r="5120" spans="1:1" x14ac:dyDescent="0.25">
      <c r="A5120" s="29" t="s">
        <v>823</v>
      </c>
    </row>
    <row r="5121" spans="1:1" x14ac:dyDescent="0.25">
      <c r="A5121" s="76" t="s">
        <v>824</v>
      </c>
    </row>
    <row r="5122" spans="1:1" x14ac:dyDescent="0.25">
      <c r="A5122" s="76" t="s">
        <v>825</v>
      </c>
    </row>
    <row r="5123" spans="1:1" x14ac:dyDescent="0.25">
      <c r="A5123" s="76" t="s">
        <v>826</v>
      </c>
    </row>
    <row r="5124" spans="1:1" x14ac:dyDescent="0.25">
      <c r="A5124" s="108" t="s">
        <v>827</v>
      </c>
    </row>
    <row r="5125" spans="1:1" x14ac:dyDescent="0.25">
      <c r="A5125" s="108" t="s">
        <v>828</v>
      </c>
    </row>
    <row r="5126" spans="1:1" x14ac:dyDescent="0.25">
      <c r="A5126" s="76" t="s">
        <v>829</v>
      </c>
    </row>
    <row r="5127" spans="1:1" x14ac:dyDescent="0.25">
      <c r="A5127" s="29" t="s">
        <v>830</v>
      </c>
    </row>
    <row r="5128" spans="1:1" x14ac:dyDescent="0.25">
      <c r="A5128" s="76" t="s">
        <v>831</v>
      </c>
    </row>
    <row r="5129" spans="1:1" x14ac:dyDescent="0.25">
      <c r="A5129" s="76" t="s">
        <v>832</v>
      </c>
    </row>
    <row r="5130" spans="1:1" x14ac:dyDescent="0.25">
      <c r="A5130" s="76" t="s">
        <v>833</v>
      </c>
    </row>
    <row r="5131" spans="1:1" x14ac:dyDescent="0.25">
      <c r="A5131" s="108" t="s">
        <v>834</v>
      </c>
    </row>
    <row r="5132" spans="1:1" x14ac:dyDescent="0.25">
      <c r="A5132" s="108" t="s">
        <v>835</v>
      </c>
    </row>
    <row r="5133" spans="1:1" x14ac:dyDescent="0.25">
      <c r="A5133" s="76" t="s">
        <v>836</v>
      </c>
    </row>
    <row r="5134" spans="1:1" x14ac:dyDescent="0.25">
      <c r="A5134" s="29" t="s">
        <v>837</v>
      </c>
    </row>
    <row r="5135" spans="1:1" x14ac:dyDescent="0.25">
      <c r="A5135" s="76" t="s">
        <v>838</v>
      </c>
    </row>
    <row r="5136" spans="1:1" x14ac:dyDescent="0.25">
      <c r="A5136" s="76" t="s">
        <v>839</v>
      </c>
    </row>
    <row r="5137" spans="1:1" x14ac:dyDescent="0.25">
      <c r="A5137" s="76" t="s">
        <v>840</v>
      </c>
    </row>
    <row r="5138" spans="1:1" x14ac:dyDescent="0.25">
      <c r="A5138" s="108" t="s">
        <v>841</v>
      </c>
    </row>
    <row r="5139" spans="1:1" x14ac:dyDescent="0.25">
      <c r="A5139" s="108" t="s">
        <v>842</v>
      </c>
    </row>
    <row r="5140" spans="1:1" x14ac:dyDescent="0.25">
      <c r="A5140" s="76" t="s">
        <v>843</v>
      </c>
    </row>
    <row r="5141" spans="1:1" x14ac:dyDescent="0.25">
      <c r="A5141" s="29" t="s">
        <v>844</v>
      </c>
    </row>
    <row r="5142" spans="1:1" x14ac:dyDescent="0.25">
      <c r="A5142" s="76" t="s">
        <v>845</v>
      </c>
    </row>
    <row r="5143" spans="1:1" x14ac:dyDescent="0.25">
      <c r="A5143" s="76" t="s">
        <v>846</v>
      </c>
    </row>
    <row r="5144" spans="1:1" x14ac:dyDescent="0.25">
      <c r="A5144" s="108" t="s">
        <v>847</v>
      </c>
    </row>
    <row r="5145" spans="1:1" x14ac:dyDescent="0.25">
      <c r="A5145" s="76" t="s">
        <v>848</v>
      </c>
    </row>
    <row r="5146" spans="1:1" x14ac:dyDescent="0.25">
      <c r="A5146" s="76" t="s">
        <v>849</v>
      </c>
    </row>
    <row r="5147" spans="1:1" x14ac:dyDescent="0.25">
      <c r="A5147" s="76" t="s">
        <v>850</v>
      </c>
    </row>
    <row r="5148" spans="1:1" x14ac:dyDescent="0.25">
      <c r="A5148" s="76" t="s">
        <v>851</v>
      </c>
    </row>
    <row r="5149" spans="1:1" x14ac:dyDescent="0.25">
      <c r="A5149" s="76" t="s">
        <v>852</v>
      </c>
    </row>
    <row r="5150" spans="1:1" x14ac:dyDescent="0.25">
      <c r="A5150" s="76" t="s">
        <v>853</v>
      </c>
    </row>
    <row r="5151" spans="1:1" x14ac:dyDescent="0.25">
      <c r="A5151" s="76" t="s">
        <v>854</v>
      </c>
    </row>
    <row r="5152" spans="1:1" x14ac:dyDescent="0.25">
      <c r="A5152" s="76" t="s">
        <v>855</v>
      </c>
    </row>
    <row r="5153" spans="1:1" x14ac:dyDescent="0.25">
      <c r="A5153" s="76" t="s">
        <v>856</v>
      </c>
    </row>
    <row r="5154" spans="1:1" x14ac:dyDescent="0.25">
      <c r="A5154" s="76" t="s">
        <v>857</v>
      </c>
    </row>
    <row r="5155" spans="1:1" x14ac:dyDescent="0.25">
      <c r="A5155" s="76" t="s">
        <v>858</v>
      </c>
    </row>
    <row r="5156" spans="1:1" x14ac:dyDescent="0.25">
      <c r="A5156" s="76" t="s">
        <v>859</v>
      </c>
    </row>
    <row r="5157" spans="1:1" x14ac:dyDescent="0.25">
      <c r="A5157" s="76" t="s">
        <v>860</v>
      </c>
    </row>
    <row r="5158" spans="1:1" x14ac:dyDescent="0.25">
      <c r="A5158" s="76" t="s">
        <v>861</v>
      </c>
    </row>
    <row r="5159" spans="1:1" x14ac:dyDescent="0.25">
      <c r="A5159" s="76" t="s">
        <v>862</v>
      </c>
    </row>
    <row r="5160" spans="1:1" x14ac:dyDescent="0.25">
      <c r="A5160" s="76" t="s">
        <v>863</v>
      </c>
    </row>
    <row r="5161" spans="1:1" x14ac:dyDescent="0.25">
      <c r="A5161" s="76" t="s">
        <v>864</v>
      </c>
    </row>
    <row r="5162" spans="1:1" x14ac:dyDescent="0.25">
      <c r="A5162" s="76" t="s">
        <v>865</v>
      </c>
    </row>
    <row r="5163" spans="1:1" x14ac:dyDescent="0.25">
      <c r="A5163" s="76" t="s">
        <v>866</v>
      </c>
    </row>
    <row r="5164" spans="1:1" x14ac:dyDescent="0.25">
      <c r="A5164" s="76" t="s">
        <v>867</v>
      </c>
    </row>
    <row r="5165" spans="1:1" x14ac:dyDescent="0.25">
      <c r="A5165" s="76" t="s">
        <v>868</v>
      </c>
    </row>
    <row r="5166" spans="1:1" x14ac:dyDescent="0.25">
      <c r="A5166" s="76" t="s">
        <v>869</v>
      </c>
    </row>
    <row r="5167" spans="1:1" x14ac:dyDescent="0.25">
      <c r="A5167" s="76" t="s">
        <v>870</v>
      </c>
    </row>
    <row r="5168" spans="1:1" x14ac:dyDescent="0.25">
      <c r="A5168" s="76" t="s">
        <v>871</v>
      </c>
    </row>
    <row r="5169" spans="1:1" x14ac:dyDescent="0.25">
      <c r="A5169" s="76" t="s">
        <v>872</v>
      </c>
    </row>
    <row r="5170" spans="1:1" x14ac:dyDescent="0.25">
      <c r="A5170" s="76" t="s">
        <v>873</v>
      </c>
    </row>
    <row r="5171" spans="1:1" x14ac:dyDescent="0.25">
      <c r="A5171" s="76" t="s">
        <v>874</v>
      </c>
    </row>
    <row r="5172" spans="1:1" x14ac:dyDescent="0.25">
      <c r="A5172" s="76" t="s">
        <v>875</v>
      </c>
    </row>
    <row r="5173" spans="1:1" x14ac:dyDescent="0.25">
      <c r="A5173" s="76" t="s">
        <v>876</v>
      </c>
    </row>
    <row r="5174" spans="1:1" x14ac:dyDescent="0.25">
      <c r="A5174" s="108" t="s">
        <v>877</v>
      </c>
    </row>
    <row r="5175" spans="1:1" x14ac:dyDescent="0.25">
      <c r="A5175" s="76" t="s">
        <v>878</v>
      </c>
    </row>
    <row r="5176" spans="1:1" x14ac:dyDescent="0.25">
      <c r="A5176" s="76" t="s">
        <v>879</v>
      </c>
    </row>
    <row r="5177" spans="1:1" x14ac:dyDescent="0.25">
      <c r="A5177" s="76" t="s">
        <v>880</v>
      </c>
    </row>
    <row r="5178" spans="1:1" x14ac:dyDescent="0.25">
      <c r="A5178" s="76" t="s">
        <v>881</v>
      </c>
    </row>
    <row r="5179" spans="1:1" x14ac:dyDescent="0.25">
      <c r="A5179" s="76" t="s">
        <v>882</v>
      </c>
    </row>
    <row r="5180" spans="1:1" x14ac:dyDescent="0.25">
      <c r="A5180" s="76" t="s">
        <v>883</v>
      </c>
    </row>
    <row r="5181" spans="1:1" x14ac:dyDescent="0.25">
      <c r="A5181" s="76" t="s">
        <v>884</v>
      </c>
    </row>
    <row r="5182" spans="1:1" x14ac:dyDescent="0.25">
      <c r="A5182" s="76" t="s">
        <v>885</v>
      </c>
    </row>
    <row r="5183" spans="1:1" x14ac:dyDescent="0.25">
      <c r="A5183" s="76" t="s">
        <v>886</v>
      </c>
    </row>
    <row r="5184" spans="1:1" x14ac:dyDescent="0.25">
      <c r="A5184" s="76" t="s">
        <v>887</v>
      </c>
    </row>
    <row r="5185" spans="1:1" x14ac:dyDescent="0.25">
      <c r="A5185" s="108" t="s">
        <v>888</v>
      </c>
    </row>
    <row r="5186" spans="1:1" x14ac:dyDescent="0.25">
      <c r="A5186" s="76" t="s">
        <v>889</v>
      </c>
    </row>
    <row r="5187" spans="1:1" x14ac:dyDescent="0.25">
      <c r="A5187" s="76" t="s">
        <v>890</v>
      </c>
    </row>
    <row r="5188" spans="1:1" x14ac:dyDescent="0.25">
      <c r="A5188" s="76" t="s">
        <v>891</v>
      </c>
    </row>
    <row r="5189" spans="1:1" x14ac:dyDescent="0.25">
      <c r="A5189" s="76" t="s">
        <v>892</v>
      </c>
    </row>
    <row r="5190" spans="1:1" x14ac:dyDescent="0.25">
      <c r="A5190" s="76" t="s">
        <v>893</v>
      </c>
    </row>
    <row r="5191" spans="1:1" x14ac:dyDescent="0.25">
      <c r="A5191" s="76" t="s">
        <v>894</v>
      </c>
    </row>
    <row r="5192" spans="1:1" x14ac:dyDescent="0.25">
      <c r="A5192" s="76" t="s">
        <v>895</v>
      </c>
    </row>
    <row r="5193" spans="1:1" x14ac:dyDescent="0.25">
      <c r="A5193" s="76" t="s">
        <v>896</v>
      </c>
    </row>
    <row r="5194" spans="1:1" x14ac:dyDescent="0.25">
      <c r="A5194" s="76" t="s">
        <v>897</v>
      </c>
    </row>
    <row r="5195" spans="1:1" x14ac:dyDescent="0.25">
      <c r="A5195" s="76" t="s">
        <v>898</v>
      </c>
    </row>
    <row r="5196" spans="1:1" x14ac:dyDescent="0.25">
      <c r="A5196" s="76" t="s">
        <v>899</v>
      </c>
    </row>
    <row r="5197" spans="1:1" x14ac:dyDescent="0.25">
      <c r="A5197" s="76" t="s">
        <v>900</v>
      </c>
    </row>
    <row r="5198" spans="1:1" x14ac:dyDescent="0.25">
      <c r="A5198" s="76" t="s">
        <v>901</v>
      </c>
    </row>
    <row r="5199" spans="1:1" x14ac:dyDescent="0.25">
      <c r="A5199" s="108" t="s">
        <v>902</v>
      </c>
    </row>
    <row r="5200" spans="1:1" x14ac:dyDescent="0.25">
      <c r="A5200" s="76" t="s">
        <v>903</v>
      </c>
    </row>
    <row r="5201" spans="1:1" x14ac:dyDescent="0.25">
      <c r="A5201" s="76" t="s">
        <v>904</v>
      </c>
    </row>
    <row r="5202" spans="1:1" x14ac:dyDescent="0.25">
      <c r="A5202" s="76" t="s">
        <v>905</v>
      </c>
    </row>
    <row r="5203" spans="1:1" x14ac:dyDescent="0.25">
      <c r="A5203" s="76" t="s">
        <v>906</v>
      </c>
    </row>
    <row r="5204" spans="1:1" x14ac:dyDescent="0.25">
      <c r="A5204" s="76" t="s">
        <v>907</v>
      </c>
    </row>
    <row r="5205" spans="1:1" x14ac:dyDescent="0.25">
      <c r="A5205" s="76" t="s">
        <v>908</v>
      </c>
    </row>
    <row r="5206" spans="1:1" x14ac:dyDescent="0.25">
      <c r="A5206" s="76" t="s">
        <v>909</v>
      </c>
    </row>
    <row r="5207" spans="1:1" x14ac:dyDescent="0.25">
      <c r="A5207" s="76" t="s">
        <v>910</v>
      </c>
    </row>
    <row r="5208" spans="1:1" x14ac:dyDescent="0.25">
      <c r="A5208" s="29" t="s">
        <v>911</v>
      </c>
    </row>
    <row r="5209" spans="1:1" x14ac:dyDescent="0.25">
      <c r="A5209" s="76" t="s">
        <v>912</v>
      </c>
    </row>
    <row r="5210" spans="1:1" x14ac:dyDescent="0.25">
      <c r="A5210" s="76" t="s">
        <v>913</v>
      </c>
    </row>
    <row r="5211" spans="1:1" x14ac:dyDescent="0.25">
      <c r="A5211" s="76" t="s">
        <v>914</v>
      </c>
    </row>
    <row r="5212" spans="1:1" x14ac:dyDescent="0.25">
      <c r="A5212" s="76" t="s">
        <v>915</v>
      </c>
    </row>
    <row r="5213" spans="1:1" x14ac:dyDescent="0.25">
      <c r="A5213" s="76" t="s">
        <v>916</v>
      </c>
    </row>
    <row r="5214" spans="1:1" x14ac:dyDescent="0.25">
      <c r="A5214" s="76" t="s">
        <v>917</v>
      </c>
    </row>
    <row r="5215" spans="1:1" x14ac:dyDescent="0.25">
      <c r="A5215" s="76" t="s">
        <v>918</v>
      </c>
    </row>
    <row r="5216" spans="1:1" x14ac:dyDescent="0.25">
      <c r="A5216" s="76" t="s">
        <v>919</v>
      </c>
    </row>
    <row r="5217" spans="1:1" x14ac:dyDescent="0.25">
      <c r="A5217" s="108" t="s">
        <v>920</v>
      </c>
    </row>
    <row r="5218" spans="1:1" x14ac:dyDescent="0.25">
      <c r="A5218" s="76" t="s">
        <v>921</v>
      </c>
    </row>
    <row r="5219" spans="1:1" x14ac:dyDescent="0.25">
      <c r="A5219" s="76" t="s">
        <v>922</v>
      </c>
    </row>
    <row r="5220" spans="1:1" x14ac:dyDescent="0.25">
      <c r="A5220" s="76" t="s">
        <v>923</v>
      </c>
    </row>
    <row r="5221" spans="1:1" x14ac:dyDescent="0.25">
      <c r="A5221" s="76" t="s">
        <v>924</v>
      </c>
    </row>
    <row r="5222" spans="1:1" x14ac:dyDescent="0.25">
      <c r="A5222" s="76" t="s">
        <v>925</v>
      </c>
    </row>
    <row r="5223" spans="1:1" x14ac:dyDescent="0.25">
      <c r="A5223" s="108" t="s">
        <v>926</v>
      </c>
    </row>
    <row r="5224" spans="1:1" x14ac:dyDescent="0.25">
      <c r="A5224" s="76" t="s">
        <v>927</v>
      </c>
    </row>
    <row r="5225" spans="1:1" x14ac:dyDescent="0.25">
      <c r="A5225" s="76" t="s">
        <v>928</v>
      </c>
    </row>
    <row r="5226" spans="1:1" x14ac:dyDescent="0.25">
      <c r="A5226" s="76" t="s">
        <v>929</v>
      </c>
    </row>
    <row r="5227" spans="1:1" x14ac:dyDescent="0.25">
      <c r="A5227" s="76" t="s">
        <v>930</v>
      </c>
    </row>
    <row r="5228" spans="1:1" x14ac:dyDescent="0.25">
      <c r="A5228" s="76" t="s">
        <v>931</v>
      </c>
    </row>
    <row r="5229" spans="1:1" x14ac:dyDescent="0.25">
      <c r="A5229" s="76" t="s">
        <v>932</v>
      </c>
    </row>
    <row r="5230" spans="1:1" x14ac:dyDescent="0.25">
      <c r="A5230" s="76" t="s">
        <v>933</v>
      </c>
    </row>
    <row r="5231" spans="1:1" x14ac:dyDescent="0.25">
      <c r="A5231" s="76" t="s">
        <v>934</v>
      </c>
    </row>
    <row r="5232" spans="1:1" x14ac:dyDescent="0.25">
      <c r="A5232" s="76" t="s">
        <v>935</v>
      </c>
    </row>
    <row r="5233" spans="1:1" x14ac:dyDescent="0.25">
      <c r="A5233" s="76" t="s">
        <v>936</v>
      </c>
    </row>
    <row r="5234" spans="1:1" x14ac:dyDescent="0.25">
      <c r="A5234" s="76" t="s">
        <v>937</v>
      </c>
    </row>
    <row r="5235" spans="1:1" x14ac:dyDescent="0.25">
      <c r="A5235" s="76" t="s">
        <v>938</v>
      </c>
    </row>
    <row r="5236" spans="1:1" x14ac:dyDescent="0.25">
      <c r="A5236" s="76" t="s">
        <v>939</v>
      </c>
    </row>
    <row r="5237" spans="1:1" x14ac:dyDescent="0.25">
      <c r="A5237" s="108" t="s">
        <v>940</v>
      </c>
    </row>
    <row r="5238" spans="1:1" x14ac:dyDescent="0.25">
      <c r="A5238" s="108" t="s">
        <v>941</v>
      </c>
    </row>
    <row r="5239" spans="1:1" x14ac:dyDescent="0.25">
      <c r="A5239" s="76" t="s">
        <v>942</v>
      </c>
    </row>
    <row r="5240" spans="1:1" x14ac:dyDescent="0.25">
      <c r="A5240" s="29" t="s">
        <v>943</v>
      </c>
    </row>
    <row r="5241" spans="1:1" x14ac:dyDescent="0.25">
      <c r="A5241" s="76" t="s">
        <v>944</v>
      </c>
    </row>
    <row r="5242" spans="1:1" x14ac:dyDescent="0.25">
      <c r="A5242" s="76" t="s">
        <v>945</v>
      </c>
    </row>
    <row r="5243" spans="1:1" x14ac:dyDescent="0.25">
      <c r="A5243" s="76" t="s">
        <v>946</v>
      </c>
    </row>
    <row r="5244" spans="1:1" x14ac:dyDescent="0.25">
      <c r="A5244" s="108" t="s">
        <v>947</v>
      </c>
    </row>
    <row r="5245" spans="1:1" x14ac:dyDescent="0.25">
      <c r="A5245" s="108" t="s">
        <v>948</v>
      </c>
    </row>
    <row r="5246" spans="1:1" x14ac:dyDescent="0.25">
      <c r="A5246" s="76" t="s">
        <v>949</v>
      </c>
    </row>
    <row r="5247" spans="1:1" x14ac:dyDescent="0.25">
      <c r="A5247" s="29" t="s">
        <v>950</v>
      </c>
    </row>
    <row r="5248" spans="1:1" x14ac:dyDescent="0.25">
      <c r="A5248" s="76" t="s">
        <v>951</v>
      </c>
    </row>
    <row r="5249" spans="1:1" x14ac:dyDescent="0.25">
      <c r="A5249" s="76" t="s">
        <v>952</v>
      </c>
    </row>
    <row r="5250" spans="1:1" x14ac:dyDescent="0.25">
      <c r="A5250" s="76" t="s">
        <v>953</v>
      </c>
    </row>
    <row r="5251" spans="1:1" x14ac:dyDescent="0.25">
      <c r="A5251" s="108" t="s">
        <v>954</v>
      </c>
    </row>
    <row r="5252" spans="1:1" x14ac:dyDescent="0.25">
      <c r="A5252" s="108" t="s">
        <v>955</v>
      </c>
    </row>
    <row r="5253" spans="1:1" x14ac:dyDescent="0.25">
      <c r="A5253" s="76" t="s">
        <v>956</v>
      </c>
    </row>
    <row r="5254" spans="1:1" x14ac:dyDescent="0.25">
      <c r="A5254" s="29" t="s">
        <v>957</v>
      </c>
    </row>
    <row r="5255" spans="1:1" x14ac:dyDescent="0.25">
      <c r="A5255" s="76" t="s">
        <v>958</v>
      </c>
    </row>
    <row r="5256" spans="1:1" x14ac:dyDescent="0.25">
      <c r="A5256" s="76" t="s">
        <v>959</v>
      </c>
    </row>
    <row r="5257" spans="1:1" x14ac:dyDescent="0.25">
      <c r="A5257" s="76" t="s">
        <v>960</v>
      </c>
    </row>
    <row r="5258" spans="1:1" x14ac:dyDescent="0.25">
      <c r="A5258" s="108" t="s">
        <v>961</v>
      </c>
    </row>
    <row r="5259" spans="1:1" x14ac:dyDescent="0.25">
      <c r="A5259" s="108" t="s">
        <v>962</v>
      </c>
    </row>
    <row r="5260" spans="1:1" x14ac:dyDescent="0.25">
      <c r="A5260" s="76" t="s">
        <v>963</v>
      </c>
    </row>
    <row r="5261" spans="1:1" x14ac:dyDescent="0.25">
      <c r="A5261" s="29" t="s">
        <v>964</v>
      </c>
    </row>
    <row r="5262" spans="1:1" x14ac:dyDescent="0.25">
      <c r="A5262" s="76" t="s">
        <v>965</v>
      </c>
    </row>
    <row r="5263" spans="1:1" x14ac:dyDescent="0.25">
      <c r="A5263" s="76" t="s">
        <v>966</v>
      </c>
    </row>
    <row r="5264" spans="1:1" x14ac:dyDescent="0.25">
      <c r="A5264" s="76" t="s">
        <v>967</v>
      </c>
    </row>
    <row r="5265" spans="1:1" x14ac:dyDescent="0.25">
      <c r="A5265" s="108" t="s">
        <v>968</v>
      </c>
    </row>
    <row r="5266" spans="1:1" x14ac:dyDescent="0.25">
      <c r="A5266" s="108" t="s">
        <v>969</v>
      </c>
    </row>
    <row r="5267" spans="1:1" x14ac:dyDescent="0.25">
      <c r="A5267" s="76" t="s">
        <v>970</v>
      </c>
    </row>
    <row r="5268" spans="1:1" x14ac:dyDescent="0.25">
      <c r="A5268" s="29" t="s">
        <v>971</v>
      </c>
    </row>
    <row r="5269" spans="1:1" x14ac:dyDescent="0.25">
      <c r="A5269" s="76" t="s">
        <v>972</v>
      </c>
    </row>
    <row r="5270" spans="1:1" x14ac:dyDescent="0.25">
      <c r="A5270" s="76" t="s">
        <v>973</v>
      </c>
    </row>
    <row r="5271" spans="1:1" x14ac:dyDescent="0.25">
      <c r="A5271" s="76" t="s">
        <v>974</v>
      </c>
    </row>
    <row r="5272" spans="1:1" x14ac:dyDescent="0.25">
      <c r="A5272" s="108" t="s">
        <v>975</v>
      </c>
    </row>
    <row r="5273" spans="1:1" x14ac:dyDescent="0.25">
      <c r="A5273" s="108" t="s">
        <v>976</v>
      </c>
    </row>
    <row r="5274" spans="1:1" x14ac:dyDescent="0.25">
      <c r="A5274" s="76" t="s">
        <v>977</v>
      </c>
    </row>
    <row r="5275" spans="1:1" x14ac:dyDescent="0.25">
      <c r="A5275" s="29" t="s">
        <v>978</v>
      </c>
    </row>
    <row r="5276" spans="1:1" x14ac:dyDescent="0.25">
      <c r="A5276" s="76" t="s">
        <v>979</v>
      </c>
    </row>
    <row r="5277" spans="1:1" x14ac:dyDescent="0.25">
      <c r="A5277" s="76" t="s">
        <v>980</v>
      </c>
    </row>
    <row r="5278" spans="1:1" x14ac:dyDescent="0.25">
      <c r="A5278" s="76" t="s">
        <v>981</v>
      </c>
    </row>
    <row r="5279" spans="1:1" x14ac:dyDescent="0.25">
      <c r="A5279" s="76" t="s">
        <v>982</v>
      </c>
    </row>
    <row r="5280" spans="1:1" x14ac:dyDescent="0.25">
      <c r="A5280" s="76" t="s">
        <v>983</v>
      </c>
    </row>
    <row r="5281" spans="1:1" x14ac:dyDescent="0.25">
      <c r="A5281" s="108" t="s">
        <v>984</v>
      </c>
    </row>
    <row r="5282" spans="1:1" x14ac:dyDescent="0.25">
      <c r="A5282" s="76" t="s">
        <v>985</v>
      </c>
    </row>
    <row r="5283" spans="1:1" x14ac:dyDescent="0.25">
      <c r="A5283" s="76" t="s">
        <v>986</v>
      </c>
    </row>
    <row r="5284" spans="1:1" x14ac:dyDescent="0.25">
      <c r="A5284" s="76" t="s">
        <v>987</v>
      </c>
    </row>
    <row r="5285" spans="1:1" x14ac:dyDescent="0.25">
      <c r="A5285" s="76" t="s">
        <v>988</v>
      </c>
    </row>
    <row r="5286" spans="1:1" x14ac:dyDescent="0.25">
      <c r="A5286" s="76" t="s">
        <v>989</v>
      </c>
    </row>
    <row r="5287" spans="1:1" x14ac:dyDescent="0.25">
      <c r="A5287" s="76" t="s">
        <v>990</v>
      </c>
    </row>
    <row r="5288" spans="1:1" x14ac:dyDescent="0.25">
      <c r="A5288" s="76" t="s">
        <v>991</v>
      </c>
    </row>
    <row r="5289" spans="1:1" x14ac:dyDescent="0.25">
      <c r="A5289" s="76" t="s">
        <v>992</v>
      </c>
    </row>
    <row r="5290" spans="1:1" x14ac:dyDescent="0.25">
      <c r="A5290" s="76" t="s">
        <v>993</v>
      </c>
    </row>
    <row r="5291" spans="1:1" x14ac:dyDescent="0.25">
      <c r="A5291" s="76" t="s">
        <v>994</v>
      </c>
    </row>
    <row r="5292" spans="1:1" x14ac:dyDescent="0.25">
      <c r="A5292" s="76" t="s">
        <v>995</v>
      </c>
    </row>
    <row r="5293" spans="1:1" x14ac:dyDescent="0.25">
      <c r="A5293" s="76" t="s">
        <v>996</v>
      </c>
    </row>
    <row r="5294" spans="1:1" x14ac:dyDescent="0.25">
      <c r="A5294" s="76" t="s">
        <v>997</v>
      </c>
    </row>
    <row r="5295" spans="1:1" x14ac:dyDescent="0.25">
      <c r="A5295" s="76" t="s">
        <v>998</v>
      </c>
    </row>
    <row r="5296" spans="1:1" x14ac:dyDescent="0.25">
      <c r="A5296" s="76" t="s">
        <v>999</v>
      </c>
    </row>
    <row r="5297" spans="1:1" x14ac:dyDescent="0.25">
      <c r="A5297" s="76" t="s">
        <v>1000</v>
      </c>
    </row>
    <row r="5298" spans="1:1" x14ac:dyDescent="0.25">
      <c r="A5298" s="76" t="s">
        <v>1001</v>
      </c>
    </row>
    <row r="5299" spans="1:1" x14ac:dyDescent="0.25">
      <c r="A5299" s="76" t="s">
        <v>1002</v>
      </c>
    </row>
    <row r="5300" spans="1:1" x14ac:dyDescent="0.25">
      <c r="A5300" s="76" t="s">
        <v>1003</v>
      </c>
    </row>
    <row r="5301" spans="1:1" x14ac:dyDescent="0.25">
      <c r="A5301" s="108" t="s">
        <v>1004</v>
      </c>
    </row>
    <row r="5302" spans="1:1" x14ac:dyDescent="0.25">
      <c r="A5302" s="76" t="s">
        <v>1005</v>
      </c>
    </row>
    <row r="5303" spans="1:1" x14ac:dyDescent="0.25">
      <c r="A5303" s="76" t="s">
        <v>1006</v>
      </c>
    </row>
    <row r="5304" spans="1:1" x14ac:dyDescent="0.25">
      <c r="A5304" s="76" t="s">
        <v>1007</v>
      </c>
    </row>
    <row r="5305" spans="1:1" x14ac:dyDescent="0.25">
      <c r="A5305" s="76" t="s">
        <v>1008</v>
      </c>
    </row>
    <row r="5306" spans="1:1" x14ac:dyDescent="0.25">
      <c r="A5306" s="76" t="s">
        <v>1009</v>
      </c>
    </row>
    <row r="5307" spans="1:1" x14ac:dyDescent="0.25">
      <c r="A5307" s="76" t="s">
        <v>1010</v>
      </c>
    </row>
    <row r="5308" spans="1:1" x14ac:dyDescent="0.25">
      <c r="A5308" s="76" t="s">
        <v>1011</v>
      </c>
    </row>
    <row r="5309" spans="1:1" x14ac:dyDescent="0.25">
      <c r="A5309" s="108" t="s">
        <v>1012</v>
      </c>
    </row>
    <row r="5310" spans="1:1" x14ac:dyDescent="0.25">
      <c r="A5310" s="76" t="s">
        <v>1013</v>
      </c>
    </row>
    <row r="5311" spans="1:1" x14ac:dyDescent="0.25">
      <c r="A5311" s="76" t="s">
        <v>1014</v>
      </c>
    </row>
    <row r="5312" spans="1:1" x14ac:dyDescent="0.25">
      <c r="A5312" s="76" t="s">
        <v>1015</v>
      </c>
    </row>
    <row r="5313" spans="1:1" x14ac:dyDescent="0.25">
      <c r="A5313" s="76" t="s">
        <v>1016</v>
      </c>
    </row>
    <row r="5314" spans="1:1" x14ac:dyDescent="0.25">
      <c r="A5314" s="76" t="s">
        <v>1017</v>
      </c>
    </row>
    <row r="5315" spans="1:1" x14ac:dyDescent="0.25">
      <c r="A5315" s="108" t="s">
        <v>1018</v>
      </c>
    </row>
    <row r="5316" spans="1:1" x14ac:dyDescent="0.25">
      <c r="A5316" s="76" t="s">
        <v>1019</v>
      </c>
    </row>
    <row r="5317" spans="1:1" x14ac:dyDescent="0.25">
      <c r="A5317" s="76" t="s">
        <v>1020</v>
      </c>
    </row>
    <row r="5318" spans="1:1" x14ac:dyDescent="0.25">
      <c r="A5318" s="76" t="s">
        <v>1021</v>
      </c>
    </row>
    <row r="5319" spans="1:1" x14ac:dyDescent="0.25">
      <c r="A5319" s="108" t="s">
        <v>1022</v>
      </c>
    </row>
    <row r="5320" spans="1:1" x14ac:dyDescent="0.25">
      <c r="A5320" s="76" t="s">
        <v>1023</v>
      </c>
    </row>
    <row r="5321" spans="1:1" x14ac:dyDescent="0.25">
      <c r="A5321" s="76" t="s">
        <v>1024</v>
      </c>
    </row>
    <row r="5322" spans="1:1" x14ac:dyDescent="0.25">
      <c r="A5322" s="76" t="s">
        <v>1025</v>
      </c>
    </row>
    <row r="5323" spans="1:1" x14ac:dyDescent="0.25">
      <c r="A5323" s="76" t="s">
        <v>1026</v>
      </c>
    </row>
    <row r="5324" spans="1:1" x14ac:dyDescent="0.25">
      <c r="A5324" s="76" t="s">
        <v>1027</v>
      </c>
    </row>
    <row r="5325" spans="1:1" x14ac:dyDescent="0.25">
      <c r="A5325" s="76" t="s">
        <v>1028</v>
      </c>
    </row>
    <row r="5326" spans="1:1" x14ac:dyDescent="0.25">
      <c r="A5326" s="76" t="s">
        <v>1029</v>
      </c>
    </row>
    <row r="5327" spans="1:1" x14ac:dyDescent="0.25">
      <c r="A5327" s="76" t="s">
        <v>1030</v>
      </c>
    </row>
    <row r="5328" spans="1:1" x14ac:dyDescent="0.25">
      <c r="A5328" s="76" t="s">
        <v>1031</v>
      </c>
    </row>
    <row r="5329" spans="1:1" x14ac:dyDescent="0.25">
      <c r="A5329" s="76" t="s">
        <v>1032</v>
      </c>
    </row>
    <row r="5330" spans="1:1" x14ac:dyDescent="0.25">
      <c r="A5330" s="76" t="s">
        <v>1033</v>
      </c>
    </row>
    <row r="5331" spans="1:1" x14ac:dyDescent="0.25">
      <c r="A5331" s="76" t="s">
        <v>1034</v>
      </c>
    </row>
    <row r="5332" spans="1:1" x14ac:dyDescent="0.25">
      <c r="A5332" s="76" t="s">
        <v>1035</v>
      </c>
    </row>
    <row r="5333" spans="1:1" x14ac:dyDescent="0.25">
      <c r="A5333" s="76" t="s">
        <v>1036</v>
      </c>
    </row>
    <row r="5334" spans="1:1" x14ac:dyDescent="0.25">
      <c r="A5334" s="76" t="s">
        <v>1037</v>
      </c>
    </row>
    <row r="5335" spans="1:1" x14ac:dyDescent="0.25">
      <c r="A5335" s="108" t="s">
        <v>1038</v>
      </c>
    </row>
    <row r="5336" spans="1:1" x14ac:dyDescent="0.25">
      <c r="A5336" s="76" t="s">
        <v>1039</v>
      </c>
    </row>
    <row r="5337" spans="1:1" x14ac:dyDescent="0.25">
      <c r="A5337" s="76" t="s">
        <v>1040</v>
      </c>
    </row>
    <row r="5338" spans="1:1" x14ac:dyDescent="0.25">
      <c r="A5338" s="76" t="s">
        <v>1041</v>
      </c>
    </row>
    <row r="5339" spans="1:1" x14ac:dyDescent="0.25">
      <c r="A5339" s="76" t="s">
        <v>1042</v>
      </c>
    </row>
    <row r="5340" spans="1:1" x14ac:dyDescent="0.25">
      <c r="A5340" s="76" t="s">
        <v>1043</v>
      </c>
    </row>
    <row r="5341" spans="1:1" x14ac:dyDescent="0.25">
      <c r="A5341" s="76" t="s">
        <v>1044</v>
      </c>
    </row>
    <row r="5342" spans="1:1" x14ac:dyDescent="0.25">
      <c r="A5342" s="76" t="s">
        <v>1045</v>
      </c>
    </row>
    <row r="5343" spans="1:1" x14ac:dyDescent="0.25">
      <c r="A5343" s="108" t="s">
        <v>1046</v>
      </c>
    </row>
    <row r="5344" spans="1:1" x14ac:dyDescent="0.25">
      <c r="A5344" s="108" t="s">
        <v>1047</v>
      </c>
    </row>
    <row r="5345" spans="1:1" x14ac:dyDescent="0.25">
      <c r="A5345" s="76" t="s">
        <v>1048</v>
      </c>
    </row>
    <row r="5346" spans="1:1" x14ac:dyDescent="0.25">
      <c r="A5346" s="29" t="s">
        <v>1049</v>
      </c>
    </row>
    <row r="5347" spans="1:1" x14ac:dyDescent="0.25">
      <c r="A5347" s="76" t="s">
        <v>1050</v>
      </c>
    </row>
    <row r="5348" spans="1:1" x14ac:dyDescent="0.25">
      <c r="A5348" s="76" t="s">
        <v>1051</v>
      </c>
    </row>
    <row r="5349" spans="1:1" x14ac:dyDescent="0.25">
      <c r="A5349" s="76" t="s">
        <v>1052</v>
      </c>
    </row>
    <row r="5350" spans="1:1" x14ac:dyDescent="0.25">
      <c r="A5350" s="108" t="s">
        <v>1053</v>
      </c>
    </row>
    <row r="5351" spans="1:1" x14ac:dyDescent="0.25">
      <c r="A5351" s="108" t="s">
        <v>1054</v>
      </c>
    </row>
    <row r="5352" spans="1:1" x14ac:dyDescent="0.25">
      <c r="A5352" s="76" t="s">
        <v>1055</v>
      </c>
    </row>
    <row r="5353" spans="1:1" x14ac:dyDescent="0.25">
      <c r="A5353" s="29" t="s">
        <v>1056</v>
      </c>
    </row>
    <row r="5354" spans="1:1" x14ac:dyDescent="0.25">
      <c r="A5354" s="76" t="s">
        <v>1057</v>
      </c>
    </row>
    <row r="5355" spans="1:1" x14ac:dyDescent="0.25">
      <c r="A5355" s="76" t="s">
        <v>1058</v>
      </c>
    </row>
    <row r="5356" spans="1:1" x14ac:dyDescent="0.25">
      <c r="A5356" s="76" t="s">
        <v>1059</v>
      </c>
    </row>
    <row r="5357" spans="1:1" x14ac:dyDescent="0.25">
      <c r="A5357" s="108" t="s">
        <v>1060</v>
      </c>
    </row>
    <row r="5358" spans="1:1" x14ac:dyDescent="0.25">
      <c r="A5358" s="108" t="s">
        <v>1061</v>
      </c>
    </row>
    <row r="5359" spans="1:1" x14ac:dyDescent="0.25">
      <c r="A5359" s="76" t="s">
        <v>1062</v>
      </c>
    </row>
    <row r="5360" spans="1:1" x14ac:dyDescent="0.25">
      <c r="A5360" s="29" t="s">
        <v>1063</v>
      </c>
    </row>
    <row r="5361" spans="1:1" x14ac:dyDescent="0.25">
      <c r="A5361" s="76" t="s">
        <v>1064</v>
      </c>
    </row>
    <row r="5362" spans="1:1" x14ac:dyDescent="0.25">
      <c r="A5362" s="76" t="s">
        <v>1065</v>
      </c>
    </row>
    <row r="5363" spans="1:1" x14ac:dyDescent="0.25">
      <c r="A5363" s="76" t="s">
        <v>1066</v>
      </c>
    </row>
    <row r="5364" spans="1:1" x14ac:dyDescent="0.25">
      <c r="A5364" s="108" t="s">
        <v>1067</v>
      </c>
    </row>
    <row r="5365" spans="1:1" x14ac:dyDescent="0.25">
      <c r="A5365" s="108" t="s">
        <v>1068</v>
      </c>
    </row>
    <row r="5366" spans="1:1" x14ac:dyDescent="0.25">
      <c r="A5366" s="76" t="s">
        <v>1069</v>
      </c>
    </row>
    <row r="5367" spans="1:1" x14ac:dyDescent="0.25">
      <c r="A5367" s="29" t="s">
        <v>1070</v>
      </c>
    </row>
    <row r="5368" spans="1:1" x14ac:dyDescent="0.25">
      <c r="A5368" s="76" t="s">
        <v>1071</v>
      </c>
    </row>
    <row r="5369" spans="1:1" x14ac:dyDescent="0.25">
      <c r="A5369" s="76" t="s">
        <v>1072</v>
      </c>
    </row>
    <row r="5370" spans="1:1" x14ac:dyDescent="0.25">
      <c r="A5370" s="76" t="s">
        <v>1073</v>
      </c>
    </row>
    <row r="5371" spans="1:1" x14ac:dyDescent="0.25">
      <c r="A5371" s="108" t="s">
        <v>1074</v>
      </c>
    </row>
    <row r="5372" spans="1:1" x14ac:dyDescent="0.25">
      <c r="A5372" s="108" t="s">
        <v>1075</v>
      </c>
    </row>
    <row r="5373" spans="1:1" x14ac:dyDescent="0.25">
      <c r="A5373" s="76" t="s">
        <v>1076</v>
      </c>
    </row>
    <row r="5374" spans="1:1" x14ac:dyDescent="0.25">
      <c r="A5374" s="29" t="s">
        <v>1077</v>
      </c>
    </row>
    <row r="5375" spans="1:1" x14ac:dyDescent="0.25">
      <c r="A5375" s="76" t="s">
        <v>1078</v>
      </c>
    </row>
    <row r="5376" spans="1:1" x14ac:dyDescent="0.25">
      <c r="A5376" s="76" t="s">
        <v>1079</v>
      </c>
    </row>
    <row r="5377" spans="1:1" x14ac:dyDescent="0.25">
      <c r="A5377" s="76" t="s">
        <v>1080</v>
      </c>
    </row>
    <row r="5378" spans="1:1" x14ac:dyDescent="0.25">
      <c r="A5378" s="108" t="s">
        <v>1081</v>
      </c>
    </row>
    <row r="5379" spans="1:1" x14ac:dyDescent="0.25">
      <c r="A5379" s="108" t="s">
        <v>1082</v>
      </c>
    </row>
    <row r="5380" spans="1:1" x14ac:dyDescent="0.25">
      <c r="A5380" s="76" t="s">
        <v>1083</v>
      </c>
    </row>
    <row r="5381" spans="1:1" x14ac:dyDescent="0.25">
      <c r="A5381" s="29" t="s">
        <v>1084</v>
      </c>
    </row>
    <row r="5382" spans="1:1" x14ac:dyDescent="0.25">
      <c r="A5382" s="76" t="s">
        <v>1085</v>
      </c>
    </row>
    <row r="5383" spans="1:1" x14ac:dyDescent="0.25">
      <c r="A5383" s="76" t="s">
        <v>1086</v>
      </c>
    </row>
    <row r="5384" spans="1:1" x14ac:dyDescent="0.25">
      <c r="A5384" s="76" t="s">
        <v>1087</v>
      </c>
    </row>
    <row r="5385" spans="1:1" x14ac:dyDescent="0.25">
      <c r="A5385" s="108" t="s">
        <v>1088</v>
      </c>
    </row>
    <row r="5386" spans="1:1" x14ac:dyDescent="0.25">
      <c r="A5386" s="76" t="s">
        <v>1089</v>
      </c>
    </row>
    <row r="5387" spans="1:1" x14ac:dyDescent="0.25">
      <c r="A5387" s="76" t="s">
        <v>1090</v>
      </c>
    </row>
    <row r="5388" spans="1:1" x14ac:dyDescent="0.25">
      <c r="A5388" s="76" t="s">
        <v>1091</v>
      </c>
    </row>
    <row r="5389" spans="1:1" x14ac:dyDescent="0.25">
      <c r="A5389" s="76" t="s">
        <v>1092</v>
      </c>
    </row>
    <row r="5390" spans="1:1" x14ac:dyDescent="0.25">
      <c r="A5390" s="76" t="s">
        <v>1093</v>
      </c>
    </row>
    <row r="5391" spans="1:1" x14ac:dyDescent="0.25">
      <c r="A5391" s="76" t="s">
        <v>1094</v>
      </c>
    </row>
    <row r="5392" spans="1:1" x14ac:dyDescent="0.25">
      <c r="A5392" s="76" t="s">
        <v>1095</v>
      </c>
    </row>
    <row r="5393" spans="1:1" x14ac:dyDescent="0.25">
      <c r="A5393" s="76" t="s">
        <v>1096</v>
      </c>
    </row>
    <row r="5394" spans="1:1" x14ac:dyDescent="0.25">
      <c r="A5394" s="76" t="s">
        <v>1097</v>
      </c>
    </row>
    <row r="5395" spans="1:1" x14ac:dyDescent="0.25">
      <c r="A5395" s="76" t="s">
        <v>1098</v>
      </c>
    </row>
    <row r="5396" spans="1:1" x14ac:dyDescent="0.25">
      <c r="A5396" s="76" t="s">
        <v>1099</v>
      </c>
    </row>
    <row r="5397" spans="1:1" x14ac:dyDescent="0.25">
      <c r="A5397" s="76" t="s">
        <v>1100</v>
      </c>
    </row>
    <row r="5398" spans="1:1" x14ac:dyDescent="0.25">
      <c r="A5398" s="76" t="s">
        <v>1101</v>
      </c>
    </row>
    <row r="5399" spans="1:1" x14ac:dyDescent="0.25">
      <c r="A5399" s="76" t="s">
        <v>1102</v>
      </c>
    </row>
    <row r="5400" spans="1:1" x14ac:dyDescent="0.25">
      <c r="A5400" s="76" t="s">
        <v>1103</v>
      </c>
    </row>
    <row r="5401" spans="1:1" x14ac:dyDescent="0.25">
      <c r="A5401" s="76" t="s">
        <v>1104</v>
      </c>
    </row>
    <row r="5402" spans="1:1" x14ac:dyDescent="0.25">
      <c r="A5402" s="76" t="s">
        <v>1105</v>
      </c>
    </row>
    <row r="5403" spans="1:1" x14ac:dyDescent="0.25">
      <c r="A5403" s="76" t="s">
        <v>1106</v>
      </c>
    </row>
    <row r="5404" spans="1:1" x14ac:dyDescent="0.25">
      <c r="A5404" s="76" t="s">
        <v>1107</v>
      </c>
    </row>
    <row r="5405" spans="1:1" x14ac:dyDescent="0.25">
      <c r="A5405" s="76" t="s">
        <v>1108</v>
      </c>
    </row>
    <row r="5406" spans="1:1" x14ac:dyDescent="0.25">
      <c r="A5406" s="76" t="s">
        <v>1109</v>
      </c>
    </row>
    <row r="5407" spans="1:1" x14ac:dyDescent="0.25">
      <c r="A5407" s="76" t="s">
        <v>1110</v>
      </c>
    </row>
    <row r="5408" spans="1:1" x14ac:dyDescent="0.25">
      <c r="A5408" s="76" t="s">
        <v>1111</v>
      </c>
    </row>
    <row r="5409" spans="1:1" x14ac:dyDescent="0.25">
      <c r="A5409" s="76" t="s">
        <v>1112</v>
      </c>
    </row>
    <row r="5410" spans="1:1" x14ac:dyDescent="0.25">
      <c r="A5410" s="76" t="s">
        <v>1113</v>
      </c>
    </row>
    <row r="5411" spans="1:1" x14ac:dyDescent="0.25">
      <c r="A5411" s="108" t="s">
        <v>1114</v>
      </c>
    </row>
    <row r="5412" spans="1:1" x14ac:dyDescent="0.25">
      <c r="A5412" s="76" t="s">
        <v>1115</v>
      </c>
    </row>
    <row r="5413" spans="1:1" x14ac:dyDescent="0.25">
      <c r="A5413" s="76" t="s">
        <v>1116</v>
      </c>
    </row>
    <row r="5414" spans="1:1" x14ac:dyDescent="0.25">
      <c r="A5414" s="76" t="s">
        <v>1117</v>
      </c>
    </row>
    <row r="5415" spans="1:1" x14ac:dyDescent="0.25">
      <c r="A5415" s="108" t="s">
        <v>1118</v>
      </c>
    </row>
    <row r="5416" spans="1:1" x14ac:dyDescent="0.25">
      <c r="A5416" s="76" t="s">
        <v>1119</v>
      </c>
    </row>
    <row r="5417" spans="1:1" x14ac:dyDescent="0.25">
      <c r="A5417" s="76" t="s">
        <v>1120</v>
      </c>
    </row>
    <row r="5418" spans="1:1" x14ac:dyDescent="0.25">
      <c r="A5418" s="76" t="s">
        <v>1121</v>
      </c>
    </row>
    <row r="5419" spans="1:1" x14ac:dyDescent="0.25">
      <c r="A5419" s="76" t="s">
        <v>1122</v>
      </c>
    </row>
    <row r="5420" spans="1:1" x14ac:dyDescent="0.25">
      <c r="A5420" s="76" t="s">
        <v>1123</v>
      </c>
    </row>
    <row r="5421" spans="1:1" x14ac:dyDescent="0.25">
      <c r="A5421" s="76" t="s">
        <v>1124</v>
      </c>
    </row>
    <row r="5422" spans="1:1" x14ac:dyDescent="0.25">
      <c r="A5422" s="76" t="s">
        <v>1125</v>
      </c>
    </row>
    <row r="5423" spans="1:1" x14ac:dyDescent="0.25">
      <c r="A5423" s="76" t="s">
        <v>1126</v>
      </c>
    </row>
    <row r="5424" spans="1:1" x14ac:dyDescent="0.25">
      <c r="A5424" s="76" t="s">
        <v>1127</v>
      </c>
    </row>
    <row r="5425" spans="1:1" x14ac:dyDescent="0.25">
      <c r="A5425" s="76" t="s">
        <v>1128</v>
      </c>
    </row>
    <row r="5426" spans="1:1" x14ac:dyDescent="0.25">
      <c r="A5426" s="108" t="s">
        <v>1129</v>
      </c>
    </row>
    <row r="5427" spans="1:1" x14ac:dyDescent="0.25">
      <c r="A5427" s="76" t="s">
        <v>1130</v>
      </c>
    </row>
    <row r="5428" spans="1:1" x14ac:dyDescent="0.25">
      <c r="A5428" s="76" t="s">
        <v>1131</v>
      </c>
    </row>
    <row r="5429" spans="1:1" x14ac:dyDescent="0.25">
      <c r="A5429" s="76" t="s">
        <v>1132</v>
      </c>
    </row>
    <row r="5430" spans="1:1" x14ac:dyDescent="0.25">
      <c r="A5430" s="76" t="s">
        <v>1133</v>
      </c>
    </row>
    <row r="5431" spans="1:1" x14ac:dyDescent="0.25">
      <c r="A5431" s="76" t="s">
        <v>1134</v>
      </c>
    </row>
    <row r="5432" spans="1:1" x14ac:dyDescent="0.25">
      <c r="A5432" s="76" t="s">
        <v>1135</v>
      </c>
    </row>
    <row r="5433" spans="1:1" x14ac:dyDescent="0.25">
      <c r="A5433" s="76" t="s">
        <v>1136</v>
      </c>
    </row>
    <row r="5434" spans="1:1" x14ac:dyDescent="0.25">
      <c r="A5434" s="108" t="s">
        <v>1137</v>
      </c>
    </row>
    <row r="5435" spans="1:1" x14ac:dyDescent="0.25">
      <c r="A5435" s="76" t="s">
        <v>1138</v>
      </c>
    </row>
    <row r="5436" spans="1:1" x14ac:dyDescent="0.25">
      <c r="A5436" s="76" t="s">
        <v>1139</v>
      </c>
    </row>
    <row r="5437" spans="1:1" x14ac:dyDescent="0.25">
      <c r="A5437" s="76" t="s">
        <v>1140</v>
      </c>
    </row>
    <row r="5438" spans="1:1" x14ac:dyDescent="0.25">
      <c r="A5438" s="76" t="s">
        <v>1141</v>
      </c>
    </row>
    <row r="5439" spans="1:1" x14ac:dyDescent="0.25">
      <c r="A5439" s="76" t="s">
        <v>1142</v>
      </c>
    </row>
    <row r="5440" spans="1:1" x14ac:dyDescent="0.25">
      <c r="A5440" s="108" t="s">
        <v>1143</v>
      </c>
    </row>
    <row r="5441" spans="1:1" x14ac:dyDescent="0.25">
      <c r="A5441" s="76" t="s">
        <v>1144</v>
      </c>
    </row>
    <row r="5442" spans="1:1" x14ac:dyDescent="0.25">
      <c r="A5442" s="76" t="s">
        <v>1145</v>
      </c>
    </row>
    <row r="5443" spans="1:1" x14ac:dyDescent="0.25">
      <c r="A5443" s="76" t="s">
        <v>1146</v>
      </c>
    </row>
    <row r="5444" spans="1:1" x14ac:dyDescent="0.25">
      <c r="A5444" s="76" t="s">
        <v>1147</v>
      </c>
    </row>
    <row r="5445" spans="1:1" x14ac:dyDescent="0.25">
      <c r="A5445" s="108" t="s">
        <v>1148</v>
      </c>
    </row>
    <row r="5446" spans="1:1" x14ac:dyDescent="0.25">
      <c r="A5446" s="108" t="s">
        <v>1149</v>
      </c>
    </row>
    <row r="5447" spans="1:1" x14ac:dyDescent="0.25">
      <c r="A5447" s="76" t="s">
        <v>1150</v>
      </c>
    </row>
    <row r="5448" spans="1:1" x14ac:dyDescent="0.25">
      <c r="A5448" s="29" t="s">
        <v>1151</v>
      </c>
    </row>
    <row r="5449" spans="1:1" x14ac:dyDescent="0.25">
      <c r="A5449" s="76" t="s">
        <v>1152</v>
      </c>
    </row>
    <row r="5450" spans="1:1" x14ac:dyDescent="0.25">
      <c r="A5450" s="76" t="s">
        <v>1153</v>
      </c>
    </row>
    <row r="5451" spans="1:1" x14ac:dyDescent="0.25">
      <c r="A5451" s="76" t="s">
        <v>1154</v>
      </c>
    </row>
    <row r="5452" spans="1:1" x14ac:dyDescent="0.25">
      <c r="A5452" s="108" t="s">
        <v>1155</v>
      </c>
    </row>
    <row r="5453" spans="1:1" x14ac:dyDescent="0.25">
      <c r="A5453" s="108" t="s">
        <v>1156</v>
      </c>
    </row>
    <row r="5454" spans="1:1" x14ac:dyDescent="0.25">
      <c r="A5454" s="76" t="s">
        <v>1157</v>
      </c>
    </row>
    <row r="5455" spans="1:1" x14ac:dyDescent="0.25">
      <c r="A5455" s="29" t="s">
        <v>1158</v>
      </c>
    </row>
    <row r="5456" spans="1:1" x14ac:dyDescent="0.25">
      <c r="A5456" s="76" t="s">
        <v>1159</v>
      </c>
    </row>
    <row r="5457" spans="1:1" x14ac:dyDescent="0.25">
      <c r="A5457" s="76" t="s">
        <v>1160</v>
      </c>
    </row>
    <row r="5458" spans="1:1" x14ac:dyDescent="0.25">
      <c r="A5458" s="76" t="s">
        <v>1161</v>
      </c>
    </row>
    <row r="5459" spans="1:1" x14ac:dyDescent="0.25">
      <c r="A5459" s="108" t="s">
        <v>1162</v>
      </c>
    </row>
    <row r="5460" spans="1:1" x14ac:dyDescent="0.25">
      <c r="A5460" s="108" t="s">
        <v>1163</v>
      </c>
    </row>
    <row r="5461" spans="1:1" x14ac:dyDescent="0.25">
      <c r="A5461" s="76" t="s">
        <v>1164</v>
      </c>
    </row>
    <row r="5462" spans="1:1" x14ac:dyDescent="0.25">
      <c r="A5462" s="29" t="s">
        <v>1165</v>
      </c>
    </row>
    <row r="5463" spans="1:1" x14ac:dyDescent="0.25">
      <c r="A5463" s="76" t="s">
        <v>1166</v>
      </c>
    </row>
    <row r="5464" spans="1:1" x14ac:dyDescent="0.25">
      <c r="A5464" s="76" t="s">
        <v>1167</v>
      </c>
    </row>
    <row r="5465" spans="1:1" x14ac:dyDescent="0.25">
      <c r="A5465" s="76" t="s">
        <v>1168</v>
      </c>
    </row>
    <row r="5466" spans="1:1" x14ac:dyDescent="0.25">
      <c r="A5466" s="108" t="s">
        <v>1169</v>
      </c>
    </row>
    <row r="5467" spans="1:1" x14ac:dyDescent="0.25">
      <c r="A5467" s="76" t="s">
        <v>1170</v>
      </c>
    </row>
    <row r="5468" spans="1:1" x14ac:dyDescent="0.25">
      <c r="A5468" s="76" t="s">
        <v>1171</v>
      </c>
    </row>
    <row r="5469" spans="1:1" x14ac:dyDescent="0.25">
      <c r="A5469" s="76" t="s">
        <v>1172</v>
      </c>
    </row>
    <row r="5470" spans="1:1" x14ac:dyDescent="0.25">
      <c r="A5470" s="76" t="s">
        <v>1173</v>
      </c>
    </row>
    <row r="5471" spans="1:1" x14ac:dyDescent="0.25">
      <c r="A5471" s="76" t="s">
        <v>1174</v>
      </c>
    </row>
    <row r="5472" spans="1:1" x14ac:dyDescent="0.25">
      <c r="A5472" s="76" t="s">
        <v>1175</v>
      </c>
    </row>
    <row r="5473" spans="1:1" x14ac:dyDescent="0.25">
      <c r="A5473" s="76" t="s">
        <v>1176</v>
      </c>
    </row>
    <row r="5474" spans="1:1" x14ac:dyDescent="0.25">
      <c r="A5474" s="76" t="s">
        <v>1177</v>
      </c>
    </row>
    <row r="5475" spans="1:1" x14ac:dyDescent="0.25">
      <c r="A5475" s="108" t="s">
        <v>1178</v>
      </c>
    </row>
    <row r="5476" spans="1:1" x14ac:dyDescent="0.25">
      <c r="A5476" s="76" t="s">
        <v>1179</v>
      </c>
    </row>
    <row r="5477" spans="1:1" x14ac:dyDescent="0.25">
      <c r="A5477" s="76" t="s">
        <v>1180</v>
      </c>
    </row>
    <row r="5478" spans="1:1" x14ac:dyDescent="0.25">
      <c r="A5478" s="76" t="s">
        <v>1181</v>
      </c>
    </row>
    <row r="5479" spans="1:1" x14ac:dyDescent="0.25">
      <c r="A5479" s="76" t="s">
        <v>1182</v>
      </c>
    </row>
    <row r="5480" spans="1:1" x14ac:dyDescent="0.25">
      <c r="A5480" s="76" t="s">
        <v>1183</v>
      </c>
    </row>
    <row r="5481" spans="1:1" x14ac:dyDescent="0.25">
      <c r="A5481" s="76" t="s">
        <v>1184</v>
      </c>
    </row>
    <row r="5482" spans="1:1" x14ac:dyDescent="0.25">
      <c r="A5482" s="76" t="s">
        <v>1185</v>
      </c>
    </row>
    <row r="5483" spans="1:1" x14ac:dyDescent="0.25">
      <c r="A5483" s="76" t="s">
        <v>1186</v>
      </c>
    </row>
    <row r="5484" spans="1:1" x14ac:dyDescent="0.25">
      <c r="A5484" s="108" t="s">
        <v>1187</v>
      </c>
    </row>
    <row r="5485" spans="1:1" x14ac:dyDescent="0.25">
      <c r="A5485" s="76" t="s">
        <v>1188</v>
      </c>
    </row>
    <row r="5486" spans="1:1" x14ac:dyDescent="0.25">
      <c r="A5486" s="76" t="s">
        <v>1189</v>
      </c>
    </row>
    <row r="5487" spans="1:1" x14ac:dyDescent="0.25">
      <c r="A5487" s="76" t="s">
        <v>1190</v>
      </c>
    </row>
    <row r="5488" spans="1:1" x14ac:dyDescent="0.25">
      <c r="A5488" s="108" t="s">
        <v>1191</v>
      </c>
    </row>
    <row r="5489" spans="1:1" x14ac:dyDescent="0.25">
      <c r="A5489" s="76" t="s">
        <v>1192</v>
      </c>
    </row>
    <row r="5490" spans="1:1" x14ac:dyDescent="0.25">
      <c r="A5490" s="76" t="s">
        <v>1193</v>
      </c>
    </row>
    <row r="5491" spans="1:1" x14ac:dyDescent="0.25">
      <c r="A5491" s="76" t="s">
        <v>1194</v>
      </c>
    </row>
    <row r="5492" spans="1:1" x14ac:dyDescent="0.25">
      <c r="A5492" s="76" t="s">
        <v>1195</v>
      </c>
    </row>
    <row r="5493" spans="1:1" x14ac:dyDescent="0.25">
      <c r="A5493" s="76" t="s">
        <v>1196</v>
      </c>
    </row>
    <row r="5494" spans="1:1" x14ac:dyDescent="0.25">
      <c r="A5494" s="76" t="s">
        <v>1197</v>
      </c>
    </row>
    <row r="5495" spans="1:1" x14ac:dyDescent="0.25">
      <c r="A5495" s="76" t="s">
        <v>1198</v>
      </c>
    </row>
    <row r="5496" spans="1:1" x14ac:dyDescent="0.25">
      <c r="A5496" s="108" t="s">
        <v>1199</v>
      </c>
    </row>
    <row r="5497" spans="1:1" x14ac:dyDescent="0.25">
      <c r="A5497" s="76" t="s">
        <v>1200</v>
      </c>
    </row>
    <row r="5498" spans="1:1" x14ac:dyDescent="0.25">
      <c r="A5498" s="76" t="s">
        <v>1201</v>
      </c>
    </row>
    <row r="5499" spans="1:1" x14ac:dyDescent="0.25">
      <c r="A5499" s="76" t="s">
        <v>1202</v>
      </c>
    </row>
    <row r="5500" spans="1:1" x14ac:dyDescent="0.25">
      <c r="A5500" s="76" t="s">
        <v>1203</v>
      </c>
    </row>
    <row r="5501" spans="1:1" x14ac:dyDescent="0.25">
      <c r="A5501" s="76" t="s">
        <v>1204</v>
      </c>
    </row>
    <row r="5502" spans="1:1" x14ac:dyDescent="0.25">
      <c r="A5502" s="76" t="s">
        <v>1205</v>
      </c>
    </row>
    <row r="5503" spans="1:1" x14ac:dyDescent="0.25">
      <c r="A5503" s="76" t="s">
        <v>1206</v>
      </c>
    </row>
    <row r="5504" spans="1:1" x14ac:dyDescent="0.25">
      <c r="A5504" s="76" t="s">
        <v>1207</v>
      </c>
    </row>
    <row r="5505" spans="1:1" x14ac:dyDescent="0.25">
      <c r="A5505" s="76" t="s">
        <v>1208</v>
      </c>
    </row>
    <row r="5506" spans="1:1" x14ac:dyDescent="0.25">
      <c r="A5506" s="76" t="s">
        <v>1209</v>
      </c>
    </row>
    <row r="5507" spans="1:1" x14ac:dyDescent="0.25">
      <c r="A5507" s="76" t="s">
        <v>1210</v>
      </c>
    </row>
    <row r="5508" spans="1:1" x14ac:dyDescent="0.25">
      <c r="A5508" s="76" t="s">
        <v>1211</v>
      </c>
    </row>
    <row r="5509" spans="1:1" x14ac:dyDescent="0.25">
      <c r="A5509" s="76" t="s">
        <v>1212</v>
      </c>
    </row>
    <row r="5510" spans="1:1" x14ac:dyDescent="0.25">
      <c r="A5510" s="76" t="s">
        <v>1213</v>
      </c>
    </row>
    <row r="5511" spans="1:1" x14ac:dyDescent="0.25">
      <c r="A5511" s="108" t="s">
        <v>1214</v>
      </c>
    </row>
    <row r="5512" spans="1:1" x14ac:dyDescent="0.25">
      <c r="A5512" s="76" t="s">
        <v>1215</v>
      </c>
    </row>
    <row r="5513" spans="1:1" x14ac:dyDescent="0.25">
      <c r="A5513" s="76" t="s">
        <v>1216</v>
      </c>
    </row>
    <row r="5514" spans="1:1" x14ac:dyDescent="0.25">
      <c r="A5514" s="76" t="s">
        <v>1217</v>
      </c>
    </row>
    <row r="5515" spans="1:1" x14ac:dyDescent="0.25">
      <c r="A5515" s="76" t="s">
        <v>1218</v>
      </c>
    </row>
    <row r="5516" spans="1:1" x14ac:dyDescent="0.25">
      <c r="A5516" s="76" t="s">
        <v>1219</v>
      </c>
    </row>
    <row r="5517" spans="1:1" x14ac:dyDescent="0.25">
      <c r="A5517" s="76" t="s">
        <v>1220</v>
      </c>
    </row>
    <row r="5518" spans="1:1" x14ac:dyDescent="0.25">
      <c r="A5518" s="76" t="s">
        <v>1221</v>
      </c>
    </row>
    <row r="5519" spans="1:1" x14ac:dyDescent="0.25">
      <c r="A5519" s="76" t="s">
        <v>1222</v>
      </c>
    </row>
    <row r="5520" spans="1:1" x14ac:dyDescent="0.25">
      <c r="A5520" s="76" t="s">
        <v>1223</v>
      </c>
    </row>
    <row r="5521" spans="1:1" x14ac:dyDescent="0.25">
      <c r="A5521" s="76" t="s">
        <v>1224</v>
      </c>
    </row>
    <row r="5522" spans="1:1" x14ac:dyDescent="0.25">
      <c r="A5522" s="76" t="s">
        <v>1225</v>
      </c>
    </row>
    <row r="5523" spans="1:1" x14ac:dyDescent="0.25">
      <c r="A5523" s="108" t="s">
        <v>1226</v>
      </c>
    </row>
    <row r="5524" spans="1:1" x14ac:dyDescent="0.25">
      <c r="A5524" s="108" t="s">
        <v>1227</v>
      </c>
    </row>
    <row r="5525" spans="1:1" x14ac:dyDescent="0.25">
      <c r="A5525" s="76" t="s">
        <v>1228</v>
      </c>
    </row>
    <row r="5526" spans="1:1" x14ac:dyDescent="0.25">
      <c r="A5526" s="29" t="s">
        <v>1229</v>
      </c>
    </row>
    <row r="5527" spans="1:1" x14ac:dyDescent="0.25">
      <c r="A5527" s="76" t="s">
        <v>1230</v>
      </c>
    </row>
    <row r="5528" spans="1:1" x14ac:dyDescent="0.25">
      <c r="A5528" s="76" t="s">
        <v>1231</v>
      </c>
    </row>
    <row r="5529" spans="1:1" x14ac:dyDescent="0.25">
      <c r="A5529" s="76" t="s">
        <v>1232</v>
      </c>
    </row>
    <row r="5530" spans="1:1" x14ac:dyDescent="0.25">
      <c r="A5530" s="108" t="s">
        <v>1233</v>
      </c>
    </row>
    <row r="5531" spans="1:1" x14ac:dyDescent="0.25">
      <c r="A5531" s="108" t="s">
        <v>1234</v>
      </c>
    </row>
    <row r="5532" spans="1:1" x14ac:dyDescent="0.25">
      <c r="A5532" s="76" t="s">
        <v>1235</v>
      </c>
    </row>
    <row r="5533" spans="1:1" x14ac:dyDescent="0.25">
      <c r="A5533" s="29" t="s">
        <v>1236</v>
      </c>
    </row>
    <row r="5534" spans="1:1" x14ac:dyDescent="0.25">
      <c r="A5534" s="76" t="s">
        <v>1237</v>
      </c>
    </row>
    <row r="5535" spans="1:1" x14ac:dyDescent="0.25">
      <c r="A5535" s="76" t="s">
        <v>1238</v>
      </c>
    </row>
    <row r="5536" spans="1:1" x14ac:dyDescent="0.25">
      <c r="A5536" s="76" t="s">
        <v>1239</v>
      </c>
    </row>
    <row r="5537" spans="1:1" x14ac:dyDescent="0.25">
      <c r="A5537" s="108" t="s">
        <v>1240</v>
      </c>
    </row>
    <row r="5538" spans="1:1" x14ac:dyDescent="0.25">
      <c r="A5538" s="108" t="s">
        <v>1241</v>
      </c>
    </row>
    <row r="5539" spans="1:1" x14ac:dyDescent="0.25">
      <c r="A5539" s="76" t="s">
        <v>1242</v>
      </c>
    </row>
    <row r="5540" spans="1:1" x14ac:dyDescent="0.25">
      <c r="A5540" s="29" t="s">
        <v>1243</v>
      </c>
    </row>
    <row r="5541" spans="1:1" x14ac:dyDescent="0.25">
      <c r="A5541" s="76" t="s">
        <v>1244</v>
      </c>
    </row>
    <row r="5542" spans="1:1" x14ac:dyDescent="0.25">
      <c r="A5542" s="76" t="s">
        <v>1245</v>
      </c>
    </row>
    <row r="5543" spans="1:1" x14ac:dyDescent="0.25">
      <c r="A5543" s="76" t="s">
        <v>1246</v>
      </c>
    </row>
    <row r="5544" spans="1:1" x14ac:dyDescent="0.25">
      <c r="A5544" s="108" t="s">
        <v>1247</v>
      </c>
    </row>
    <row r="5545" spans="1:1" x14ac:dyDescent="0.25">
      <c r="A5545" s="108" t="s">
        <v>1248</v>
      </c>
    </row>
    <row r="5546" spans="1:1" x14ac:dyDescent="0.25">
      <c r="A5546" s="76" t="s">
        <v>1249</v>
      </c>
    </row>
    <row r="5547" spans="1:1" x14ac:dyDescent="0.25">
      <c r="A5547" s="29" t="s">
        <v>1250</v>
      </c>
    </row>
    <row r="5548" spans="1:1" x14ac:dyDescent="0.25">
      <c r="A5548" s="76" t="s">
        <v>1251</v>
      </c>
    </row>
    <row r="5549" spans="1:1" x14ac:dyDescent="0.25">
      <c r="A5549" s="76" t="s">
        <v>1252</v>
      </c>
    </row>
    <row r="5550" spans="1:1" x14ac:dyDescent="0.25">
      <c r="A5550" s="76" t="s">
        <v>1253</v>
      </c>
    </row>
    <row r="5551" spans="1:1" x14ac:dyDescent="0.25">
      <c r="A5551" s="108" t="s">
        <v>1254</v>
      </c>
    </row>
    <row r="5552" spans="1:1" x14ac:dyDescent="0.25">
      <c r="A5552" s="108" t="s">
        <v>1255</v>
      </c>
    </row>
    <row r="5553" spans="1:1" x14ac:dyDescent="0.25">
      <c r="A5553" s="76" t="s">
        <v>1256</v>
      </c>
    </row>
    <row r="5554" spans="1:1" x14ac:dyDescent="0.25">
      <c r="A5554" s="29" t="s">
        <v>1257</v>
      </c>
    </row>
    <row r="5555" spans="1:1" x14ac:dyDescent="0.25">
      <c r="A5555" s="76" t="s">
        <v>1258</v>
      </c>
    </row>
    <row r="5556" spans="1:1" x14ac:dyDescent="0.25">
      <c r="A5556" s="76" t="s">
        <v>1259</v>
      </c>
    </row>
    <row r="5557" spans="1:1" x14ac:dyDescent="0.25">
      <c r="A5557" s="76" t="s">
        <v>1260</v>
      </c>
    </row>
    <row r="5558" spans="1:1" x14ac:dyDescent="0.25">
      <c r="A5558" s="108" t="s">
        <v>1261</v>
      </c>
    </row>
    <row r="5559" spans="1:1" x14ac:dyDescent="0.25">
      <c r="A5559" s="108" t="s">
        <v>1262</v>
      </c>
    </row>
    <row r="5560" spans="1:1" x14ac:dyDescent="0.25">
      <c r="A5560" s="76" t="s">
        <v>1263</v>
      </c>
    </row>
    <row r="5561" spans="1:1" x14ac:dyDescent="0.25">
      <c r="A5561" s="29" t="s">
        <v>1264</v>
      </c>
    </row>
    <row r="5562" spans="1:1" x14ac:dyDescent="0.25">
      <c r="A5562" s="76" t="s">
        <v>1265</v>
      </c>
    </row>
    <row r="5563" spans="1:1" x14ac:dyDescent="0.25">
      <c r="A5563" s="108" t="s">
        <v>1266</v>
      </c>
    </row>
    <row r="5564" spans="1:1" x14ac:dyDescent="0.25">
      <c r="A5564" s="76" t="s">
        <v>1267</v>
      </c>
    </row>
    <row r="5565" spans="1:1" x14ac:dyDescent="0.25">
      <c r="A5565" s="76" t="s">
        <v>1268</v>
      </c>
    </row>
    <row r="5566" spans="1:1" x14ac:dyDescent="0.25">
      <c r="A5566" s="76" t="s">
        <v>1269</v>
      </c>
    </row>
    <row r="5567" spans="1:1" x14ac:dyDescent="0.25">
      <c r="A5567" s="76" t="s">
        <v>1270</v>
      </c>
    </row>
    <row r="5568" spans="1:1" x14ac:dyDescent="0.25">
      <c r="A5568" s="76" t="s">
        <v>1271</v>
      </c>
    </row>
    <row r="5569" spans="1:1" x14ac:dyDescent="0.25">
      <c r="A5569" s="76" t="s">
        <v>1272</v>
      </c>
    </row>
    <row r="5570" spans="1:1" x14ac:dyDescent="0.25">
      <c r="A5570" s="76" t="s">
        <v>1273</v>
      </c>
    </row>
    <row r="5571" spans="1:1" x14ac:dyDescent="0.25">
      <c r="A5571" s="76" t="s">
        <v>1274</v>
      </c>
    </row>
    <row r="5572" spans="1:1" x14ac:dyDescent="0.25">
      <c r="A5572" s="76" t="s">
        <v>1275</v>
      </c>
    </row>
    <row r="5573" spans="1:1" x14ac:dyDescent="0.25">
      <c r="A5573" s="76" t="s">
        <v>1276</v>
      </c>
    </row>
    <row r="5574" spans="1:1" x14ac:dyDescent="0.25">
      <c r="A5574" s="108" t="s">
        <v>1277</v>
      </c>
    </row>
    <row r="5575" spans="1:1" x14ac:dyDescent="0.25">
      <c r="A5575" s="76" t="s">
        <v>1278</v>
      </c>
    </row>
    <row r="5576" spans="1:1" x14ac:dyDescent="0.25">
      <c r="A5576" s="76" t="s">
        <v>1279</v>
      </c>
    </row>
    <row r="5577" spans="1:1" x14ac:dyDescent="0.25">
      <c r="A5577" s="76" t="s">
        <v>1280</v>
      </c>
    </row>
    <row r="5578" spans="1:1" x14ac:dyDescent="0.25">
      <c r="A5578" s="108" t="s">
        <v>1281</v>
      </c>
    </row>
    <row r="5579" spans="1:1" x14ac:dyDescent="0.25">
      <c r="A5579" s="76" t="s">
        <v>1282</v>
      </c>
    </row>
    <row r="5580" spans="1:1" x14ac:dyDescent="0.25">
      <c r="A5580" s="76" t="s">
        <v>1283</v>
      </c>
    </row>
    <row r="5581" spans="1:1" x14ac:dyDescent="0.25">
      <c r="A5581" s="76" t="s">
        <v>1284</v>
      </c>
    </row>
    <row r="5582" spans="1:1" x14ac:dyDescent="0.25">
      <c r="A5582" s="76" t="s">
        <v>1285</v>
      </c>
    </row>
    <row r="5583" spans="1:1" x14ac:dyDescent="0.25">
      <c r="A5583" s="76" t="s">
        <v>1286</v>
      </c>
    </row>
    <row r="5584" spans="1:1" x14ac:dyDescent="0.25">
      <c r="A5584" s="76" t="s">
        <v>1287</v>
      </c>
    </row>
    <row r="5585" spans="1:1" x14ac:dyDescent="0.25">
      <c r="A5585" s="76" t="s">
        <v>1288</v>
      </c>
    </row>
    <row r="5586" spans="1:1" x14ac:dyDescent="0.25">
      <c r="A5586" s="76" t="s">
        <v>1289</v>
      </c>
    </row>
    <row r="5587" spans="1:1" x14ac:dyDescent="0.25">
      <c r="A5587" s="76" t="s">
        <v>1290</v>
      </c>
    </row>
    <row r="5588" spans="1:1" x14ac:dyDescent="0.25">
      <c r="A5588" s="76" t="s">
        <v>1291</v>
      </c>
    </row>
    <row r="5589" spans="1:1" x14ac:dyDescent="0.25">
      <c r="A5589" s="76" t="s">
        <v>1292</v>
      </c>
    </row>
    <row r="5590" spans="1:1" x14ac:dyDescent="0.25">
      <c r="A5590" s="76" t="s">
        <v>1293</v>
      </c>
    </row>
    <row r="5591" spans="1:1" x14ac:dyDescent="0.25">
      <c r="A5591" s="108" t="s">
        <v>1294</v>
      </c>
    </row>
    <row r="5592" spans="1:1" x14ac:dyDescent="0.25">
      <c r="A5592" s="108" t="s">
        <v>1295</v>
      </c>
    </row>
    <row r="5593" spans="1:1" x14ac:dyDescent="0.25">
      <c r="A5593" s="76" t="s">
        <v>1296</v>
      </c>
    </row>
    <row r="5594" spans="1:1" x14ac:dyDescent="0.25">
      <c r="A5594" s="29" t="s">
        <v>1297</v>
      </c>
    </row>
    <row r="5595" spans="1:1" x14ac:dyDescent="0.25">
      <c r="A5595" s="76" t="s">
        <v>1298</v>
      </c>
    </row>
    <row r="5596" spans="1:1" x14ac:dyDescent="0.25">
      <c r="A5596" s="76" t="s">
        <v>1299</v>
      </c>
    </row>
    <row r="5597" spans="1:1" x14ac:dyDescent="0.25">
      <c r="A5597" s="76" t="s">
        <v>1300</v>
      </c>
    </row>
    <row r="5598" spans="1:1" x14ac:dyDescent="0.25">
      <c r="A5598" s="108" t="s">
        <v>1301</v>
      </c>
    </row>
    <row r="5599" spans="1:1" x14ac:dyDescent="0.25">
      <c r="A5599" s="108" t="s">
        <v>1302</v>
      </c>
    </row>
    <row r="5600" spans="1:1" x14ac:dyDescent="0.25">
      <c r="A5600" s="76" t="s">
        <v>1303</v>
      </c>
    </row>
    <row r="5601" spans="1:1" x14ac:dyDescent="0.25">
      <c r="A5601" s="29" t="s">
        <v>1304</v>
      </c>
    </row>
    <row r="5602" spans="1:1" x14ac:dyDescent="0.25">
      <c r="A5602" s="76" t="s">
        <v>1305</v>
      </c>
    </row>
    <row r="5603" spans="1:1" x14ac:dyDescent="0.25">
      <c r="A5603" s="76" t="s">
        <v>1306</v>
      </c>
    </row>
    <row r="5604" spans="1:1" x14ac:dyDescent="0.25">
      <c r="A5604" s="76" t="s">
        <v>1307</v>
      </c>
    </row>
    <row r="5605" spans="1:1" x14ac:dyDescent="0.25">
      <c r="A5605" s="108" t="s">
        <v>1308</v>
      </c>
    </row>
    <row r="5606" spans="1:1" x14ac:dyDescent="0.25">
      <c r="A5606" s="108" t="s">
        <v>1309</v>
      </c>
    </row>
    <row r="5607" spans="1:1" x14ac:dyDescent="0.25">
      <c r="A5607" s="76" t="s">
        <v>1310</v>
      </c>
    </row>
    <row r="5608" spans="1:1" x14ac:dyDescent="0.25">
      <c r="A5608" s="29" t="s">
        <v>1311</v>
      </c>
    </row>
    <row r="5609" spans="1:1" x14ac:dyDescent="0.25">
      <c r="A5609" s="76" t="s">
        <v>1312</v>
      </c>
    </row>
    <row r="5610" spans="1:1" x14ac:dyDescent="0.25">
      <c r="A5610" s="76" t="s">
        <v>1313</v>
      </c>
    </row>
    <row r="5611" spans="1:1" x14ac:dyDescent="0.25">
      <c r="A5611" s="76" t="s">
        <v>1314</v>
      </c>
    </row>
    <row r="5612" spans="1:1" x14ac:dyDescent="0.25">
      <c r="A5612" s="108" t="s">
        <v>1315</v>
      </c>
    </row>
    <row r="5613" spans="1:1" x14ac:dyDescent="0.25">
      <c r="A5613" s="108" t="s">
        <v>1316</v>
      </c>
    </row>
    <row r="5614" spans="1:1" x14ac:dyDescent="0.25">
      <c r="A5614" s="76" t="s">
        <v>1317</v>
      </c>
    </row>
    <row r="5615" spans="1:1" x14ac:dyDescent="0.25">
      <c r="A5615" s="29" t="s">
        <v>1318</v>
      </c>
    </row>
    <row r="5616" spans="1:1" x14ac:dyDescent="0.25">
      <c r="A5616" s="76" t="s">
        <v>1319</v>
      </c>
    </row>
    <row r="5617" spans="1:1" x14ac:dyDescent="0.25">
      <c r="A5617" s="76" t="s">
        <v>1320</v>
      </c>
    </row>
    <row r="5618" spans="1:1" x14ac:dyDescent="0.25">
      <c r="A5618" s="76" t="s">
        <v>1321</v>
      </c>
    </row>
    <row r="5619" spans="1:1" x14ac:dyDescent="0.25">
      <c r="A5619" s="108" t="s">
        <v>1322</v>
      </c>
    </row>
    <row r="5620" spans="1:1" x14ac:dyDescent="0.25">
      <c r="A5620" s="108" t="s">
        <v>1323</v>
      </c>
    </row>
    <row r="5621" spans="1:1" x14ac:dyDescent="0.25">
      <c r="A5621" s="76" t="s">
        <v>1324</v>
      </c>
    </row>
    <row r="5622" spans="1:1" x14ac:dyDescent="0.25">
      <c r="A5622" s="29" t="s">
        <v>1325</v>
      </c>
    </row>
    <row r="5623" spans="1:1" x14ac:dyDescent="0.25">
      <c r="A5623" s="76" t="s">
        <v>1326</v>
      </c>
    </row>
    <row r="5624" spans="1:1" x14ac:dyDescent="0.25">
      <c r="A5624" s="76" t="s">
        <v>1327</v>
      </c>
    </row>
    <row r="5625" spans="1:1" x14ac:dyDescent="0.25">
      <c r="A5625" s="76" t="s">
        <v>1328</v>
      </c>
    </row>
    <row r="5626" spans="1:1" x14ac:dyDescent="0.25">
      <c r="A5626" s="108" t="s">
        <v>1329</v>
      </c>
    </row>
    <row r="5627" spans="1:1" x14ac:dyDescent="0.25">
      <c r="A5627" s="108" t="s">
        <v>1330</v>
      </c>
    </row>
    <row r="5628" spans="1:1" x14ac:dyDescent="0.25">
      <c r="A5628" s="76" t="s">
        <v>1331</v>
      </c>
    </row>
    <row r="5629" spans="1:1" x14ac:dyDescent="0.25">
      <c r="A5629" s="29" t="s">
        <v>1332</v>
      </c>
    </row>
    <row r="5630" spans="1:1" x14ac:dyDescent="0.25">
      <c r="A5630" s="76" t="s">
        <v>1333</v>
      </c>
    </row>
    <row r="5631" spans="1:1" x14ac:dyDescent="0.25">
      <c r="A5631" s="76" t="s">
        <v>1334</v>
      </c>
    </row>
    <row r="5632" spans="1:1" x14ac:dyDescent="0.25">
      <c r="A5632" s="76" t="s">
        <v>1335</v>
      </c>
    </row>
    <row r="5633" spans="1:1" x14ac:dyDescent="0.25">
      <c r="A5633" s="108" t="s">
        <v>1336</v>
      </c>
    </row>
    <row r="5634" spans="1:1" x14ac:dyDescent="0.25">
      <c r="A5634" s="76" t="s">
        <v>1337</v>
      </c>
    </row>
    <row r="5635" spans="1:1" x14ac:dyDescent="0.25">
      <c r="A5635" s="76" t="s">
        <v>1338</v>
      </c>
    </row>
    <row r="5636" spans="1:1" x14ac:dyDescent="0.25">
      <c r="A5636" s="76" t="s">
        <v>1339</v>
      </c>
    </row>
    <row r="5637" spans="1:1" x14ac:dyDescent="0.25">
      <c r="A5637" s="76" t="s">
        <v>1340</v>
      </c>
    </row>
    <row r="5638" spans="1:1" x14ac:dyDescent="0.25">
      <c r="A5638" s="76" t="s">
        <v>1341</v>
      </c>
    </row>
    <row r="5639" spans="1:1" x14ac:dyDescent="0.25">
      <c r="A5639" s="76" t="s">
        <v>1342</v>
      </c>
    </row>
    <row r="5640" spans="1:1" x14ac:dyDescent="0.25">
      <c r="A5640" s="76" t="s">
        <v>1343</v>
      </c>
    </row>
    <row r="5641" spans="1:1" x14ac:dyDescent="0.25">
      <c r="A5641" s="76" t="s">
        <v>1344</v>
      </c>
    </row>
    <row r="5642" spans="1:1" x14ac:dyDescent="0.25">
      <c r="A5642" s="108" t="s">
        <v>1345</v>
      </c>
    </row>
    <row r="5643" spans="1:1" x14ac:dyDescent="0.25">
      <c r="A5643" s="76" t="s">
        <v>1346</v>
      </c>
    </row>
    <row r="5644" spans="1:1" x14ac:dyDescent="0.25">
      <c r="A5644" s="76" t="s">
        <v>1347</v>
      </c>
    </row>
    <row r="5645" spans="1:1" x14ac:dyDescent="0.25">
      <c r="A5645" s="76" t="s">
        <v>1348</v>
      </c>
    </row>
    <row r="5646" spans="1:1" x14ac:dyDescent="0.25">
      <c r="A5646" s="76" t="s">
        <v>1349</v>
      </c>
    </row>
    <row r="5647" spans="1:1" x14ac:dyDescent="0.25">
      <c r="A5647" s="76" t="s">
        <v>1350</v>
      </c>
    </row>
    <row r="5648" spans="1:1" x14ac:dyDescent="0.25">
      <c r="A5648" s="76" t="s">
        <v>1351</v>
      </c>
    </row>
    <row r="5649" spans="1:1" x14ac:dyDescent="0.25">
      <c r="A5649" s="76" t="s">
        <v>1352</v>
      </c>
    </row>
    <row r="5650" spans="1:1" x14ac:dyDescent="0.25">
      <c r="A5650" s="76" t="s">
        <v>1353</v>
      </c>
    </row>
    <row r="5651" spans="1:1" x14ac:dyDescent="0.25">
      <c r="A5651" s="76" t="s">
        <v>1354</v>
      </c>
    </row>
    <row r="5652" spans="1:1" x14ac:dyDescent="0.25">
      <c r="A5652" s="76" t="s">
        <v>1355</v>
      </c>
    </row>
    <row r="5653" spans="1:1" x14ac:dyDescent="0.25">
      <c r="A5653" s="76" t="s">
        <v>1356</v>
      </c>
    </row>
    <row r="5654" spans="1:1" x14ac:dyDescent="0.25">
      <c r="A5654" s="76" t="s">
        <v>1357</v>
      </c>
    </row>
    <row r="5655" spans="1:1" x14ac:dyDescent="0.25">
      <c r="A5655" s="76" t="s">
        <v>1358</v>
      </c>
    </row>
    <row r="5656" spans="1:1" x14ac:dyDescent="0.25">
      <c r="A5656" s="76" t="s">
        <v>1359</v>
      </c>
    </row>
    <row r="5657" spans="1:1" x14ac:dyDescent="0.25">
      <c r="A5657" s="76" t="s">
        <v>1360</v>
      </c>
    </row>
    <row r="5658" spans="1:1" x14ac:dyDescent="0.25">
      <c r="A5658" s="76" t="s">
        <v>1361</v>
      </c>
    </row>
    <row r="5659" spans="1:1" x14ac:dyDescent="0.25">
      <c r="A5659" s="76" t="s">
        <v>1362</v>
      </c>
    </row>
    <row r="5660" spans="1:1" x14ac:dyDescent="0.25">
      <c r="A5660" s="76" t="s">
        <v>1363</v>
      </c>
    </row>
    <row r="5661" spans="1:1" x14ac:dyDescent="0.25">
      <c r="A5661" s="76" t="s">
        <v>1364</v>
      </c>
    </row>
    <row r="5662" spans="1:1" x14ac:dyDescent="0.25">
      <c r="A5662" s="76" t="s">
        <v>1365</v>
      </c>
    </row>
    <row r="5663" spans="1:1" x14ac:dyDescent="0.25">
      <c r="A5663" s="76" t="s">
        <v>1366</v>
      </c>
    </row>
    <row r="5664" spans="1:1" x14ac:dyDescent="0.25">
      <c r="A5664" s="76" t="s">
        <v>1367</v>
      </c>
    </row>
    <row r="5665" spans="1:1" x14ac:dyDescent="0.25">
      <c r="A5665" s="76" t="s">
        <v>1368</v>
      </c>
    </row>
    <row r="5666" spans="1:1" x14ac:dyDescent="0.25">
      <c r="A5666" s="76" t="s">
        <v>1369</v>
      </c>
    </row>
    <row r="5667" spans="1:1" x14ac:dyDescent="0.25">
      <c r="A5667" s="76" t="s">
        <v>1370</v>
      </c>
    </row>
    <row r="5668" spans="1:1" x14ac:dyDescent="0.25">
      <c r="A5668" s="76" t="s">
        <v>1371</v>
      </c>
    </row>
    <row r="5669" spans="1:1" x14ac:dyDescent="0.25">
      <c r="A5669" s="76" t="s">
        <v>1372</v>
      </c>
    </row>
    <row r="5670" spans="1:1" x14ac:dyDescent="0.25">
      <c r="A5670" s="76" t="s">
        <v>1373</v>
      </c>
    </row>
    <row r="5671" spans="1:1" x14ac:dyDescent="0.25">
      <c r="A5671" s="76" t="s">
        <v>1374</v>
      </c>
    </row>
    <row r="5672" spans="1:1" x14ac:dyDescent="0.25">
      <c r="A5672" s="108" t="s">
        <v>1375</v>
      </c>
    </row>
    <row r="5673" spans="1:1" x14ac:dyDescent="0.25">
      <c r="A5673" s="76" t="s">
        <v>1376</v>
      </c>
    </row>
    <row r="5674" spans="1:1" x14ac:dyDescent="0.25">
      <c r="A5674" s="76" t="s">
        <v>1377</v>
      </c>
    </row>
    <row r="5675" spans="1:1" x14ac:dyDescent="0.25">
      <c r="A5675" s="76" t="s">
        <v>1378</v>
      </c>
    </row>
    <row r="5676" spans="1:1" x14ac:dyDescent="0.25">
      <c r="A5676" s="76" t="s">
        <v>1379</v>
      </c>
    </row>
    <row r="5677" spans="1:1" x14ac:dyDescent="0.25">
      <c r="A5677" s="76" t="s">
        <v>1380</v>
      </c>
    </row>
    <row r="5678" spans="1:1" x14ac:dyDescent="0.25">
      <c r="A5678" s="76" t="s">
        <v>1381</v>
      </c>
    </row>
    <row r="5679" spans="1:1" x14ac:dyDescent="0.25">
      <c r="A5679" s="76" t="s">
        <v>1382</v>
      </c>
    </row>
    <row r="5680" spans="1:1" x14ac:dyDescent="0.25">
      <c r="A5680" s="76" t="s">
        <v>1383</v>
      </c>
    </row>
    <row r="5681" spans="1:1" x14ac:dyDescent="0.25">
      <c r="A5681" s="76" t="s">
        <v>1384</v>
      </c>
    </row>
    <row r="5682" spans="1:1" x14ac:dyDescent="0.25">
      <c r="A5682" s="76" t="s">
        <v>1385</v>
      </c>
    </row>
    <row r="5683" spans="1:1" x14ac:dyDescent="0.25">
      <c r="A5683" s="76" t="s">
        <v>1386</v>
      </c>
    </row>
    <row r="5684" spans="1:1" x14ac:dyDescent="0.25">
      <c r="A5684" s="76" t="s">
        <v>1387</v>
      </c>
    </row>
    <row r="5685" spans="1:1" x14ac:dyDescent="0.25">
      <c r="A5685" s="76" t="s">
        <v>1388</v>
      </c>
    </row>
    <row r="5686" spans="1:1" x14ac:dyDescent="0.25">
      <c r="A5686" s="76" t="s">
        <v>1389</v>
      </c>
    </row>
    <row r="5687" spans="1:1" x14ac:dyDescent="0.25">
      <c r="A5687" s="76" t="s">
        <v>1390</v>
      </c>
    </row>
    <row r="5688" spans="1:1" x14ac:dyDescent="0.25">
      <c r="A5688" s="76" t="s">
        <v>1391</v>
      </c>
    </row>
    <row r="5689" spans="1:1" x14ac:dyDescent="0.25">
      <c r="A5689" s="76" t="s">
        <v>1392</v>
      </c>
    </row>
    <row r="5690" spans="1:1" x14ac:dyDescent="0.25">
      <c r="A5690" s="76" t="s">
        <v>1393</v>
      </c>
    </row>
    <row r="5691" spans="1:1" x14ac:dyDescent="0.25">
      <c r="A5691" s="76" t="s">
        <v>1394</v>
      </c>
    </row>
    <row r="5692" spans="1:1" x14ac:dyDescent="0.25">
      <c r="A5692" s="76" t="s">
        <v>1395</v>
      </c>
    </row>
    <row r="5693" spans="1:1" x14ac:dyDescent="0.25">
      <c r="A5693" s="76" t="s">
        <v>1396</v>
      </c>
    </row>
    <row r="5694" spans="1:1" x14ac:dyDescent="0.25">
      <c r="A5694" s="76" t="s">
        <v>1397</v>
      </c>
    </row>
    <row r="5695" spans="1:1" x14ac:dyDescent="0.25">
      <c r="A5695" s="76" t="s">
        <v>1398</v>
      </c>
    </row>
    <row r="5696" spans="1:1" x14ac:dyDescent="0.25">
      <c r="A5696" s="76" t="s">
        <v>1399</v>
      </c>
    </row>
    <row r="5697" spans="1:1" x14ac:dyDescent="0.25">
      <c r="A5697" s="76" t="s">
        <v>1400</v>
      </c>
    </row>
    <row r="5698" spans="1:1" x14ac:dyDescent="0.25">
      <c r="A5698" s="76" t="s">
        <v>1401</v>
      </c>
    </row>
    <row r="5699" spans="1:1" x14ac:dyDescent="0.25">
      <c r="A5699" s="76" t="s">
        <v>1402</v>
      </c>
    </row>
    <row r="5700" spans="1:1" x14ac:dyDescent="0.25">
      <c r="A5700" s="76" t="s">
        <v>1403</v>
      </c>
    </row>
    <row r="5701" spans="1:1" x14ac:dyDescent="0.25">
      <c r="A5701" s="108" t="s">
        <v>1404</v>
      </c>
    </row>
    <row r="5702" spans="1:1" x14ac:dyDescent="0.25">
      <c r="A5702" s="108" t="s">
        <v>1405</v>
      </c>
    </row>
    <row r="5703" spans="1:1" x14ac:dyDescent="0.25">
      <c r="A5703" s="76" t="s">
        <v>1406</v>
      </c>
    </row>
    <row r="5704" spans="1:1" x14ac:dyDescent="0.25">
      <c r="A5704" s="29" t="s">
        <v>1407</v>
      </c>
    </row>
    <row r="5705" spans="1:1" x14ac:dyDescent="0.25">
      <c r="A5705" s="76" t="s">
        <v>1408</v>
      </c>
    </row>
    <row r="5706" spans="1:1" x14ac:dyDescent="0.25">
      <c r="A5706" s="76" t="s">
        <v>1409</v>
      </c>
    </row>
    <row r="5707" spans="1:1" x14ac:dyDescent="0.25">
      <c r="A5707" s="76" t="s">
        <v>1410</v>
      </c>
    </row>
    <row r="5708" spans="1:1" x14ac:dyDescent="0.25">
      <c r="A5708" s="108" t="s">
        <v>1411</v>
      </c>
    </row>
    <row r="5709" spans="1:1" x14ac:dyDescent="0.25">
      <c r="A5709" s="108" t="s">
        <v>1412</v>
      </c>
    </row>
    <row r="5710" spans="1:1" x14ac:dyDescent="0.25">
      <c r="A5710" s="76" t="s">
        <v>1413</v>
      </c>
    </row>
    <row r="5711" spans="1:1" x14ac:dyDescent="0.25">
      <c r="A5711" s="29" t="s">
        <v>1414</v>
      </c>
    </row>
    <row r="5712" spans="1:1" x14ac:dyDescent="0.25">
      <c r="A5712" s="76" t="s">
        <v>1415</v>
      </c>
    </row>
    <row r="5713" spans="1:1" x14ac:dyDescent="0.25">
      <c r="A5713" s="76" t="s">
        <v>1416</v>
      </c>
    </row>
    <row r="5714" spans="1:1" x14ac:dyDescent="0.25">
      <c r="A5714" s="76" t="s">
        <v>1417</v>
      </c>
    </row>
    <row r="5715" spans="1:1" x14ac:dyDescent="0.25">
      <c r="A5715" s="108" t="s">
        <v>1418</v>
      </c>
    </row>
    <row r="5716" spans="1:1" x14ac:dyDescent="0.25">
      <c r="A5716" s="108" t="s">
        <v>1419</v>
      </c>
    </row>
    <row r="5717" spans="1:1" x14ac:dyDescent="0.25">
      <c r="A5717" s="76" t="s">
        <v>1420</v>
      </c>
    </row>
    <row r="5718" spans="1:1" x14ac:dyDescent="0.25">
      <c r="A5718" s="29" t="s">
        <v>1421</v>
      </c>
    </row>
    <row r="5719" spans="1:1" x14ac:dyDescent="0.25">
      <c r="A5719" s="76" t="s">
        <v>1422</v>
      </c>
    </row>
    <row r="5720" spans="1:1" x14ac:dyDescent="0.25">
      <c r="A5720" s="76" t="s">
        <v>1423</v>
      </c>
    </row>
    <row r="5721" spans="1:1" x14ac:dyDescent="0.25">
      <c r="A5721" s="76" t="s">
        <v>1424</v>
      </c>
    </row>
    <row r="5722" spans="1:1" x14ac:dyDescent="0.25">
      <c r="A5722" s="108" t="s">
        <v>1425</v>
      </c>
    </row>
    <row r="5723" spans="1:1" x14ac:dyDescent="0.25">
      <c r="A5723" s="108" t="s">
        <v>1426</v>
      </c>
    </row>
    <row r="5724" spans="1:1" x14ac:dyDescent="0.25">
      <c r="A5724" s="76" t="s">
        <v>1427</v>
      </c>
    </row>
    <row r="5725" spans="1:1" x14ac:dyDescent="0.25">
      <c r="A5725" s="29" t="s">
        <v>1428</v>
      </c>
    </row>
    <row r="5726" spans="1:1" x14ac:dyDescent="0.25">
      <c r="A5726" s="76" t="s">
        <v>1429</v>
      </c>
    </row>
    <row r="5727" spans="1:1" x14ac:dyDescent="0.25">
      <c r="A5727" s="76" t="s">
        <v>1430</v>
      </c>
    </row>
    <row r="5728" spans="1:1" x14ac:dyDescent="0.25">
      <c r="A5728" s="76" t="s">
        <v>1431</v>
      </c>
    </row>
    <row r="5729" spans="1:1" x14ac:dyDescent="0.25">
      <c r="A5729" s="108" t="s">
        <v>1432</v>
      </c>
    </row>
    <row r="5730" spans="1:1" x14ac:dyDescent="0.25">
      <c r="A5730" s="108" t="s">
        <v>1433</v>
      </c>
    </row>
    <row r="5731" spans="1:1" x14ac:dyDescent="0.25">
      <c r="A5731" s="76" t="s">
        <v>1434</v>
      </c>
    </row>
    <row r="5732" spans="1:1" x14ac:dyDescent="0.25">
      <c r="A5732" s="29" t="s">
        <v>1435</v>
      </c>
    </row>
    <row r="5733" spans="1:1" x14ac:dyDescent="0.25">
      <c r="A5733" s="76" t="s">
        <v>1436</v>
      </c>
    </row>
    <row r="5734" spans="1:1" x14ac:dyDescent="0.25">
      <c r="A5734" s="76" t="s">
        <v>1437</v>
      </c>
    </row>
    <row r="5735" spans="1:1" x14ac:dyDescent="0.25">
      <c r="A5735" s="76" t="s">
        <v>1438</v>
      </c>
    </row>
    <row r="5736" spans="1:1" x14ac:dyDescent="0.25">
      <c r="A5736" s="108" t="s">
        <v>1439</v>
      </c>
    </row>
    <row r="5737" spans="1:1" x14ac:dyDescent="0.25">
      <c r="A5737" s="108" t="s">
        <v>1440</v>
      </c>
    </row>
    <row r="5738" spans="1:1" x14ac:dyDescent="0.25">
      <c r="A5738" s="76" t="s">
        <v>1441</v>
      </c>
    </row>
    <row r="5739" spans="1:1" x14ac:dyDescent="0.25">
      <c r="A5739" s="29" t="s">
        <v>1442</v>
      </c>
    </row>
    <row r="5740" spans="1:1" x14ac:dyDescent="0.25">
      <c r="A5740" s="76" t="s">
        <v>1443</v>
      </c>
    </row>
    <row r="5741" spans="1:1" x14ac:dyDescent="0.25">
      <c r="A5741" s="76" t="s">
        <v>1444</v>
      </c>
    </row>
    <row r="5742" spans="1:1" x14ac:dyDescent="0.25">
      <c r="A5742" s="76" t="s">
        <v>1445</v>
      </c>
    </row>
    <row r="5743" spans="1:1" x14ac:dyDescent="0.25">
      <c r="A5743" s="76" t="s">
        <v>1446</v>
      </c>
    </row>
    <row r="5744" spans="1:1" x14ac:dyDescent="0.25">
      <c r="A5744" s="76" t="s">
        <v>1447</v>
      </c>
    </row>
    <row r="5745" spans="1:1" x14ac:dyDescent="0.25">
      <c r="A5745" s="76" t="s">
        <v>1448</v>
      </c>
    </row>
    <row r="5746" spans="1:1" x14ac:dyDescent="0.25">
      <c r="A5746" s="76" t="s">
        <v>1449</v>
      </c>
    </row>
    <row r="5747" spans="1:1" x14ac:dyDescent="0.25">
      <c r="A5747" s="76" t="s">
        <v>1450</v>
      </c>
    </row>
    <row r="5748" spans="1:1" x14ac:dyDescent="0.25">
      <c r="A5748" s="76" t="s">
        <v>1451</v>
      </c>
    </row>
    <row r="5749" spans="1:1" x14ac:dyDescent="0.25">
      <c r="A5749" s="76" t="s">
        <v>1452</v>
      </c>
    </row>
    <row r="5750" spans="1:1" x14ac:dyDescent="0.25">
      <c r="A5750" s="76" t="s">
        <v>1453</v>
      </c>
    </row>
    <row r="5751" spans="1:1" x14ac:dyDescent="0.25">
      <c r="A5751" s="76" t="s">
        <v>1454</v>
      </c>
    </row>
    <row r="5752" spans="1:1" x14ac:dyDescent="0.25">
      <c r="A5752" s="76" t="s">
        <v>1455</v>
      </c>
    </row>
    <row r="5753" spans="1:1" x14ac:dyDescent="0.25">
      <c r="A5753" s="76" t="s">
        <v>1456</v>
      </c>
    </row>
    <row r="5754" spans="1:1" x14ac:dyDescent="0.25">
      <c r="A5754" s="76" t="s">
        <v>1457</v>
      </c>
    </row>
    <row r="5755" spans="1:1" x14ac:dyDescent="0.25">
      <c r="A5755" s="76" t="s">
        <v>1458</v>
      </c>
    </row>
    <row r="5756" spans="1:1" x14ac:dyDescent="0.25">
      <c r="A5756" s="76" t="s">
        <v>1459</v>
      </c>
    </row>
    <row r="5757" spans="1:1" x14ac:dyDescent="0.25">
      <c r="A5757" s="108" t="s">
        <v>1460</v>
      </c>
    </row>
    <row r="5758" spans="1:1" x14ac:dyDescent="0.25">
      <c r="A5758" s="76" t="s">
        <v>1461</v>
      </c>
    </row>
    <row r="5759" spans="1:1" x14ac:dyDescent="0.25">
      <c r="A5759" s="76" t="s">
        <v>1462</v>
      </c>
    </row>
    <row r="5760" spans="1:1" x14ac:dyDescent="0.25">
      <c r="A5760" s="76" t="s">
        <v>1463</v>
      </c>
    </row>
    <row r="5761" spans="1:1" x14ac:dyDescent="0.25">
      <c r="A5761" s="76" t="s">
        <v>1464</v>
      </c>
    </row>
    <row r="5762" spans="1:1" x14ac:dyDescent="0.25">
      <c r="A5762" s="76" t="s">
        <v>1465</v>
      </c>
    </row>
    <row r="5763" spans="1:1" x14ac:dyDescent="0.25">
      <c r="A5763" s="76" t="s">
        <v>1466</v>
      </c>
    </row>
    <row r="5764" spans="1:1" x14ac:dyDescent="0.25">
      <c r="A5764" s="76" t="s">
        <v>1467</v>
      </c>
    </row>
    <row r="5765" spans="1:1" x14ac:dyDescent="0.25">
      <c r="A5765" s="76" t="s">
        <v>1468</v>
      </c>
    </row>
    <row r="5766" spans="1:1" x14ac:dyDescent="0.25">
      <c r="A5766" s="76" t="s">
        <v>1469</v>
      </c>
    </row>
    <row r="5767" spans="1:1" x14ac:dyDescent="0.25">
      <c r="A5767" s="76" t="s">
        <v>1470</v>
      </c>
    </row>
    <row r="5768" spans="1:1" x14ac:dyDescent="0.25">
      <c r="A5768" s="76" t="s">
        <v>1471</v>
      </c>
    </row>
    <row r="5769" spans="1:1" x14ac:dyDescent="0.25">
      <c r="A5769" s="76" t="s">
        <v>1472</v>
      </c>
    </row>
    <row r="5770" spans="1:1" x14ac:dyDescent="0.25">
      <c r="A5770" s="76" t="s">
        <v>1473</v>
      </c>
    </row>
    <row r="5771" spans="1:1" x14ac:dyDescent="0.25">
      <c r="A5771" s="76" t="s">
        <v>1474</v>
      </c>
    </row>
    <row r="5772" spans="1:1" x14ac:dyDescent="0.25">
      <c r="A5772" s="76" t="s">
        <v>1475</v>
      </c>
    </row>
    <row r="5773" spans="1:1" x14ac:dyDescent="0.25">
      <c r="A5773" s="76" t="s">
        <v>1476</v>
      </c>
    </row>
    <row r="5774" spans="1:1" x14ac:dyDescent="0.25">
      <c r="A5774" s="76" t="s">
        <v>1477</v>
      </c>
    </row>
    <row r="5775" spans="1:1" x14ac:dyDescent="0.25">
      <c r="A5775" s="76" t="s">
        <v>1478</v>
      </c>
    </row>
    <row r="5776" spans="1:1" x14ac:dyDescent="0.25">
      <c r="A5776" s="76" t="s">
        <v>1479</v>
      </c>
    </row>
    <row r="5777" spans="1:1" x14ac:dyDescent="0.25">
      <c r="A5777" s="76" t="s">
        <v>1480</v>
      </c>
    </row>
    <row r="5778" spans="1:1" x14ac:dyDescent="0.25">
      <c r="A5778" s="76" t="s">
        <v>1481</v>
      </c>
    </row>
    <row r="5779" spans="1:1" x14ac:dyDescent="0.25">
      <c r="A5779" s="76" t="s">
        <v>1482</v>
      </c>
    </row>
    <row r="5780" spans="1:1" x14ac:dyDescent="0.25">
      <c r="A5780" s="76" t="s">
        <v>1483</v>
      </c>
    </row>
    <row r="5781" spans="1:1" x14ac:dyDescent="0.25">
      <c r="A5781" s="76" t="s">
        <v>1484</v>
      </c>
    </row>
    <row r="5782" spans="1:1" x14ac:dyDescent="0.25">
      <c r="A5782" s="76" t="s">
        <v>1485</v>
      </c>
    </row>
    <row r="5783" spans="1:1" x14ac:dyDescent="0.25">
      <c r="A5783" s="76" t="s">
        <v>1486</v>
      </c>
    </row>
    <row r="5784" spans="1:1" x14ac:dyDescent="0.25">
      <c r="A5784" s="76" t="s">
        <v>1487</v>
      </c>
    </row>
    <row r="5785" spans="1:1" x14ac:dyDescent="0.25">
      <c r="A5785" s="76" t="s">
        <v>1488</v>
      </c>
    </row>
    <row r="5786" spans="1:1" x14ac:dyDescent="0.25">
      <c r="A5786" s="76" t="s">
        <v>1489</v>
      </c>
    </row>
    <row r="5787" spans="1:1" x14ac:dyDescent="0.25">
      <c r="A5787" s="76" t="s">
        <v>1490</v>
      </c>
    </row>
    <row r="5788" spans="1:1" x14ac:dyDescent="0.25">
      <c r="A5788" s="76" t="s">
        <v>1491</v>
      </c>
    </row>
    <row r="5789" spans="1:1" x14ac:dyDescent="0.25">
      <c r="A5789" s="76" t="s">
        <v>1492</v>
      </c>
    </row>
    <row r="5790" spans="1:1" x14ac:dyDescent="0.25">
      <c r="A5790" s="76" t="s">
        <v>1493</v>
      </c>
    </row>
    <row r="5791" spans="1:1" x14ac:dyDescent="0.25">
      <c r="A5791" s="76" t="s">
        <v>1494</v>
      </c>
    </row>
    <row r="5792" spans="1:1" x14ac:dyDescent="0.25">
      <c r="A5792" s="76" t="s">
        <v>1495</v>
      </c>
    </row>
    <row r="5793" spans="1:1" x14ac:dyDescent="0.25">
      <c r="A5793" s="76" t="s">
        <v>1496</v>
      </c>
    </row>
    <row r="5794" spans="1:1" x14ac:dyDescent="0.25">
      <c r="A5794" s="76" t="s">
        <v>1497</v>
      </c>
    </row>
    <row r="5795" spans="1:1" x14ac:dyDescent="0.25">
      <c r="A5795" s="76" t="s">
        <v>1498</v>
      </c>
    </row>
    <row r="5796" spans="1:1" x14ac:dyDescent="0.25">
      <c r="A5796" s="76" t="s">
        <v>1499</v>
      </c>
    </row>
    <row r="5797" spans="1:1" x14ac:dyDescent="0.25">
      <c r="A5797" s="76" t="s">
        <v>1500</v>
      </c>
    </row>
    <row r="5798" spans="1:1" x14ac:dyDescent="0.25">
      <c r="A5798" s="76" t="s">
        <v>1501</v>
      </c>
    </row>
    <row r="5799" spans="1:1" x14ac:dyDescent="0.25">
      <c r="A5799" s="76" t="s">
        <v>1502</v>
      </c>
    </row>
    <row r="5800" spans="1:1" x14ac:dyDescent="0.25">
      <c r="A5800" s="76" t="s">
        <v>1503</v>
      </c>
    </row>
    <row r="5801" spans="1:1" x14ac:dyDescent="0.25">
      <c r="A5801" s="76" t="s">
        <v>1504</v>
      </c>
    </row>
    <row r="5802" spans="1:1" x14ac:dyDescent="0.25">
      <c r="A5802" s="76" t="s">
        <v>1505</v>
      </c>
    </row>
    <row r="5803" spans="1:1" x14ac:dyDescent="0.25">
      <c r="A5803" s="76" t="s">
        <v>1506</v>
      </c>
    </row>
    <row r="5804" spans="1:1" x14ac:dyDescent="0.25">
      <c r="A5804" s="76" t="s">
        <v>1507</v>
      </c>
    </row>
    <row r="5805" spans="1:1" x14ac:dyDescent="0.25">
      <c r="A5805" s="76" t="s">
        <v>1508</v>
      </c>
    </row>
    <row r="5806" spans="1:1" x14ac:dyDescent="0.25">
      <c r="A5806" s="76" t="s">
        <v>1509</v>
      </c>
    </row>
    <row r="5807" spans="1:1" x14ac:dyDescent="0.25">
      <c r="A5807" s="76" t="s">
        <v>1510</v>
      </c>
    </row>
    <row r="5808" spans="1:1" x14ac:dyDescent="0.25">
      <c r="A5808" s="76" t="s">
        <v>1511</v>
      </c>
    </row>
    <row r="5809" spans="1:1" x14ac:dyDescent="0.25">
      <c r="A5809" s="76" t="s">
        <v>1512</v>
      </c>
    </row>
    <row r="5810" spans="1:1" x14ac:dyDescent="0.25">
      <c r="A5810" s="76" t="s">
        <v>1513</v>
      </c>
    </row>
    <row r="5811" spans="1:1" x14ac:dyDescent="0.25">
      <c r="A5811" s="76" t="s">
        <v>1514</v>
      </c>
    </row>
    <row r="5812" spans="1:1" x14ac:dyDescent="0.25">
      <c r="A5812" s="76" t="s">
        <v>1515</v>
      </c>
    </row>
    <row r="5813" spans="1:1" x14ac:dyDescent="0.25">
      <c r="A5813" s="76" t="s">
        <v>1516</v>
      </c>
    </row>
    <row r="5814" spans="1:1" x14ac:dyDescent="0.25">
      <c r="A5814" s="76" t="s">
        <v>1517</v>
      </c>
    </row>
    <row r="5815" spans="1:1" x14ac:dyDescent="0.25">
      <c r="A5815" s="76" t="s">
        <v>1518</v>
      </c>
    </row>
    <row r="5816" spans="1:1" x14ac:dyDescent="0.25">
      <c r="A5816" s="76" t="s">
        <v>1519</v>
      </c>
    </row>
    <row r="5817" spans="1:1" x14ac:dyDescent="0.25">
      <c r="A5817" s="76" t="s">
        <v>1520</v>
      </c>
    </row>
    <row r="5818" spans="1:1" x14ac:dyDescent="0.25">
      <c r="A5818" s="76" t="s">
        <v>1521</v>
      </c>
    </row>
    <row r="5819" spans="1:1" x14ac:dyDescent="0.25">
      <c r="A5819" s="76" t="s">
        <v>1522</v>
      </c>
    </row>
    <row r="5820" spans="1:1" x14ac:dyDescent="0.25">
      <c r="A5820" s="76" t="s">
        <v>1523</v>
      </c>
    </row>
    <row r="5821" spans="1:1" x14ac:dyDescent="0.25">
      <c r="A5821" s="76" t="s">
        <v>1524</v>
      </c>
    </row>
    <row r="5822" spans="1:1" x14ac:dyDescent="0.25">
      <c r="A5822" s="76" t="s">
        <v>1525</v>
      </c>
    </row>
    <row r="5823" spans="1:1" x14ac:dyDescent="0.25">
      <c r="A5823" s="76" t="s">
        <v>1526</v>
      </c>
    </row>
    <row r="5824" spans="1:1" x14ac:dyDescent="0.25">
      <c r="A5824" s="76" t="s">
        <v>1527</v>
      </c>
    </row>
    <row r="5825" spans="1:1" x14ac:dyDescent="0.25">
      <c r="A5825" s="76" t="s">
        <v>1528</v>
      </c>
    </row>
    <row r="5826" spans="1:1" x14ac:dyDescent="0.25">
      <c r="A5826" s="76" t="s">
        <v>1529</v>
      </c>
    </row>
    <row r="5827" spans="1:1" x14ac:dyDescent="0.25">
      <c r="A5827" s="76" t="s">
        <v>1530</v>
      </c>
    </row>
    <row r="5828" spans="1:1" x14ac:dyDescent="0.25">
      <c r="A5828" s="76" t="s">
        <v>1531</v>
      </c>
    </row>
    <row r="5829" spans="1:1" x14ac:dyDescent="0.25">
      <c r="A5829" s="76" t="s">
        <v>1532</v>
      </c>
    </row>
    <row r="5830" spans="1:1" x14ac:dyDescent="0.25">
      <c r="A5830" s="76" t="s">
        <v>1533</v>
      </c>
    </row>
    <row r="5831" spans="1:1" x14ac:dyDescent="0.25">
      <c r="A5831" s="76" t="s">
        <v>1534</v>
      </c>
    </row>
    <row r="5832" spans="1:1" x14ac:dyDescent="0.25">
      <c r="A5832" s="76" t="s">
        <v>1535</v>
      </c>
    </row>
    <row r="5833" spans="1:1" x14ac:dyDescent="0.25">
      <c r="A5833" s="76" t="s">
        <v>1536</v>
      </c>
    </row>
    <row r="5834" spans="1:1" x14ac:dyDescent="0.25">
      <c r="A5834" s="76" t="s">
        <v>1537</v>
      </c>
    </row>
    <row r="5835" spans="1:1" x14ac:dyDescent="0.25">
      <c r="A5835" s="76" t="s">
        <v>1538</v>
      </c>
    </row>
    <row r="5836" spans="1:1" x14ac:dyDescent="0.25">
      <c r="A5836" s="76" t="s">
        <v>1539</v>
      </c>
    </row>
    <row r="5837" spans="1:1" x14ac:dyDescent="0.25">
      <c r="A5837" s="76" t="s">
        <v>1540</v>
      </c>
    </row>
    <row r="5838" spans="1:1" x14ac:dyDescent="0.25">
      <c r="A5838" s="76" t="s">
        <v>1541</v>
      </c>
    </row>
    <row r="5839" spans="1:1" x14ac:dyDescent="0.25">
      <c r="A5839" s="76" t="s">
        <v>1542</v>
      </c>
    </row>
    <row r="5840" spans="1:1" x14ac:dyDescent="0.25">
      <c r="A5840" s="76" t="s">
        <v>1543</v>
      </c>
    </row>
    <row r="5841" spans="1:1" x14ac:dyDescent="0.25">
      <c r="A5841" s="76" t="s">
        <v>1544</v>
      </c>
    </row>
    <row r="5842" spans="1:1" x14ac:dyDescent="0.25">
      <c r="A5842" s="76" t="s">
        <v>1545</v>
      </c>
    </row>
    <row r="5843" spans="1:1" x14ac:dyDescent="0.25">
      <c r="A5843" s="108" t="s">
        <v>1546</v>
      </c>
    </row>
    <row r="5844" spans="1:1" x14ac:dyDescent="0.25">
      <c r="A5844" s="76" t="s">
        <v>1547</v>
      </c>
    </row>
    <row r="5845" spans="1:1" x14ac:dyDescent="0.25">
      <c r="A5845" s="76" t="s">
        <v>1548</v>
      </c>
    </row>
    <row r="5846" spans="1:1" x14ac:dyDescent="0.25">
      <c r="A5846" s="76" t="s">
        <v>1549</v>
      </c>
    </row>
    <row r="5847" spans="1:1" x14ac:dyDescent="0.25">
      <c r="A5847" s="76" t="s">
        <v>1550</v>
      </c>
    </row>
    <row r="5848" spans="1:1" x14ac:dyDescent="0.25">
      <c r="A5848" s="76" t="s">
        <v>1551</v>
      </c>
    </row>
    <row r="5849" spans="1:1" x14ac:dyDescent="0.25">
      <c r="A5849" s="76" t="s">
        <v>1552</v>
      </c>
    </row>
    <row r="5850" spans="1:1" x14ac:dyDescent="0.25">
      <c r="A5850" s="76" t="s">
        <v>1553</v>
      </c>
    </row>
    <row r="5851" spans="1:1" x14ac:dyDescent="0.25">
      <c r="A5851" s="76" t="s">
        <v>1554</v>
      </c>
    </row>
    <row r="5852" spans="1:1" x14ac:dyDescent="0.25">
      <c r="A5852" s="76" t="s">
        <v>1555</v>
      </c>
    </row>
    <row r="5853" spans="1:1" x14ac:dyDescent="0.25">
      <c r="A5853" s="76" t="s">
        <v>1556</v>
      </c>
    </row>
    <row r="5854" spans="1:1" x14ac:dyDescent="0.25">
      <c r="A5854" s="76" t="s">
        <v>1557</v>
      </c>
    </row>
    <row r="5855" spans="1:1" x14ac:dyDescent="0.25">
      <c r="A5855" s="76" t="s">
        <v>1558</v>
      </c>
    </row>
    <row r="5856" spans="1:1" x14ac:dyDescent="0.25">
      <c r="A5856" s="76" t="s">
        <v>1559</v>
      </c>
    </row>
    <row r="5857" spans="1:1" x14ac:dyDescent="0.25">
      <c r="A5857" s="76" t="s">
        <v>1560</v>
      </c>
    </row>
    <row r="5858" spans="1:1" x14ac:dyDescent="0.25">
      <c r="A5858" s="76" t="s">
        <v>1561</v>
      </c>
    </row>
    <row r="5859" spans="1:1" x14ac:dyDescent="0.25">
      <c r="A5859" s="76" t="s">
        <v>1562</v>
      </c>
    </row>
    <row r="5860" spans="1:1" x14ac:dyDescent="0.25">
      <c r="A5860" s="76" t="s">
        <v>1563</v>
      </c>
    </row>
    <row r="5861" spans="1:1" x14ac:dyDescent="0.25">
      <c r="A5861" s="76" t="s">
        <v>1564</v>
      </c>
    </row>
    <row r="5862" spans="1:1" x14ac:dyDescent="0.25">
      <c r="A5862" s="76" t="s">
        <v>1565</v>
      </c>
    </row>
    <row r="5863" spans="1:1" x14ac:dyDescent="0.25">
      <c r="A5863" s="76" t="s">
        <v>1566</v>
      </c>
    </row>
    <row r="5864" spans="1:1" x14ac:dyDescent="0.25">
      <c r="A5864" s="76" t="s">
        <v>1567</v>
      </c>
    </row>
    <row r="5865" spans="1:1" x14ac:dyDescent="0.25">
      <c r="A5865" s="76" t="s">
        <v>1568</v>
      </c>
    </row>
    <row r="5866" spans="1:1" x14ac:dyDescent="0.25">
      <c r="A5866" s="76" t="s">
        <v>1569</v>
      </c>
    </row>
    <row r="5867" spans="1:1" x14ac:dyDescent="0.25">
      <c r="A5867" s="76" t="s">
        <v>1570</v>
      </c>
    </row>
    <row r="5868" spans="1:1" x14ac:dyDescent="0.25">
      <c r="A5868" s="76" t="s">
        <v>1571</v>
      </c>
    </row>
    <row r="5869" spans="1:1" x14ac:dyDescent="0.25">
      <c r="A5869" s="76" t="s">
        <v>1572</v>
      </c>
    </row>
    <row r="5870" spans="1:1" x14ac:dyDescent="0.25">
      <c r="A5870" s="76" t="s">
        <v>1573</v>
      </c>
    </row>
    <row r="5871" spans="1:1" x14ac:dyDescent="0.25">
      <c r="A5871" s="76" t="s">
        <v>1574</v>
      </c>
    </row>
    <row r="5872" spans="1:1" x14ac:dyDescent="0.25">
      <c r="A5872" s="76" t="s">
        <v>1575</v>
      </c>
    </row>
    <row r="5873" spans="1:1" x14ac:dyDescent="0.25">
      <c r="A5873" s="76" t="s">
        <v>1576</v>
      </c>
    </row>
    <row r="5874" spans="1:1" x14ac:dyDescent="0.25">
      <c r="A5874" s="76" t="s">
        <v>1577</v>
      </c>
    </row>
    <row r="5875" spans="1:1" x14ac:dyDescent="0.25">
      <c r="A5875" s="76" t="s">
        <v>1578</v>
      </c>
    </row>
    <row r="5876" spans="1:1" x14ac:dyDescent="0.25">
      <c r="A5876" s="76" t="s">
        <v>1579</v>
      </c>
    </row>
    <row r="5877" spans="1:1" x14ac:dyDescent="0.25">
      <c r="A5877" s="76" t="s">
        <v>1580</v>
      </c>
    </row>
    <row r="5878" spans="1:1" x14ac:dyDescent="0.25">
      <c r="A5878" s="76" t="s">
        <v>1581</v>
      </c>
    </row>
    <row r="5879" spans="1:1" x14ac:dyDescent="0.25">
      <c r="A5879" s="76" t="s">
        <v>1582</v>
      </c>
    </row>
    <row r="5880" spans="1:1" x14ac:dyDescent="0.25">
      <c r="A5880" s="76" t="s">
        <v>1583</v>
      </c>
    </row>
    <row r="5881" spans="1:1" x14ac:dyDescent="0.25">
      <c r="A5881" s="76" t="s">
        <v>1584</v>
      </c>
    </row>
    <row r="5882" spans="1:1" x14ac:dyDescent="0.25">
      <c r="A5882" s="76" t="s">
        <v>1585</v>
      </c>
    </row>
    <row r="5883" spans="1:1" x14ac:dyDescent="0.25">
      <c r="A5883" s="76" t="s">
        <v>1586</v>
      </c>
    </row>
    <row r="5884" spans="1:1" x14ac:dyDescent="0.25">
      <c r="A5884" s="76" t="s">
        <v>1587</v>
      </c>
    </row>
    <row r="5885" spans="1:1" x14ac:dyDescent="0.25">
      <c r="A5885" s="76" t="s">
        <v>1588</v>
      </c>
    </row>
    <row r="5886" spans="1:1" x14ac:dyDescent="0.25">
      <c r="A5886" s="76" t="s">
        <v>1589</v>
      </c>
    </row>
    <row r="5887" spans="1:1" x14ac:dyDescent="0.25">
      <c r="A5887" s="76" t="s">
        <v>1590</v>
      </c>
    </row>
    <row r="5888" spans="1:1" x14ac:dyDescent="0.25">
      <c r="A5888" s="76" t="s">
        <v>1591</v>
      </c>
    </row>
    <row r="5889" spans="1:1" x14ac:dyDescent="0.25">
      <c r="A5889" s="76" t="s">
        <v>1592</v>
      </c>
    </row>
    <row r="5890" spans="1:1" x14ac:dyDescent="0.25">
      <c r="A5890" s="76" t="s">
        <v>1593</v>
      </c>
    </row>
    <row r="5891" spans="1:1" x14ac:dyDescent="0.25">
      <c r="A5891" s="108" t="s">
        <v>1594</v>
      </c>
    </row>
    <row r="5892" spans="1:1" x14ac:dyDescent="0.25">
      <c r="A5892" s="76" t="s">
        <v>1595</v>
      </c>
    </row>
    <row r="5893" spans="1:1" x14ac:dyDescent="0.25">
      <c r="A5893" s="76" t="s">
        <v>1596</v>
      </c>
    </row>
    <row r="5894" spans="1:1" x14ac:dyDescent="0.25">
      <c r="A5894" s="76" t="s">
        <v>1597</v>
      </c>
    </row>
    <row r="5895" spans="1:1" x14ac:dyDescent="0.25">
      <c r="A5895" s="76" t="s">
        <v>1598</v>
      </c>
    </row>
    <row r="5896" spans="1:1" x14ac:dyDescent="0.25">
      <c r="A5896" s="76" t="s">
        <v>1599</v>
      </c>
    </row>
    <row r="5897" spans="1:1" x14ac:dyDescent="0.25">
      <c r="A5897" s="76" t="s">
        <v>1600</v>
      </c>
    </row>
    <row r="5898" spans="1:1" x14ac:dyDescent="0.25">
      <c r="A5898" s="76" t="s">
        <v>1601</v>
      </c>
    </row>
    <row r="5899" spans="1:1" x14ac:dyDescent="0.25">
      <c r="A5899" s="76" t="s">
        <v>1602</v>
      </c>
    </row>
    <row r="5900" spans="1:1" x14ac:dyDescent="0.25">
      <c r="A5900" s="76" t="s">
        <v>1603</v>
      </c>
    </row>
    <row r="5901" spans="1:1" x14ac:dyDescent="0.25">
      <c r="A5901" s="76" t="s">
        <v>1604</v>
      </c>
    </row>
    <row r="5902" spans="1:1" x14ac:dyDescent="0.25">
      <c r="A5902" s="76" t="s">
        <v>1605</v>
      </c>
    </row>
    <row r="5903" spans="1:1" x14ac:dyDescent="0.25">
      <c r="A5903" s="76" t="s">
        <v>1606</v>
      </c>
    </row>
    <row r="5904" spans="1:1" x14ac:dyDescent="0.25">
      <c r="A5904" s="76" t="s">
        <v>1607</v>
      </c>
    </row>
    <row r="5905" spans="1:1" x14ac:dyDescent="0.25">
      <c r="A5905" s="76" t="s">
        <v>1608</v>
      </c>
    </row>
    <row r="5906" spans="1:1" x14ac:dyDescent="0.25">
      <c r="A5906" s="76" t="s">
        <v>1609</v>
      </c>
    </row>
    <row r="5907" spans="1:1" x14ac:dyDescent="0.25">
      <c r="A5907" s="76" t="s">
        <v>1610</v>
      </c>
    </row>
    <row r="5908" spans="1:1" x14ac:dyDescent="0.25">
      <c r="A5908" s="76" t="s">
        <v>1611</v>
      </c>
    </row>
    <row r="5909" spans="1:1" x14ac:dyDescent="0.25">
      <c r="A5909" s="76" t="s">
        <v>1612</v>
      </c>
    </row>
    <row r="5910" spans="1:1" x14ac:dyDescent="0.25">
      <c r="A5910" s="76" t="s">
        <v>1613</v>
      </c>
    </row>
    <row r="5911" spans="1:1" x14ac:dyDescent="0.25">
      <c r="A5911" s="76" t="s">
        <v>1614</v>
      </c>
    </row>
    <row r="5912" spans="1:1" x14ac:dyDescent="0.25">
      <c r="A5912" s="76" t="s">
        <v>1615</v>
      </c>
    </row>
    <row r="5913" spans="1:1" x14ac:dyDescent="0.25">
      <c r="A5913" s="76" t="s">
        <v>1616</v>
      </c>
    </row>
    <row r="5914" spans="1:1" x14ac:dyDescent="0.25">
      <c r="A5914" s="76" t="s">
        <v>1617</v>
      </c>
    </row>
    <row r="5915" spans="1:1" x14ac:dyDescent="0.25">
      <c r="A5915" s="76" t="s">
        <v>1618</v>
      </c>
    </row>
    <row r="5916" spans="1:1" x14ac:dyDescent="0.25">
      <c r="A5916" s="76" t="s">
        <v>1619</v>
      </c>
    </row>
    <row r="5917" spans="1:1" x14ac:dyDescent="0.25">
      <c r="A5917" s="76" t="s">
        <v>1620</v>
      </c>
    </row>
    <row r="5918" spans="1:1" x14ac:dyDescent="0.25">
      <c r="A5918" s="76" t="s">
        <v>1621</v>
      </c>
    </row>
    <row r="5919" spans="1:1" x14ac:dyDescent="0.25">
      <c r="A5919" s="76" t="s">
        <v>1622</v>
      </c>
    </row>
    <row r="5920" spans="1:1" x14ac:dyDescent="0.25">
      <c r="A5920" s="76" t="s">
        <v>1623</v>
      </c>
    </row>
    <row r="5921" spans="1:1" x14ac:dyDescent="0.25">
      <c r="A5921" s="76" t="s">
        <v>1624</v>
      </c>
    </row>
    <row r="5922" spans="1:1" x14ac:dyDescent="0.25">
      <c r="A5922" s="76" t="s">
        <v>1625</v>
      </c>
    </row>
    <row r="5923" spans="1:1" x14ac:dyDescent="0.25">
      <c r="A5923" s="76" t="s">
        <v>1626</v>
      </c>
    </row>
    <row r="5924" spans="1:1" x14ac:dyDescent="0.25">
      <c r="A5924" s="76" t="s">
        <v>1627</v>
      </c>
    </row>
    <row r="5925" spans="1:1" x14ac:dyDescent="0.25">
      <c r="A5925" s="76" t="s">
        <v>1628</v>
      </c>
    </row>
    <row r="5926" spans="1:1" x14ac:dyDescent="0.25">
      <c r="A5926" s="76" t="s">
        <v>1629</v>
      </c>
    </row>
    <row r="5927" spans="1:1" x14ac:dyDescent="0.25">
      <c r="A5927" s="76" t="s">
        <v>1630</v>
      </c>
    </row>
    <row r="5928" spans="1:1" x14ac:dyDescent="0.25">
      <c r="A5928" s="76" t="s">
        <v>1631</v>
      </c>
    </row>
    <row r="5929" spans="1:1" x14ac:dyDescent="0.25">
      <c r="A5929" s="76" t="s">
        <v>1632</v>
      </c>
    </row>
    <row r="5930" spans="1:1" x14ac:dyDescent="0.25">
      <c r="A5930" s="76" t="s">
        <v>1633</v>
      </c>
    </row>
    <row r="5931" spans="1:1" x14ac:dyDescent="0.25">
      <c r="A5931" s="76" t="s">
        <v>1634</v>
      </c>
    </row>
    <row r="5932" spans="1:1" x14ac:dyDescent="0.25">
      <c r="A5932" s="76" t="s">
        <v>1635</v>
      </c>
    </row>
    <row r="5933" spans="1:1" x14ac:dyDescent="0.25">
      <c r="A5933" s="76" t="s">
        <v>1636</v>
      </c>
    </row>
    <row r="5934" spans="1:1" x14ac:dyDescent="0.25">
      <c r="A5934" s="76" t="s">
        <v>1637</v>
      </c>
    </row>
    <row r="5935" spans="1:1" x14ac:dyDescent="0.25">
      <c r="A5935" s="76" t="s">
        <v>1638</v>
      </c>
    </row>
    <row r="5936" spans="1:1" x14ac:dyDescent="0.25">
      <c r="A5936" s="76" t="s">
        <v>1639</v>
      </c>
    </row>
    <row r="5937" spans="1:1" x14ac:dyDescent="0.25">
      <c r="A5937" s="76" t="s">
        <v>1640</v>
      </c>
    </row>
    <row r="5938" spans="1:1" x14ac:dyDescent="0.25">
      <c r="A5938" s="76" t="s">
        <v>1641</v>
      </c>
    </row>
    <row r="5939" spans="1:1" x14ac:dyDescent="0.25">
      <c r="A5939" s="76" t="s">
        <v>1642</v>
      </c>
    </row>
    <row r="5940" spans="1:1" x14ac:dyDescent="0.25">
      <c r="A5940" s="76" t="s">
        <v>1643</v>
      </c>
    </row>
    <row r="5941" spans="1:1" x14ac:dyDescent="0.25">
      <c r="A5941" s="76" t="s">
        <v>1644</v>
      </c>
    </row>
    <row r="5942" spans="1:1" x14ac:dyDescent="0.25">
      <c r="A5942" s="76" t="s">
        <v>1645</v>
      </c>
    </row>
    <row r="5943" spans="1:1" x14ac:dyDescent="0.25">
      <c r="A5943" s="76" t="s">
        <v>1646</v>
      </c>
    </row>
    <row r="5944" spans="1:1" x14ac:dyDescent="0.25">
      <c r="A5944" s="76" t="s">
        <v>1647</v>
      </c>
    </row>
    <row r="5945" spans="1:1" x14ac:dyDescent="0.25">
      <c r="A5945" s="76" t="s">
        <v>1648</v>
      </c>
    </row>
    <row r="5946" spans="1:1" x14ac:dyDescent="0.25">
      <c r="A5946" s="76" t="s">
        <v>1649</v>
      </c>
    </row>
    <row r="5947" spans="1:1" x14ac:dyDescent="0.25">
      <c r="A5947" s="76" t="s">
        <v>1650</v>
      </c>
    </row>
    <row r="5948" spans="1:1" x14ac:dyDescent="0.25">
      <c r="A5948" s="76" t="s">
        <v>1651</v>
      </c>
    </row>
    <row r="5949" spans="1:1" x14ac:dyDescent="0.25">
      <c r="A5949" s="108" t="s">
        <v>1652</v>
      </c>
    </row>
    <row r="5950" spans="1:1" x14ac:dyDescent="0.25">
      <c r="A5950" s="76" t="s">
        <v>1653</v>
      </c>
    </row>
    <row r="5951" spans="1:1" x14ac:dyDescent="0.25">
      <c r="A5951" s="76" t="s">
        <v>1654</v>
      </c>
    </row>
    <row r="5952" spans="1:1" x14ac:dyDescent="0.25">
      <c r="A5952" s="76" t="s">
        <v>1655</v>
      </c>
    </row>
    <row r="5953" spans="1:1" x14ac:dyDescent="0.25">
      <c r="A5953" s="76" t="s">
        <v>1656</v>
      </c>
    </row>
    <row r="5954" spans="1:1" x14ac:dyDescent="0.25">
      <c r="A5954" s="76" t="s">
        <v>1657</v>
      </c>
    </row>
    <row r="5955" spans="1:1" x14ac:dyDescent="0.25">
      <c r="A5955" s="76" t="s">
        <v>1658</v>
      </c>
    </row>
    <row r="5956" spans="1:1" x14ac:dyDescent="0.25">
      <c r="A5956" s="76" t="s">
        <v>1659</v>
      </c>
    </row>
    <row r="5957" spans="1:1" x14ac:dyDescent="0.25">
      <c r="A5957" s="76" t="s">
        <v>1660</v>
      </c>
    </row>
    <row r="5958" spans="1:1" x14ac:dyDescent="0.25">
      <c r="A5958" s="76" t="s">
        <v>1661</v>
      </c>
    </row>
    <row r="5959" spans="1:1" x14ac:dyDescent="0.25">
      <c r="A5959" s="76" t="s">
        <v>1662</v>
      </c>
    </row>
    <row r="5960" spans="1:1" x14ac:dyDescent="0.25">
      <c r="A5960" s="76" t="s">
        <v>1663</v>
      </c>
    </row>
    <row r="5961" spans="1:1" x14ac:dyDescent="0.25">
      <c r="A5961" s="76" t="s">
        <v>1664</v>
      </c>
    </row>
    <row r="5962" spans="1:1" x14ac:dyDescent="0.25">
      <c r="A5962" s="76" t="s">
        <v>1665</v>
      </c>
    </row>
    <row r="5963" spans="1:1" x14ac:dyDescent="0.25">
      <c r="A5963" s="76" t="s">
        <v>1666</v>
      </c>
    </row>
    <row r="5964" spans="1:1" x14ac:dyDescent="0.25">
      <c r="A5964" s="76" t="s">
        <v>1667</v>
      </c>
    </row>
    <row r="5965" spans="1:1" x14ac:dyDescent="0.25">
      <c r="A5965" s="76" t="s">
        <v>1668</v>
      </c>
    </row>
    <row r="5966" spans="1:1" x14ac:dyDescent="0.25">
      <c r="A5966" s="76" t="s">
        <v>1669</v>
      </c>
    </row>
    <row r="5967" spans="1:1" x14ac:dyDescent="0.25">
      <c r="A5967" s="76" t="s">
        <v>1670</v>
      </c>
    </row>
    <row r="5968" spans="1:1" x14ac:dyDescent="0.25">
      <c r="A5968" s="76" t="s">
        <v>1671</v>
      </c>
    </row>
    <row r="5969" spans="1:1" x14ac:dyDescent="0.25">
      <c r="A5969" s="76" t="s">
        <v>1672</v>
      </c>
    </row>
    <row r="5970" spans="1:1" x14ac:dyDescent="0.25">
      <c r="A5970" s="76" t="s">
        <v>1673</v>
      </c>
    </row>
    <row r="5971" spans="1:1" x14ac:dyDescent="0.25">
      <c r="A5971" s="76" t="s">
        <v>1674</v>
      </c>
    </row>
    <row r="5972" spans="1:1" x14ac:dyDescent="0.25">
      <c r="A5972" s="76" t="s">
        <v>1675</v>
      </c>
    </row>
    <row r="5973" spans="1:1" x14ac:dyDescent="0.25">
      <c r="A5973" s="76" t="s">
        <v>1676</v>
      </c>
    </row>
    <row r="5974" spans="1:1" x14ac:dyDescent="0.25">
      <c r="A5974" s="76" t="s">
        <v>1677</v>
      </c>
    </row>
    <row r="5975" spans="1:1" x14ac:dyDescent="0.25">
      <c r="A5975" s="76" t="s">
        <v>1678</v>
      </c>
    </row>
    <row r="5976" spans="1:1" x14ac:dyDescent="0.25">
      <c r="A5976" s="76" t="s">
        <v>1679</v>
      </c>
    </row>
    <row r="5977" spans="1:1" x14ac:dyDescent="0.25">
      <c r="A5977" s="76" t="s">
        <v>1680</v>
      </c>
    </row>
    <row r="5978" spans="1:1" x14ac:dyDescent="0.25">
      <c r="A5978" s="76" t="s">
        <v>1681</v>
      </c>
    </row>
    <row r="5979" spans="1:1" x14ac:dyDescent="0.25">
      <c r="A5979" s="76" t="s">
        <v>1682</v>
      </c>
    </row>
    <row r="5980" spans="1:1" x14ac:dyDescent="0.25">
      <c r="A5980" s="108" t="s">
        <v>1683</v>
      </c>
    </row>
    <row r="5981" spans="1:1" x14ac:dyDescent="0.25">
      <c r="A5981" s="76" t="s">
        <v>1684</v>
      </c>
    </row>
    <row r="5982" spans="1:1" x14ac:dyDescent="0.25">
      <c r="A5982" s="76" t="s">
        <v>1685</v>
      </c>
    </row>
    <row r="5983" spans="1:1" x14ac:dyDescent="0.25">
      <c r="A5983" s="76" t="s">
        <v>1686</v>
      </c>
    </row>
    <row r="5984" spans="1:1" x14ac:dyDescent="0.25">
      <c r="A5984" s="76" t="s">
        <v>1687</v>
      </c>
    </row>
    <row r="5985" spans="1:1" x14ac:dyDescent="0.25">
      <c r="A5985" s="76" t="s">
        <v>1688</v>
      </c>
    </row>
    <row r="5986" spans="1:1" x14ac:dyDescent="0.25">
      <c r="A5986" s="76" t="s">
        <v>1689</v>
      </c>
    </row>
    <row r="5987" spans="1:1" x14ac:dyDescent="0.25">
      <c r="A5987" s="76" t="s">
        <v>1690</v>
      </c>
    </row>
    <row r="5988" spans="1:1" x14ac:dyDescent="0.25">
      <c r="A5988" s="76" t="s">
        <v>1691</v>
      </c>
    </row>
    <row r="5989" spans="1:1" x14ac:dyDescent="0.25">
      <c r="A5989" s="76" t="s">
        <v>1692</v>
      </c>
    </row>
    <row r="5990" spans="1:1" x14ac:dyDescent="0.25">
      <c r="A5990" s="76" t="s">
        <v>1693</v>
      </c>
    </row>
    <row r="5991" spans="1:1" x14ac:dyDescent="0.25">
      <c r="A5991" s="76" t="s">
        <v>1694</v>
      </c>
    </row>
    <row r="5992" spans="1:1" x14ac:dyDescent="0.25">
      <c r="A5992" s="76" t="s">
        <v>1695</v>
      </c>
    </row>
    <row r="5993" spans="1:1" x14ac:dyDescent="0.25">
      <c r="A5993" s="76" t="s">
        <v>1696</v>
      </c>
    </row>
    <row r="5994" spans="1:1" x14ac:dyDescent="0.25">
      <c r="A5994" s="76" t="s">
        <v>1697</v>
      </c>
    </row>
    <row r="5995" spans="1:1" x14ac:dyDescent="0.25">
      <c r="A5995" s="76" t="s">
        <v>1698</v>
      </c>
    </row>
    <row r="5996" spans="1:1" x14ac:dyDescent="0.25">
      <c r="A5996" s="76" t="s">
        <v>1699</v>
      </c>
    </row>
    <row r="5997" spans="1:1" x14ac:dyDescent="0.25">
      <c r="A5997" s="76" t="s">
        <v>1700</v>
      </c>
    </row>
    <row r="5998" spans="1:1" x14ac:dyDescent="0.25">
      <c r="A5998" s="76" t="s">
        <v>1701</v>
      </c>
    </row>
    <row r="5999" spans="1:1" x14ac:dyDescent="0.25">
      <c r="A5999" s="76" t="s">
        <v>1702</v>
      </c>
    </row>
    <row r="6000" spans="1:1" x14ac:dyDescent="0.25">
      <c r="A6000" s="76" t="s">
        <v>1703</v>
      </c>
    </row>
    <row r="6001" spans="1:1" x14ac:dyDescent="0.25">
      <c r="A6001" s="76" t="s">
        <v>1704</v>
      </c>
    </row>
    <row r="6002" spans="1:1" x14ac:dyDescent="0.25">
      <c r="A6002" s="76" t="s">
        <v>1705</v>
      </c>
    </row>
    <row r="6003" spans="1:1" x14ac:dyDescent="0.25">
      <c r="A6003" s="76" t="s">
        <v>1706</v>
      </c>
    </row>
    <row r="6004" spans="1:1" x14ac:dyDescent="0.25">
      <c r="A6004" s="76" t="s">
        <v>1707</v>
      </c>
    </row>
    <row r="6005" spans="1:1" x14ac:dyDescent="0.25">
      <c r="A6005" s="76" t="s">
        <v>1708</v>
      </c>
    </row>
    <row r="6006" spans="1:1" x14ac:dyDescent="0.25">
      <c r="A6006" s="76" t="s">
        <v>1709</v>
      </c>
    </row>
    <row r="6007" spans="1:1" x14ac:dyDescent="0.25">
      <c r="A6007" s="76" t="s">
        <v>1710</v>
      </c>
    </row>
    <row r="6008" spans="1:1" x14ac:dyDescent="0.25">
      <c r="A6008" s="76" t="s">
        <v>1711</v>
      </c>
    </row>
    <row r="6009" spans="1:1" x14ac:dyDescent="0.25">
      <c r="A6009" s="76" t="s">
        <v>1712</v>
      </c>
    </row>
    <row r="6010" spans="1:1" x14ac:dyDescent="0.25">
      <c r="A6010" s="76" t="s">
        <v>1713</v>
      </c>
    </row>
    <row r="6011" spans="1:1" x14ac:dyDescent="0.25">
      <c r="A6011" s="76" t="s">
        <v>1714</v>
      </c>
    </row>
    <row r="6012" spans="1:1" x14ac:dyDescent="0.25">
      <c r="A6012" s="76" t="s">
        <v>1715</v>
      </c>
    </row>
    <row r="6013" spans="1:1" x14ac:dyDescent="0.25">
      <c r="A6013" s="76" t="s">
        <v>1716</v>
      </c>
    </row>
    <row r="6014" spans="1:1" x14ac:dyDescent="0.25">
      <c r="A6014" s="76" t="s">
        <v>1717</v>
      </c>
    </row>
    <row r="6015" spans="1:1" x14ac:dyDescent="0.25">
      <c r="A6015" s="76" t="s">
        <v>1718</v>
      </c>
    </row>
    <row r="6016" spans="1:1" x14ac:dyDescent="0.25">
      <c r="A6016" s="76" t="s">
        <v>1719</v>
      </c>
    </row>
    <row r="6017" spans="1:1" x14ac:dyDescent="0.25">
      <c r="A6017" s="108" t="s">
        <v>1720</v>
      </c>
    </row>
    <row r="6018" spans="1:1" x14ac:dyDescent="0.25">
      <c r="A6018" s="76" t="s">
        <v>1721</v>
      </c>
    </row>
    <row r="6019" spans="1:1" x14ac:dyDescent="0.25">
      <c r="A6019" s="76" t="s">
        <v>1722</v>
      </c>
    </row>
    <row r="6020" spans="1:1" x14ac:dyDescent="0.25">
      <c r="A6020" s="76" t="s">
        <v>1723</v>
      </c>
    </row>
    <row r="6021" spans="1:1" x14ac:dyDescent="0.25">
      <c r="A6021" s="76" t="s">
        <v>1724</v>
      </c>
    </row>
    <row r="6022" spans="1:1" x14ac:dyDescent="0.25">
      <c r="A6022" s="76" t="s">
        <v>1725</v>
      </c>
    </row>
    <row r="6023" spans="1:1" x14ac:dyDescent="0.25">
      <c r="A6023" s="76" t="s">
        <v>1726</v>
      </c>
    </row>
    <row r="6024" spans="1:1" x14ac:dyDescent="0.25">
      <c r="A6024" s="76" t="s">
        <v>1727</v>
      </c>
    </row>
    <row r="6025" spans="1:1" x14ac:dyDescent="0.25">
      <c r="A6025" s="76" t="s">
        <v>1728</v>
      </c>
    </row>
    <row r="6026" spans="1:1" x14ac:dyDescent="0.25">
      <c r="A6026" s="76" t="s">
        <v>1729</v>
      </c>
    </row>
    <row r="6027" spans="1:1" x14ac:dyDescent="0.25">
      <c r="A6027" s="76" t="s">
        <v>1730</v>
      </c>
    </row>
    <row r="6028" spans="1:1" x14ac:dyDescent="0.25">
      <c r="A6028" s="76" t="s">
        <v>1731</v>
      </c>
    </row>
    <row r="6029" spans="1:1" x14ac:dyDescent="0.25">
      <c r="A6029" s="76" t="s">
        <v>1732</v>
      </c>
    </row>
    <row r="6030" spans="1:1" x14ac:dyDescent="0.25">
      <c r="A6030" s="76" t="s">
        <v>1733</v>
      </c>
    </row>
    <row r="6031" spans="1:1" x14ac:dyDescent="0.25">
      <c r="A6031" s="76" t="s">
        <v>1734</v>
      </c>
    </row>
    <row r="6032" spans="1:1" x14ac:dyDescent="0.25">
      <c r="A6032" s="76" t="s">
        <v>1735</v>
      </c>
    </row>
    <row r="6033" spans="1:1" x14ac:dyDescent="0.25">
      <c r="A6033" s="76" t="s">
        <v>1736</v>
      </c>
    </row>
    <row r="6034" spans="1:1" x14ac:dyDescent="0.25">
      <c r="A6034" s="76" t="s">
        <v>1737</v>
      </c>
    </row>
    <row r="6035" spans="1:1" x14ac:dyDescent="0.25">
      <c r="A6035" s="108" t="s">
        <v>1738</v>
      </c>
    </row>
    <row r="6036" spans="1:1" x14ac:dyDescent="0.25">
      <c r="A6036" s="108" t="s">
        <v>1739</v>
      </c>
    </row>
    <row r="6037" spans="1:1" x14ac:dyDescent="0.25">
      <c r="A6037" s="76" t="s">
        <v>1740</v>
      </c>
    </row>
    <row r="6038" spans="1:1" x14ac:dyDescent="0.25">
      <c r="A6038" s="29" t="s">
        <v>1741</v>
      </c>
    </row>
    <row r="6039" spans="1:1" x14ac:dyDescent="0.25">
      <c r="A6039" s="76" t="s">
        <v>1742</v>
      </c>
    </row>
    <row r="6040" spans="1:1" x14ac:dyDescent="0.25">
      <c r="A6040" s="76" t="s">
        <v>1743</v>
      </c>
    </row>
    <row r="6041" spans="1:1" x14ac:dyDescent="0.25">
      <c r="A6041" s="76" t="s">
        <v>1744</v>
      </c>
    </row>
    <row r="6042" spans="1:1" x14ac:dyDescent="0.25">
      <c r="A6042" s="108" t="s">
        <v>1745</v>
      </c>
    </row>
    <row r="6043" spans="1:1" x14ac:dyDescent="0.25">
      <c r="A6043" s="108" t="s">
        <v>1746</v>
      </c>
    </row>
    <row r="6044" spans="1:1" x14ac:dyDescent="0.25">
      <c r="A6044" s="76" t="s">
        <v>1747</v>
      </c>
    </row>
    <row r="6045" spans="1:1" x14ac:dyDescent="0.25">
      <c r="A6045" s="29" t="s">
        <v>1748</v>
      </c>
    </row>
    <row r="6046" spans="1:1" x14ac:dyDescent="0.25">
      <c r="A6046" s="76" t="s">
        <v>1749</v>
      </c>
    </row>
    <row r="6047" spans="1:1" x14ac:dyDescent="0.25">
      <c r="A6047" s="76" t="s">
        <v>1750</v>
      </c>
    </row>
    <row r="6048" spans="1:1" x14ac:dyDescent="0.25">
      <c r="A6048" s="76" t="s">
        <v>1751</v>
      </c>
    </row>
    <row r="6049" spans="1:1" x14ac:dyDescent="0.25">
      <c r="A6049" s="108" t="s">
        <v>1752</v>
      </c>
    </row>
    <row r="6050" spans="1:1" x14ac:dyDescent="0.25">
      <c r="A6050" s="108" t="s">
        <v>1753</v>
      </c>
    </row>
    <row r="6051" spans="1:1" x14ac:dyDescent="0.25">
      <c r="A6051" s="76" t="s">
        <v>1754</v>
      </c>
    </row>
    <row r="6052" spans="1:1" x14ac:dyDescent="0.25">
      <c r="A6052" s="29" t="s">
        <v>1755</v>
      </c>
    </row>
    <row r="6053" spans="1:1" x14ac:dyDescent="0.25">
      <c r="A6053" s="76" t="s">
        <v>1756</v>
      </c>
    </row>
    <row r="6054" spans="1:1" x14ac:dyDescent="0.25">
      <c r="A6054" s="76" t="s">
        <v>1757</v>
      </c>
    </row>
    <row r="6055" spans="1:1" x14ac:dyDescent="0.25">
      <c r="A6055" s="76" t="s">
        <v>1758</v>
      </c>
    </row>
    <row r="6056" spans="1:1" x14ac:dyDescent="0.25">
      <c r="A6056" s="108" t="s">
        <v>1759</v>
      </c>
    </row>
    <row r="6057" spans="1:1" x14ac:dyDescent="0.25">
      <c r="A6057" s="108" t="s">
        <v>1760</v>
      </c>
    </row>
    <row r="6058" spans="1:1" x14ac:dyDescent="0.25">
      <c r="A6058" s="76" t="s">
        <v>1761</v>
      </c>
    </row>
    <row r="6059" spans="1:1" x14ac:dyDescent="0.25">
      <c r="A6059" s="29" t="s">
        <v>1762</v>
      </c>
    </row>
    <row r="6060" spans="1:1" x14ac:dyDescent="0.25">
      <c r="A6060" s="76" t="s">
        <v>1763</v>
      </c>
    </row>
    <row r="6061" spans="1:1" x14ac:dyDescent="0.25">
      <c r="A6061" s="76" t="s">
        <v>1764</v>
      </c>
    </row>
    <row r="6062" spans="1:1" x14ac:dyDescent="0.25">
      <c r="A6062" s="76" t="s">
        <v>1765</v>
      </c>
    </row>
    <row r="6063" spans="1:1" x14ac:dyDescent="0.25">
      <c r="A6063" s="108" t="s">
        <v>1766</v>
      </c>
    </row>
    <row r="6064" spans="1:1" x14ac:dyDescent="0.25">
      <c r="A6064" s="108" t="s">
        <v>1767</v>
      </c>
    </row>
    <row r="6065" spans="1:1" x14ac:dyDescent="0.25">
      <c r="A6065" s="76" t="s">
        <v>1768</v>
      </c>
    </row>
    <row r="6066" spans="1:1" x14ac:dyDescent="0.25">
      <c r="A6066" s="29" t="s">
        <v>1769</v>
      </c>
    </row>
    <row r="6067" spans="1:1" x14ac:dyDescent="0.25">
      <c r="A6067" s="76" t="s">
        <v>1770</v>
      </c>
    </row>
    <row r="6068" spans="1:1" x14ac:dyDescent="0.25">
      <c r="A6068" s="76" t="s">
        <v>1771</v>
      </c>
    </row>
    <row r="6069" spans="1:1" x14ac:dyDescent="0.25">
      <c r="A6069" s="76" t="s">
        <v>1772</v>
      </c>
    </row>
    <row r="6070" spans="1:1" x14ac:dyDescent="0.25">
      <c r="A6070" s="108" t="s">
        <v>1773</v>
      </c>
    </row>
    <row r="6071" spans="1:1" x14ac:dyDescent="0.25">
      <c r="A6071" s="108" t="s">
        <v>1774</v>
      </c>
    </row>
    <row r="6072" spans="1:1" x14ac:dyDescent="0.25">
      <c r="A6072" s="76" t="s">
        <v>1775</v>
      </c>
    </row>
    <row r="6073" spans="1:1" x14ac:dyDescent="0.25">
      <c r="A6073" s="29" t="s">
        <v>1776</v>
      </c>
    </row>
    <row r="6074" spans="1:1" x14ac:dyDescent="0.25">
      <c r="A6074" s="76" t="s">
        <v>1777</v>
      </c>
    </row>
    <row r="6075" spans="1:1" x14ac:dyDescent="0.25">
      <c r="A6075" s="76" t="s">
        <v>1778</v>
      </c>
    </row>
    <row r="6076" spans="1:1" x14ac:dyDescent="0.25">
      <c r="A6076" s="76" t="s">
        <v>1779</v>
      </c>
    </row>
    <row r="6077" spans="1:1" x14ac:dyDescent="0.25">
      <c r="A6077" s="76" t="s">
        <v>1780</v>
      </c>
    </row>
    <row r="6078" spans="1:1" x14ac:dyDescent="0.25">
      <c r="A6078" s="76" t="s">
        <v>1781</v>
      </c>
    </row>
    <row r="6079" spans="1:1" x14ac:dyDescent="0.25">
      <c r="A6079" s="108" t="s">
        <v>1782</v>
      </c>
    </row>
    <row r="6080" spans="1:1" x14ac:dyDescent="0.25">
      <c r="A6080" s="76" t="s">
        <v>1783</v>
      </c>
    </row>
    <row r="6081" spans="1:1" x14ac:dyDescent="0.25">
      <c r="A6081" s="76" t="s">
        <v>1784</v>
      </c>
    </row>
    <row r="6082" spans="1:1" x14ac:dyDescent="0.25">
      <c r="A6082" s="76" t="s">
        <v>1785</v>
      </c>
    </row>
    <row r="6083" spans="1:1" x14ac:dyDescent="0.25">
      <c r="A6083" s="76" t="s">
        <v>1786</v>
      </c>
    </row>
    <row r="6084" spans="1:1" x14ac:dyDescent="0.25">
      <c r="A6084" s="76" t="s">
        <v>1787</v>
      </c>
    </row>
    <row r="6085" spans="1:1" x14ac:dyDescent="0.25">
      <c r="A6085" s="108" t="s">
        <v>1788</v>
      </c>
    </row>
    <row r="6086" spans="1:1" x14ac:dyDescent="0.25">
      <c r="A6086" s="76" t="s">
        <v>1789</v>
      </c>
    </row>
    <row r="6087" spans="1:1" x14ac:dyDescent="0.25">
      <c r="A6087" s="76" t="s">
        <v>1790</v>
      </c>
    </row>
    <row r="6088" spans="1:1" x14ac:dyDescent="0.25">
      <c r="A6088" s="76" t="s">
        <v>1791</v>
      </c>
    </row>
    <row r="6089" spans="1:1" x14ac:dyDescent="0.25">
      <c r="A6089" s="76" t="s">
        <v>1792</v>
      </c>
    </row>
    <row r="6090" spans="1:1" x14ac:dyDescent="0.25">
      <c r="A6090" s="76" t="s">
        <v>1793</v>
      </c>
    </row>
    <row r="6091" spans="1:1" x14ac:dyDescent="0.25">
      <c r="A6091" s="76" t="s">
        <v>1794</v>
      </c>
    </row>
    <row r="6092" spans="1:1" x14ac:dyDescent="0.25">
      <c r="A6092" s="76" t="s">
        <v>1795</v>
      </c>
    </row>
    <row r="6093" spans="1:1" x14ac:dyDescent="0.25">
      <c r="A6093" s="76" t="s">
        <v>1796</v>
      </c>
    </row>
    <row r="6094" spans="1:1" x14ac:dyDescent="0.25">
      <c r="A6094" s="76" t="s">
        <v>1797</v>
      </c>
    </row>
    <row r="6095" spans="1:1" x14ac:dyDescent="0.25">
      <c r="A6095" s="76" t="s">
        <v>1798</v>
      </c>
    </row>
    <row r="6096" spans="1:1" x14ac:dyDescent="0.25">
      <c r="A6096" s="76" t="s">
        <v>1799</v>
      </c>
    </row>
    <row r="6097" spans="1:1" x14ac:dyDescent="0.25">
      <c r="A6097" s="76" t="s">
        <v>1800</v>
      </c>
    </row>
    <row r="6098" spans="1:1" x14ac:dyDescent="0.25">
      <c r="A6098" s="76" t="s">
        <v>1801</v>
      </c>
    </row>
    <row r="6099" spans="1:1" x14ac:dyDescent="0.25">
      <c r="A6099" s="76" t="s">
        <v>1802</v>
      </c>
    </row>
    <row r="6100" spans="1:1" x14ac:dyDescent="0.25">
      <c r="A6100" s="76" t="s">
        <v>1803</v>
      </c>
    </row>
    <row r="6101" spans="1:1" x14ac:dyDescent="0.25">
      <c r="A6101" s="76" t="s">
        <v>1804</v>
      </c>
    </row>
    <row r="6102" spans="1:1" x14ac:dyDescent="0.25">
      <c r="A6102" s="76" t="s">
        <v>1805</v>
      </c>
    </row>
    <row r="6103" spans="1:1" x14ac:dyDescent="0.25">
      <c r="A6103" s="108" t="s">
        <v>1806</v>
      </c>
    </row>
    <row r="6104" spans="1:1" x14ac:dyDescent="0.25">
      <c r="A6104" s="76" t="s">
        <v>1807</v>
      </c>
    </row>
    <row r="6105" spans="1:1" x14ac:dyDescent="0.25">
      <c r="A6105" s="76" t="s">
        <v>1808</v>
      </c>
    </row>
    <row r="6106" spans="1:1" x14ac:dyDescent="0.25">
      <c r="A6106" s="76" t="s">
        <v>1809</v>
      </c>
    </row>
    <row r="6107" spans="1:1" x14ac:dyDescent="0.25">
      <c r="A6107" s="76" t="s">
        <v>1810</v>
      </c>
    </row>
    <row r="6108" spans="1:1" x14ac:dyDescent="0.25">
      <c r="A6108" s="76" t="s">
        <v>1811</v>
      </c>
    </row>
    <row r="6109" spans="1:1" x14ac:dyDescent="0.25">
      <c r="A6109" s="76" t="s">
        <v>1812</v>
      </c>
    </row>
    <row r="6110" spans="1:1" x14ac:dyDescent="0.25">
      <c r="A6110" s="76" t="s">
        <v>1813</v>
      </c>
    </row>
    <row r="6111" spans="1:1" x14ac:dyDescent="0.25">
      <c r="A6111" s="76" t="s">
        <v>1814</v>
      </c>
    </row>
    <row r="6112" spans="1:1" x14ac:dyDescent="0.25">
      <c r="A6112" s="76" t="s">
        <v>1815</v>
      </c>
    </row>
    <row r="6113" spans="1:1" x14ac:dyDescent="0.25">
      <c r="A6113" s="76" t="s">
        <v>1816</v>
      </c>
    </row>
    <row r="6114" spans="1:1" x14ac:dyDescent="0.25">
      <c r="A6114" s="76" t="s">
        <v>1817</v>
      </c>
    </row>
    <row r="6115" spans="1:1" x14ac:dyDescent="0.25">
      <c r="A6115" s="108" t="s">
        <v>1818</v>
      </c>
    </row>
    <row r="6116" spans="1:1" x14ac:dyDescent="0.25">
      <c r="A6116" s="76" t="s">
        <v>1819</v>
      </c>
    </row>
    <row r="6117" spans="1:1" x14ac:dyDescent="0.25">
      <c r="A6117" s="76" t="s">
        <v>1820</v>
      </c>
    </row>
    <row r="6118" spans="1:1" x14ac:dyDescent="0.25">
      <c r="A6118" s="76" t="s">
        <v>1821</v>
      </c>
    </row>
    <row r="6119" spans="1:1" x14ac:dyDescent="0.25">
      <c r="A6119" s="76" t="s">
        <v>1822</v>
      </c>
    </row>
    <row r="6120" spans="1:1" x14ac:dyDescent="0.25">
      <c r="A6120" s="76" t="s">
        <v>1823</v>
      </c>
    </row>
    <row r="6121" spans="1:1" x14ac:dyDescent="0.25">
      <c r="A6121" s="76" t="s">
        <v>1824</v>
      </c>
    </row>
    <row r="6122" spans="1:1" x14ac:dyDescent="0.25">
      <c r="A6122" s="76" t="s">
        <v>1825</v>
      </c>
    </row>
    <row r="6123" spans="1:1" x14ac:dyDescent="0.25">
      <c r="A6123" s="76" t="s">
        <v>1826</v>
      </c>
    </row>
    <row r="6124" spans="1:1" x14ac:dyDescent="0.25">
      <c r="A6124" s="76" t="s">
        <v>1827</v>
      </c>
    </row>
    <row r="6125" spans="1:1" x14ac:dyDescent="0.25">
      <c r="A6125" s="108" t="s">
        <v>1828</v>
      </c>
    </row>
    <row r="6126" spans="1:1" x14ac:dyDescent="0.25">
      <c r="A6126" s="76" t="s">
        <v>1829</v>
      </c>
    </row>
    <row r="6127" spans="1:1" x14ac:dyDescent="0.25">
      <c r="A6127" s="76" t="s">
        <v>1830</v>
      </c>
    </row>
    <row r="6128" spans="1:1" x14ac:dyDescent="0.25">
      <c r="A6128" s="76" t="s">
        <v>1831</v>
      </c>
    </row>
    <row r="6129" spans="1:1" x14ac:dyDescent="0.25">
      <c r="A6129" s="76" t="s">
        <v>1832</v>
      </c>
    </row>
    <row r="6130" spans="1:1" x14ac:dyDescent="0.25">
      <c r="A6130" s="76" t="s">
        <v>1833</v>
      </c>
    </row>
    <row r="6131" spans="1:1" x14ac:dyDescent="0.25">
      <c r="A6131" s="108" t="s">
        <v>1834</v>
      </c>
    </row>
    <row r="6132" spans="1:1" x14ac:dyDescent="0.25">
      <c r="A6132" s="76" t="s">
        <v>1835</v>
      </c>
    </row>
    <row r="6133" spans="1:1" x14ac:dyDescent="0.25">
      <c r="A6133" s="76" t="s">
        <v>1836</v>
      </c>
    </row>
    <row r="6134" spans="1:1" x14ac:dyDescent="0.25">
      <c r="A6134" s="76" t="s">
        <v>1837</v>
      </c>
    </row>
    <row r="6135" spans="1:1" x14ac:dyDescent="0.25">
      <c r="A6135" s="76" t="s">
        <v>1838</v>
      </c>
    </row>
    <row r="6136" spans="1:1" x14ac:dyDescent="0.25">
      <c r="A6136" s="76" t="s">
        <v>1839</v>
      </c>
    </row>
    <row r="6137" spans="1:1" x14ac:dyDescent="0.25">
      <c r="A6137" s="76" t="s">
        <v>1840</v>
      </c>
    </row>
    <row r="6138" spans="1:1" x14ac:dyDescent="0.25">
      <c r="A6138" s="76" t="s">
        <v>1841</v>
      </c>
    </row>
    <row r="6139" spans="1:1" x14ac:dyDescent="0.25">
      <c r="A6139" s="108" t="s">
        <v>1842</v>
      </c>
    </row>
    <row r="6140" spans="1:1" x14ac:dyDescent="0.25">
      <c r="A6140" s="108" t="s">
        <v>1843</v>
      </c>
    </row>
    <row r="6141" spans="1:1" x14ac:dyDescent="0.25">
      <c r="A6141" s="76" t="s">
        <v>1844</v>
      </c>
    </row>
    <row r="6142" spans="1:1" x14ac:dyDescent="0.25">
      <c r="A6142" s="29" t="s">
        <v>1845</v>
      </c>
    </row>
    <row r="6143" spans="1:1" x14ac:dyDescent="0.25">
      <c r="A6143" s="76" t="s">
        <v>1846</v>
      </c>
    </row>
    <row r="6144" spans="1:1" x14ac:dyDescent="0.25">
      <c r="A6144" s="76" t="s">
        <v>1847</v>
      </c>
    </row>
    <row r="6145" spans="1:1" x14ac:dyDescent="0.25">
      <c r="A6145" s="76" t="s">
        <v>1848</v>
      </c>
    </row>
    <row r="6146" spans="1:1" x14ac:dyDescent="0.25">
      <c r="A6146" s="108" t="s">
        <v>1849</v>
      </c>
    </row>
    <row r="6147" spans="1:1" x14ac:dyDescent="0.25">
      <c r="A6147" s="108" t="s">
        <v>1850</v>
      </c>
    </row>
    <row r="6148" spans="1:1" x14ac:dyDescent="0.25">
      <c r="A6148" s="76" t="s">
        <v>1851</v>
      </c>
    </row>
    <row r="6149" spans="1:1" x14ac:dyDescent="0.25">
      <c r="A6149" s="29" t="s">
        <v>1852</v>
      </c>
    </row>
    <row r="6150" spans="1:1" x14ac:dyDescent="0.25">
      <c r="A6150" s="76" t="s">
        <v>1853</v>
      </c>
    </row>
    <row r="6151" spans="1:1" x14ac:dyDescent="0.25">
      <c r="A6151" s="76" t="s">
        <v>1854</v>
      </c>
    </row>
    <row r="6152" spans="1:1" x14ac:dyDescent="0.25">
      <c r="A6152" s="76" t="s">
        <v>1855</v>
      </c>
    </row>
    <row r="6153" spans="1:1" x14ac:dyDescent="0.25">
      <c r="A6153" s="108" t="s">
        <v>1856</v>
      </c>
    </row>
    <row r="6154" spans="1:1" x14ac:dyDescent="0.25">
      <c r="A6154" s="108" t="s">
        <v>1857</v>
      </c>
    </row>
    <row r="6155" spans="1:1" x14ac:dyDescent="0.25">
      <c r="A6155" s="76" t="s">
        <v>1858</v>
      </c>
    </row>
    <row r="6156" spans="1:1" x14ac:dyDescent="0.25">
      <c r="A6156" s="29" t="s">
        <v>1859</v>
      </c>
    </row>
    <row r="6157" spans="1:1" x14ac:dyDescent="0.25">
      <c r="A6157" s="76" t="s">
        <v>1860</v>
      </c>
    </row>
    <row r="6158" spans="1:1" x14ac:dyDescent="0.25">
      <c r="A6158" s="76" t="s">
        <v>1861</v>
      </c>
    </row>
    <row r="6159" spans="1:1" x14ac:dyDescent="0.25">
      <c r="A6159" s="76" t="s">
        <v>1862</v>
      </c>
    </row>
    <row r="6160" spans="1:1" x14ac:dyDescent="0.25">
      <c r="A6160" s="108" t="s">
        <v>1863</v>
      </c>
    </row>
    <row r="6161" spans="1:1" x14ac:dyDescent="0.25">
      <c r="A6161" s="108" t="s">
        <v>1864</v>
      </c>
    </row>
    <row r="6162" spans="1:1" x14ac:dyDescent="0.25">
      <c r="A6162" s="76" t="s">
        <v>1865</v>
      </c>
    </row>
    <row r="6163" spans="1:1" x14ac:dyDescent="0.25">
      <c r="A6163" s="29" t="s">
        <v>1866</v>
      </c>
    </row>
    <row r="6164" spans="1:1" x14ac:dyDescent="0.25">
      <c r="A6164" s="76" t="s">
        <v>1867</v>
      </c>
    </row>
    <row r="6165" spans="1:1" x14ac:dyDescent="0.25">
      <c r="A6165" s="76" t="s">
        <v>1868</v>
      </c>
    </row>
    <row r="6166" spans="1:1" x14ac:dyDescent="0.25">
      <c r="A6166" s="76" t="s">
        <v>1869</v>
      </c>
    </row>
    <row r="6167" spans="1:1" x14ac:dyDescent="0.25">
      <c r="A6167" s="108" t="s">
        <v>1870</v>
      </c>
    </row>
    <row r="6168" spans="1:1" x14ac:dyDescent="0.25">
      <c r="A6168" s="108" t="s">
        <v>1871</v>
      </c>
    </row>
    <row r="6169" spans="1:1" x14ac:dyDescent="0.25">
      <c r="A6169" s="76" t="s">
        <v>1872</v>
      </c>
    </row>
    <row r="6170" spans="1:1" x14ac:dyDescent="0.25">
      <c r="A6170" s="29" t="s">
        <v>1873</v>
      </c>
    </row>
    <row r="6171" spans="1:1" x14ac:dyDescent="0.25">
      <c r="A6171" s="76" t="s">
        <v>1874</v>
      </c>
    </row>
    <row r="6172" spans="1:1" x14ac:dyDescent="0.25">
      <c r="A6172" s="76" t="s">
        <v>1875</v>
      </c>
    </row>
    <row r="6173" spans="1:1" x14ac:dyDescent="0.25">
      <c r="A6173" s="76" t="s">
        <v>1876</v>
      </c>
    </row>
    <row r="6174" spans="1:1" x14ac:dyDescent="0.25">
      <c r="A6174" s="108" t="s">
        <v>1877</v>
      </c>
    </row>
    <row r="6175" spans="1:1" x14ac:dyDescent="0.25">
      <c r="A6175" s="108" t="s">
        <v>1878</v>
      </c>
    </row>
    <row r="6176" spans="1:1" x14ac:dyDescent="0.25">
      <c r="A6176" s="76" t="s">
        <v>1879</v>
      </c>
    </row>
    <row r="6177" spans="1:1" x14ac:dyDescent="0.25">
      <c r="A6177" s="29" t="s">
        <v>1880</v>
      </c>
    </row>
    <row r="6178" spans="1:1" x14ac:dyDescent="0.25">
      <c r="A6178" s="108" t="s">
        <v>1881</v>
      </c>
    </row>
    <row r="6179" spans="1:1" x14ac:dyDescent="0.25">
      <c r="A6179" s="76" t="s">
        <v>1882</v>
      </c>
    </row>
    <row r="6180" spans="1:1" x14ac:dyDescent="0.25">
      <c r="A6180" s="76" t="s">
        <v>1883</v>
      </c>
    </row>
    <row r="6181" spans="1:1" x14ac:dyDescent="0.25">
      <c r="A6181" s="76" t="s">
        <v>1884</v>
      </c>
    </row>
    <row r="6182" spans="1:1" x14ac:dyDescent="0.25">
      <c r="A6182" s="76" t="s">
        <v>1885</v>
      </c>
    </row>
    <row r="6183" spans="1:1" x14ac:dyDescent="0.25">
      <c r="A6183" s="76" t="s">
        <v>1886</v>
      </c>
    </row>
    <row r="6184" spans="1:1" x14ac:dyDescent="0.25">
      <c r="A6184" s="76" t="s">
        <v>1887</v>
      </c>
    </row>
    <row r="6185" spans="1:1" x14ac:dyDescent="0.25">
      <c r="A6185" s="76" t="s">
        <v>1888</v>
      </c>
    </row>
    <row r="6186" spans="1:1" x14ac:dyDescent="0.25">
      <c r="A6186" s="76" t="s">
        <v>1889</v>
      </c>
    </row>
    <row r="6187" spans="1:1" x14ac:dyDescent="0.25">
      <c r="A6187" s="76" t="s">
        <v>1890</v>
      </c>
    </row>
    <row r="6188" spans="1:1" x14ac:dyDescent="0.25">
      <c r="A6188" s="76" t="s">
        <v>1891</v>
      </c>
    </row>
    <row r="6189" spans="1:1" x14ac:dyDescent="0.25">
      <c r="A6189" s="76" t="s">
        <v>1892</v>
      </c>
    </row>
    <row r="6190" spans="1:1" x14ac:dyDescent="0.25">
      <c r="A6190" s="76" t="s">
        <v>1893</v>
      </c>
    </row>
    <row r="6191" spans="1:1" x14ac:dyDescent="0.25">
      <c r="A6191" s="76" t="s">
        <v>1894</v>
      </c>
    </row>
    <row r="6192" spans="1:1" x14ac:dyDescent="0.25">
      <c r="A6192" s="76" t="s">
        <v>1895</v>
      </c>
    </row>
    <row r="6193" spans="1:1" x14ac:dyDescent="0.25">
      <c r="A6193" s="76" t="s">
        <v>1896</v>
      </c>
    </row>
    <row r="6194" spans="1:1" x14ac:dyDescent="0.25">
      <c r="A6194" s="76" t="s">
        <v>1897</v>
      </c>
    </row>
    <row r="6195" spans="1:1" x14ac:dyDescent="0.25">
      <c r="A6195" s="76" t="s">
        <v>1898</v>
      </c>
    </row>
    <row r="6196" spans="1:1" x14ac:dyDescent="0.25">
      <c r="A6196" s="76" t="s">
        <v>1899</v>
      </c>
    </row>
    <row r="6197" spans="1:1" x14ac:dyDescent="0.25">
      <c r="A6197" s="76" t="s">
        <v>1900</v>
      </c>
    </row>
    <row r="6198" spans="1:1" x14ac:dyDescent="0.25">
      <c r="A6198" s="76" t="s">
        <v>1901</v>
      </c>
    </row>
    <row r="6199" spans="1:1" x14ac:dyDescent="0.25">
      <c r="A6199" s="76" t="s">
        <v>1902</v>
      </c>
    </row>
    <row r="6200" spans="1:1" x14ac:dyDescent="0.25">
      <c r="A6200" s="76" t="s">
        <v>1903</v>
      </c>
    </row>
    <row r="6201" spans="1:1" x14ac:dyDescent="0.25">
      <c r="A6201" s="108" t="s">
        <v>1904</v>
      </c>
    </row>
    <row r="6202" spans="1:1" x14ac:dyDescent="0.25">
      <c r="A6202" s="76" t="s">
        <v>1905</v>
      </c>
    </row>
    <row r="6203" spans="1:1" x14ac:dyDescent="0.25">
      <c r="A6203" s="76" t="s">
        <v>1906</v>
      </c>
    </row>
    <row r="6204" spans="1:1" x14ac:dyDescent="0.25">
      <c r="A6204" s="76" t="s">
        <v>1907</v>
      </c>
    </row>
    <row r="6205" spans="1:1" x14ac:dyDescent="0.25">
      <c r="A6205" s="108" t="s">
        <v>1908</v>
      </c>
    </row>
    <row r="6206" spans="1:1" x14ac:dyDescent="0.25">
      <c r="A6206" s="76" t="s">
        <v>1909</v>
      </c>
    </row>
    <row r="6207" spans="1:1" x14ac:dyDescent="0.25">
      <c r="A6207" s="76" t="s">
        <v>1910</v>
      </c>
    </row>
    <row r="6208" spans="1:1" x14ac:dyDescent="0.25">
      <c r="A6208" s="76" t="s">
        <v>1911</v>
      </c>
    </row>
    <row r="6209" spans="1:1" x14ac:dyDescent="0.25">
      <c r="A6209" s="76" t="s">
        <v>1912</v>
      </c>
    </row>
    <row r="6210" spans="1:1" x14ac:dyDescent="0.25">
      <c r="A6210" s="76" t="s">
        <v>1913</v>
      </c>
    </row>
    <row r="6211" spans="1:1" x14ac:dyDescent="0.25">
      <c r="A6211" s="76" t="s">
        <v>1914</v>
      </c>
    </row>
    <row r="6212" spans="1:1" x14ac:dyDescent="0.25">
      <c r="A6212" s="76" t="s">
        <v>1915</v>
      </c>
    </row>
    <row r="6213" spans="1:1" x14ac:dyDescent="0.25">
      <c r="A6213" s="76" t="s">
        <v>1916</v>
      </c>
    </row>
    <row r="6214" spans="1:1" x14ac:dyDescent="0.25">
      <c r="A6214" s="76" t="s">
        <v>1917</v>
      </c>
    </row>
    <row r="6215" spans="1:1" x14ac:dyDescent="0.25">
      <c r="A6215" s="76" t="s">
        <v>1918</v>
      </c>
    </row>
    <row r="6216" spans="1:1" x14ac:dyDescent="0.25">
      <c r="A6216" s="108" t="s">
        <v>1919</v>
      </c>
    </row>
    <row r="6217" spans="1:1" x14ac:dyDescent="0.25">
      <c r="A6217" s="76" t="s">
        <v>1920</v>
      </c>
    </row>
    <row r="6218" spans="1:1" x14ac:dyDescent="0.25">
      <c r="A6218" s="76" t="s">
        <v>1921</v>
      </c>
    </row>
    <row r="6219" spans="1:1" x14ac:dyDescent="0.25">
      <c r="A6219" s="76" t="s">
        <v>1922</v>
      </c>
    </row>
    <row r="6220" spans="1:1" x14ac:dyDescent="0.25">
      <c r="A6220" s="76" t="s">
        <v>1923</v>
      </c>
    </row>
    <row r="6221" spans="1:1" x14ac:dyDescent="0.25">
      <c r="A6221" s="76" t="s">
        <v>1924</v>
      </c>
    </row>
    <row r="6222" spans="1:1" x14ac:dyDescent="0.25">
      <c r="A6222" s="76" t="s">
        <v>1925</v>
      </c>
    </row>
    <row r="6223" spans="1:1" x14ac:dyDescent="0.25">
      <c r="A6223" s="76" t="s">
        <v>1926</v>
      </c>
    </row>
    <row r="6224" spans="1:1" x14ac:dyDescent="0.25">
      <c r="A6224" s="108" t="s">
        <v>1927</v>
      </c>
    </row>
    <row r="6225" spans="1:1" x14ac:dyDescent="0.25">
      <c r="A6225" s="76" t="s">
        <v>1928</v>
      </c>
    </row>
    <row r="6226" spans="1:1" x14ac:dyDescent="0.25">
      <c r="A6226" s="76" t="s">
        <v>1929</v>
      </c>
    </row>
    <row r="6227" spans="1:1" x14ac:dyDescent="0.25">
      <c r="A6227" s="76" t="s">
        <v>1930</v>
      </c>
    </row>
    <row r="6228" spans="1:1" x14ac:dyDescent="0.25">
      <c r="A6228" s="76" t="s">
        <v>1931</v>
      </c>
    </row>
    <row r="6229" spans="1:1" x14ac:dyDescent="0.25">
      <c r="A6229" s="76" t="s">
        <v>1932</v>
      </c>
    </row>
    <row r="6230" spans="1:1" x14ac:dyDescent="0.25">
      <c r="A6230" s="76" t="s">
        <v>1933</v>
      </c>
    </row>
    <row r="6231" spans="1:1" x14ac:dyDescent="0.25">
      <c r="A6231" s="76" t="s">
        <v>1934</v>
      </c>
    </row>
    <row r="6232" spans="1:1" x14ac:dyDescent="0.25">
      <c r="A6232" s="76" t="s">
        <v>1935</v>
      </c>
    </row>
    <row r="6233" spans="1:1" x14ac:dyDescent="0.25">
      <c r="A6233" s="76" t="s">
        <v>1936</v>
      </c>
    </row>
    <row r="6234" spans="1:1" x14ac:dyDescent="0.25">
      <c r="A6234" s="76" t="s">
        <v>1937</v>
      </c>
    </row>
    <row r="6235" spans="1:1" x14ac:dyDescent="0.25">
      <c r="A6235" s="76" t="s">
        <v>1938</v>
      </c>
    </row>
    <row r="6236" spans="1:1" x14ac:dyDescent="0.25">
      <c r="A6236" s="76" t="s">
        <v>1939</v>
      </c>
    </row>
    <row r="6237" spans="1:1" x14ac:dyDescent="0.25">
      <c r="A6237" s="76" t="s">
        <v>1940</v>
      </c>
    </row>
    <row r="6238" spans="1:1" x14ac:dyDescent="0.25">
      <c r="A6238" s="76" t="s">
        <v>1941</v>
      </c>
    </row>
    <row r="6239" spans="1:1" x14ac:dyDescent="0.25">
      <c r="A6239" s="76" t="s">
        <v>1942</v>
      </c>
    </row>
    <row r="6240" spans="1:1" x14ac:dyDescent="0.25">
      <c r="A6240" s="76" t="s">
        <v>1943</v>
      </c>
    </row>
    <row r="6241" spans="1:1" x14ac:dyDescent="0.25">
      <c r="A6241" s="76" t="s">
        <v>1944</v>
      </c>
    </row>
    <row r="6242" spans="1:1" x14ac:dyDescent="0.25">
      <c r="A6242" s="76" t="s">
        <v>1945</v>
      </c>
    </row>
    <row r="6243" spans="1:1" x14ac:dyDescent="0.25">
      <c r="A6243" s="76" t="s">
        <v>1946</v>
      </c>
    </row>
    <row r="6244" spans="1:1" x14ac:dyDescent="0.25">
      <c r="A6244" s="76" t="s">
        <v>1947</v>
      </c>
    </row>
    <row r="6245" spans="1:1" x14ac:dyDescent="0.25">
      <c r="A6245" s="76" t="s">
        <v>1948</v>
      </c>
    </row>
    <row r="6246" spans="1:1" x14ac:dyDescent="0.25">
      <c r="A6246" s="76" t="s">
        <v>1949</v>
      </c>
    </row>
    <row r="6247" spans="1:1" x14ac:dyDescent="0.25">
      <c r="A6247" s="76" t="s">
        <v>1950</v>
      </c>
    </row>
    <row r="6248" spans="1:1" x14ac:dyDescent="0.25">
      <c r="A6248" s="76" t="s">
        <v>1951</v>
      </c>
    </row>
    <row r="6249" spans="1:1" x14ac:dyDescent="0.25">
      <c r="A6249" s="108" t="s">
        <v>1952</v>
      </c>
    </row>
    <row r="6250" spans="1:1" x14ac:dyDescent="0.25">
      <c r="A6250" s="76" t="s">
        <v>1953</v>
      </c>
    </row>
    <row r="6251" spans="1:1" x14ac:dyDescent="0.25">
      <c r="A6251" s="76" t="s">
        <v>1954</v>
      </c>
    </row>
    <row r="6252" spans="1:1" x14ac:dyDescent="0.25">
      <c r="A6252" s="76" t="s">
        <v>1955</v>
      </c>
    </row>
    <row r="6253" spans="1:1" x14ac:dyDescent="0.25">
      <c r="A6253" s="76" t="s">
        <v>1956</v>
      </c>
    </row>
    <row r="6254" spans="1:1" x14ac:dyDescent="0.25">
      <c r="A6254" s="76" t="s">
        <v>1957</v>
      </c>
    </row>
    <row r="6255" spans="1:1" x14ac:dyDescent="0.25">
      <c r="A6255" s="76" t="s">
        <v>1958</v>
      </c>
    </row>
    <row r="6256" spans="1:1" x14ac:dyDescent="0.25">
      <c r="A6256" s="76" t="s">
        <v>1959</v>
      </c>
    </row>
    <row r="6257" spans="1:1" x14ac:dyDescent="0.25">
      <c r="A6257" s="76" t="s">
        <v>1960</v>
      </c>
    </row>
    <row r="6258" spans="1:1" x14ac:dyDescent="0.25">
      <c r="A6258" s="76" t="s">
        <v>1961</v>
      </c>
    </row>
    <row r="6259" spans="1:1" x14ac:dyDescent="0.25">
      <c r="A6259" s="76" t="s">
        <v>1962</v>
      </c>
    </row>
    <row r="6260" spans="1:1" x14ac:dyDescent="0.25">
      <c r="A6260" s="108" t="s">
        <v>1963</v>
      </c>
    </row>
    <row r="6261" spans="1:1" x14ac:dyDescent="0.25">
      <c r="A6261" s="108" t="s">
        <v>1964</v>
      </c>
    </row>
    <row r="6262" spans="1:1" x14ac:dyDescent="0.25">
      <c r="A6262" s="76" t="s">
        <v>1965</v>
      </c>
    </row>
    <row r="6263" spans="1:1" x14ac:dyDescent="0.25">
      <c r="A6263" s="29" t="s">
        <v>1966</v>
      </c>
    </row>
    <row r="6264" spans="1:1" x14ac:dyDescent="0.25">
      <c r="A6264" s="76" t="s">
        <v>1967</v>
      </c>
    </row>
    <row r="6265" spans="1:1" x14ac:dyDescent="0.25">
      <c r="A6265" s="76" t="s">
        <v>1968</v>
      </c>
    </row>
    <row r="6266" spans="1:1" x14ac:dyDescent="0.25">
      <c r="A6266" s="76" t="s">
        <v>1969</v>
      </c>
    </row>
    <row r="6267" spans="1:1" x14ac:dyDescent="0.25">
      <c r="A6267" s="108" t="s">
        <v>1970</v>
      </c>
    </row>
    <row r="6268" spans="1:1" x14ac:dyDescent="0.25">
      <c r="A6268" s="108" t="s">
        <v>1971</v>
      </c>
    </row>
    <row r="6269" spans="1:1" x14ac:dyDescent="0.25">
      <c r="A6269" s="76" t="s">
        <v>1972</v>
      </c>
    </row>
    <row r="6270" spans="1:1" x14ac:dyDescent="0.25">
      <c r="A6270" s="29" t="s">
        <v>1973</v>
      </c>
    </row>
    <row r="6271" spans="1:1" x14ac:dyDescent="0.25">
      <c r="A6271" s="76" t="s">
        <v>1974</v>
      </c>
    </row>
    <row r="6272" spans="1:1" x14ac:dyDescent="0.25">
      <c r="A6272" s="76" t="s">
        <v>1975</v>
      </c>
    </row>
    <row r="6273" spans="1:1" x14ac:dyDescent="0.25">
      <c r="A6273" s="76" t="s">
        <v>1976</v>
      </c>
    </row>
    <row r="6274" spans="1:1" x14ac:dyDescent="0.25">
      <c r="A6274" s="108" t="s">
        <v>1977</v>
      </c>
    </row>
    <row r="6275" spans="1:1" x14ac:dyDescent="0.25">
      <c r="A6275" s="108" t="s">
        <v>1978</v>
      </c>
    </row>
    <row r="6276" spans="1:1" x14ac:dyDescent="0.25">
      <c r="A6276" s="76" t="s">
        <v>1979</v>
      </c>
    </row>
    <row r="6277" spans="1:1" x14ac:dyDescent="0.25">
      <c r="A6277" s="29" t="s">
        <v>1980</v>
      </c>
    </row>
    <row r="6278" spans="1:1" x14ac:dyDescent="0.25">
      <c r="A6278" s="76" t="s">
        <v>1981</v>
      </c>
    </row>
    <row r="6279" spans="1:1" x14ac:dyDescent="0.25">
      <c r="A6279" s="76" t="s">
        <v>1982</v>
      </c>
    </row>
    <row r="6280" spans="1:1" x14ac:dyDescent="0.25">
      <c r="A6280" s="76" t="s">
        <v>1983</v>
      </c>
    </row>
    <row r="6281" spans="1:1" x14ac:dyDescent="0.25">
      <c r="A6281" s="108" t="s">
        <v>1984</v>
      </c>
    </row>
    <row r="6282" spans="1:1" x14ac:dyDescent="0.25">
      <c r="A6282" s="108" t="s">
        <v>1985</v>
      </c>
    </row>
    <row r="6283" spans="1:1" x14ac:dyDescent="0.25">
      <c r="A6283" s="76" t="s">
        <v>1986</v>
      </c>
    </row>
    <row r="6284" spans="1:1" x14ac:dyDescent="0.25">
      <c r="A6284" s="29" t="s">
        <v>1987</v>
      </c>
    </row>
    <row r="6285" spans="1:1" x14ac:dyDescent="0.25">
      <c r="A6285" s="76" t="s">
        <v>1988</v>
      </c>
    </row>
    <row r="6286" spans="1:1" x14ac:dyDescent="0.25">
      <c r="A6286" s="76" t="s">
        <v>1989</v>
      </c>
    </row>
    <row r="6287" spans="1:1" x14ac:dyDescent="0.25">
      <c r="A6287" s="76" t="s">
        <v>1990</v>
      </c>
    </row>
    <row r="6288" spans="1:1" x14ac:dyDescent="0.25">
      <c r="A6288" s="76" t="s">
        <v>1991</v>
      </c>
    </row>
    <row r="6289" spans="1:1" x14ac:dyDescent="0.25">
      <c r="A6289" s="76" t="s">
        <v>1992</v>
      </c>
    </row>
    <row r="6290" spans="1:1" x14ac:dyDescent="0.25">
      <c r="A6290" s="76" t="s">
        <v>1993</v>
      </c>
    </row>
    <row r="6291" spans="1:1" x14ac:dyDescent="0.25">
      <c r="A6291" s="76" t="s">
        <v>1994</v>
      </c>
    </row>
    <row r="6292" spans="1:1" x14ac:dyDescent="0.25">
      <c r="A6292" s="108" t="s">
        <v>1995</v>
      </c>
    </row>
    <row r="6293" spans="1:1" x14ac:dyDescent="0.25">
      <c r="A6293" s="76" t="s">
        <v>1996</v>
      </c>
    </row>
    <row r="6294" spans="1:1" x14ac:dyDescent="0.25">
      <c r="A6294" s="76" t="s">
        <v>1997</v>
      </c>
    </row>
    <row r="6295" spans="1:1" x14ac:dyDescent="0.25">
      <c r="A6295" s="76" t="s">
        <v>1998</v>
      </c>
    </row>
    <row r="6296" spans="1:1" x14ac:dyDescent="0.25">
      <c r="A6296" s="76" t="s">
        <v>1999</v>
      </c>
    </row>
    <row r="6297" spans="1:1" x14ac:dyDescent="0.25">
      <c r="A6297" s="76" t="s">
        <v>2000</v>
      </c>
    </row>
    <row r="6298" spans="1:1" x14ac:dyDescent="0.25">
      <c r="A6298" s="76" t="s">
        <v>2001</v>
      </c>
    </row>
    <row r="6299" spans="1:1" x14ac:dyDescent="0.25">
      <c r="A6299" s="76" t="s">
        <v>2002</v>
      </c>
    </row>
    <row r="6300" spans="1:1" x14ac:dyDescent="0.25">
      <c r="A6300" s="76" t="s">
        <v>2003</v>
      </c>
    </row>
    <row r="6301" spans="1:1" x14ac:dyDescent="0.25">
      <c r="A6301" s="76" t="s">
        <v>2004</v>
      </c>
    </row>
    <row r="6302" spans="1:1" x14ac:dyDescent="0.25">
      <c r="A6302" s="76" t="s">
        <v>2005</v>
      </c>
    </row>
    <row r="6303" spans="1:1" x14ac:dyDescent="0.25">
      <c r="A6303" s="76" t="s">
        <v>2006</v>
      </c>
    </row>
    <row r="6304" spans="1:1" x14ac:dyDescent="0.25">
      <c r="A6304" s="76" t="s">
        <v>2007</v>
      </c>
    </row>
    <row r="6305" spans="1:1" x14ac:dyDescent="0.25">
      <c r="A6305" s="76" t="s">
        <v>2008</v>
      </c>
    </row>
    <row r="6306" spans="1:1" x14ac:dyDescent="0.25">
      <c r="A6306" s="108" t="s">
        <v>2009</v>
      </c>
    </row>
    <row r="6307" spans="1:1" x14ac:dyDescent="0.25">
      <c r="A6307" s="76" t="s">
        <v>2010</v>
      </c>
    </row>
    <row r="6308" spans="1:1" x14ac:dyDescent="0.25">
      <c r="A6308" s="76" t="s">
        <v>2011</v>
      </c>
    </row>
    <row r="6309" spans="1:1" x14ac:dyDescent="0.25">
      <c r="A6309" s="76" t="s">
        <v>2012</v>
      </c>
    </row>
    <row r="6310" spans="1:1" x14ac:dyDescent="0.25">
      <c r="A6310" s="76" t="s">
        <v>2013</v>
      </c>
    </row>
    <row r="6311" spans="1:1" x14ac:dyDescent="0.25">
      <c r="A6311" s="76" t="s">
        <v>2014</v>
      </c>
    </row>
    <row r="6312" spans="1:1" x14ac:dyDescent="0.25">
      <c r="A6312" s="76" t="s">
        <v>2015</v>
      </c>
    </row>
    <row r="6313" spans="1:1" x14ac:dyDescent="0.25">
      <c r="A6313" s="76" t="s">
        <v>2016</v>
      </c>
    </row>
    <row r="6314" spans="1:1" x14ac:dyDescent="0.25">
      <c r="A6314" s="108" t="s">
        <v>2017</v>
      </c>
    </row>
    <row r="6315" spans="1:1" x14ac:dyDescent="0.25">
      <c r="A6315" s="76" t="s">
        <v>2018</v>
      </c>
    </row>
    <row r="6316" spans="1:1" x14ac:dyDescent="0.25">
      <c r="A6316" s="76" t="s">
        <v>2019</v>
      </c>
    </row>
    <row r="6317" spans="1:1" x14ac:dyDescent="0.25">
      <c r="A6317" s="76" t="s">
        <v>2020</v>
      </c>
    </row>
    <row r="6318" spans="1:1" x14ac:dyDescent="0.25">
      <c r="A6318" s="76" t="s">
        <v>2021</v>
      </c>
    </row>
    <row r="6319" spans="1:1" x14ac:dyDescent="0.25">
      <c r="A6319" s="76" t="s">
        <v>2022</v>
      </c>
    </row>
    <row r="6320" spans="1:1" x14ac:dyDescent="0.25">
      <c r="A6320" s="76" t="s">
        <v>2023</v>
      </c>
    </row>
    <row r="6321" spans="1:1" x14ac:dyDescent="0.25">
      <c r="A6321" s="76" t="s">
        <v>2024</v>
      </c>
    </row>
    <row r="6322" spans="1:1" x14ac:dyDescent="0.25">
      <c r="A6322" s="76" t="s">
        <v>2025</v>
      </c>
    </row>
    <row r="6323" spans="1:1" x14ac:dyDescent="0.25">
      <c r="A6323" s="76" t="s">
        <v>2026</v>
      </c>
    </row>
    <row r="6324" spans="1:1" x14ac:dyDescent="0.25">
      <c r="A6324" s="76" t="s">
        <v>2027</v>
      </c>
    </row>
    <row r="6325" spans="1:1" x14ac:dyDescent="0.25">
      <c r="A6325" s="108" t="s">
        <v>2028</v>
      </c>
    </row>
    <row r="6326" spans="1:1" x14ac:dyDescent="0.25">
      <c r="A6326" s="76" t="s">
        <v>2029</v>
      </c>
    </row>
    <row r="6327" spans="1:1" x14ac:dyDescent="0.25">
      <c r="A6327" s="76" t="s">
        <v>2030</v>
      </c>
    </row>
    <row r="6328" spans="1:1" x14ac:dyDescent="0.25">
      <c r="A6328" s="76" t="s">
        <v>2031</v>
      </c>
    </row>
    <row r="6329" spans="1:1" x14ac:dyDescent="0.25">
      <c r="A6329" s="76" t="s">
        <v>2032</v>
      </c>
    </row>
    <row r="6330" spans="1:1" x14ac:dyDescent="0.25">
      <c r="A6330" s="76" t="s">
        <v>2033</v>
      </c>
    </row>
    <row r="6331" spans="1:1" x14ac:dyDescent="0.25">
      <c r="A6331" s="76" t="s">
        <v>2034</v>
      </c>
    </row>
    <row r="6332" spans="1:1" x14ac:dyDescent="0.25">
      <c r="A6332" s="76" t="s">
        <v>2035</v>
      </c>
    </row>
    <row r="6333" spans="1:1" x14ac:dyDescent="0.25">
      <c r="A6333" s="76" t="s">
        <v>2036</v>
      </c>
    </row>
    <row r="6334" spans="1:1" x14ac:dyDescent="0.25">
      <c r="A6334" s="76" t="s">
        <v>2037</v>
      </c>
    </row>
    <row r="6335" spans="1:1" x14ac:dyDescent="0.25">
      <c r="A6335" s="76" t="s">
        <v>2038</v>
      </c>
    </row>
    <row r="6336" spans="1:1" x14ac:dyDescent="0.25">
      <c r="A6336" s="76" t="s">
        <v>2039</v>
      </c>
    </row>
    <row r="6337" spans="1:1" x14ac:dyDescent="0.25">
      <c r="A6337" s="76" t="s">
        <v>2040</v>
      </c>
    </row>
    <row r="6338" spans="1:1" x14ac:dyDescent="0.25">
      <c r="A6338" s="76" t="s">
        <v>2041</v>
      </c>
    </row>
    <row r="6339" spans="1:1" x14ac:dyDescent="0.25">
      <c r="A6339" s="76" t="s">
        <v>2042</v>
      </c>
    </row>
    <row r="6340" spans="1:1" x14ac:dyDescent="0.25">
      <c r="A6340" s="76" t="s">
        <v>2043</v>
      </c>
    </row>
    <row r="6341" spans="1:1" x14ac:dyDescent="0.25">
      <c r="A6341" s="76" t="s">
        <v>2044</v>
      </c>
    </row>
    <row r="6342" spans="1:1" x14ac:dyDescent="0.25">
      <c r="A6342" s="108" t="s">
        <v>2045</v>
      </c>
    </row>
    <row r="6343" spans="1:1" x14ac:dyDescent="0.25">
      <c r="A6343" s="76" t="s">
        <v>2046</v>
      </c>
    </row>
    <row r="6344" spans="1:1" x14ac:dyDescent="0.25">
      <c r="A6344" s="76" t="s">
        <v>2047</v>
      </c>
    </row>
    <row r="6345" spans="1:1" x14ac:dyDescent="0.25">
      <c r="A6345" s="76" t="s">
        <v>2048</v>
      </c>
    </row>
    <row r="6346" spans="1:1" x14ac:dyDescent="0.25">
      <c r="A6346" s="76" t="s">
        <v>2049</v>
      </c>
    </row>
    <row r="6347" spans="1:1" x14ac:dyDescent="0.25">
      <c r="A6347" s="76" t="s">
        <v>2050</v>
      </c>
    </row>
    <row r="6348" spans="1:1" x14ac:dyDescent="0.25">
      <c r="A6348" s="76" t="s">
        <v>2051</v>
      </c>
    </row>
    <row r="6349" spans="1:1" x14ac:dyDescent="0.25">
      <c r="A6349" s="76" t="s">
        <v>2052</v>
      </c>
    </row>
    <row r="6350" spans="1:1" x14ac:dyDescent="0.25">
      <c r="A6350" s="76" t="s">
        <v>2053</v>
      </c>
    </row>
    <row r="6351" spans="1:1" x14ac:dyDescent="0.25">
      <c r="A6351" s="76" t="s">
        <v>2054</v>
      </c>
    </row>
    <row r="6352" spans="1:1" x14ac:dyDescent="0.25">
      <c r="A6352" s="76" t="s">
        <v>2055</v>
      </c>
    </row>
    <row r="6353" spans="1:1" x14ac:dyDescent="0.25">
      <c r="A6353" s="76" t="s">
        <v>2056</v>
      </c>
    </row>
    <row r="6354" spans="1:1" x14ac:dyDescent="0.25">
      <c r="A6354" s="76" t="s">
        <v>2057</v>
      </c>
    </row>
    <row r="6355" spans="1:1" x14ac:dyDescent="0.25">
      <c r="A6355" s="76" t="s">
        <v>2058</v>
      </c>
    </row>
    <row r="6356" spans="1:1" x14ac:dyDescent="0.25">
      <c r="A6356" s="76" t="s">
        <v>2059</v>
      </c>
    </row>
    <row r="6357" spans="1:1" x14ac:dyDescent="0.25">
      <c r="A6357" s="76" t="s">
        <v>2060</v>
      </c>
    </row>
    <row r="6358" spans="1:1" x14ac:dyDescent="0.25">
      <c r="A6358" s="76" t="s">
        <v>2061</v>
      </c>
    </row>
    <row r="6359" spans="1:1" x14ac:dyDescent="0.25">
      <c r="A6359" s="76" t="s">
        <v>2062</v>
      </c>
    </row>
    <row r="6360" spans="1:1" x14ac:dyDescent="0.25">
      <c r="A6360" s="76" t="s">
        <v>2063</v>
      </c>
    </row>
    <row r="6361" spans="1:1" x14ac:dyDescent="0.25">
      <c r="A6361" s="108" t="s">
        <v>2064</v>
      </c>
    </row>
    <row r="6362" spans="1:1" x14ac:dyDescent="0.25">
      <c r="A6362" s="76" t="s">
        <v>2065</v>
      </c>
    </row>
    <row r="6363" spans="1:1" x14ac:dyDescent="0.25">
      <c r="A6363" s="76" t="s">
        <v>2066</v>
      </c>
    </row>
    <row r="6364" spans="1:1" x14ac:dyDescent="0.25">
      <c r="A6364" s="76" t="s">
        <v>2067</v>
      </c>
    </row>
    <row r="6365" spans="1:1" x14ac:dyDescent="0.25">
      <c r="A6365" s="76" t="s">
        <v>2068</v>
      </c>
    </row>
    <row r="6366" spans="1:1" x14ac:dyDescent="0.25">
      <c r="A6366" s="76" t="s">
        <v>2069</v>
      </c>
    </row>
    <row r="6367" spans="1:1" x14ac:dyDescent="0.25">
      <c r="A6367" s="76" t="s">
        <v>2070</v>
      </c>
    </row>
    <row r="6368" spans="1:1" x14ac:dyDescent="0.25">
      <c r="A6368" s="76" t="s">
        <v>2071</v>
      </c>
    </row>
    <row r="6369" spans="1:1" x14ac:dyDescent="0.25">
      <c r="A6369" s="76" t="s">
        <v>2072</v>
      </c>
    </row>
    <row r="6370" spans="1:1" x14ac:dyDescent="0.25">
      <c r="A6370" s="76" t="s">
        <v>2073</v>
      </c>
    </row>
    <row r="6371" spans="1:1" x14ac:dyDescent="0.25">
      <c r="A6371" s="76" t="s">
        <v>2074</v>
      </c>
    </row>
    <row r="6372" spans="1:1" x14ac:dyDescent="0.25">
      <c r="A6372" s="76" t="s">
        <v>2075</v>
      </c>
    </row>
    <row r="6373" spans="1:1" x14ac:dyDescent="0.25">
      <c r="A6373" s="108" t="s">
        <v>2076</v>
      </c>
    </row>
    <row r="6374" spans="1:1" x14ac:dyDescent="0.25">
      <c r="A6374" s="108" t="s">
        <v>2077</v>
      </c>
    </row>
    <row r="6375" spans="1:1" x14ac:dyDescent="0.25">
      <c r="A6375" s="76" t="s">
        <v>2078</v>
      </c>
    </row>
    <row r="6376" spans="1:1" x14ac:dyDescent="0.25">
      <c r="A6376" s="29" t="s">
        <v>2079</v>
      </c>
    </row>
    <row r="6377" spans="1:1" x14ac:dyDescent="0.25">
      <c r="A6377" s="76" t="s">
        <v>2080</v>
      </c>
    </row>
    <row r="6378" spans="1:1" x14ac:dyDescent="0.25">
      <c r="A6378" s="76" t="s">
        <v>2081</v>
      </c>
    </row>
    <row r="6379" spans="1:1" x14ac:dyDescent="0.25">
      <c r="A6379" s="76" t="s">
        <v>2082</v>
      </c>
    </row>
    <row r="6380" spans="1:1" x14ac:dyDescent="0.25">
      <c r="A6380" s="108" t="s">
        <v>2083</v>
      </c>
    </row>
    <row r="6381" spans="1:1" x14ac:dyDescent="0.25">
      <c r="A6381" s="108" t="s">
        <v>2084</v>
      </c>
    </row>
    <row r="6382" spans="1:1" x14ac:dyDescent="0.25">
      <c r="A6382" s="76" t="s">
        <v>2085</v>
      </c>
    </row>
    <row r="6383" spans="1:1" x14ac:dyDescent="0.25">
      <c r="A6383" s="29" t="s">
        <v>2086</v>
      </c>
    </row>
    <row r="6384" spans="1:1" x14ac:dyDescent="0.25">
      <c r="A6384" s="76" t="s">
        <v>2087</v>
      </c>
    </row>
    <row r="6385" spans="1:1" x14ac:dyDescent="0.25">
      <c r="A6385" s="76" t="s">
        <v>2088</v>
      </c>
    </row>
    <row r="6386" spans="1:1" x14ac:dyDescent="0.25">
      <c r="A6386" s="76" t="s">
        <v>2089</v>
      </c>
    </row>
    <row r="6387" spans="1:1" x14ac:dyDescent="0.25">
      <c r="A6387" s="108" t="s">
        <v>2090</v>
      </c>
    </row>
    <row r="6388" spans="1:1" x14ac:dyDescent="0.25">
      <c r="A6388" s="108" t="s">
        <v>2091</v>
      </c>
    </row>
    <row r="6389" spans="1:1" x14ac:dyDescent="0.25">
      <c r="A6389" s="76" t="s">
        <v>2092</v>
      </c>
    </row>
    <row r="6390" spans="1:1" x14ac:dyDescent="0.25">
      <c r="A6390" s="29" t="s">
        <v>2093</v>
      </c>
    </row>
    <row r="6391" spans="1:1" x14ac:dyDescent="0.25">
      <c r="A6391" s="76" t="s">
        <v>2094</v>
      </c>
    </row>
    <row r="6392" spans="1:1" x14ac:dyDescent="0.25">
      <c r="A6392" s="76" t="s">
        <v>2095</v>
      </c>
    </row>
    <row r="6393" spans="1:1" x14ac:dyDescent="0.25">
      <c r="A6393" s="76" t="s">
        <v>2096</v>
      </c>
    </row>
    <row r="6394" spans="1:1" x14ac:dyDescent="0.25">
      <c r="A6394" s="108" t="s">
        <v>2097</v>
      </c>
    </row>
    <row r="6395" spans="1:1" x14ac:dyDescent="0.25">
      <c r="A6395" s="108" t="s">
        <v>2098</v>
      </c>
    </row>
    <row r="6396" spans="1:1" x14ac:dyDescent="0.25">
      <c r="A6396" s="76" t="s">
        <v>2099</v>
      </c>
    </row>
    <row r="6397" spans="1:1" x14ac:dyDescent="0.25">
      <c r="A6397" s="29" t="s">
        <v>2100</v>
      </c>
    </row>
    <row r="6398" spans="1:1" x14ac:dyDescent="0.25">
      <c r="A6398" s="76" t="s">
        <v>2101</v>
      </c>
    </row>
    <row r="6399" spans="1:1" x14ac:dyDescent="0.25">
      <c r="A6399" s="76" t="s">
        <v>2102</v>
      </c>
    </row>
    <row r="6400" spans="1:1" x14ac:dyDescent="0.25">
      <c r="A6400" s="76" t="s">
        <v>2103</v>
      </c>
    </row>
    <row r="6401" spans="1:1" x14ac:dyDescent="0.25">
      <c r="A6401" s="108" t="s">
        <v>2104</v>
      </c>
    </row>
    <row r="6402" spans="1:1" x14ac:dyDescent="0.25">
      <c r="A6402" s="108" t="s">
        <v>2105</v>
      </c>
    </row>
    <row r="6403" spans="1:1" x14ac:dyDescent="0.25">
      <c r="A6403" s="76" t="s">
        <v>2106</v>
      </c>
    </row>
    <row r="6404" spans="1:1" x14ac:dyDescent="0.25">
      <c r="A6404" s="29" t="s">
        <v>2107</v>
      </c>
    </row>
    <row r="6405" spans="1:1" x14ac:dyDescent="0.25">
      <c r="A6405" s="76" t="s">
        <v>2108</v>
      </c>
    </row>
    <row r="6406" spans="1:1" x14ac:dyDescent="0.25">
      <c r="A6406" s="76" t="s">
        <v>2109</v>
      </c>
    </row>
    <row r="6407" spans="1:1" x14ac:dyDescent="0.25">
      <c r="A6407" s="76" t="s">
        <v>2110</v>
      </c>
    </row>
    <row r="6408" spans="1:1" x14ac:dyDescent="0.25">
      <c r="A6408" s="108" t="s">
        <v>2111</v>
      </c>
    </row>
    <row r="6409" spans="1:1" x14ac:dyDescent="0.25">
      <c r="A6409" s="108" t="s">
        <v>2112</v>
      </c>
    </row>
    <row r="6410" spans="1:1" x14ac:dyDescent="0.25">
      <c r="A6410" s="76" t="s">
        <v>2113</v>
      </c>
    </row>
    <row r="6411" spans="1:1" x14ac:dyDescent="0.25">
      <c r="A6411" s="29" t="s">
        <v>2114</v>
      </c>
    </row>
    <row r="6412" spans="1:1" x14ac:dyDescent="0.25">
      <c r="A6412" s="76" t="s">
        <v>2115</v>
      </c>
    </row>
    <row r="6413" spans="1:1" x14ac:dyDescent="0.25">
      <c r="A6413" s="76" t="s">
        <v>2116</v>
      </c>
    </row>
    <row r="6414" spans="1:1" x14ac:dyDescent="0.25">
      <c r="A6414" s="76" t="s">
        <v>2117</v>
      </c>
    </row>
    <row r="6415" spans="1:1" x14ac:dyDescent="0.25">
      <c r="A6415" s="76" t="s">
        <v>2118</v>
      </c>
    </row>
    <row r="6416" spans="1:1" x14ac:dyDescent="0.25">
      <c r="A6416" s="76" t="s">
        <v>2119</v>
      </c>
    </row>
    <row r="6417" spans="1:1" x14ac:dyDescent="0.25">
      <c r="A6417" s="76" t="s">
        <v>2120</v>
      </c>
    </row>
    <row r="6418" spans="1:1" x14ac:dyDescent="0.25">
      <c r="A6418" s="76" t="s">
        <v>2121</v>
      </c>
    </row>
    <row r="6419" spans="1:1" x14ac:dyDescent="0.25">
      <c r="A6419" s="76" t="s">
        <v>2122</v>
      </c>
    </row>
    <row r="6420" spans="1:1" x14ac:dyDescent="0.25">
      <c r="A6420" s="76" t="s">
        <v>2123</v>
      </c>
    </row>
    <row r="6421" spans="1:1" x14ac:dyDescent="0.25">
      <c r="A6421" s="108" t="s">
        <v>2124</v>
      </c>
    </row>
    <row r="6422" spans="1:1" x14ac:dyDescent="0.25">
      <c r="A6422" s="76" t="s">
        <v>2125</v>
      </c>
    </row>
    <row r="6423" spans="1:1" x14ac:dyDescent="0.25">
      <c r="A6423" s="76" t="s">
        <v>2126</v>
      </c>
    </row>
    <row r="6424" spans="1:1" x14ac:dyDescent="0.25">
      <c r="A6424" s="76" t="s">
        <v>2127</v>
      </c>
    </row>
    <row r="6425" spans="1:1" x14ac:dyDescent="0.25">
      <c r="A6425" s="76" t="s">
        <v>2128</v>
      </c>
    </row>
    <row r="6426" spans="1:1" x14ac:dyDescent="0.25">
      <c r="A6426" s="76" t="s">
        <v>2129</v>
      </c>
    </row>
    <row r="6427" spans="1:1" x14ac:dyDescent="0.25">
      <c r="A6427" s="76" t="s">
        <v>2130</v>
      </c>
    </row>
    <row r="6428" spans="1:1" x14ac:dyDescent="0.25">
      <c r="A6428" s="76" t="s">
        <v>2131</v>
      </c>
    </row>
    <row r="6429" spans="1:1" x14ac:dyDescent="0.25">
      <c r="A6429" s="76" t="s">
        <v>2132</v>
      </c>
    </row>
    <row r="6430" spans="1:1" x14ac:dyDescent="0.25">
      <c r="A6430" s="76" t="s">
        <v>2133</v>
      </c>
    </row>
    <row r="6431" spans="1:1" x14ac:dyDescent="0.25">
      <c r="A6431" s="76" t="s">
        <v>2134</v>
      </c>
    </row>
    <row r="6432" spans="1:1" x14ac:dyDescent="0.25">
      <c r="A6432" s="76" t="s">
        <v>2135</v>
      </c>
    </row>
    <row r="6433" spans="1:1" x14ac:dyDescent="0.25">
      <c r="A6433" s="76" t="s">
        <v>2136</v>
      </c>
    </row>
    <row r="6434" spans="1:1" x14ac:dyDescent="0.25">
      <c r="A6434" s="76" t="s">
        <v>2137</v>
      </c>
    </row>
    <row r="6435" spans="1:1" x14ac:dyDescent="0.25">
      <c r="A6435" s="76" t="s">
        <v>2138</v>
      </c>
    </row>
    <row r="6436" spans="1:1" x14ac:dyDescent="0.25">
      <c r="A6436" s="76" t="s">
        <v>2139</v>
      </c>
    </row>
    <row r="6437" spans="1:1" x14ac:dyDescent="0.25">
      <c r="A6437" s="76" t="s">
        <v>2140</v>
      </c>
    </row>
    <row r="6438" spans="1:1" x14ac:dyDescent="0.25">
      <c r="A6438" s="76" t="s">
        <v>2141</v>
      </c>
    </row>
    <row r="6439" spans="1:1" x14ac:dyDescent="0.25">
      <c r="A6439" s="76" t="s">
        <v>2142</v>
      </c>
    </row>
    <row r="6440" spans="1:1" x14ac:dyDescent="0.25">
      <c r="A6440" s="76" t="s">
        <v>2143</v>
      </c>
    </row>
    <row r="6441" spans="1:1" x14ac:dyDescent="0.25">
      <c r="A6441" s="76" t="s">
        <v>2144</v>
      </c>
    </row>
    <row r="6442" spans="1:1" x14ac:dyDescent="0.25">
      <c r="A6442" s="108" t="s">
        <v>2145</v>
      </c>
    </row>
    <row r="6443" spans="1:1" x14ac:dyDescent="0.25">
      <c r="A6443" s="76" t="s">
        <v>2146</v>
      </c>
    </row>
    <row r="6444" spans="1:1" x14ac:dyDescent="0.25">
      <c r="A6444" s="76" t="s">
        <v>2147</v>
      </c>
    </row>
    <row r="6445" spans="1:1" x14ac:dyDescent="0.25">
      <c r="A6445" s="76" t="s">
        <v>2148</v>
      </c>
    </row>
    <row r="6446" spans="1:1" x14ac:dyDescent="0.25">
      <c r="A6446" s="76" t="s">
        <v>2149</v>
      </c>
    </row>
    <row r="6447" spans="1:1" x14ac:dyDescent="0.25">
      <c r="A6447" s="76" t="s">
        <v>2150</v>
      </c>
    </row>
    <row r="6448" spans="1:1" x14ac:dyDescent="0.25">
      <c r="A6448" s="76" t="s">
        <v>2151</v>
      </c>
    </row>
    <row r="6449" spans="1:1" x14ac:dyDescent="0.25">
      <c r="A6449" s="76" t="s">
        <v>2152</v>
      </c>
    </row>
    <row r="6450" spans="1:1" x14ac:dyDescent="0.25">
      <c r="A6450" s="76" t="s">
        <v>2153</v>
      </c>
    </row>
    <row r="6451" spans="1:1" x14ac:dyDescent="0.25">
      <c r="A6451" s="76" t="s">
        <v>2154</v>
      </c>
    </row>
    <row r="6452" spans="1:1" x14ac:dyDescent="0.25">
      <c r="A6452" s="76" t="s">
        <v>2155</v>
      </c>
    </row>
    <row r="6453" spans="1:1" x14ac:dyDescent="0.25">
      <c r="A6453" s="108" t="s">
        <v>2156</v>
      </c>
    </row>
    <row r="6454" spans="1:1" x14ac:dyDescent="0.25">
      <c r="A6454" s="76" t="s">
        <v>2157</v>
      </c>
    </row>
    <row r="6455" spans="1:1" x14ac:dyDescent="0.25">
      <c r="A6455" s="76" t="s">
        <v>2158</v>
      </c>
    </row>
    <row r="6456" spans="1:1" x14ac:dyDescent="0.25">
      <c r="A6456" s="76" t="s">
        <v>2159</v>
      </c>
    </row>
    <row r="6457" spans="1:1" x14ac:dyDescent="0.25">
      <c r="A6457" s="76" t="s">
        <v>2160</v>
      </c>
    </row>
    <row r="6458" spans="1:1" x14ac:dyDescent="0.25">
      <c r="A6458" s="76" t="s">
        <v>2161</v>
      </c>
    </row>
    <row r="6459" spans="1:1" x14ac:dyDescent="0.25">
      <c r="A6459" s="76" t="s">
        <v>2162</v>
      </c>
    </row>
    <row r="6460" spans="1:1" x14ac:dyDescent="0.25">
      <c r="A6460" s="76" t="s">
        <v>2163</v>
      </c>
    </row>
    <row r="6461" spans="1:1" x14ac:dyDescent="0.25">
      <c r="A6461" s="76" t="s">
        <v>2164</v>
      </c>
    </row>
    <row r="6462" spans="1:1" x14ac:dyDescent="0.25">
      <c r="A6462" s="76" t="s">
        <v>2165</v>
      </c>
    </row>
    <row r="6463" spans="1:1" x14ac:dyDescent="0.25">
      <c r="A6463" s="76" t="s">
        <v>2166</v>
      </c>
    </row>
    <row r="6464" spans="1:1" x14ac:dyDescent="0.25">
      <c r="A6464" s="76" t="s">
        <v>2167</v>
      </c>
    </row>
    <row r="6465" spans="1:1" x14ac:dyDescent="0.25">
      <c r="A6465" s="76" t="s">
        <v>2168</v>
      </c>
    </row>
    <row r="6466" spans="1:1" x14ac:dyDescent="0.25">
      <c r="A6466" s="76" t="s">
        <v>2169</v>
      </c>
    </row>
    <row r="6467" spans="1:1" x14ac:dyDescent="0.25">
      <c r="A6467" s="76" t="s">
        <v>2170</v>
      </c>
    </row>
    <row r="6468" spans="1:1" x14ac:dyDescent="0.25">
      <c r="A6468" s="76" t="s">
        <v>2171</v>
      </c>
    </row>
    <row r="6489" spans="1:1" x14ac:dyDescent="0.25">
      <c r="A6489" s="76" t="s">
        <v>2172</v>
      </c>
    </row>
    <row r="6490" spans="1:1" x14ac:dyDescent="0.25">
      <c r="A6490" s="76" t="s">
        <v>2173</v>
      </c>
    </row>
    <row r="6491" spans="1:1" x14ac:dyDescent="0.25">
      <c r="A6491" s="108" t="s">
        <v>2174</v>
      </c>
    </row>
    <row r="6492" spans="1:1" x14ac:dyDescent="0.25">
      <c r="A6492" s="76" t="s">
        <v>2175</v>
      </c>
    </row>
    <row r="6493" spans="1:1" x14ac:dyDescent="0.25">
      <c r="A6493" s="76" t="s">
        <v>2176</v>
      </c>
    </row>
    <row r="6574" spans="1:1" x14ac:dyDescent="0.25">
      <c r="A6574" s="76" t="s">
        <v>2177</v>
      </c>
    </row>
    <row r="6575" spans="1:1" x14ac:dyDescent="0.25">
      <c r="A6575" s="76" t="s">
        <v>2178</v>
      </c>
    </row>
    <row r="6700" spans="1:1" x14ac:dyDescent="0.25">
      <c r="A6700" s="76" t="s">
        <v>2179</v>
      </c>
    </row>
    <row r="6701" spans="1:1" x14ac:dyDescent="0.25">
      <c r="A6701" s="108" t="s">
        <v>2180</v>
      </c>
    </row>
    <row r="6702" spans="1:1" x14ac:dyDescent="0.25">
      <c r="A6702" s="76" t="s">
        <v>2181</v>
      </c>
    </row>
    <row r="6703" spans="1:1" x14ac:dyDescent="0.25">
      <c r="A6703" s="76" t="s">
        <v>2182</v>
      </c>
    </row>
    <row r="6704" spans="1:1" x14ac:dyDescent="0.25">
      <c r="A6704" s="76" t="s">
        <v>2183</v>
      </c>
    </row>
    <row r="6705" spans="1:1" x14ac:dyDescent="0.25">
      <c r="A6705" s="76" t="s">
        <v>2184</v>
      </c>
    </row>
    <row r="6772" spans="1:1" x14ac:dyDescent="0.25">
      <c r="A6772" s="76" t="s">
        <v>2185</v>
      </c>
    </row>
    <row r="6773" spans="1:1" x14ac:dyDescent="0.25">
      <c r="A6773" s="76" t="s">
        <v>2186</v>
      </c>
    </row>
    <row r="6774" spans="1:1" x14ac:dyDescent="0.25">
      <c r="A6774" s="76" t="s">
        <v>2187</v>
      </c>
    </row>
    <row r="6775" spans="1:1" x14ac:dyDescent="0.25">
      <c r="A6775" s="76" t="s">
        <v>2188</v>
      </c>
    </row>
    <row r="6776" spans="1:1" x14ac:dyDescent="0.25">
      <c r="A6776" s="76" t="s">
        <v>2189</v>
      </c>
    </row>
    <row r="6777" spans="1:1" x14ac:dyDescent="0.25">
      <c r="A6777" s="76" t="s">
        <v>2190</v>
      </c>
    </row>
    <row r="6778" spans="1:1" x14ac:dyDescent="0.25">
      <c r="A6778" s="76" t="s">
        <v>2191</v>
      </c>
    </row>
    <row r="6779" spans="1:1" x14ac:dyDescent="0.25">
      <c r="A6779" s="76" t="s">
        <v>2192</v>
      </c>
    </row>
    <row r="6780" spans="1:1" x14ac:dyDescent="0.25">
      <c r="A6780" s="76" t="s">
        <v>2193</v>
      </c>
    </row>
    <row r="6781" spans="1:1" x14ac:dyDescent="0.25">
      <c r="A6781" s="76" t="s">
        <v>2194</v>
      </c>
    </row>
    <row r="6782" spans="1:1" x14ac:dyDescent="0.25">
      <c r="A6782" s="76" t="s">
        <v>2195</v>
      </c>
    </row>
    <row r="6783" spans="1:1" x14ac:dyDescent="0.25">
      <c r="A6783" s="76" t="s">
        <v>2196</v>
      </c>
    </row>
    <row r="6784" spans="1:1" x14ac:dyDescent="0.25">
      <c r="A6784" s="76" t="s">
        <v>2197</v>
      </c>
    </row>
    <row r="6785" spans="1:1" x14ac:dyDescent="0.25">
      <c r="A6785" s="76" t="s">
        <v>2198</v>
      </c>
    </row>
    <row r="6786" spans="1:1" x14ac:dyDescent="0.25">
      <c r="A6786" s="76" t="s">
        <v>2199</v>
      </c>
    </row>
    <row r="6787" spans="1:1" x14ac:dyDescent="0.25">
      <c r="A6787" s="76" t="s">
        <v>2200</v>
      </c>
    </row>
    <row r="6788" spans="1:1" x14ac:dyDescent="0.25">
      <c r="A6788" s="76" t="s">
        <v>2201</v>
      </c>
    </row>
    <row r="6789" spans="1:1" x14ac:dyDescent="0.25">
      <c r="A6789" s="76" t="s">
        <v>2202</v>
      </c>
    </row>
    <row r="6790" spans="1:1" x14ac:dyDescent="0.25">
      <c r="A6790" s="76" t="s">
        <v>2203</v>
      </c>
    </row>
    <row r="6791" spans="1:1" x14ac:dyDescent="0.25">
      <c r="A6791" s="76" t="s">
        <v>2204</v>
      </c>
    </row>
    <row r="6792" spans="1:1" x14ac:dyDescent="0.25">
      <c r="A6792" s="76" t="s">
        <v>2205</v>
      </c>
    </row>
    <row r="6793" spans="1:1" x14ac:dyDescent="0.25">
      <c r="A6793" s="76" t="s">
        <v>2206</v>
      </c>
    </row>
    <row r="6794" spans="1:1" x14ac:dyDescent="0.25">
      <c r="A6794" s="76" t="s">
        <v>2207</v>
      </c>
    </row>
    <row r="6795" spans="1:1" x14ac:dyDescent="0.25">
      <c r="A6795" s="76" t="s">
        <v>2208</v>
      </c>
    </row>
    <row r="6796" spans="1:1" x14ac:dyDescent="0.25">
      <c r="A6796" s="76" t="s">
        <v>2209</v>
      </c>
    </row>
    <row r="6797" spans="1:1" x14ac:dyDescent="0.25">
      <c r="A6797" s="76" t="s">
        <v>2210</v>
      </c>
    </row>
    <row r="6798" spans="1:1" x14ac:dyDescent="0.25">
      <c r="A6798" s="76" t="s">
        <v>2211</v>
      </c>
    </row>
    <row r="6799" spans="1:1" x14ac:dyDescent="0.25">
      <c r="A6799" s="76" t="s">
        <v>2212</v>
      </c>
    </row>
    <row r="6800" spans="1:1" x14ac:dyDescent="0.25">
      <c r="A6800" s="76" t="s">
        <v>2213</v>
      </c>
    </row>
    <row r="6801" spans="1:1" x14ac:dyDescent="0.25">
      <c r="A6801" s="76" t="s">
        <v>2214</v>
      </c>
    </row>
    <row r="6802" spans="1:1" x14ac:dyDescent="0.25">
      <c r="A6802" s="76" t="s">
        <v>2215</v>
      </c>
    </row>
    <row r="6803" spans="1:1" x14ac:dyDescent="0.25">
      <c r="A6803" s="76" t="s">
        <v>2216</v>
      </c>
    </row>
    <row r="6804" spans="1:1" x14ac:dyDescent="0.25">
      <c r="A6804" s="76" t="s">
        <v>2217</v>
      </c>
    </row>
    <row r="6805" spans="1:1" x14ac:dyDescent="0.25">
      <c r="A6805" s="76" t="s">
        <v>2218</v>
      </c>
    </row>
    <row r="6806" spans="1:1" x14ac:dyDescent="0.25">
      <c r="A6806" s="76" t="s">
        <v>2219</v>
      </c>
    </row>
    <row r="6807" spans="1:1" x14ac:dyDescent="0.25">
      <c r="A6807" s="108" t="s">
        <v>2220</v>
      </c>
    </row>
    <row r="6808" spans="1:1" x14ac:dyDescent="0.25">
      <c r="A6808" s="76" t="s">
        <v>2221</v>
      </c>
    </row>
    <row r="6809" spans="1:1" x14ac:dyDescent="0.25">
      <c r="A6809" s="76" t="s">
        <v>2222</v>
      </c>
    </row>
    <row r="6810" spans="1:1" x14ac:dyDescent="0.25">
      <c r="A6810" s="76" t="s">
        <v>2223</v>
      </c>
    </row>
    <row r="6811" spans="1:1" x14ac:dyDescent="0.25">
      <c r="A6811" s="76" t="s">
        <v>2224</v>
      </c>
    </row>
    <row r="6812" spans="1:1" x14ac:dyDescent="0.25">
      <c r="A6812" s="76" t="s">
        <v>2225</v>
      </c>
    </row>
    <row r="6813" spans="1:1" x14ac:dyDescent="0.25">
      <c r="A6813" s="108" t="s">
        <v>2226</v>
      </c>
    </row>
    <row r="6814" spans="1:1" x14ac:dyDescent="0.25">
      <c r="A6814" s="108" t="s">
        <v>2227</v>
      </c>
    </row>
    <row r="6815" spans="1:1" x14ac:dyDescent="0.25">
      <c r="A6815" s="76" t="s">
        <v>2228</v>
      </c>
    </row>
    <row r="6816" spans="1:1" x14ac:dyDescent="0.25">
      <c r="A6816" s="29" t="s">
        <v>2229</v>
      </c>
    </row>
    <row r="6817" spans="1:1" x14ac:dyDescent="0.25">
      <c r="A6817" s="76" t="s">
        <v>2230</v>
      </c>
    </row>
    <row r="6818" spans="1:1" x14ac:dyDescent="0.25">
      <c r="A6818" s="76" t="s">
        <v>2231</v>
      </c>
    </row>
    <row r="6819" spans="1:1" x14ac:dyDescent="0.25">
      <c r="A6819" s="76" t="s">
        <v>2232</v>
      </c>
    </row>
    <row r="6820" spans="1:1" x14ac:dyDescent="0.25">
      <c r="A6820" s="108" t="s">
        <v>2233</v>
      </c>
    </row>
    <row r="6821" spans="1:1" x14ac:dyDescent="0.25">
      <c r="A6821" s="108" t="s">
        <v>2234</v>
      </c>
    </row>
    <row r="6822" spans="1:1" x14ac:dyDescent="0.25">
      <c r="A6822" s="76" t="s">
        <v>2235</v>
      </c>
    </row>
    <row r="6823" spans="1:1" x14ac:dyDescent="0.25">
      <c r="A6823" s="29" t="s">
        <v>2236</v>
      </c>
    </row>
    <row r="6824" spans="1:1" x14ac:dyDescent="0.25">
      <c r="A6824" s="76" t="s">
        <v>2237</v>
      </c>
    </row>
    <row r="6825" spans="1:1" x14ac:dyDescent="0.25">
      <c r="A6825" s="76" t="s">
        <v>2238</v>
      </c>
    </row>
    <row r="6826" spans="1:1" x14ac:dyDescent="0.25">
      <c r="A6826" s="76" t="s">
        <v>2239</v>
      </c>
    </row>
    <row r="6827" spans="1:1" x14ac:dyDescent="0.25">
      <c r="A6827" s="108" t="s">
        <v>2240</v>
      </c>
    </row>
    <row r="6828" spans="1:1" x14ac:dyDescent="0.25">
      <c r="A6828" s="108" t="s">
        <v>2241</v>
      </c>
    </row>
    <row r="6829" spans="1:1" x14ac:dyDescent="0.25">
      <c r="A6829" s="76" t="s">
        <v>2242</v>
      </c>
    </row>
    <row r="6830" spans="1:1" x14ac:dyDescent="0.25">
      <c r="A6830" s="29" t="s">
        <v>2243</v>
      </c>
    </row>
    <row r="6831" spans="1:1" x14ac:dyDescent="0.25">
      <c r="A6831" s="76" t="s">
        <v>2244</v>
      </c>
    </row>
    <row r="6832" spans="1:1" x14ac:dyDescent="0.25">
      <c r="A6832" s="76" t="s">
        <v>2245</v>
      </c>
    </row>
    <row r="6833" spans="1:1" x14ac:dyDescent="0.25">
      <c r="A6833" s="76" t="s">
        <v>2246</v>
      </c>
    </row>
    <row r="6834" spans="1:1" x14ac:dyDescent="0.25">
      <c r="A6834" s="108" t="s">
        <v>2247</v>
      </c>
    </row>
    <row r="6835" spans="1:1" x14ac:dyDescent="0.25">
      <c r="A6835" s="108" t="s">
        <v>2248</v>
      </c>
    </row>
    <row r="6836" spans="1:1" x14ac:dyDescent="0.25">
      <c r="A6836" s="76" t="s">
        <v>2249</v>
      </c>
    </row>
    <row r="6837" spans="1:1" x14ac:dyDescent="0.25">
      <c r="A6837" s="29" t="s">
        <v>2250</v>
      </c>
    </row>
    <row r="6838" spans="1:1" x14ac:dyDescent="0.25">
      <c r="A6838" s="76" t="s">
        <v>2251</v>
      </c>
    </row>
    <row r="6839" spans="1:1" x14ac:dyDescent="0.25">
      <c r="A6839" s="76" t="s">
        <v>2252</v>
      </c>
    </row>
    <row r="6840" spans="1:1" x14ac:dyDescent="0.25">
      <c r="A6840" s="76" t="s">
        <v>2253</v>
      </c>
    </row>
    <row r="6841" spans="1:1" x14ac:dyDescent="0.25">
      <c r="A6841" s="108" t="s">
        <v>2254</v>
      </c>
    </row>
    <row r="6842" spans="1:1" x14ac:dyDescent="0.25">
      <c r="A6842" s="108" t="s">
        <v>2255</v>
      </c>
    </row>
    <row r="6843" spans="1:1" x14ac:dyDescent="0.25">
      <c r="A6843" s="76" t="s">
        <v>2256</v>
      </c>
    </row>
    <row r="6844" spans="1:1" x14ac:dyDescent="0.25">
      <c r="A6844" s="29" t="s">
        <v>2257</v>
      </c>
    </row>
    <row r="6845" spans="1:1" x14ac:dyDescent="0.25">
      <c r="A6845" s="76" t="s">
        <v>2258</v>
      </c>
    </row>
    <row r="6846" spans="1:1" x14ac:dyDescent="0.25">
      <c r="A6846" s="76" t="s">
        <v>2259</v>
      </c>
    </row>
    <row r="6847" spans="1:1" x14ac:dyDescent="0.25">
      <c r="A6847" s="76" t="s">
        <v>2260</v>
      </c>
    </row>
    <row r="6848" spans="1:1" x14ac:dyDescent="0.25">
      <c r="A6848" s="108" t="s">
        <v>2261</v>
      </c>
    </row>
    <row r="6849" spans="1:1" x14ac:dyDescent="0.25">
      <c r="A6849" s="108" t="s">
        <v>2262</v>
      </c>
    </row>
    <row r="6850" spans="1:1" x14ac:dyDescent="0.25">
      <c r="A6850" s="76" t="s">
        <v>2263</v>
      </c>
    </row>
    <row r="6851" spans="1:1" x14ac:dyDescent="0.25">
      <c r="A6851" s="29" t="s">
        <v>2264</v>
      </c>
    </row>
    <row r="6852" spans="1:1" x14ac:dyDescent="0.25">
      <c r="A6852" s="76" t="s">
        <v>2265</v>
      </c>
    </row>
    <row r="6853" spans="1:1" x14ac:dyDescent="0.25">
      <c r="A6853" s="76" t="s">
        <v>2266</v>
      </c>
    </row>
    <row r="6854" spans="1:1" x14ac:dyDescent="0.25">
      <c r="A6854" s="76" t="s">
        <v>2267</v>
      </c>
    </row>
    <row r="6855" spans="1:1" x14ac:dyDescent="0.25">
      <c r="A6855" s="108" t="s">
        <v>2268</v>
      </c>
    </row>
    <row r="6856" spans="1:1" x14ac:dyDescent="0.25">
      <c r="A6856" s="76" t="s">
        <v>2269</v>
      </c>
    </row>
    <row r="6857" spans="1:1" x14ac:dyDescent="0.25">
      <c r="A6857" s="76" t="s">
        <v>2270</v>
      </c>
    </row>
    <row r="6858" spans="1:1" x14ac:dyDescent="0.25">
      <c r="A6858" s="76" t="s">
        <v>2271</v>
      </c>
    </row>
    <row r="6859" spans="1:1" x14ac:dyDescent="0.25">
      <c r="A6859" s="76" t="s">
        <v>2272</v>
      </c>
    </row>
    <row r="6860" spans="1:1" x14ac:dyDescent="0.25">
      <c r="A6860" s="76" t="s">
        <v>2273</v>
      </c>
    </row>
    <row r="6861" spans="1:1" x14ac:dyDescent="0.25">
      <c r="A6861" s="76" t="s">
        <v>2274</v>
      </c>
    </row>
    <row r="6862" spans="1:1" x14ac:dyDescent="0.25">
      <c r="A6862" s="76" t="s">
        <v>2275</v>
      </c>
    </row>
    <row r="6863" spans="1:1" x14ac:dyDescent="0.25">
      <c r="A6863" s="76" t="s">
        <v>2276</v>
      </c>
    </row>
    <row r="6864" spans="1:1" x14ac:dyDescent="0.25">
      <c r="A6864" s="76" t="s">
        <v>2277</v>
      </c>
    </row>
    <row r="6865" spans="1:1" x14ac:dyDescent="0.25">
      <c r="A6865" s="76" t="s">
        <v>2278</v>
      </c>
    </row>
    <row r="6866" spans="1:1" x14ac:dyDescent="0.25">
      <c r="A6866" s="76" t="s">
        <v>2279</v>
      </c>
    </row>
    <row r="6867" spans="1:1" x14ac:dyDescent="0.25">
      <c r="A6867" s="76" t="s">
        <v>2280</v>
      </c>
    </row>
    <row r="6868" spans="1:1" x14ac:dyDescent="0.25">
      <c r="A6868" s="76" t="s">
        <v>2281</v>
      </c>
    </row>
    <row r="6869" spans="1:1" x14ac:dyDescent="0.25">
      <c r="A6869" s="76" t="s">
        <v>2282</v>
      </c>
    </row>
    <row r="6870" spans="1:1" x14ac:dyDescent="0.25">
      <c r="A6870" s="76" t="s">
        <v>2283</v>
      </c>
    </row>
    <row r="6871" spans="1:1" x14ac:dyDescent="0.25">
      <c r="A6871" s="76" t="s">
        <v>2284</v>
      </c>
    </row>
    <row r="6872" spans="1:1" x14ac:dyDescent="0.25">
      <c r="A6872" s="76" t="s">
        <v>2285</v>
      </c>
    </row>
    <row r="6873" spans="1:1" x14ac:dyDescent="0.25">
      <c r="A6873" s="76" t="s">
        <v>2286</v>
      </c>
    </row>
    <row r="6874" spans="1:1" x14ac:dyDescent="0.25">
      <c r="A6874" s="76" t="s">
        <v>2287</v>
      </c>
    </row>
    <row r="6875" spans="1:1" x14ac:dyDescent="0.25">
      <c r="A6875" s="76" t="s">
        <v>2288</v>
      </c>
    </row>
    <row r="6876" spans="1:1" x14ac:dyDescent="0.25">
      <c r="A6876" s="108" t="s">
        <v>2289</v>
      </c>
    </row>
    <row r="6877" spans="1:1" x14ac:dyDescent="0.25">
      <c r="A6877" s="76" t="s">
        <v>2290</v>
      </c>
    </row>
    <row r="6878" spans="1:1" x14ac:dyDescent="0.25">
      <c r="A6878" s="76" t="s">
        <v>2291</v>
      </c>
    </row>
    <row r="6879" spans="1:1" x14ac:dyDescent="0.25">
      <c r="A6879" s="76" t="s">
        <v>2292</v>
      </c>
    </row>
    <row r="6880" spans="1:1" x14ac:dyDescent="0.25">
      <c r="A6880" s="76" t="s">
        <v>2293</v>
      </c>
    </row>
    <row r="6881" spans="1:1" x14ac:dyDescent="0.25">
      <c r="A6881" s="76" t="s">
        <v>2294</v>
      </c>
    </row>
    <row r="6882" spans="1:1" x14ac:dyDescent="0.25">
      <c r="A6882" s="76" t="s">
        <v>2295</v>
      </c>
    </row>
    <row r="6883" spans="1:1" x14ac:dyDescent="0.25">
      <c r="A6883" s="108" t="s">
        <v>2296</v>
      </c>
    </row>
    <row r="6884" spans="1:1" x14ac:dyDescent="0.25">
      <c r="A6884" s="76" t="s">
        <v>2297</v>
      </c>
    </row>
    <row r="6885" spans="1:1" x14ac:dyDescent="0.25">
      <c r="A6885" s="76" t="s">
        <v>2298</v>
      </c>
    </row>
    <row r="6886" spans="1:1" x14ac:dyDescent="0.25">
      <c r="A6886" s="76" t="s">
        <v>2299</v>
      </c>
    </row>
    <row r="6887" spans="1:1" x14ac:dyDescent="0.25">
      <c r="A6887" s="76" t="s">
        <v>2300</v>
      </c>
    </row>
    <row r="6888" spans="1:1" x14ac:dyDescent="0.25">
      <c r="A6888" s="76" t="s">
        <v>2301</v>
      </c>
    </row>
    <row r="6889" spans="1:1" x14ac:dyDescent="0.25">
      <c r="A6889" s="76" t="s">
        <v>2302</v>
      </c>
    </row>
    <row r="6890" spans="1:1" x14ac:dyDescent="0.25">
      <c r="A6890" s="76" t="s">
        <v>2303</v>
      </c>
    </row>
    <row r="6891" spans="1:1" x14ac:dyDescent="0.25">
      <c r="A6891" s="76" t="s">
        <v>2304</v>
      </c>
    </row>
    <row r="6892" spans="1:1" x14ac:dyDescent="0.25">
      <c r="A6892" s="76" t="s">
        <v>2305</v>
      </c>
    </row>
    <row r="6893" spans="1:1" x14ac:dyDescent="0.25">
      <c r="A6893" s="76" t="s">
        <v>2306</v>
      </c>
    </row>
    <row r="6894" spans="1:1" x14ac:dyDescent="0.25">
      <c r="A6894" s="76" t="s">
        <v>2307</v>
      </c>
    </row>
    <row r="6895" spans="1:1" x14ac:dyDescent="0.25">
      <c r="A6895" s="76" t="s">
        <v>2308</v>
      </c>
    </row>
    <row r="6896" spans="1:1" x14ac:dyDescent="0.25">
      <c r="A6896" s="76" t="s">
        <v>2309</v>
      </c>
    </row>
    <row r="6897" spans="1:1" x14ac:dyDescent="0.25">
      <c r="A6897" s="76" t="s">
        <v>2310</v>
      </c>
    </row>
    <row r="6898" spans="1:1" x14ac:dyDescent="0.25">
      <c r="A6898" s="76" t="s">
        <v>2311</v>
      </c>
    </row>
    <row r="6899" spans="1:1" x14ac:dyDescent="0.25">
      <c r="A6899" s="76" t="s">
        <v>2312</v>
      </c>
    </row>
    <row r="6900" spans="1:1" x14ac:dyDescent="0.25">
      <c r="A6900" s="76" t="s">
        <v>2313</v>
      </c>
    </row>
    <row r="6901" spans="1:1" x14ac:dyDescent="0.25">
      <c r="A6901" s="76" t="s">
        <v>2314</v>
      </c>
    </row>
    <row r="6902" spans="1:1" x14ac:dyDescent="0.25">
      <c r="A6902" s="76" t="s">
        <v>2315</v>
      </c>
    </row>
    <row r="6903" spans="1:1" x14ac:dyDescent="0.25">
      <c r="A6903" s="76" t="s">
        <v>2316</v>
      </c>
    </row>
    <row r="6904" spans="1:1" x14ac:dyDescent="0.25">
      <c r="A6904" s="76" t="s">
        <v>2317</v>
      </c>
    </row>
    <row r="6905" spans="1:1" x14ac:dyDescent="0.25">
      <c r="A6905" s="76" t="s">
        <v>2318</v>
      </c>
    </row>
    <row r="6906" spans="1:1" x14ac:dyDescent="0.25">
      <c r="A6906" s="76" t="s">
        <v>2319</v>
      </c>
    </row>
    <row r="6907" spans="1:1" x14ac:dyDescent="0.25">
      <c r="A6907" s="76" t="s">
        <v>2320</v>
      </c>
    </row>
    <row r="6908" spans="1:1" x14ac:dyDescent="0.25">
      <c r="A6908" s="76" t="s">
        <v>2321</v>
      </c>
    </row>
    <row r="6909" spans="1:1" x14ac:dyDescent="0.25">
      <c r="A6909" s="76" t="s">
        <v>2322</v>
      </c>
    </row>
    <row r="6910" spans="1:1" x14ac:dyDescent="0.25">
      <c r="A6910" s="76" t="s">
        <v>2323</v>
      </c>
    </row>
    <row r="6911" spans="1:1" x14ac:dyDescent="0.25">
      <c r="A6911" s="76" t="s">
        <v>2324</v>
      </c>
    </row>
    <row r="6912" spans="1:1" x14ac:dyDescent="0.25">
      <c r="A6912" s="76" t="s">
        <v>2325</v>
      </c>
    </row>
    <row r="6913" spans="1:1" x14ac:dyDescent="0.25">
      <c r="A6913" s="76" t="s">
        <v>2326</v>
      </c>
    </row>
    <row r="6914" spans="1:1" x14ac:dyDescent="0.25">
      <c r="A6914" s="76" t="s">
        <v>2327</v>
      </c>
    </row>
    <row r="6915" spans="1:1" x14ac:dyDescent="0.25">
      <c r="A6915" s="76" t="s">
        <v>2328</v>
      </c>
    </row>
    <row r="6916" spans="1:1" x14ac:dyDescent="0.25">
      <c r="A6916" s="76" t="s">
        <v>2329</v>
      </c>
    </row>
    <row r="6917" spans="1:1" x14ac:dyDescent="0.25">
      <c r="A6917" s="76" t="s">
        <v>2330</v>
      </c>
    </row>
    <row r="6918" spans="1:1" x14ac:dyDescent="0.25">
      <c r="A6918" s="76" t="s">
        <v>2331</v>
      </c>
    </row>
    <row r="6919" spans="1:1" x14ac:dyDescent="0.25">
      <c r="A6919" s="108" t="s">
        <v>2332</v>
      </c>
    </row>
    <row r="6920" spans="1:1" x14ac:dyDescent="0.25">
      <c r="A6920" s="76" t="s">
        <v>2333</v>
      </c>
    </row>
    <row r="6921" spans="1:1" x14ac:dyDescent="0.25">
      <c r="A6921" s="76" t="s">
        <v>2334</v>
      </c>
    </row>
    <row r="6922" spans="1:1" x14ac:dyDescent="0.25">
      <c r="A6922" s="76" t="s">
        <v>2335</v>
      </c>
    </row>
    <row r="6923" spans="1:1" x14ac:dyDescent="0.25">
      <c r="A6923" s="76" t="s">
        <v>2336</v>
      </c>
    </row>
    <row r="6924" spans="1:1" x14ac:dyDescent="0.25">
      <c r="A6924" s="76" t="s">
        <v>2337</v>
      </c>
    </row>
    <row r="6925" spans="1:1" x14ac:dyDescent="0.25">
      <c r="A6925" s="76" t="s">
        <v>2338</v>
      </c>
    </row>
    <row r="6926" spans="1:1" x14ac:dyDescent="0.25">
      <c r="A6926" s="76" t="s">
        <v>2339</v>
      </c>
    </row>
    <row r="6927" spans="1:1" x14ac:dyDescent="0.25">
      <c r="A6927" s="76" t="s">
        <v>2340</v>
      </c>
    </row>
    <row r="6928" spans="1:1" x14ac:dyDescent="0.25">
      <c r="A6928" s="108" t="s">
        <v>2341</v>
      </c>
    </row>
    <row r="6929" spans="1:1" x14ac:dyDescent="0.25">
      <c r="A6929" s="76" t="s">
        <v>2342</v>
      </c>
    </row>
    <row r="6930" spans="1:1" x14ac:dyDescent="0.25">
      <c r="A6930" s="76" t="s">
        <v>2343</v>
      </c>
    </row>
    <row r="6931" spans="1:1" x14ac:dyDescent="0.25">
      <c r="A6931" s="76" t="s">
        <v>2344</v>
      </c>
    </row>
    <row r="6932" spans="1:1" x14ac:dyDescent="0.25">
      <c r="A6932" s="76" t="s">
        <v>2345</v>
      </c>
    </row>
    <row r="6933" spans="1:1" x14ac:dyDescent="0.25">
      <c r="A6933" s="76" t="s">
        <v>2346</v>
      </c>
    </row>
    <row r="6934" spans="1:1" x14ac:dyDescent="0.25">
      <c r="A6934" s="76" t="s">
        <v>2347</v>
      </c>
    </row>
    <row r="6935" spans="1:1" x14ac:dyDescent="0.25">
      <c r="A6935" s="76" t="s">
        <v>2348</v>
      </c>
    </row>
    <row r="6936" spans="1:1" x14ac:dyDescent="0.25">
      <c r="A6936" s="76" t="s">
        <v>2349</v>
      </c>
    </row>
    <row r="6937" spans="1:1" x14ac:dyDescent="0.25">
      <c r="A6937" s="76" t="s">
        <v>2350</v>
      </c>
    </row>
    <row r="6938" spans="1:1" x14ac:dyDescent="0.25">
      <c r="A6938" s="76" t="s">
        <v>2351</v>
      </c>
    </row>
    <row r="6939" spans="1:1" x14ac:dyDescent="0.25">
      <c r="A6939" s="76" t="s">
        <v>2352</v>
      </c>
    </row>
    <row r="6940" spans="1:1" x14ac:dyDescent="0.25">
      <c r="A6940" s="76" t="s">
        <v>2353</v>
      </c>
    </row>
    <row r="6941" spans="1:1" x14ac:dyDescent="0.25">
      <c r="A6941" s="76" t="s">
        <v>2354</v>
      </c>
    </row>
    <row r="6942" spans="1:1" x14ac:dyDescent="0.25">
      <c r="A6942" s="76" t="s">
        <v>2355</v>
      </c>
    </row>
    <row r="6943" spans="1:1" x14ac:dyDescent="0.25">
      <c r="A6943" s="76" t="s">
        <v>2356</v>
      </c>
    </row>
    <row r="6944" spans="1:1" x14ac:dyDescent="0.25">
      <c r="A6944" s="76" t="s">
        <v>2357</v>
      </c>
    </row>
    <row r="6945" spans="1:1" x14ac:dyDescent="0.25">
      <c r="A6945" s="76" t="s">
        <v>2358</v>
      </c>
    </row>
    <row r="6946" spans="1:1" x14ac:dyDescent="0.25">
      <c r="A6946" s="76" t="s">
        <v>2359</v>
      </c>
    </row>
    <row r="6947" spans="1:1" x14ac:dyDescent="0.25">
      <c r="A6947" s="76" t="s">
        <v>2360</v>
      </c>
    </row>
    <row r="6948" spans="1:1" x14ac:dyDescent="0.25">
      <c r="A6948" s="76" t="s">
        <v>2361</v>
      </c>
    </row>
    <row r="6949" spans="1:1" x14ac:dyDescent="0.25">
      <c r="A6949" s="76" t="s">
        <v>2362</v>
      </c>
    </row>
    <row r="6950" spans="1:1" x14ac:dyDescent="0.25">
      <c r="A6950" s="76" t="s">
        <v>2363</v>
      </c>
    </row>
    <row r="6951" spans="1:1" x14ac:dyDescent="0.25">
      <c r="A6951" s="76" t="s">
        <v>2364</v>
      </c>
    </row>
    <row r="6952" spans="1:1" x14ac:dyDescent="0.25">
      <c r="A6952" s="76" t="s">
        <v>2365</v>
      </c>
    </row>
    <row r="6953" spans="1:1" x14ac:dyDescent="0.25">
      <c r="A6953" s="76" t="s">
        <v>2366</v>
      </c>
    </row>
    <row r="6954" spans="1:1" x14ac:dyDescent="0.25">
      <c r="A6954" s="76" t="s">
        <v>2367</v>
      </c>
    </row>
    <row r="6955" spans="1:1" x14ac:dyDescent="0.25">
      <c r="A6955" s="108" t="s">
        <v>2368</v>
      </c>
    </row>
    <row r="6956" spans="1:1" x14ac:dyDescent="0.25">
      <c r="A6956" s="76" t="s">
        <v>2369</v>
      </c>
    </row>
    <row r="6957" spans="1:1" x14ac:dyDescent="0.25">
      <c r="A6957" s="76" t="s">
        <v>2370</v>
      </c>
    </row>
    <row r="6958" spans="1:1" x14ac:dyDescent="0.25">
      <c r="A6958" s="76" t="s">
        <v>2371</v>
      </c>
    </row>
    <row r="6959" spans="1:1" x14ac:dyDescent="0.25">
      <c r="A6959" s="76" t="s">
        <v>2372</v>
      </c>
    </row>
    <row r="6960" spans="1:1" x14ac:dyDescent="0.25">
      <c r="A6960" s="108" t="s">
        <v>2373</v>
      </c>
    </row>
    <row r="6961" spans="1:1" x14ac:dyDescent="0.25">
      <c r="A6961" s="108" t="s">
        <v>2374</v>
      </c>
    </row>
    <row r="6962" spans="1:1" x14ac:dyDescent="0.25">
      <c r="A6962" s="76" t="s">
        <v>2375</v>
      </c>
    </row>
    <row r="6963" spans="1:1" x14ac:dyDescent="0.25">
      <c r="A6963" s="29" t="s">
        <v>2376</v>
      </c>
    </row>
    <row r="6964" spans="1:1" x14ac:dyDescent="0.25">
      <c r="A6964" s="76" t="s">
        <v>2377</v>
      </c>
    </row>
    <row r="6965" spans="1:1" x14ac:dyDescent="0.25">
      <c r="A6965" s="76" t="s">
        <v>2378</v>
      </c>
    </row>
    <row r="6966" spans="1:1" x14ac:dyDescent="0.25">
      <c r="A6966" s="76" t="s">
        <v>2379</v>
      </c>
    </row>
    <row r="6967" spans="1:1" x14ac:dyDescent="0.25">
      <c r="A6967" s="108" t="s">
        <v>2380</v>
      </c>
    </row>
    <row r="6968" spans="1:1" x14ac:dyDescent="0.25">
      <c r="A6968" s="108" t="s">
        <v>2381</v>
      </c>
    </row>
    <row r="6969" spans="1:1" x14ac:dyDescent="0.25">
      <c r="A6969" s="76" t="s">
        <v>2382</v>
      </c>
    </row>
    <row r="6970" spans="1:1" x14ac:dyDescent="0.25">
      <c r="A6970" s="29" t="s">
        <v>2383</v>
      </c>
    </row>
    <row r="6971" spans="1:1" x14ac:dyDescent="0.25">
      <c r="A6971" s="76" t="s">
        <v>2384</v>
      </c>
    </row>
    <row r="6972" spans="1:1" x14ac:dyDescent="0.25">
      <c r="A6972" s="76" t="s">
        <v>2385</v>
      </c>
    </row>
    <row r="6973" spans="1:1" x14ac:dyDescent="0.25">
      <c r="A6973" s="76" t="s">
        <v>2386</v>
      </c>
    </row>
    <row r="6974" spans="1:1" x14ac:dyDescent="0.25">
      <c r="A6974" s="108" t="s">
        <v>2387</v>
      </c>
    </row>
    <row r="6975" spans="1:1" x14ac:dyDescent="0.25">
      <c r="A6975" s="108" t="s">
        <v>2388</v>
      </c>
    </row>
    <row r="6976" spans="1:1" x14ac:dyDescent="0.25">
      <c r="A6976" s="76" t="s">
        <v>2389</v>
      </c>
    </row>
    <row r="6977" spans="1:1" x14ac:dyDescent="0.25">
      <c r="A6977" s="29" t="s">
        <v>2390</v>
      </c>
    </row>
    <row r="6978" spans="1:1" x14ac:dyDescent="0.25">
      <c r="A6978" s="76" t="s">
        <v>2391</v>
      </c>
    </row>
    <row r="6979" spans="1:1" x14ac:dyDescent="0.25">
      <c r="A6979" s="76" t="s">
        <v>2392</v>
      </c>
    </row>
    <row r="6980" spans="1:1" x14ac:dyDescent="0.25">
      <c r="A6980" s="76" t="s">
        <v>2393</v>
      </c>
    </row>
    <row r="6981" spans="1:1" x14ac:dyDescent="0.25">
      <c r="A6981" s="108" t="s">
        <v>2394</v>
      </c>
    </row>
    <row r="6982" spans="1:1" x14ac:dyDescent="0.25">
      <c r="A6982" s="108" t="s">
        <v>2395</v>
      </c>
    </row>
    <row r="6983" spans="1:1" x14ac:dyDescent="0.25">
      <c r="A6983" s="76" t="s">
        <v>2396</v>
      </c>
    </row>
    <row r="6984" spans="1:1" x14ac:dyDescent="0.25">
      <c r="A6984" s="29" t="s">
        <v>2397</v>
      </c>
    </row>
    <row r="6985" spans="1:1" x14ac:dyDescent="0.25">
      <c r="A6985" s="76" t="s">
        <v>2398</v>
      </c>
    </row>
    <row r="6986" spans="1:1" x14ac:dyDescent="0.25">
      <c r="A6986" s="76" t="s">
        <v>2399</v>
      </c>
    </row>
    <row r="6987" spans="1:1" x14ac:dyDescent="0.25">
      <c r="A6987" s="76" t="s">
        <v>2400</v>
      </c>
    </row>
    <row r="6988" spans="1:1" x14ac:dyDescent="0.25">
      <c r="A6988" s="108" t="s">
        <v>2401</v>
      </c>
    </row>
    <row r="6989" spans="1:1" x14ac:dyDescent="0.25">
      <c r="A6989" s="108" t="s">
        <v>2402</v>
      </c>
    </row>
    <row r="6990" spans="1:1" x14ac:dyDescent="0.25">
      <c r="A6990" s="76" t="s">
        <v>2403</v>
      </c>
    </row>
    <row r="6991" spans="1:1" x14ac:dyDescent="0.25">
      <c r="A6991" s="29" t="s">
        <v>2404</v>
      </c>
    </row>
    <row r="6992" spans="1:1" x14ac:dyDescent="0.25">
      <c r="A6992" s="76" t="s">
        <v>2405</v>
      </c>
    </row>
    <row r="6993" spans="1:1" x14ac:dyDescent="0.25">
      <c r="A6993" s="76" t="s">
        <v>2406</v>
      </c>
    </row>
    <row r="6994" spans="1:1" x14ac:dyDescent="0.25">
      <c r="A6994" s="76" t="s">
        <v>2407</v>
      </c>
    </row>
    <row r="6995" spans="1:1" x14ac:dyDescent="0.25">
      <c r="A6995" s="108" t="s">
        <v>2408</v>
      </c>
    </row>
    <row r="6996" spans="1:1" x14ac:dyDescent="0.25">
      <c r="A6996" s="108" t="s">
        <v>2409</v>
      </c>
    </row>
    <row r="6997" spans="1:1" x14ac:dyDescent="0.25">
      <c r="A6997" s="76" t="s">
        <v>2410</v>
      </c>
    </row>
    <row r="6998" spans="1:1" x14ac:dyDescent="0.25">
      <c r="A6998" s="29" t="s">
        <v>2411</v>
      </c>
    </row>
    <row r="6999" spans="1:1" x14ac:dyDescent="0.25">
      <c r="A6999" s="76" t="s">
        <v>2412</v>
      </c>
    </row>
    <row r="7000" spans="1:1" x14ac:dyDescent="0.25">
      <c r="A7000" s="76" t="s">
        <v>2413</v>
      </c>
    </row>
    <row r="7001" spans="1:1" x14ac:dyDescent="0.25">
      <c r="A7001" s="76" t="s">
        <v>2414</v>
      </c>
    </row>
    <row r="7002" spans="1:1" x14ac:dyDescent="0.25">
      <c r="A7002" s="76" t="s">
        <v>2415</v>
      </c>
    </row>
    <row r="7003" spans="1:1" x14ac:dyDescent="0.25">
      <c r="A7003" s="76" t="s">
        <v>2416</v>
      </c>
    </row>
    <row r="7004" spans="1:1" x14ac:dyDescent="0.25">
      <c r="A7004" s="76" t="s">
        <v>2417</v>
      </c>
    </row>
    <row r="7005" spans="1:1" x14ac:dyDescent="0.25">
      <c r="A7005" s="108" t="s">
        <v>2418</v>
      </c>
    </row>
    <row r="7006" spans="1:1" x14ac:dyDescent="0.25">
      <c r="A7006" s="76" t="s">
        <v>2419</v>
      </c>
    </row>
    <row r="7007" spans="1:1" x14ac:dyDescent="0.25">
      <c r="A7007" s="76" t="s">
        <v>2420</v>
      </c>
    </row>
    <row r="7008" spans="1:1" x14ac:dyDescent="0.25">
      <c r="A7008" s="76" t="s">
        <v>2421</v>
      </c>
    </row>
    <row r="7009" spans="1:1" x14ac:dyDescent="0.25">
      <c r="A7009" s="76" t="s">
        <v>2422</v>
      </c>
    </row>
    <row r="7010" spans="1:1" x14ac:dyDescent="0.25">
      <c r="A7010" s="76" t="s">
        <v>2423</v>
      </c>
    </row>
    <row r="7011" spans="1:1" x14ac:dyDescent="0.25">
      <c r="A7011" s="76" t="s">
        <v>2424</v>
      </c>
    </row>
    <row r="7012" spans="1:1" x14ac:dyDescent="0.25">
      <c r="A7012" s="76" t="s">
        <v>2425</v>
      </c>
    </row>
    <row r="7013" spans="1:1" x14ac:dyDescent="0.25">
      <c r="A7013" s="76" t="s">
        <v>2426</v>
      </c>
    </row>
    <row r="7014" spans="1:1" x14ac:dyDescent="0.25">
      <c r="A7014" s="76" t="s">
        <v>2427</v>
      </c>
    </row>
    <row r="7015" spans="1:1" x14ac:dyDescent="0.25">
      <c r="A7015" s="76" t="s">
        <v>2428</v>
      </c>
    </row>
    <row r="7016" spans="1:1" x14ac:dyDescent="0.25">
      <c r="A7016" s="76" t="s">
        <v>2429</v>
      </c>
    </row>
    <row r="7017" spans="1:1" x14ac:dyDescent="0.25">
      <c r="A7017" s="76" t="s">
        <v>2430</v>
      </c>
    </row>
    <row r="7018" spans="1:1" x14ac:dyDescent="0.25">
      <c r="A7018" s="76" t="s">
        <v>2431</v>
      </c>
    </row>
    <row r="7019" spans="1:1" x14ac:dyDescent="0.25">
      <c r="A7019" s="76" t="s">
        <v>2432</v>
      </c>
    </row>
    <row r="7020" spans="1:1" x14ac:dyDescent="0.25">
      <c r="A7020" s="76" t="s">
        <v>2433</v>
      </c>
    </row>
    <row r="7021" spans="1:1" x14ac:dyDescent="0.25">
      <c r="A7021" s="76" t="s">
        <v>2434</v>
      </c>
    </row>
    <row r="7022" spans="1:1" x14ac:dyDescent="0.25">
      <c r="A7022" s="76" t="s">
        <v>2435</v>
      </c>
    </row>
    <row r="7023" spans="1:1" x14ac:dyDescent="0.25">
      <c r="A7023" s="76" t="s">
        <v>2436</v>
      </c>
    </row>
    <row r="7024" spans="1:1" x14ac:dyDescent="0.25">
      <c r="A7024" s="76" t="s">
        <v>2437</v>
      </c>
    </row>
    <row r="7025" spans="1:1" x14ac:dyDescent="0.25">
      <c r="A7025" s="76" t="s">
        <v>2438</v>
      </c>
    </row>
    <row r="7026" spans="1:1" x14ac:dyDescent="0.25">
      <c r="A7026" s="76" t="s">
        <v>2439</v>
      </c>
    </row>
    <row r="7027" spans="1:1" x14ac:dyDescent="0.25">
      <c r="A7027" s="76" t="s">
        <v>2440</v>
      </c>
    </row>
    <row r="7028" spans="1:1" x14ac:dyDescent="0.25">
      <c r="A7028" s="76" t="s">
        <v>2441</v>
      </c>
    </row>
    <row r="7029" spans="1:1" x14ac:dyDescent="0.25">
      <c r="A7029" s="76" t="s">
        <v>2442</v>
      </c>
    </row>
    <row r="7030" spans="1:1" x14ac:dyDescent="0.25">
      <c r="A7030" s="76" t="s">
        <v>2443</v>
      </c>
    </row>
    <row r="7031" spans="1:1" x14ac:dyDescent="0.25">
      <c r="A7031" s="76" t="s">
        <v>2444</v>
      </c>
    </row>
    <row r="7032" spans="1:1" x14ac:dyDescent="0.25">
      <c r="A7032" s="76" t="s">
        <v>2445</v>
      </c>
    </row>
    <row r="7033" spans="1:1" x14ac:dyDescent="0.25">
      <c r="A7033" s="76" t="s">
        <v>2446</v>
      </c>
    </row>
    <row r="7034" spans="1:1" x14ac:dyDescent="0.25">
      <c r="A7034" s="108" t="s">
        <v>2447</v>
      </c>
    </row>
    <row r="7035" spans="1:1" x14ac:dyDescent="0.25">
      <c r="A7035" s="108" t="s">
        <v>2448</v>
      </c>
    </row>
    <row r="7036" spans="1:1" x14ac:dyDescent="0.25">
      <c r="A7036" s="76" t="s">
        <v>2449</v>
      </c>
    </row>
    <row r="7037" spans="1:1" x14ac:dyDescent="0.25">
      <c r="A7037" s="29" t="s">
        <v>2450</v>
      </c>
    </row>
    <row r="7038" spans="1:1" x14ac:dyDescent="0.25">
      <c r="A7038" s="76" t="s">
        <v>2451</v>
      </c>
    </row>
    <row r="7039" spans="1:1" x14ac:dyDescent="0.25">
      <c r="A7039" s="76" t="s">
        <v>2452</v>
      </c>
    </row>
    <row r="7040" spans="1:1" x14ac:dyDescent="0.25">
      <c r="A7040" s="76" t="s">
        <v>2453</v>
      </c>
    </row>
    <row r="7041" spans="1:1" x14ac:dyDescent="0.25">
      <c r="A7041" s="108" t="s">
        <v>2454</v>
      </c>
    </row>
    <row r="7042" spans="1:1" x14ac:dyDescent="0.25">
      <c r="A7042" s="108" t="s">
        <v>2455</v>
      </c>
    </row>
    <row r="7043" spans="1:1" x14ac:dyDescent="0.25">
      <c r="A7043" s="76" t="s">
        <v>2456</v>
      </c>
    </row>
    <row r="7044" spans="1:1" x14ac:dyDescent="0.25">
      <c r="A7044" s="29" t="s">
        <v>2457</v>
      </c>
    </row>
    <row r="7045" spans="1:1" x14ac:dyDescent="0.25">
      <c r="A7045" s="76" t="s">
        <v>2458</v>
      </c>
    </row>
    <row r="7046" spans="1:1" x14ac:dyDescent="0.25">
      <c r="A7046" s="76" t="s">
        <v>2459</v>
      </c>
    </row>
    <row r="7047" spans="1:1" x14ac:dyDescent="0.25">
      <c r="A7047" s="76" t="s">
        <v>2460</v>
      </c>
    </row>
    <row r="7048" spans="1:1" x14ac:dyDescent="0.25">
      <c r="A7048" s="108" t="s">
        <v>2461</v>
      </c>
    </row>
    <row r="7049" spans="1:1" x14ac:dyDescent="0.25">
      <c r="A7049" s="108" t="s">
        <v>2462</v>
      </c>
    </row>
    <row r="7050" spans="1:1" x14ac:dyDescent="0.25">
      <c r="A7050" s="76" t="s">
        <v>2463</v>
      </c>
    </row>
    <row r="7051" spans="1:1" x14ac:dyDescent="0.25">
      <c r="A7051" s="29" t="s">
        <v>2464</v>
      </c>
    </row>
    <row r="7052" spans="1:1" x14ac:dyDescent="0.25">
      <c r="A7052" s="76" t="s">
        <v>2465</v>
      </c>
    </row>
    <row r="7053" spans="1:1" x14ac:dyDescent="0.25">
      <c r="A7053" s="76" t="s">
        <v>2466</v>
      </c>
    </row>
    <row r="7054" spans="1:1" x14ac:dyDescent="0.25">
      <c r="A7054" s="76" t="s">
        <v>2467</v>
      </c>
    </row>
    <row r="7055" spans="1:1" x14ac:dyDescent="0.25">
      <c r="A7055" s="108" t="s">
        <v>2468</v>
      </c>
    </row>
    <row r="7056" spans="1:1" x14ac:dyDescent="0.25">
      <c r="A7056" s="108" t="s">
        <v>2469</v>
      </c>
    </row>
    <row r="7057" spans="1:1" x14ac:dyDescent="0.25">
      <c r="A7057" s="76" t="s">
        <v>2470</v>
      </c>
    </row>
    <row r="7058" spans="1:1" x14ac:dyDescent="0.25">
      <c r="A7058" s="29" t="s">
        <v>2471</v>
      </c>
    </row>
    <row r="7059" spans="1:1" x14ac:dyDescent="0.25">
      <c r="A7059" s="76" t="s">
        <v>2472</v>
      </c>
    </row>
    <row r="7060" spans="1:1" x14ac:dyDescent="0.25">
      <c r="A7060" s="76" t="s">
        <v>2473</v>
      </c>
    </row>
    <row r="7061" spans="1:1" x14ac:dyDescent="0.25">
      <c r="A7061" s="76" t="s">
        <v>2474</v>
      </c>
    </row>
    <row r="7062" spans="1:1" x14ac:dyDescent="0.25">
      <c r="A7062" s="108" t="s">
        <v>2475</v>
      </c>
    </row>
    <row r="7063" spans="1:1" x14ac:dyDescent="0.25">
      <c r="A7063" s="108" t="s">
        <v>2476</v>
      </c>
    </row>
    <row r="7064" spans="1:1" x14ac:dyDescent="0.25">
      <c r="A7064" s="76" t="s">
        <v>2477</v>
      </c>
    </row>
    <row r="7065" spans="1:1" x14ac:dyDescent="0.25">
      <c r="A7065" s="29" t="s">
        <v>2478</v>
      </c>
    </row>
    <row r="7066" spans="1:1" x14ac:dyDescent="0.25">
      <c r="A7066" s="76" t="s">
        <v>2479</v>
      </c>
    </row>
    <row r="7067" spans="1:1" x14ac:dyDescent="0.25">
      <c r="A7067" s="76" t="s">
        <v>2480</v>
      </c>
    </row>
    <row r="7068" spans="1:1" x14ac:dyDescent="0.25">
      <c r="A7068" s="76" t="s">
        <v>2481</v>
      </c>
    </row>
    <row r="7069" spans="1:1" x14ac:dyDescent="0.25">
      <c r="A7069" s="108" t="s">
        <v>2482</v>
      </c>
    </row>
    <row r="7070" spans="1:1" x14ac:dyDescent="0.25">
      <c r="A7070" s="108" t="s">
        <v>2483</v>
      </c>
    </row>
    <row r="7071" spans="1:1" x14ac:dyDescent="0.25">
      <c r="A7071" s="76" t="s">
        <v>2484</v>
      </c>
    </row>
    <row r="7072" spans="1:1" x14ac:dyDescent="0.25">
      <c r="A7072" s="29" t="s">
        <v>2485</v>
      </c>
    </row>
    <row r="7073" spans="1:1" x14ac:dyDescent="0.25">
      <c r="A7073" s="76" t="s">
        <v>2486</v>
      </c>
    </row>
    <row r="7074" spans="1:1" x14ac:dyDescent="0.25">
      <c r="A7074" s="76" t="s">
        <v>2487</v>
      </c>
    </row>
    <row r="7075" spans="1:1" x14ac:dyDescent="0.25">
      <c r="A7075" s="76" t="s">
        <v>2488</v>
      </c>
    </row>
    <row r="7076" spans="1:1" x14ac:dyDescent="0.25">
      <c r="A7076" s="76" t="s">
        <v>2489</v>
      </c>
    </row>
    <row r="7077" spans="1:1" x14ac:dyDescent="0.25">
      <c r="A7077" s="76" t="s">
        <v>2490</v>
      </c>
    </row>
    <row r="7078" spans="1:1" x14ac:dyDescent="0.25">
      <c r="A7078" s="76" t="s">
        <v>2491</v>
      </c>
    </row>
    <row r="7079" spans="1:1" x14ac:dyDescent="0.25">
      <c r="A7079" s="76" t="s">
        <v>2492</v>
      </c>
    </row>
    <row r="7080" spans="1:1" x14ac:dyDescent="0.25">
      <c r="A7080" s="76" t="s">
        <v>2493</v>
      </c>
    </row>
    <row r="7081" spans="1:1" x14ac:dyDescent="0.25">
      <c r="A7081" s="108" t="s">
        <v>2494</v>
      </c>
    </row>
    <row r="7082" spans="1:1" x14ac:dyDescent="0.25">
      <c r="A7082" s="76" t="s">
        <v>2495</v>
      </c>
    </row>
    <row r="7083" spans="1:1" x14ac:dyDescent="0.25">
      <c r="A7083" s="76" t="s">
        <v>2496</v>
      </c>
    </row>
    <row r="7084" spans="1:1" x14ac:dyDescent="0.25">
      <c r="A7084" s="76" t="s">
        <v>2497</v>
      </c>
    </row>
    <row r="7085" spans="1:1" x14ac:dyDescent="0.25">
      <c r="A7085" s="76" t="s">
        <v>2498</v>
      </c>
    </row>
    <row r="7086" spans="1:1" x14ac:dyDescent="0.25">
      <c r="A7086" s="76" t="s">
        <v>2499</v>
      </c>
    </row>
    <row r="7087" spans="1:1" x14ac:dyDescent="0.25">
      <c r="A7087" s="76" t="s">
        <v>2500</v>
      </c>
    </row>
    <row r="7088" spans="1:1" x14ac:dyDescent="0.25">
      <c r="A7088" s="76" t="s">
        <v>2501</v>
      </c>
    </row>
    <row r="7089" spans="1:1" x14ac:dyDescent="0.25">
      <c r="A7089" s="76" t="s">
        <v>2502</v>
      </c>
    </row>
    <row r="7090" spans="1:1" x14ac:dyDescent="0.25">
      <c r="A7090" s="76" t="s">
        <v>2503</v>
      </c>
    </row>
    <row r="7091" spans="1:1" x14ac:dyDescent="0.25">
      <c r="A7091" s="29" t="s">
        <v>2504</v>
      </c>
    </row>
    <row r="7092" spans="1:1" x14ac:dyDescent="0.25">
      <c r="A7092" s="108" t="s">
        <v>2505</v>
      </c>
    </row>
    <row r="7093" spans="1:1" x14ac:dyDescent="0.25">
      <c r="A7093" s="76" t="s">
        <v>2506</v>
      </c>
    </row>
    <row r="7094" spans="1:1" x14ac:dyDescent="0.25">
      <c r="A7094" s="29" t="s">
        <v>2507</v>
      </c>
    </row>
    <row r="7095" spans="1:1" x14ac:dyDescent="0.25">
      <c r="A7095" s="76" t="s">
        <v>2508</v>
      </c>
    </row>
    <row r="7096" spans="1:1" x14ac:dyDescent="0.25">
      <c r="A7096" s="76" t="s">
        <v>2509</v>
      </c>
    </row>
    <row r="7097" spans="1:1" x14ac:dyDescent="0.25">
      <c r="A7097" s="76" t="s">
        <v>2510</v>
      </c>
    </row>
    <row r="7098" spans="1:1" x14ac:dyDescent="0.25">
      <c r="A7098" s="76" t="s">
        <v>2511</v>
      </c>
    </row>
    <row r="7099" spans="1:1" x14ac:dyDescent="0.25">
      <c r="A7099" s="76" t="s">
        <v>2512</v>
      </c>
    </row>
    <row r="7100" spans="1:1" x14ac:dyDescent="0.25">
      <c r="A7100" s="76" t="s">
        <v>2513</v>
      </c>
    </row>
    <row r="7101" spans="1:1" x14ac:dyDescent="0.25">
      <c r="A7101" s="76" t="s">
        <v>2514</v>
      </c>
    </row>
    <row r="7102" spans="1:1" x14ac:dyDescent="0.25">
      <c r="A7102" s="76" t="s">
        <v>2515</v>
      </c>
    </row>
    <row r="7103" spans="1:1" x14ac:dyDescent="0.25">
      <c r="A7103" s="76" t="s">
        <v>2516</v>
      </c>
    </row>
    <row r="7104" spans="1:1" x14ac:dyDescent="0.25">
      <c r="A7104" s="76" t="s">
        <v>2517</v>
      </c>
    </row>
    <row r="7105" spans="1:1" x14ac:dyDescent="0.25">
      <c r="A7105" s="76" t="s">
        <v>2518</v>
      </c>
    </row>
    <row r="7106" spans="1:1" x14ac:dyDescent="0.25">
      <c r="A7106" s="76" t="s">
        <v>2519</v>
      </c>
    </row>
    <row r="7107" spans="1:1" x14ac:dyDescent="0.25">
      <c r="A7107" s="76" t="s">
        <v>2520</v>
      </c>
    </row>
    <row r="7108" spans="1:1" x14ac:dyDescent="0.25">
      <c r="A7108" s="76" t="s">
        <v>2521</v>
      </c>
    </row>
    <row r="7109" spans="1:1" x14ac:dyDescent="0.25">
      <c r="A7109" s="108" t="s">
        <v>2522</v>
      </c>
    </row>
    <row r="7110" spans="1:1" x14ac:dyDescent="0.25">
      <c r="A7110" s="76" t="s">
        <v>2523</v>
      </c>
    </row>
    <row r="7111" spans="1:1" x14ac:dyDescent="0.25">
      <c r="A7111" s="76" t="s">
        <v>2524</v>
      </c>
    </row>
    <row r="7112" spans="1:1" x14ac:dyDescent="0.25">
      <c r="A7112" s="76" t="s">
        <v>2525</v>
      </c>
    </row>
    <row r="7113" spans="1:1" x14ac:dyDescent="0.25">
      <c r="A7113" s="76" t="s">
        <v>2526</v>
      </c>
    </row>
    <row r="7114" spans="1:1" x14ac:dyDescent="0.25">
      <c r="A7114" s="76" t="s">
        <v>2527</v>
      </c>
    </row>
    <row r="7115" spans="1:1" x14ac:dyDescent="0.25">
      <c r="A7115" s="76" t="s">
        <v>2528</v>
      </c>
    </row>
    <row r="7116" spans="1:1" x14ac:dyDescent="0.25">
      <c r="A7116" s="76" t="s">
        <v>2529</v>
      </c>
    </row>
    <row r="7117" spans="1:1" x14ac:dyDescent="0.25">
      <c r="A7117" s="76" t="s">
        <v>2530</v>
      </c>
    </row>
    <row r="7118" spans="1:1" x14ac:dyDescent="0.25">
      <c r="A7118" s="76" t="s">
        <v>2531</v>
      </c>
    </row>
    <row r="7119" spans="1:1" x14ac:dyDescent="0.25">
      <c r="A7119" s="76" t="s">
        <v>2532</v>
      </c>
    </row>
    <row r="7120" spans="1:1" x14ac:dyDescent="0.25">
      <c r="A7120" s="76" t="s">
        <v>2533</v>
      </c>
    </row>
    <row r="7121" spans="1:1" x14ac:dyDescent="0.25">
      <c r="A7121" s="76" t="s">
        <v>2534</v>
      </c>
    </row>
    <row r="7122" spans="1:1" x14ac:dyDescent="0.25">
      <c r="A7122" s="76" t="s">
        <v>2535</v>
      </c>
    </row>
    <row r="7123" spans="1:1" x14ac:dyDescent="0.25">
      <c r="A7123" s="108" t="s">
        <v>2536</v>
      </c>
    </row>
    <row r="7124" spans="1:1" x14ac:dyDescent="0.25">
      <c r="A7124" s="76" t="s">
        <v>2537</v>
      </c>
    </row>
    <row r="7125" spans="1:1" x14ac:dyDescent="0.25">
      <c r="A7125" s="76" t="s">
        <v>2538</v>
      </c>
    </row>
    <row r="7126" spans="1:1" x14ac:dyDescent="0.25">
      <c r="A7126" s="76" t="s">
        <v>2539</v>
      </c>
    </row>
    <row r="7127" spans="1:1" x14ac:dyDescent="0.25">
      <c r="A7127" s="76" t="s">
        <v>2540</v>
      </c>
    </row>
    <row r="7128" spans="1:1" x14ac:dyDescent="0.25">
      <c r="A7128" s="76" t="s">
        <v>2541</v>
      </c>
    </row>
    <row r="7129" spans="1:1" x14ac:dyDescent="0.25">
      <c r="A7129" s="76" t="s">
        <v>2542</v>
      </c>
    </row>
    <row r="7130" spans="1:1" x14ac:dyDescent="0.25">
      <c r="A7130" s="76" t="s">
        <v>2543</v>
      </c>
    </row>
    <row r="7131" spans="1:1" x14ac:dyDescent="0.25">
      <c r="A7131" s="76" t="s">
        <v>2544</v>
      </c>
    </row>
    <row r="7132" spans="1:1" x14ac:dyDescent="0.25">
      <c r="A7132" s="76" t="s">
        <v>2545</v>
      </c>
    </row>
    <row r="7133" spans="1:1" x14ac:dyDescent="0.25">
      <c r="A7133" s="76" t="s">
        <v>2546</v>
      </c>
    </row>
    <row r="7134" spans="1:1" x14ac:dyDescent="0.25">
      <c r="A7134" s="76" t="s">
        <v>2547</v>
      </c>
    </row>
    <row r="7135" spans="1:1" x14ac:dyDescent="0.25">
      <c r="A7135" s="76" t="s">
        <v>2548</v>
      </c>
    </row>
    <row r="7136" spans="1:1" x14ac:dyDescent="0.25">
      <c r="A7136" s="76" t="s">
        <v>2549</v>
      </c>
    </row>
    <row r="7137" spans="1:1" x14ac:dyDescent="0.25">
      <c r="A7137" s="76" t="s">
        <v>2550</v>
      </c>
    </row>
    <row r="7138" spans="1:1" x14ac:dyDescent="0.25">
      <c r="A7138" s="76" t="s">
        <v>2551</v>
      </c>
    </row>
    <row r="7139" spans="1:1" x14ac:dyDescent="0.25">
      <c r="A7139" s="76" t="s">
        <v>2552</v>
      </c>
    </row>
    <row r="7140" spans="1:1" x14ac:dyDescent="0.25">
      <c r="A7140" s="76" t="s">
        <v>2553</v>
      </c>
    </row>
    <row r="7141" spans="1:1" x14ac:dyDescent="0.25">
      <c r="A7141" s="76" t="s">
        <v>2554</v>
      </c>
    </row>
    <row r="7142" spans="1:1" x14ac:dyDescent="0.25">
      <c r="A7142" s="76" t="s">
        <v>2555</v>
      </c>
    </row>
    <row r="7143" spans="1:1" x14ac:dyDescent="0.25">
      <c r="A7143" s="76" t="s">
        <v>2556</v>
      </c>
    </row>
    <row r="7144" spans="1:1" x14ac:dyDescent="0.25">
      <c r="A7144" s="76" t="s">
        <v>2557</v>
      </c>
    </row>
    <row r="7145" spans="1:1" x14ac:dyDescent="0.25">
      <c r="A7145" s="76" t="s">
        <v>2558</v>
      </c>
    </row>
    <row r="7146" spans="1:1" x14ac:dyDescent="0.25">
      <c r="A7146" s="76" t="s">
        <v>2559</v>
      </c>
    </row>
    <row r="7147" spans="1:1" x14ac:dyDescent="0.25">
      <c r="A7147" s="76" t="s">
        <v>2560</v>
      </c>
    </row>
    <row r="7148" spans="1:1" x14ac:dyDescent="0.25">
      <c r="A7148" s="76" t="s">
        <v>2561</v>
      </c>
    </row>
    <row r="7149" spans="1:1" x14ac:dyDescent="0.25">
      <c r="A7149" s="76" t="s">
        <v>2562</v>
      </c>
    </row>
    <row r="7150" spans="1:1" x14ac:dyDescent="0.25">
      <c r="A7150" s="76" t="s">
        <v>2563</v>
      </c>
    </row>
    <row r="7151" spans="1:1" x14ac:dyDescent="0.25">
      <c r="A7151" s="76" t="s">
        <v>2564</v>
      </c>
    </row>
    <row r="7152" spans="1:1" x14ac:dyDescent="0.25">
      <c r="A7152" s="76" t="s">
        <v>2565</v>
      </c>
    </row>
    <row r="7153" spans="1:1" x14ac:dyDescent="0.25">
      <c r="A7153" s="76" t="s">
        <v>2566</v>
      </c>
    </row>
    <row r="7154" spans="1:1" x14ac:dyDescent="0.25">
      <c r="A7154" s="76" t="s">
        <v>2567</v>
      </c>
    </row>
    <row r="7155" spans="1:1" x14ac:dyDescent="0.25">
      <c r="A7155" s="76" t="s">
        <v>2568</v>
      </c>
    </row>
    <row r="7156" spans="1:1" x14ac:dyDescent="0.25">
      <c r="A7156" s="76" t="s">
        <v>2569</v>
      </c>
    </row>
    <row r="7157" spans="1:1" x14ac:dyDescent="0.25">
      <c r="A7157" s="76" t="s">
        <v>2570</v>
      </c>
    </row>
    <row r="7158" spans="1:1" x14ac:dyDescent="0.25">
      <c r="A7158" s="76" t="s">
        <v>2571</v>
      </c>
    </row>
    <row r="7159" spans="1:1" x14ac:dyDescent="0.25">
      <c r="A7159" s="76" t="s">
        <v>2572</v>
      </c>
    </row>
    <row r="7160" spans="1:1" x14ac:dyDescent="0.25">
      <c r="A7160" s="76" t="s">
        <v>2573</v>
      </c>
    </row>
    <row r="7161" spans="1:1" x14ac:dyDescent="0.25">
      <c r="A7161" s="76" t="s">
        <v>2574</v>
      </c>
    </row>
    <row r="7162" spans="1:1" x14ac:dyDescent="0.25">
      <c r="A7162" s="76" t="s">
        <v>2575</v>
      </c>
    </row>
    <row r="7163" spans="1:1" x14ac:dyDescent="0.25">
      <c r="A7163" s="76" t="s">
        <v>2576</v>
      </c>
    </row>
    <row r="7164" spans="1:1" x14ac:dyDescent="0.25">
      <c r="A7164" s="76" t="s">
        <v>2577</v>
      </c>
    </row>
    <row r="7165" spans="1:1" x14ac:dyDescent="0.25">
      <c r="A7165" s="76" t="s">
        <v>2578</v>
      </c>
    </row>
    <row r="7166" spans="1:1" x14ac:dyDescent="0.25">
      <c r="A7166" s="76" t="s">
        <v>2579</v>
      </c>
    </row>
    <row r="7167" spans="1:1" x14ac:dyDescent="0.25">
      <c r="A7167" s="108" t="s">
        <v>2580</v>
      </c>
    </row>
    <row r="7168" spans="1:1" x14ac:dyDescent="0.25">
      <c r="A7168" s="76" t="s">
        <v>2581</v>
      </c>
    </row>
    <row r="7169" spans="1:1" x14ac:dyDescent="0.25">
      <c r="A7169" s="76" t="s">
        <v>2582</v>
      </c>
    </row>
    <row r="7170" spans="1:1" x14ac:dyDescent="0.25">
      <c r="A7170" s="76" t="s">
        <v>2583</v>
      </c>
    </row>
    <row r="7171" spans="1:1" x14ac:dyDescent="0.25">
      <c r="A7171" s="76" t="s">
        <v>2584</v>
      </c>
    </row>
    <row r="7172" spans="1:1" x14ac:dyDescent="0.25">
      <c r="A7172" s="76" t="s">
        <v>2585</v>
      </c>
    </row>
    <row r="7173" spans="1:1" x14ac:dyDescent="0.25">
      <c r="A7173" s="76" t="s">
        <v>2586</v>
      </c>
    </row>
    <row r="7174" spans="1:1" x14ac:dyDescent="0.25">
      <c r="A7174" s="76" t="s">
        <v>2587</v>
      </c>
    </row>
    <row r="7175" spans="1:1" x14ac:dyDescent="0.25">
      <c r="A7175" s="76" t="s">
        <v>2588</v>
      </c>
    </row>
    <row r="7176" spans="1:1" x14ac:dyDescent="0.25">
      <c r="A7176" s="76" t="s">
        <v>2589</v>
      </c>
    </row>
    <row r="7177" spans="1:1" x14ac:dyDescent="0.25">
      <c r="A7177" s="76" t="s">
        <v>2590</v>
      </c>
    </row>
    <row r="7178" spans="1:1" x14ac:dyDescent="0.25">
      <c r="A7178" s="76" t="s">
        <v>2591</v>
      </c>
    </row>
    <row r="7179" spans="1:1" x14ac:dyDescent="0.25">
      <c r="A7179" s="76" t="s">
        <v>2592</v>
      </c>
    </row>
    <row r="7180" spans="1:1" x14ac:dyDescent="0.25">
      <c r="A7180" s="76" t="s">
        <v>2593</v>
      </c>
    </row>
    <row r="7181" spans="1:1" x14ac:dyDescent="0.25">
      <c r="A7181" s="76" t="s">
        <v>2594</v>
      </c>
    </row>
    <row r="7182" spans="1:1" x14ac:dyDescent="0.25">
      <c r="A7182" s="76" t="s">
        <v>2595</v>
      </c>
    </row>
    <row r="7183" spans="1:1" x14ac:dyDescent="0.25">
      <c r="A7183" s="76" t="s">
        <v>2596</v>
      </c>
    </row>
    <row r="7184" spans="1:1" x14ac:dyDescent="0.25">
      <c r="A7184" s="76" t="s">
        <v>2597</v>
      </c>
    </row>
    <row r="7185" spans="1:1" x14ac:dyDescent="0.25">
      <c r="A7185" s="76" t="s">
        <v>2598</v>
      </c>
    </row>
    <row r="7186" spans="1:1" x14ac:dyDescent="0.25">
      <c r="A7186" s="76" t="s">
        <v>2599</v>
      </c>
    </row>
    <row r="7187" spans="1:1" x14ac:dyDescent="0.25">
      <c r="A7187" s="76" t="s">
        <v>2600</v>
      </c>
    </row>
    <row r="7188" spans="1:1" x14ac:dyDescent="0.25">
      <c r="A7188" s="76" t="s">
        <v>2601</v>
      </c>
    </row>
    <row r="7189" spans="1:1" x14ac:dyDescent="0.25">
      <c r="A7189" s="76" t="s">
        <v>2602</v>
      </c>
    </row>
    <row r="7190" spans="1:1" x14ac:dyDescent="0.25">
      <c r="A7190" s="76" t="s">
        <v>2603</v>
      </c>
    </row>
    <row r="7191" spans="1:1" x14ac:dyDescent="0.25">
      <c r="A7191" s="76" t="s">
        <v>2604</v>
      </c>
    </row>
    <row r="7192" spans="1:1" x14ac:dyDescent="0.25">
      <c r="A7192" s="108" t="s">
        <v>2605</v>
      </c>
    </row>
    <row r="7193" spans="1:1" x14ac:dyDescent="0.25">
      <c r="A7193" s="108" t="s">
        <v>2606</v>
      </c>
    </row>
    <row r="7194" spans="1:1" x14ac:dyDescent="0.25">
      <c r="A7194" s="76" t="s">
        <v>2607</v>
      </c>
    </row>
    <row r="7195" spans="1:1" x14ac:dyDescent="0.25">
      <c r="A7195" s="29" t="s">
        <v>2608</v>
      </c>
    </row>
    <row r="7196" spans="1:1" x14ac:dyDescent="0.25">
      <c r="A7196" s="76" t="s">
        <v>2609</v>
      </c>
    </row>
    <row r="7197" spans="1:1" x14ac:dyDescent="0.25">
      <c r="A7197" s="76" t="s">
        <v>2610</v>
      </c>
    </row>
    <row r="7198" spans="1:1" x14ac:dyDescent="0.25">
      <c r="A7198" s="76" t="s">
        <v>2611</v>
      </c>
    </row>
    <row r="7199" spans="1:1" x14ac:dyDescent="0.25">
      <c r="A7199" s="108" t="s">
        <v>2612</v>
      </c>
    </row>
    <row r="7200" spans="1:1" x14ac:dyDescent="0.25">
      <c r="A7200" s="108" t="s">
        <v>2613</v>
      </c>
    </row>
    <row r="7201" spans="1:1" x14ac:dyDescent="0.25">
      <c r="A7201" s="76" t="s">
        <v>2614</v>
      </c>
    </row>
    <row r="7202" spans="1:1" x14ac:dyDescent="0.25">
      <c r="A7202" s="29" t="s">
        <v>2615</v>
      </c>
    </row>
    <row r="7203" spans="1:1" x14ac:dyDescent="0.25">
      <c r="A7203" s="76" t="s">
        <v>2616</v>
      </c>
    </row>
    <row r="7204" spans="1:1" x14ac:dyDescent="0.25">
      <c r="A7204" s="76" t="s">
        <v>2617</v>
      </c>
    </row>
    <row r="7205" spans="1:1" x14ac:dyDescent="0.25">
      <c r="A7205" s="76" t="s">
        <v>2618</v>
      </c>
    </row>
    <row r="7206" spans="1:1" x14ac:dyDescent="0.25">
      <c r="A7206" s="108" t="s">
        <v>2619</v>
      </c>
    </row>
    <row r="7207" spans="1:1" x14ac:dyDescent="0.25">
      <c r="A7207" s="108" t="s">
        <v>2620</v>
      </c>
    </row>
    <row r="7208" spans="1:1" x14ac:dyDescent="0.25">
      <c r="A7208" s="76" t="s">
        <v>2621</v>
      </c>
    </row>
    <row r="7209" spans="1:1" x14ac:dyDescent="0.25">
      <c r="A7209" s="29" t="s">
        <v>2622</v>
      </c>
    </row>
    <row r="7210" spans="1:1" x14ac:dyDescent="0.25">
      <c r="A7210" s="76" t="s">
        <v>2623</v>
      </c>
    </row>
    <row r="7211" spans="1:1" x14ac:dyDescent="0.25">
      <c r="A7211" s="76" t="s">
        <v>2624</v>
      </c>
    </row>
    <row r="7212" spans="1:1" x14ac:dyDescent="0.25">
      <c r="A7212" s="76" t="s">
        <v>2625</v>
      </c>
    </row>
    <row r="7213" spans="1:1" x14ac:dyDescent="0.25">
      <c r="A7213" s="108" t="s">
        <v>2626</v>
      </c>
    </row>
    <row r="7214" spans="1:1" x14ac:dyDescent="0.25">
      <c r="A7214" s="108" t="s">
        <v>2627</v>
      </c>
    </row>
    <row r="7215" spans="1:1" x14ac:dyDescent="0.25">
      <c r="A7215" s="76" t="s">
        <v>2628</v>
      </c>
    </row>
    <row r="7216" spans="1:1" x14ac:dyDescent="0.25">
      <c r="A7216" s="29" t="s">
        <v>2629</v>
      </c>
    </row>
    <row r="7217" spans="1:1" x14ac:dyDescent="0.25">
      <c r="A7217" s="76" t="s">
        <v>2630</v>
      </c>
    </row>
    <row r="7218" spans="1:1" x14ac:dyDescent="0.25">
      <c r="A7218" s="76" t="s">
        <v>2631</v>
      </c>
    </row>
    <row r="7219" spans="1:1" x14ac:dyDescent="0.25">
      <c r="A7219" s="76" t="s">
        <v>2632</v>
      </c>
    </row>
    <row r="7220" spans="1:1" x14ac:dyDescent="0.25">
      <c r="A7220" s="108" t="s">
        <v>2633</v>
      </c>
    </row>
    <row r="7221" spans="1:1" x14ac:dyDescent="0.25">
      <c r="A7221" s="108" t="s">
        <v>2634</v>
      </c>
    </row>
    <row r="7222" spans="1:1" x14ac:dyDescent="0.25">
      <c r="A7222" s="76" t="s">
        <v>2635</v>
      </c>
    </row>
    <row r="7223" spans="1:1" x14ac:dyDescent="0.25">
      <c r="A7223" s="29" t="s">
        <v>2636</v>
      </c>
    </row>
    <row r="7224" spans="1:1" x14ac:dyDescent="0.25">
      <c r="A7224" s="76" t="s">
        <v>2637</v>
      </c>
    </row>
    <row r="7225" spans="1:1" x14ac:dyDescent="0.25">
      <c r="A7225" s="76" t="s">
        <v>2638</v>
      </c>
    </row>
    <row r="7226" spans="1:1" x14ac:dyDescent="0.25">
      <c r="A7226" s="76" t="s">
        <v>2639</v>
      </c>
    </row>
    <row r="7227" spans="1:1" x14ac:dyDescent="0.25">
      <c r="A7227" s="108" t="s">
        <v>2640</v>
      </c>
    </row>
    <row r="7228" spans="1:1" x14ac:dyDescent="0.25">
      <c r="A7228" s="108" t="s">
        <v>2641</v>
      </c>
    </row>
    <row r="7229" spans="1:1" x14ac:dyDescent="0.25">
      <c r="A7229" s="76" t="s">
        <v>2642</v>
      </c>
    </row>
    <row r="7230" spans="1:1" x14ac:dyDescent="0.25">
      <c r="A7230" s="29" t="s">
        <v>2643</v>
      </c>
    </row>
    <row r="7231" spans="1:1" x14ac:dyDescent="0.25">
      <c r="A7231" s="76" t="s">
        <v>2644</v>
      </c>
    </row>
    <row r="7232" spans="1:1" x14ac:dyDescent="0.25">
      <c r="A7232" s="76" t="s">
        <v>2645</v>
      </c>
    </row>
    <row r="7233" spans="1:1" x14ac:dyDescent="0.25">
      <c r="A7233" s="76" t="s">
        <v>2646</v>
      </c>
    </row>
    <row r="7234" spans="1:1" x14ac:dyDescent="0.25">
      <c r="A7234" s="76" t="s">
        <v>2647</v>
      </c>
    </row>
    <row r="7235" spans="1:1" x14ac:dyDescent="0.25">
      <c r="A7235" s="108" t="s">
        <v>2648</v>
      </c>
    </row>
    <row r="7236" spans="1:1" x14ac:dyDescent="0.25">
      <c r="A7236" s="76" t="s">
        <v>2649</v>
      </c>
    </row>
    <row r="7237" spans="1:1" x14ac:dyDescent="0.25">
      <c r="A7237" s="76" t="s">
        <v>2650</v>
      </c>
    </row>
    <row r="7238" spans="1:1" x14ac:dyDescent="0.25">
      <c r="A7238" s="76" t="s">
        <v>2651</v>
      </c>
    </row>
    <row r="7239" spans="1:1" x14ac:dyDescent="0.25">
      <c r="A7239" s="76" t="s">
        <v>2652</v>
      </c>
    </row>
    <row r="7240" spans="1:1" x14ac:dyDescent="0.25">
      <c r="A7240" s="76" t="s">
        <v>2653</v>
      </c>
    </row>
    <row r="7241" spans="1:1" x14ac:dyDescent="0.25">
      <c r="A7241" s="76" t="s">
        <v>2654</v>
      </c>
    </row>
    <row r="7242" spans="1:1" x14ac:dyDescent="0.25">
      <c r="A7242" s="76" t="s">
        <v>2655</v>
      </c>
    </row>
    <row r="7243" spans="1:1" x14ac:dyDescent="0.25">
      <c r="A7243" s="76" t="s">
        <v>2656</v>
      </c>
    </row>
    <row r="7244" spans="1:1" x14ac:dyDescent="0.25">
      <c r="A7244" s="76" t="s">
        <v>2657</v>
      </c>
    </row>
    <row r="7245" spans="1:1" x14ac:dyDescent="0.25">
      <c r="A7245" s="76" t="s">
        <v>2658</v>
      </c>
    </row>
    <row r="7246" spans="1:1" x14ac:dyDescent="0.25">
      <c r="A7246" s="76" t="s">
        <v>2659</v>
      </c>
    </row>
    <row r="7247" spans="1:1" x14ac:dyDescent="0.25">
      <c r="A7247" s="76" t="s">
        <v>2660</v>
      </c>
    </row>
    <row r="7248" spans="1:1" x14ac:dyDescent="0.25">
      <c r="A7248" s="76" t="s">
        <v>2661</v>
      </c>
    </row>
    <row r="7249" spans="1:1" x14ac:dyDescent="0.25">
      <c r="A7249" s="76" t="s">
        <v>2662</v>
      </c>
    </row>
    <row r="7250" spans="1:1" x14ac:dyDescent="0.25">
      <c r="A7250" s="76" t="s">
        <v>2663</v>
      </c>
    </row>
    <row r="7251" spans="1:1" x14ac:dyDescent="0.25">
      <c r="A7251" s="76" t="s">
        <v>2664</v>
      </c>
    </row>
    <row r="7252" spans="1:1" x14ac:dyDescent="0.25">
      <c r="A7252" s="76" t="s">
        <v>2665</v>
      </c>
    </row>
    <row r="7253" spans="1:1" x14ac:dyDescent="0.25">
      <c r="A7253" s="76" t="s">
        <v>2666</v>
      </c>
    </row>
    <row r="7254" spans="1:1" x14ac:dyDescent="0.25">
      <c r="A7254" s="76" t="s">
        <v>2667</v>
      </c>
    </row>
    <row r="7255" spans="1:1" x14ac:dyDescent="0.25">
      <c r="A7255" s="108" t="s">
        <v>2668</v>
      </c>
    </row>
    <row r="7256" spans="1:1" x14ac:dyDescent="0.25">
      <c r="A7256" s="76" t="s">
        <v>2669</v>
      </c>
    </row>
    <row r="7257" spans="1:1" x14ac:dyDescent="0.25">
      <c r="A7257" s="76" t="s">
        <v>2670</v>
      </c>
    </row>
    <row r="7258" spans="1:1" x14ac:dyDescent="0.25">
      <c r="A7258" s="76" t="s">
        <v>2671</v>
      </c>
    </row>
    <row r="7259" spans="1:1" x14ac:dyDescent="0.25">
      <c r="A7259" s="76" t="s">
        <v>2672</v>
      </c>
    </row>
    <row r="7260" spans="1:1" x14ac:dyDescent="0.25">
      <c r="A7260" s="76" t="s">
        <v>2673</v>
      </c>
    </row>
    <row r="7261" spans="1:1" x14ac:dyDescent="0.25">
      <c r="A7261" s="76" t="s">
        <v>2674</v>
      </c>
    </row>
    <row r="7262" spans="1:1" x14ac:dyDescent="0.25">
      <c r="A7262" s="76" t="s">
        <v>2675</v>
      </c>
    </row>
    <row r="7263" spans="1:1" x14ac:dyDescent="0.25">
      <c r="A7263" s="76" t="s">
        <v>2676</v>
      </c>
    </row>
    <row r="7264" spans="1:1" x14ac:dyDescent="0.25">
      <c r="A7264" s="76" t="s">
        <v>2677</v>
      </c>
    </row>
    <row r="7265" spans="1:1" x14ac:dyDescent="0.25">
      <c r="A7265" s="76" t="s">
        <v>2678</v>
      </c>
    </row>
    <row r="7266" spans="1:1" x14ac:dyDescent="0.25">
      <c r="A7266" s="76" t="s">
        <v>2679</v>
      </c>
    </row>
    <row r="7267" spans="1:1" x14ac:dyDescent="0.25">
      <c r="A7267" s="76" t="s">
        <v>2680</v>
      </c>
    </row>
    <row r="7268" spans="1:1" x14ac:dyDescent="0.25">
      <c r="A7268" s="76" t="s">
        <v>2681</v>
      </c>
    </row>
    <row r="7269" spans="1:1" x14ac:dyDescent="0.25">
      <c r="A7269" s="76" t="s">
        <v>2682</v>
      </c>
    </row>
    <row r="7270" spans="1:1" x14ac:dyDescent="0.25">
      <c r="A7270" s="76" t="s">
        <v>2683</v>
      </c>
    </row>
    <row r="7271" spans="1:1" x14ac:dyDescent="0.25">
      <c r="A7271" s="76" t="s">
        <v>2684</v>
      </c>
    </row>
    <row r="7272" spans="1:1" x14ac:dyDescent="0.25">
      <c r="A7272" s="76" t="s">
        <v>2685</v>
      </c>
    </row>
    <row r="7273" spans="1:1" x14ac:dyDescent="0.25">
      <c r="A7273" s="76" t="s">
        <v>2686</v>
      </c>
    </row>
    <row r="7274" spans="1:1" x14ac:dyDescent="0.25">
      <c r="A7274" s="108" t="s">
        <v>2687</v>
      </c>
    </row>
    <row r="7275" spans="1:1" x14ac:dyDescent="0.25">
      <c r="A7275" s="76" t="s">
        <v>2688</v>
      </c>
    </row>
    <row r="7276" spans="1:1" x14ac:dyDescent="0.25">
      <c r="A7276" s="76" t="s">
        <v>2689</v>
      </c>
    </row>
    <row r="7277" spans="1:1" x14ac:dyDescent="0.25">
      <c r="A7277" s="76" t="s">
        <v>2690</v>
      </c>
    </row>
    <row r="7278" spans="1:1" x14ac:dyDescent="0.25">
      <c r="A7278" s="76" t="s">
        <v>2691</v>
      </c>
    </row>
    <row r="7279" spans="1:1" x14ac:dyDescent="0.25">
      <c r="A7279" s="76" t="s">
        <v>2692</v>
      </c>
    </row>
    <row r="7280" spans="1:1" x14ac:dyDescent="0.25">
      <c r="A7280" s="76" t="s">
        <v>2693</v>
      </c>
    </row>
    <row r="7281" spans="1:1" x14ac:dyDescent="0.25">
      <c r="A7281" s="76" t="s">
        <v>2694</v>
      </c>
    </row>
    <row r="7282" spans="1:1" x14ac:dyDescent="0.25">
      <c r="A7282" s="76" t="s">
        <v>2695</v>
      </c>
    </row>
    <row r="7283" spans="1:1" x14ac:dyDescent="0.25">
      <c r="A7283" s="76" t="s">
        <v>2696</v>
      </c>
    </row>
    <row r="7284" spans="1:1" x14ac:dyDescent="0.25">
      <c r="A7284" s="76" t="s">
        <v>2697</v>
      </c>
    </row>
    <row r="7285" spans="1:1" x14ac:dyDescent="0.25">
      <c r="A7285" s="76" t="s">
        <v>2698</v>
      </c>
    </row>
    <row r="7286" spans="1:1" x14ac:dyDescent="0.25">
      <c r="A7286" s="76" t="s">
        <v>2699</v>
      </c>
    </row>
    <row r="7287" spans="1:1" x14ac:dyDescent="0.25">
      <c r="A7287" s="76" t="s">
        <v>2700</v>
      </c>
    </row>
    <row r="7288" spans="1:1" x14ac:dyDescent="0.25">
      <c r="A7288" s="76" t="s">
        <v>2701</v>
      </c>
    </row>
    <row r="7289" spans="1:1" x14ac:dyDescent="0.25">
      <c r="A7289" s="76" t="s">
        <v>2702</v>
      </c>
    </row>
    <row r="7290" spans="1:1" x14ac:dyDescent="0.25">
      <c r="A7290" s="76" t="s">
        <v>2703</v>
      </c>
    </row>
    <row r="7291" spans="1:1" x14ac:dyDescent="0.25">
      <c r="A7291" s="76" t="s">
        <v>2704</v>
      </c>
    </row>
    <row r="7292" spans="1:1" x14ac:dyDescent="0.25">
      <c r="A7292" s="76" t="s">
        <v>2705</v>
      </c>
    </row>
    <row r="7293" spans="1:1" x14ac:dyDescent="0.25">
      <c r="A7293" s="76" t="s">
        <v>2706</v>
      </c>
    </row>
    <row r="7294" spans="1:1" x14ac:dyDescent="0.25">
      <c r="A7294" s="76" t="s">
        <v>2707</v>
      </c>
    </row>
    <row r="7295" spans="1:1" x14ac:dyDescent="0.25">
      <c r="A7295" s="76" t="s">
        <v>2708</v>
      </c>
    </row>
    <row r="7296" spans="1:1" x14ac:dyDescent="0.25">
      <c r="A7296" s="108" t="s">
        <v>2709</v>
      </c>
    </row>
    <row r="7297" spans="1:1" x14ac:dyDescent="0.25">
      <c r="A7297" s="76" t="s">
        <v>2710</v>
      </c>
    </row>
    <row r="7298" spans="1:1" x14ac:dyDescent="0.25">
      <c r="A7298" s="76" t="s">
        <v>2711</v>
      </c>
    </row>
    <row r="7299" spans="1:1" x14ac:dyDescent="0.25">
      <c r="A7299" s="76" t="s">
        <v>2712</v>
      </c>
    </row>
    <row r="7300" spans="1:1" x14ac:dyDescent="0.25">
      <c r="A7300" s="76" t="s">
        <v>2713</v>
      </c>
    </row>
    <row r="7301" spans="1:1" x14ac:dyDescent="0.25">
      <c r="A7301" s="76" t="s">
        <v>2714</v>
      </c>
    </row>
    <row r="7302" spans="1:1" x14ac:dyDescent="0.25">
      <c r="A7302" s="108" t="s">
        <v>2715</v>
      </c>
    </row>
    <row r="7303" spans="1:1" x14ac:dyDescent="0.25">
      <c r="A7303" s="76" t="s">
        <v>2716</v>
      </c>
    </row>
    <row r="7304" spans="1:1" x14ac:dyDescent="0.25">
      <c r="A7304" s="76" t="s">
        <v>2717</v>
      </c>
    </row>
    <row r="7305" spans="1:1" x14ac:dyDescent="0.25">
      <c r="A7305" s="76" t="s">
        <v>2718</v>
      </c>
    </row>
    <row r="7306" spans="1:1" x14ac:dyDescent="0.25">
      <c r="A7306" s="76" t="s">
        <v>2719</v>
      </c>
    </row>
    <row r="7307" spans="1:1" x14ac:dyDescent="0.25">
      <c r="A7307" s="76" t="s">
        <v>2720</v>
      </c>
    </row>
    <row r="7308" spans="1:1" x14ac:dyDescent="0.25">
      <c r="A7308" s="108" t="s">
        <v>2721</v>
      </c>
    </row>
    <row r="7309" spans="1:1" x14ac:dyDescent="0.25">
      <c r="A7309" s="76" t="s">
        <v>2722</v>
      </c>
    </row>
    <row r="7310" spans="1:1" x14ac:dyDescent="0.25">
      <c r="A7310" s="76" t="s">
        <v>2723</v>
      </c>
    </row>
    <row r="7311" spans="1:1" x14ac:dyDescent="0.25">
      <c r="A7311" s="76" t="s">
        <v>2724</v>
      </c>
    </row>
    <row r="7312" spans="1:1" x14ac:dyDescent="0.25">
      <c r="A7312" s="76" t="s">
        <v>2725</v>
      </c>
    </row>
    <row r="7313" spans="1:1" x14ac:dyDescent="0.25">
      <c r="A7313" s="76" t="s">
        <v>2726</v>
      </c>
    </row>
    <row r="7314" spans="1:1" x14ac:dyDescent="0.25">
      <c r="A7314" s="76" t="s">
        <v>2727</v>
      </c>
    </row>
    <row r="7315" spans="1:1" x14ac:dyDescent="0.25">
      <c r="A7315" s="76" t="s">
        <v>2728</v>
      </c>
    </row>
    <row r="7316" spans="1:1" x14ac:dyDescent="0.25">
      <c r="A7316" s="76" t="s">
        <v>2729</v>
      </c>
    </row>
    <row r="7317" spans="1:1" x14ac:dyDescent="0.25">
      <c r="A7317" s="76" t="s">
        <v>2730</v>
      </c>
    </row>
    <row r="7318" spans="1:1" x14ac:dyDescent="0.25">
      <c r="A7318" s="76" t="s">
        <v>2731</v>
      </c>
    </row>
    <row r="7319" spans="1:1" x14ac:dyDescent="0.25">
      <c r="A7319" s="76" t="s">
        <v>2732</v>
      </c>
    </row>
    <row r="7320" spans="1:1" x14ac:dyDescent="0.25">
      <c r="A7320" s="76" t="s">
        <v>2733</v>
      </c>
    </row>
    <row r="7321" spans="1:1" x14ac:dyDescent="0.25">
      <c r="A7321" s="76" t="s">
        <v>2734</v>
      </c>
    </row>
    <row r="7322" spans="1:1" x14ac:dyDescent="0.25">
      <c r="A7322" s="76" t="s">
        <v>2735</v>
      </c>
    </row>
    <row r="7323" spans="1:1" x14ac:dyDescent="0.25">
      <c r="A7323" s="108" t="s">
        <v>2736</v>
      </c>
    </row>
    <row r="7324" spans="1:1" x14ac:dyDescent="0.25">
      <c r="A7324" s="108" t="s">
        <v>2737</v>
      </c>
    </row>
    <row r="7325" spans="1:1" x14ac:dyDescent="0.25">
      <c r="A7325" s="76" t="s">
        <v>2738</v>
      </c>
    </row>
    <row r="7326" spans="1:1" x14ac:dyDescent="0.25">
      <c r="A7326" s="29" t="s">
        <v>2739</v>
      </c>
    </row>
    <row r="7327" spans="1:1" x14ac:dyDescent="0.25">
      <c r="A7327" s="76" t="s">
        <v>2740</v>
      </c>
    </row>
    <row r="7328" spans="1:1" x14ac:dyDescent="0.25">
      <c r="A7328" s="76" t="s">
        <v>2741</v>
      </c>
    </row>
    <row r="7329" spans="1:1" x14ac:dyDescent="0.25">
      <c r="A7329" s="76" t="s">
        <v>2742</v>
      </c>
    </row>
    <row r="7330" spans="1:1" x14ac:dyDescent="0.25">
      <c r="A7330" s="108" t="s">
        <v>2743</v>
      </c>
    </row>
    <row r="7331" spans="1:1" x14ac:dyDescent="0.25">
      <c r="A7331" s="108" t="s">
        <v>2744</v>
      </c>
    </row>
    <row r="7332" spans="1:1" x14ac:dyDescent="0.25">
      <c r="A7332" s="76" t="s">
        <v>2745</v>
      </c>
    </row>
    <row r="7333" spans="1:1" x14ac:dyDescent="0.25">
      <c r="A7333" s="29" t="s">
        <v>2746</v>
      </c>
    </row>
    <row r="7334" spans="1:1" x14ac:dyDescent="0.25">
      <c r="A7334" s="76" t="s">
        <v>2747</v>
      </c>
    </row>
    <row r="7335" spans="1:1" x14ac:dyDescent="0.25">
      <c r="A7335" s="76" t="s">
        <v>2748</v>
      </c>
    </row>
    <row r="7336" spans="1:1" x14ac:dyDescent="0.25">
      <c r="A7336" s="76" t="s">
        <v>2749</v>
      </c>
    </row>
    <row r="7337" spans="1:1" x14ac:dyDescent="0.25">
      <c r="A7337" s="108" t="s">
        <v>2750</v>
      </c>
    </row>
    <row r="7338" spans="1:1" x14ac:dyDescent="0.25">
      <c r="A7338" s="108" t="s">
        <v>2751</v>
      </c>
    </row>
    <row r="7339" spans="1:1" x14ac:dyDescent="0.25">
      <c r="A7339" s="76" t="s">
        <v>2752</v>
      </c>
    </row>
    <row r="7340" spans="1:1" x14ac:dyDescent="0.25">
      <c r="A7340" s="29" t="s">
        <v>2753</v>
      </c>
    </row>
    <row r="7341" spans="1:1" x14ac:dyDescent="0.25">
      <c r="A7341" s="76" t="s">
        <v>2754</v>
      </c>
    </row>
    <row r="7342" spans="1:1" x14ac:dyDescent="0.25">
      <c r="A7342" s="76" t="s">
        <v>2755</v>
      </c>
    </row>
    <row r="7343" spans="1:1" x14ac:dyDescent="0.25">
      <c r="A7343" s="76" t="s">
        <v>2756</v>
      </c>
    </row>
    <row r="7344" spans="1:1" x14ac:dyDescent="0.25">
      <c r="A7344" s="108" t="s">
        <v>2757</v>
      </c>
    </row>
    <row r="7345" spans="1:1" x14ac:dyDescent="0.25">
      <c r="A7345" s="108" t="s">
        <v>2758</v>
      </c>
    </row>
    <row r="7346" spans="1:1" x14ac:dyDescent="0.25">
      <c r="A7346" s="76" t="s">
        <v>2759</v>
      </c>
    </row>
    <row r="7347" spans="1:1" x14ac:dyDescent="0.25">
      <c r="A7347" s="29" t="s">
        <v>2760</v>
      </c>
    </row>
    <row r="7348" spans="1:1" x14ac:dyDescent="0.25">
      <c r="A7348" s="76" t="s">
        <v>2761</v>
      </c>
    </row>
    <row r="7349" spans="1:1" x14ac:dyDescent="0.25">
      <c r="A7349" s="76" t="s">
        <v>2762</v>
      </c>
    </row>
    <row r="7350" spans="1:1" x14ac:dyDescent="0.25">
      <c r="A7350" s="76" t="s">
        <v>2763</v>
      </c>
    </row>
    <row r="7351" spans="1:1" x14ac:dyDescent="0.25">
      <c r="A7351" s="108" t="s">
        <v>2764</v>
      </c>
    </row>
    <row r="7352" spans="1:1" x14ac:dyDescent="0.25">
      <c r="A7352" s="108" t="s">
        <v>2765</v>
      </c>
    </row>
    <row r="7353" spans="1:1" x14ac:dyDescent="0.25">
      <c r="A7353" s="76" t="s">
        <v>2766</v>
      </c>
    </row>
    <row r="7354" spans="1:1" x14ac:dyDescent="0.25">
      <c r="A7354" s="29" t="s">
        <v>2767</v>
      </c>
    </row>
    <row r="7355" spans="1:1" x14ac:dyDescent="0.25">
      <c r="A7355" s="76" t="s">
        <v>2768</v>
      </c>
    </row>
    <row r="7356" spans="1:1" x14ac:dyDescent="0.25">
      <c r="A7356" s="76" t="s">
        <v>2769</v>
      </c>
    </row>
    <row r="7357" spans="1:1" x14ac:dyDescent="0.25">
      <c r="A7357" s="76" t="s">
        <v>2770</v>
      </c>
    </row>
    <row r="7358" spans="1:1" x14ac:dyDescent="0.25">
      <c r="A7358" s="108" t="s">
        <v>2771</v>
      </c>
    </row>
    <row r="7359" spans="1:1" x14ac:dyDescent="0.25">
      <c r="A7359" s="108" t="s">
        <v>2772</v>
      </c>
    </row>
    <row r="7360" spans="1:1" x14ac:dyDescent="0.25">
      <c r="A7360" s="76" t="s">
        <v>2773</v>
      </c>
    </row>
    <row r="7361" spans="1:1" x14ac:dyDescent="0.25">
      <c r="A7361" s="29" t="s">
        <v>2774</v>
      </c>
    </row>
    <row r="7362" spans="1:1" x14ac:dyDescent="0.25">
      <c r="A7362" s="76" t="s">
        <v>2775</v>
      </c>
    </row>
    <row r="7363" spans="1:1" x14ac:dyDescent="0.25">
      <c r="A7363" s="108" t="s">
        <v>2776</v>
      </c>
    </row>
    <row r="7364" spans="1:1" x14ac:dyDescent="0.25">
      <c r="A7364" s="76" t="s">
        <v>2777</v>
      </c>
    </row>
    <row r="7365" spans="1:1" x14ac:dyDescent="0.25">
      <c r="A7365" s="76" t="s">
        <v>2778</v>
      </c>
    </row>
    <row r="7366" spans="1:1" x14ac:dyDescent="0.25">
      <c r="A7366" s="76" t="s">
        <v>2779</v>
      </c>
    </row>
    <row r="7367" spans="1:1" x14ac:dyDescent="0.25">
      <c r="A7367" s="76" t="s">
        <v>2780</v>
      </c>
    </row>
    <row r="7368" spans="1:1" x14ac:dyDescent="0.25">
      <c r="A7368" s="76" t="s">
        <v>2781</v>
      </c>
    </row>
    <row r="7369" spans="1:1" x14ac:dyDescent="0.25">
      <c r="A7369" s="76" t="s">
        <v>2782</v>
      </c>
    </row>
    <row r="7370" spans="1:1" x14ac:dyDescent="0.25">
      <c r="A7370" s="76" t="s">
        <v>2783</v>
      </c>
    </row>
    <row r="7371" spans="1:1" x14ac:dyDescent="0.25">
      <c r="A7371" s="76" t="s">
        <v>2784</v>
      </c>
    </row>
    <row r="7372" spans="1:1" x14ac:dyDescent="0.25">
      <c r="A7372" s="108" t="s">
        <v>2785</v>
      </c>
    </row>
    <row r="7373" spans="1:1" x14ac:dyDescent="0.25">
      <c r="A7373" s="76" t="s">
        <v>2786</v>
      </c>
    </row>
    <row r="7374" spans="1:1" x14ac:dyDescent="0.25">
      <c r="A7374" s="76" t="s">
        <v>2787</v>
      </c>
    </row>
    <row r="7375" spans="1:1" x14ac:dyDescent="0.25">
      <c r="A7375" s="76" t="s">
        <v>2788</v>
      </c>
    </row>
    <row r="7376" spans="1:1" x14ac:dyDescent="0.25">
      <c r="A7376" s="76" t="s">
        <v>2789</v>
      </c>
    </row>
    <row r="7377" spans="1:1" x14ac:dyDescent="0.25">
      <c r="A7377" s="76" t="s">
        <v>2790</v>
      </c>
    </row>
    <row r="7378" spans="1:1" x14ac:dyDescent="0.25">
      <c r="A7378" s="76" t="s">
        <v>2791</v>
      </c>
    </row>
    <row r="7379" spans="1:1" x14ac:dyDescent="0.25">
      <c r="A7379" s="76" t="s">
        <v>2792</v>
      </c>
    </row>
    <row r="7380" spans="1:1" x14ac:dyDescent="0.25">
      <c r="A7380" s="108" t="s">
        <v>2793</v>
      </c>
    </row>
    <row r="7381" spans="1:1" x14ac:dyDescent="0.25">
      <c r="A7381" s="76" t="s">
        <v>2794</v>
      </c>
    </row>
    <row r="7382" spans="1:1" x14ac:dyDescent="0.25">
      <c r="A7382" s="76" t="s">
        <v>2795</v>
      </c>
    </row>
    <row r="7383" spans="1:1" x14ac:dyDescent="0.25">
      <c r="A7383" s="76" t="s">
        <v>2796</v>
      </c>
    </row>
    <row r="7384" spans="1:1" x14ac:dyDescent="0.25">
      <c r="A7384" s="76" t="s">
        <v>2797</v>
      </c>
    </row>
    <row r="7385" spans="1:1" x14ac:dyDescent="0.25">
      <c r="A7385" s="76" t="s">
        <v>2798</v>
      </c>
    </row>
    <row r="7386" spans="1:1" x14ac:dyDescent="0.25">
      <c r="A7386" s="76" t="s">
        <v>2799</v>
      </c>
    </row>
    <row r="7387" spans="1:1" x14ac:dyDescent="0.25">
      <c r="A7387" s="76" t="s">
        <v>2800</v>
      </c>
    </row>
    <row r="7388" spans="1:1" x14ac:dyDescent="0.25">
      <c r="A7388" s="76" t="s">
        <v>2801</v>
      </c>
    </row>
    <row r="7389" spans="1:1" x14ac:dyDescent="0.25">
      <c r="A7389" s="76" t="s">
        <v>2802</v>
      </c>
    </row>
    <row r="7390" spans="1:1" x14ac:dyDescent="0.25">
      <c r="A7390" s="76" t="s">
        <v>2803</v>
      </c>
    </row>
    <row r="7391" spans="1:1" x14ac:dyDescent="0.25">
      <c r="A7391" s="76" t="s">
        <v>2804</v>
      </c>
    </row>
    <row r="7392" spans="1:1" x14ac:dyDescent="0.25">
      <c r="A7392" s="76" t="s">
        <v>2805</v>
      </c>
    </row>
    <row r="7393" spans="1:1" x14ac:dyDescent="0.25">
      <c r="A7393" s="76" t="s">
        <v>2806</v>
      </c>
    </row>
    <row r="7394" spans="1:1" x14ac:dyDescent="0.25">
      <c r="A7394" s="76" t="s">
        <v>2807</v>
      </c>
    </row>
    <row r="7395" spans="1:1" x14ac:dyDescent="0.25">
      <c r="A7395" s="76" t="s">
        <v>2808</v>
      </c>
    </row>
    <row r="7396" spans="1:1" x14ac:dyDescent="0.25">
      <c r="A7396" s="108" t="s">
        <v>2809</v>
      </c>
    </row>
    <row r="7397" spans="1:1" x14ac:dyDescent="0.25">
      <c r="A7397" s="76" t="s">
        <v>2810</v>
      </c>
    </row>
    <row r="7398" spans="1:1" x14ac:dyDescent="0.25">
      <c r="A7398" s="76" t="s">
        <v>2811</v>
      </c>
    </row>
    <row r="7399" spans="1:1" x14ac:dyDescent="0.25">
      <c r="A7399" s="76" t="s">
        <v>2812</v>
      </c>
    </row>
    <row r="7400" spans="1:1" x14ac:dyDescent="0.25">
      <c r="A7400" s="76" t="s">
        <v>2813</v>
      </c>
    </row>
    <row r="7401" spans="1:1" x14ac:dyDescent="0.25">
      <c r="A7401" s="76" t="s">
        <v>2814</v>
      </c>
    </row>
    <row r="7402" spans="1:1" x14ac:dyDescent="0.25">
      <c r="A7402" s="76" t="s">
        <v>2815</v>
      </c>
    </row>
    <row r="7403" spans="1:1" x14ac:dyDescent="0.25">
      <c r="A7403" s="76" t="s">
        <v>2816</v>
      </c>
    </row>
    <row r="7404" spans="1:1" x14ac:dyDescent="0.25">
      <c r="A7404" s="76" t="s">
        <v>2817</v>
      </c>
    </row>
    <row r="7405" spans="1:1" x14ac:dyDescent="0.25">
      <c r="A7405" s="76" t="s">
        <v>2818</v>
      </c>
    </row>
    <row r="7406" spans="1:1" x14ac:dyDescent="0.25">
      <c r="A7406" s="76" t="s">
        <v>2819</v>
      </c>
    </row>
    <row r="7407" spans="1:1" x14ac:dyDescent="0.25">
      <c r="A7407" s="76" t="s">
        <v>2820</v>
      </c>
    </row>
    <row r="7408" spans="1:1" x14ac:dyDescent="0.25">
      <c r="A7408" s="76" t="s">
        <v>2821</v>
      </c>
    </row>
    <row r="7409" spans="1:1" x14ac:dyDescent="0.25">
      <c r="A7409" s="76" t="s">
        <v>2822</v>
      </c>
    </row>
    <row r="7410" spans="1:1" x14ac:dyDescent="0.25">
      <c r="A7410" s="76" t="s">
        <v>2823</v>
      </c>
    </row>
    <row r="7411" spans="1:1" x14ac:dyDescent="0.25">
      <c r="A7411" s="76" t="s">
        <v>2824</v>
      </c>
    </row>
    <row r="7412" spans="1:1" x14ac:dyDescent="0.25">
      <c r="A7412" s="76" t="s">
        <v>2825</v>
      </c>
    </row>
    <row r="7413" spans="1:1" x14ac:dyDescent="0.25">
      <c r="A7413" s="76" t="s">
        <v>2826</v>
      </c>
    </row>
    <row r="7414" spans="1:1" x14ac:dyDescent="0.25">
      <c r="A7414" s="76" t="s">
        <v>2827</v>
      </c>
    </row>
    <row r="7415" spans="1:1" x14ac:dyDescent="0.25">
      <c r="A7415" s="76" t="s">
        <v>2828</v>
      </c>
    </row>
    <row r="7416" spans="1:1" x14ac:dyDescent="0.25">
      <c r="A7416" s="108" t="s">
        <v>2829</v>
      </c>
    </row>
    <row r="7417" spans="1:1" x14ac:dyDescent="0.25">
      <c r="A7417" s="76" t="s">
        <v>2830</v>
      </c>
    </row>
    <row r="7418" spans="1:1" x14ac:dyDescent="0.25">
      <c r="A7418" s="76" t="s">
        <v>2831</v>
      </c>
    </row>
    <row r="7419" spans="1:1" x14ac:dyDescent="0.25">
      <c r="A7419" s="76" t="s">
        <v>2832</v>
      </c>
    </row>
    <row r="7420" spans="1:1" x14ac:dyDescent="0.25">
      <c r="A7420" s="76" t="s">
        <v>2833</v>
      </c>
    </row>
    <row r="7421" spans="1:1" x14ac:dyDescent="0.25">
      <c r="A7421" s="76" t="s">
        <v>2834</v>
      </c>
    </row>
    <row r="7422" spans="1:1" x14ac:dyDescent="0.25">
      <c r="A7422" s="76" t="s">
        <v>2835</v>
      </c>
    </row>
    <row r="7423" spans="1:1" x14ac:dyDescent="0.25">
      <c r="A7423" s="76" t="s">
        <v>2836</v>
      </c>
    </row>
    <row r="7424" spans="1:1" x14ac:dyDescent="0.25">
      <c r="A7424" s="76" t="s">
        <v>2837</v>
      </c>
    </row>
    <row r="7425" spans="1:1" x14ac:dyDescent="0.25">
      <c r="A7425" s="76" t="s">
        <v>2838</v>
      </c>
    </row>
    <row r="7426" spans="1:1" x14ac:dyDescent="0.25">
      <c r="A7426" s="76" t="s">
        <v>2839</v>
      </c>
    </row>
    <row r="7427" spans="1:1" x14ac:dyDescent="0.25">
      <c r="A7427" s="76" t="s">
        <v>2840</v>
      </c>
    </row>
    <row r="7428" spans="1:1" x14ac:dyDescent="0.25">
      <c r="A7428" s="108" t="s">
        <v>2841</v>
      </c>
    </row>
    <row r="7429" spans="1:1" x14ac:dyDescent="0.25">
      <c r="A7429" s="76" t="s">
        <v>2842</v>
      </c>
    </row>
    <row r="7430" spans="1:1" x14ac:dyDescent="0.25">
      <c r="A7430" s="76" t="s">
        <v>2843</v>
      </c>
    </row>
    <row r="7431" spans="1:1" x14ac:dyDescent="0.25">
      <c r="A7431" s="76" t="s">
        <v>2844</v>
      </c>
    </row>
    <row r="7432" spans="1:1" x14ac:dyDescent="0.25">
      <c r="A7432" s="76" t="s">
        <v>2845</v>
      </c>
    </row>
    <row r="7433" spans="1:1" x14ac:dyDescent="0.25">
      <c r="A7433" s="76" t="s">
        <v>2846</v>
      </c>
    </row>
    <row r="7434" spans="1:1" x14ac:dyDescent="0.25">
      <c r="A7434" s="76" t="s">
        <v>2847</v>
      </c>
    </row>
    <row r="7435" spans="1:1" x14ac:dyDescent="0.25">
      <c r="A7435" s="108" t="s">
        <v>2848</v>
      </c>
    </row>
    <row r="7436" spans="1:1" x14ac:dyDescent="0.25">
      <c r="A7436" s="108" t="s">
        <v>2849</v>
      </c>
    </row>
    <row r="7437" spans="1:1" x14ac:dyDescent="0.25">
      <c r="A7437" s="76" t="s">
        <v>2850</v>
      </c>
    </row>
    <row r="7438" spans="1:1" x14ac:dyDescent="0.25">
      <c r="A7438" s="29" t="s">
        <v>2851</v>
      </c>
    </row>
    <row r="7439" spans="1:1" x14ac:dyDescent="0.25">
      <c r="A7439" s="76" t="s">
        <v>2852</v>
      </c>
    </row>
    <row r="7440" spans="1:1" x14ac:dyDescent="0.25">
      <c r="A7440" s="76" t="s">
        <v>2853</v>
      </c>
    </row>
    <row r="7441" spans="1:1" x14ac:dyDescent="0.25">
      <c r="A7441" s="76" t="s">
        <v>2854</v>
      </c>
    </row>
    <row r="7442" spans="1:1" x14ac:dyDescent="0.25">
      <c r="A7442" s="108" t="s">
        <v>2855</v>
      </c>
    </row>
    <row r="7443" spans="1:1" x14ac:dyDescent="0.25">
      <c r="A7443" s="108" t="s">
        <v>2856</v>
      </c>
    </row>
    <row r="7444" spans="1:1" x14ac:dyDescent="0.25">
      <c r="A7444" s="76" t="s">
        <v>2857</v>
      </c>
    </row>
    <row r="7445" spans="1:1" x14ac:dyDescent="0.25">
      <c r="A7445" s="29" t="s">
        <v>2858</v>
      </c>
    </row>
    <row r="7446" spans="1:1" x14ac:dyDescent="0.25">
      <c r="A7446" s="76" t="s">
        <v>2859</v>
      </c>
    </row>
    <row r="7447" spans="1:1" x14ac:dyDescent="0.25">
      <c r="A7447" s="76" t="s">
        <v>2860</v>
      </c>
    </row>
    <row r="7448" spans="1:1" x14ac:dyDescent="0.25">
      <c r="A7448" s="76" t="s">
        <v>2861</v>
      </c>
    </row>
    <row r="7449" spans="1:1" x14ac:dyDescent="0.25">
      <c r="A7449" s="108" t="s">
        <v>2862</v>
      </c>
    </row>
    <row r="7450" spans="1:1" x14ac:dyDescent="0.25">
      <c r="A7450" s="108" t="s">
        <v>2863</v>
      </c>
    </row>
    <row r="7451" spans="1:1" x14ac:dyDescent="0.25">
      <c r="A7451" s="76" t="s">
        <v>2864</v>
      </c>
    </row>
    <row r="7452" spans="1:1" x14ac:dyDescent="0.25">
      <c r="A7452" s="29" t="s">
        <v>2865</v>
      </c>
    </row>
    <row r="7453" spans="1:1" x14ac:dyDescent="0.25">
      <c r="A7453" s="76" t="s">
        <v>2866</v>
      </c>
    </row>
    <row r="7454" spans="1:1" x14ac:dyDescent="0.25">
      <c r="A7454" s="76" t="s">
        <v>2867</v>
      </c>
    </row>
    <row r="7455" spans="1:1" x14ac:dyDescent="0.25">
      <c r="A7455" s="76" t="s">
        <v>2868</v>
      </c>
    </row>
    <row r="7456" spans="1:1" x14ac:dyDescent="0.25">
      <c r="A7456" s="108" t="s">
        <v>2869</v>
      </c>
    </row>
    <row r="7457" spans="1:1" x14ac:dyDescent="0.25">
      <c r="A7457" s="108" t="s">
        <v>2870</v>
      </c>
    </row>
    <row r="7458" spans="1:1" x14ac:dyDescent="0.25">
      <c r="A7458" s="76" t="s">
        <v>2871</v>
      </c>
    </row>
    <row r="7459" spans="1:1" x14ac:dyDescent="0.25">
      <c r="A7459" s="29" t="s">
        <v>2872</v>
      </c>
    </row>
    <row r="7460" spans="1:1" x14ac:dyDescent="0.25">
      <c r="A7460" s="76" t="s">
        <v>2873</v>
      </c>
    </row>
    <row r="7461" spans="1:1" x14ac:dyDescent="0.25">
      <c r="A7461" s="76" t="s">
        <v>2874</v>
      </c>
    </row>
    <row r="7462" spans="1:1" x14ac:dyDescent="0.25">
      <c r="A7462" s="76" t="s">
        <v>2875</v>
      </c>
    </row>
    <row r="7463" spans="1:1" x14ac:dyDescent="0.25">
      <c r="A7463" s="108" t="s">
        <v>2876</v>
      </c>
    </row>
    <row r="7464" spans="1:1" x14ac:dyDescent="0.25">
      <c r="A7464" s="108" t="s">
        <v>2877</v>
      </c>
    </row>
    <row r="7465" spans="1:1" x14ac:dyDescent="0.25">
      <c r="A7465" s="76" t="s">
        <v>2878</v>
      </c>
    </row>
    <row r="7466" spans="1:1" x14ac:dyDescent="0.25">
      <c r="A7466" s="29" t="s">
        <v>2879</v>
      </c>
    </row>
    <row r="7467" spans="1:1" x14ac:dyDescent="0.25">
      <c r="A7467" s="76" t="s">
        <v>2880</v>
      </c>
    </row>
    <row r="7468" spans="1:1" x14ac:dyDescent="0.25">
      <c r="A7468" s="76" t="s">
        <v>2881</v>
      </c>
    </row>
    <row r="7469" spans="1:1" x14ac:dyDescent="0.25">
      <c r="A7469" s="76" t="s">
        <v>2882</v>
      </c>
    </row>
    <row r="7470" spans="1:1" x14ac:dyDescent="0.25">
      <c r="A7470" s="108" t="s">
        <v>2883</v>
      </c>
    </row>
    <row r="7471" spans="1:1" x14ac:dyDescent="0.25">
      <c r="A7471" s="108" t="s">
        <v>2884</v>
      </c>
    </row>
    <row r="7472" spans="1:1" x14ac:dyDescent="0.25">
      <c r="A7472" s="76" t="s">
        <v>2885</v>
      </c>
    </row>
    <row r="7473" spans="1:1" x14ac:dyDescent="0.25">
      <c r="A7473" s="29" t="s">
        <v>2886</v>
      </c>
    </row>
    <row r="7474" spans="1:1" x14ac:dyDescent="0.25">
      <c r="A7474" s="76" t="s">
        <v>2887</v>
      </c>
    </row>
    <row r="7475" spans="1:1" x14ac:dyDescent="0.25">
      <c r="A7475" s="76" t="s">
        <v>2888</v>
      </c>
    </row>
    <row r="7476" spans="1:1" x14ac:dyDescent="0.25">
      <c r="A7476" s="108" t="s">
        <v>2889</v>
      </c>
    </row>
    <row r="7477" spans="1:1" x14ac:dyDescent="0.25">
      <c r="A7477" s="76" t="s">
        <v>2890</v>
      </c>
    </row>
    <row r="7478" spans="1:1" x14ac:dyDescent="0.25">
      <c r="A7478" s="76" t="s">
        <v>2891</v>
      </c>
    </row>
    <row r="7479" spans="1:1" x14ac:dyDescent="0.25">
      <c r="A7479" s="76" t="s">
        <v>2892</v>
      </c>
    </row>
    <row r="7480" spans="1:1" x14ac:dyDescent="0.25">
      <c r="A7480" s="76" t="s">
        <v>2893</v>
      </c>
    </row>
    <row r="7481" spans="1:1" x14ac:dyDescent="0.25">
      <c r="A7481" s="76" t="s">
        <v>2894</v>
      </c>
    </row>
    <row r="7482" spans="1:1" x14ac:dyDescent="0.25">
      <c r="A7482" s="76" t="s">
        <v>2895</v>
      </c>
    </row>
    <row r="7483" spans="1:1" x14ac:dyDescent="0.25">
      <c r="A7483" s="76" t="s">
        <v>2896</v>
      </c>
    </row>
    <row r="7484" spans="1:1" x14ac:dyDescent="0.25">
      <c r="A7484" s="108" t="s">
        <v>2897</v>
      </c>
    </row>
    <row r="7485" spans="1:1" x14ac:dyDescent="0.25">
      <c r="A7485" s="76" t="s">
        <v>2898</v>
      </c>
    </row>
    <row r="7486" spans="1:1" x14ac:dyDescent="0.25">
      <c r="A7486" s="76" t="s">
        <v>2899</v>
      </c>
    </row>
    <row r="7487" spans="1:1" x14ac:dyDescent="0.25">
      <c r="A7487" s="76" t="s">
        <v>2900</v>
      </c>
    </row>
    <row r="7488" spans="1:1" x14ac:dyDescent="0.25">
      <c r="A7488" s="76" t="s">
        <v>2901</v>
      </c>
    </row>
    <row r="7489" spans="1:1" x14ac:dyDescent="0.25">
      <c r="A7489" s="76" t="s">
        <v>2902</v>
      </c>
    </row>
    <row r="7490" spans="1:1" x14ac:dyDescent="0.25">
      <c r="A7490" s="76" t="s">
        <v>2903</v>
      </c>
    </row>
    <row r="7491" spans="1:1" x14ac:dyDescent="0.25">
      <c r="A7491" s="76" t="s">
        <v>2904</v>
      </c>
    </row>
    <row r="7492" spans="1:1" x14ac:dyDescent="0.25">
      <c r="A7492" s="76" t="s">
        <v>2905</v>
      </c>
    </row>
    <row r="7493" spans="1:1" x14ac:dyDescent="0.25">
      <c r="A7493" s="76" t="s">
        <v>2906</v>
      </c>
    </row>
    <row r="7494" spans="1:1" x14ac:dyDescent="0.25">
      <c r="A7494" s="76" t="s">
        <v>2907</v>
      </c>
    </row>
    <row r="7495" spans="1:1" x14ac:dyDescent="0.25">
      <c r="A7495" s="76" t="s">
        <v>2908</v>
      </c>
    </row>
    <row r="7496" spans="1:1" x14ac:dyDescent="0.25">
      <c r="A7496" s="108" t="s">
        <v>2909</v>
      </c>
    </row>
    <row r="7497" spans="1:1" x14ac:dyDescent="0.25">
      <c r="A7497" s="76" t="s">
        <v>2910</v>
      </c>
    </row>
    <row r="7498" spans="1:1" x14ac:dyDescent="0.25">
      <c r="A7498" s="76" t="s">
        <v>2911</v>
      </c>
    </row>
    <row r="7499" spans="1:1" x14ac:dyDescent="0.25">
      <c r="A7499" s="76" t="s">
        <v>2912</v>
      </c>
    </row>
    <row r="7500" spans="1:1" x14ac:dyDescent="0.25">
      <c r="A7500" s="76" t="s">
        <v>2913</v>
      </c>
    </row>
    <row r="7501" spans="1:1" x14ac:dyDescent="0.25">
      <c r="A7501" s="76" t="s">
        <v>2914</v>
      </c>
    </row>
    <row r="7502" spans="1:1" x14ac:dyDescent="0.25">
      <c r="A7502" s="76" t="s">
        <v>2915</v>
      </c>
    </row>
    <row r="7503" spans="1:1" x14ac:dyDescent="0.25">
      <c r="A7503" s="76" t="s">
        <v>2916</v>
      </c>
    </row>
    <row r="7504" spans="1:1" x14ac:dyDescent="0.25">
      <c r="A7504" s="76" t="s">
        <v>2917</v>
      </c>
    </row>
    <row r="7505" spans="1:1" x14ac:dyDescent="0.25">
      <c r="A7505" s="76" t="s">
        <v>2918</v>
      </c>
    </row>
    <row r="7506" spans="1:1" x14ac:dyDescent="0.25">
      <c r="A7506" s="76" t="s">
        <v>2919</v>
      </c>
    </row>
    <row r="7507" spans="1:1" x14ac:dyDescent="0.25">
      <c r="A7507" s="76" t="s">
        <v>2920</v>
      </c>
    </row>
    <row r="7508" spans="1:1" x14ac:dyDescent="0.25">
      <c r="A7508" s="76" t="s">
        <v>2921</v>
      </c>
    </row>
    <row r="7509" spans="1:1" x14ac:dyDescent="0.25">
      <c r="A7509" s="76" t="s">
        <v>2922</v>
      </c>
    </row>
    <row r="7510" spans="1:1" x14ac:dyDescent="0.25">
      <c r="A7510" s="76" t="s">
        <v>2923</v>
      </c>
    </row>
    <row r="7511" spans="1:1" x14ac:dyDescent="0.25">
      <c r="A7511" s="76" t="s">
        <v>2924</v>
      </c>
    </row>
    <row r="7512" spans="1:1" x14ac:dyDescent="0.25">
      <c r="A7512" s="108" t="s">
        <v>2925</v>
      </c>
    </row>
    <row r="7513" spans="1:1" x14ac:dyDescent="0.25">
      <c r="A7513" s="76" t="s">
        <v>2926</v>
      </c>
    </row>
    <row r="7514" spans="1:1" x14ac:dyDescent="0.25">
      <c r="A7514" s="76" t="s">
        <v>2927</v>
      </c>
    </row>
    <row r="7515" spans="1:1" x14ac:dyDescent="0.25">
      <c r="A7515" s="76" t="s">
        <v>2928</v>
      </c>
    </row>
    <row r="7516" spans="1:1" x14ac:dyDescent="0.25">
      <c r="A7516" s="76" t="s">
        <v>2929</v>
      </c>
    </row>
    <row r="7517" spans="1:1" x14ac:dyDescent="0.25">
      <c r="A7517" s="76" t="s">
        <v>2930</v>
      </c>
    </row>
    <row r="7518" spans="1:1" x14ac:dyDescent="0.25">
      <c r="A7518" s="76" t="s">
        <v>2931</v>
      </c>
    </row>
    <row r="7519" spans="1:1" x14ac:dyDescent="0.25">
      <c r="A7519" s="76" t="s">
        <v>2932</v>
      </c>
    </row>
    <row r="7520" spans="1:1" x14ac:dyDescent="0.25">
      <c r="A7520" s="76" t="s">
        <v>2933</v>
      </c>
    </row>
    <row r="7521" spans="1:1" x14ac:dyDescent="0.25">
      <c r="A7521" s="76" t="s">
        <v>2934</v>
      </c>
    </row>
    <row r="7522" spans="1:1" x14ac:dyDescent="0.25">
      <c r="A7522" s="108" t="s">
        <v>2935</v>
      </c>
    </row>
    <row r="7523" spans="1:1" x14ac:dyDescent="0.25">
      <c r="A7523" s="76" t="s">
        <v>2936</v>
      </c>
    </row>
    <row r="7524" spans="1:1" x14ac:dyDescent="0.25">
      <c r="A7524" s="76" t="s">
        <v>2937</v>
      </c>
    </row>
    <row r="7525" spans="1:1" x14ac:dyDescent="0.25">
      <c r="A7525" s="76" t="s">
        <v>2938</v>
      </c>
    </row>
    <row r="7526" spans="1:1" x14ac:dyDescent="0.25">
      <c r="A7526" s="76" t="s">
        <v>2939</v>
      </c>
    </row>
    <row r="7527" spans="1:1" x14ac:dyDescent="0.25">
      <c r="A7527" s="76" t="s">
        <v>2940</v>
      </c>
    </row>
    <row r="7528" spans="1:1" x14ac:dyDescent="0.25">
      <c r="A7528" s="76" t="s">
        <v>2941</v>
      </c>
    </row>
    <row r="7529" spans="1:1" x14ac:dyDescent="0.25">
      <c r="A7529" s="76" t="s">
        <v>2942</v>
      </c>
    </row>
    <row r="7530" spans="1:1" x14ac:dyDescent="0.25">
      <c r="A7530" s="76" t="s">
        <v>2943</v>
      </c>
    </row>
    <row r="7531" spans="1:1" x14ac:dyDescent="0.25">
      <c r="A7531" s="76" t="s">
        <v>2944</v>
      </c>
    </row>
    <row r="7532" spans="1:1" x14ac:dyDescent="0.25">
      <c r="A7532" s="76" t="s">
        <v>2945</v>
      </c>
    </row>
    <row r="7533" spans="1:1" x14ac:dyDescent="0.25">
      <c r="A7533" s="76" t="s">
        <v>2946</v>
      </c>
    </row>
    <row r="7534" spans="1:1" x14ac:dyDescent="0.25">
      <c r="A7534" s="76" t="s">
        <v>2947</v>
      </c>
    </row>
    <row r="7535" spans="1:1" x14ac:dyDescent="0.25">
      <c r="A7535" s="76" t="s">
        <v>2948</v>
      </c>
    </row>
    <row r="7536" spans="1:1" x14ac:dyDescent="0.25">
      <c r="A7536" s="76" t="s">
        <v>2949</v>
      </c>
    </row>
    <row r="7537" spans="1:1" x14ac:dyDescent="0.25">
      <c r="A7537" s="76" t="s">
        <v>2950</v>
      </c>
    </row>
    <row r="7538" spans="1:1" x14ac:dyDescent="0.25">
      <c r="A7538" s="76" t="s">
        <v>2951</v>
      </c>
    </row>
    <row r="7539" spans="1:1" x14ac:dyDescent="0.25">
      <c r="A7539" s="76" t="s">
        <v>2952</v>
      </c>
    </row>
    <row r="7540" spans="1:1" x14ac:dyDescent="0.25">
      <c r="A7540" s="76" t="s">
        <v>2953</v>
      </c>
    </row>
    <row r="7541" spans="1:1" x14ac:dyDescent="0.25">
      <c r="A7541" s="76" t="s">
        <v>2954</v>
      </c>
    </row>
    <row r="7542" spans="1:1" x14ac:dyDescent="0.25">
      <c r="A7542" s="76" t="s">
        <v>2955</v>
      </c>
    </row>
    <row r="7543" spans="1:1" x14ac:dyDescent="0.25">
      <c r="A7543" s="76" t="s">
        <v>2956</v>
      </c>
    </row>
    <row r="7544" spans="1:1" x14ac:dyDescent="0.25">
      <c r="A7544" s="76" t="s">
        <v>2957</v>
      </c>
    </row>
    <row r="7545" spans="1:1" x14ac:dyDescent="0.25">
      <c r="A7545" s="76" t="s">
        <v>2958</v>
      </c>
    </row>
    <row r="7546" spans="1:1" x14ac:dyDescent="0.25">
      <c r="A7546" s="76" t="s">
        <v>2959</v>
      </c>
    </row>
    <row r="7547" spans="1:1" x14ac:dyDescent="0.25">
      <c r="A7547" s="76" t="s">
        <v>2960</v>
      </c>
    </row>
    <row r="7548" spans="1:1" x14ac:dyDescent="0.25">
      <c r="A7548" s="76" t="s">
        <v>2961</v>
      </c>
    </row>
    <row r="7549" spans="1:1" x14ac:dyDescent="0.25">
      <c r="A7549" s="76" t="s">
        <v>2962</v>
      </c>
    </row>
    <row r="7550" spans="1:1" x14ac:dyDescent="0.25">
      <c r="A7550" s="76" t="s">
        <v>2963</v>
      </c>
    </row>
    <row r="7551" spans="1:1" x14ac:dyDescent="0.25">
      <c r="A7551" s="76" t="s">
        <v>2964</v>
      </c>
    </row>
    <row r="7552" spans="1:1" x14ac:dyDescent="0.25">
      <c r="A7552" s="76" t="s">
        <v>2965</v>
      </c>
    </row>
    <row r="7553" spans="1:1" x14ac:dyDescent="0.25">
      <c r="A7553" s="76" t="s">
        <v>2966</v>
      </c>
    </row>
    <row r="7554" spans="1:1" x14ac:dyDescent="0.25">
      <c r="A7554" s="76" t="s">
        <v>2967</v>
      </c>
    </row>
    <row r="7555" spans="1:1" x14ac:dyDescent="0.25">
      <c r="A7555" s="76" t="s">
        <v>2968</v>
      </c>
    </row>
    <row r="7556" spans="1:1" x14ac:dyDescent="0.25">
      <c r="A7556" s="76" t="s">
        <v>2969</v>
      </c>
    </row>
    <row r="7557" spans="1:1" x14ac:dyDescent="0.25">
      <c r="A7557" s="76" t="s">
        <v>2970</v>
      </c>
    </row>
    <row r="7558" spans="1:1" x14ac:dyDescent="0.25">
      <c r="A7558" s="76" t="s">
        <v>2971</v>
      </c>
    </row>
    <row r="7559" spans="1:1" x14ac:dyDescent="0.25">
      <c r="A7559" s="76" t="s">
        <v>2972</v>
      </c>
    </row>
    <row r="7560" spans="1:1" x14ac:dyDescent="0.25">
      <c r="A7560" s="76" t="s">
        <v>2973</v>
      </c>
    </row>
    <row r="7561" spans="1:1" x14ac:dyDescent="0.25">
      <c r="A7561" s="76" t="s">
        <v>2974</v>
      </c>
    </row>
    <row r="7562" spans="1:1" x14ac:dyDescent="0.25">
      <c r="A7562" s="108" t="s">
        <v>2975</v>
      </c>
    </row>
    <row r="7563" spans="1:1" x14ac:dyDescent="0.25">
      <c r="A7563" s="76" t="s">
        <v>2976</v>
      </c>
    </row>
    <row r="7564" spans="1:1" x14ac:dyDescent="0.25">
      <c r="A7564" s="76" t="s">
        <v>2977</v>
      </c>
    </row>
    <row r="7565" spans="1:1" x14ac:dyDescent="0.25">
      <c r="A7565" s="76" t="s">
        <v>2978</v>
      </c>
    </row>
    <row r="7566" spans="1:1" x14ac:dyDescent="0.25">
      <c r="A7566" s="76" t="s">
        <v>2979</v>
      </c>
    </row>
    <row r="7567" spans="1:1" x14ac:dyDescent="0.25">
      <c r="A7567" s="76" t="s">
        <v>2980</v>
      </c>
    </row>
    <row r="7568" spans="1:1" x14ac:dyDescent="0.25">
      <c r="A7568" s="76" t="s">
        <v>2981</v>
      </c>
    </row>
    <row r="7569" spans="1:1" x14ac:dyDescent="0.25">
      <c r="A7569" s="76" t="s">
        <v>2982</v>
      </c>
    </row>
    <row r="7570" spans="1:1" x14ac:dyDescent="0.25">
      <c r="A7570" s="76" t="s">
        <v>2983</v>
      </c>
    </row>
    <row r="7571" spans="1:1" x14ac:dyDescent="0.25">
      <c r="A7571" s="76" t="s">
        <v>2984</v>
      </c>
    </row>
    <row r="7572" spans="1:1" x14ac:dyDescent="0.25">
      <c r="A7572" s="76" t="s">
        <v>2985</v>
      </c>
    </row>
    <row r="7573" spans="1:1" x14ac:dyDescent="0.25">
      <c r="A7573" s="76" t="s">
        <v>2986</v>
      </c>
    </row>
    <row r="7574" spans="1:1" x14ac:dyDescent="0.25">
      <c r="A7574" s="76" t="s">
        <v>2987</v>
      </c>
    </row>
    <row r="7575" spans="1:1" x14ac:dyDescent="0.25">
      <c r="A7575" s="76" t="s">
        <v>2988</v>
      </c>
    </row>
    <row r="7576" spans="1:1" x14ac:dyDescent="0.25">
      <c r="A7576" s="76" t="s">
        <v>2989</v>
      </c>
    </row>
    <row r="7577" spans="1:1" x14ac:dyDescent="0.25">
      <c r="A7577" s="76" t="s">
        <v>2990</v>
      </c>
    </row>
    <row r="7578" spans="1:1" x14ac:dyDescent="0.25">
      <c r="A7578" s="76" t="s">
        <v>2991</v>
      </c>
    </row>
    <row r="7579" spans="1:1" x14ac:dyDescent="0.25">
      <c r="A7579" s="108" t="s">
        <v>2992</v>
      </c>
    </row>
    <row r="7580" spans="1:1" x14ac:dyDescent="0.25">
      <c r="A7580" s="108" t="s">
        <v>2993</v>
      </c>
    </row>
    <row r="7581" spans="1:1" x14ac:dyDescent="0.25">
      <c r="A7581" s="76" t="s">
        <v>2994</v>
      </c>
    </row>
    <row r="7582" spans="1:1" x14ac:dyDescent="0.25">
      <c r="A7582" s="29" t="s">
        <v>2995</v>
      </c>
    </row>
    <row r="7583" spans="1:1" x14ac:dyDescent="0.25">
      <c r="A7583" s="76" t="s">
        <v>2996</v>
      </c>
    </row>
    <row r="7584" spans="1:1" x14ac:dyDescent="0.25">
      <c r="A7584" s="76" t="s">
        <v>2997</v>
      </c>
    </row>
    <row r="7585" spans="1:1" x14ac:dyDescent="0.25">
      <c r="A7585" s="76" t="s">
        <v>2998</v>
      </c>
    </row>
    <row r="7586" spans="1:1" x14ac:dyDescent="0.25">
      <c r="A7586" s="108" t="s">
        <v>2999</v>
      </c>
    </row>
    <row r="7587" spans="1:1" x14ac:dyDescent="0.25">
      <c r="A7587" s="108" t="s">
        <v>3000</v>
      </c>
    </row>
    <row r="7588" spans="1:1" x14ac:dyDescent="0.25">
      <c r="A7588" s="76" t="s">
        <v>3001</v>
      </c>
    </row>
    <row r="7589" spans="1:1" x14ac:dyDescent="0.25">
      <c r="A7589" s="29" t="s">
        <v>3002</v>
      </c>
    </row>
    <row r="7590" spans="1:1" x14ac:dyDescent="0.25">
      <c r="A7590" s="76" t="s">
        <v>3003</v>
      </c>
    </row>
    <row r="7591" spans="1:1" x14ac:dyDescent="0.25">
      <c r="A7591" s="76" t="s">
        <v>3004</v>
      </c>
    </row>
    <row r="7592" spans="1:1" x14ac:dyDescent="0.25">
      <c r="A7592" s="76" t="s">
        <v>3005</v>
      </c>
    </row>
    <row r="7593" spans="1:1" x14ac:dyDescent="0.25">
      <c r="A7593" s="108" t="s">
        <v>3006</v>
      </c>
    </row>
    <row r="7594" spans="1:1" x14ac:dyDescent="0.25">
      <c r="A7594" s="108" t="s">
        <v>3007</v>
      </c>
    </row>
    <row r="7595" spans="1:1" x14ac:dyDescent="0.25">
      <c r="A7595" s="76" t="s">
        <v>3008</v>
      </c>
    </row>
    <row r="7596" spans="1:1" x14ac:dyDescent="0.25">
      <c r="A7596" s="29" t="s">
        <v>3009</v>
      </c>
    </row>
    <row r="7597" spans="1:1" x14ac:dyDescent="0.25">
      <c r="A7597" s="76" t="s">
        <v>3010</v>
      </c>
    </row>
    <row r="7598" spans="1:1" x14ac:dyDescent="0.25">
      <c r="A7598" s="76" t="s">
        <v>3011</v>
      </c>
    </row>
    <row r="7599" spans="1:1" x14ac:dyDescent="0.25">
      <c r="A7599" s="76" t="s">
        <v>3012</v>
      </c>
    </row>
    <row r="7600" spans="1:1" x14ac:dyDescent="0.25">
      <c r="A7600" s="108" t="s">
        <v>3013</v>
      </c>
    </row>
    <row r="7601" spans="1:1" x14ac:dyDescent="0.25">
      <c r="A7601" s="108" t="s">
        <v>3014</v>
      </c>
    </row>
    <row r="7602" spans="1:1" x14ac:dyDescent="0.25">
      <c r="A7602" s="76" t="s">
        <v>3015</v>
      </c>
    </row>
    <row r="7603" spans="1:1" x14ac:dyDescent="0.25">
      <c r="A7603" s="29" t="s">
        <v>3016</v>
      </c>
    </row>
    <row r="7604" spans="1:1" x14ac:dyDescent="0.25">
      <c r="A7604" s="76" t="s">
        <v>3017</v>
      </c>
    </row>
    <row r="7605" spans="1:1" x14ac:dyDescent="0.25">
      <c r="A7605" s="76" t="s">
        <v>3018</v>
      </c>
    </row>
    <row r="7606" spans="1:1" x14ac:dyDescent="0.25">
      <c r="A7606" s="76" t="s">
        <v>3019</v>
      </c>
    </row>
    <row r="7607" spans="1:1" x14ac:dyDescent="0.25">
      <c r="A7607" s="108" t="s">
        <v>3020</v>
      </c>
    </row>
    <row r="7608" spans="1:1" x14ac:dyDescent="0.25">
      <c r="A7608" s="108" t="s">
        <v>3021</v>
      </c>
    </row>
    <row r="7609" spans="1:1" x14ac:dyDescent="0.25">
      <c r="A7609" s="76" t="s">
        <v>3022</v>
      </c>
    </row>
    <row r="7610" spans="1:1" x14ac:dyDescent="0.25">
      <c r="A7610" s="29" t="s">
        <v>3023</v>
      </c>
    </row>
    <row r="7611" spans="1:1" x14ac:dyDescent="0.25">
      <c r="A7611" s="76" t="s">
        <v>3024</v>
      </c>
    </row>
    <row r="7612" spans="1:1" x14ac:dyDescent="0.25">
      <c r="A7612" s="76" t="s">
        <v>3025</v>
      </c>
    </row>
    <row r="7613" spans="1:1" x14ac:dyDescent="0.25">
      <c r="A7613" s="76" t="s">
        <v>3026</v>
      </c>
    </row>
    <row r="7614" spans="1:1" x14ac:dyDescent="0.25">
      <c r="A7614" s="108" t="s">
        <v>3027</v>
      </c>
    </row>
    <row r="7615" spans="1:1" x14ac:dyDescent="0.25">
      <c r="A7615" s="108" t="s">
        <v>3028</v>
      </c>
    </row>
    <row r="7616" spans="1:1" x14ac:dyDescent="0.25">
      <c r="A7616" s="76" t="s">
        <v>3029</v>
      </c>
    </row>
    <row r="7617" spans="1:1" x14ac:dyDescent="0.25">
      <c r="A7617" s="29" t="s">
        <v>3030</v>
      </c>
    </row>
    <row r="7618" spans="1:1" x14ac:dyDescent="0.25">
      <c r="A7618" s="76" t="s">
        <v>3031</v>
      </c>
    </row>
    <row r="7619" spans="1:1" x14ac:dyDescent="0.25">
      <c r="A7619" s="76" t="s">
        <v>3032</v>
      </c>
    </row>
    <row r="7620" spans="1:1" x14ac:dyDescent="0.25">
      <c r="A7620" s="76" t="s">
        <v>3033</v>
      </c>
    </row>
    <row r="7621" spans="1:1" x14ac:dyDescent="0.25">
      <c r="A7621" s="76" t="s">
        <v>3034</v>
      </c>
    </row>
    <row r="7622" spans="1:1" x14ac:dyDescent="0.25">
      <c r="A7622" s="76" t="s">
        <v>3035</v>
      </c>
    </row>
    <row r="7623" spans="1:1" x14ac:dyDescent="0.25">
      <c r="A7623" s="76" t="s">
        <v>3036</v>
      </c>
    </row>
    <row r="7624" spans="1:1" x14ac:dyDescent="0.25">
      <c r="A7624" s="76" t="s">
        <v>3037</v>
      </c>
    </row>
    <row r="7625" spans="1:1" x14ac:dyDescent="0.25">
      <c r="A7625" s="76" t="s">
        <v>3038</v>
      </c>
    </row>
    <row r="7626" spans="1:1" x14ac:dyDescent="0.25">
      <c r="A7626" s="76" t="s">
        <v>3039</v>
      </c>
    </row>
    <row r="7627" spans="1:1" x14ac:dyDescent="0.25">
      <c r="A7627" s="76" t="s">
        <v>3040</v>
      </c>
    </row>
    <row r="7628" spans="1:1" x14ac:dyDescent="0.25">
      <c r="A7628" s="108" t="s">
        <v>3041</v>
      </c>
    </row>
    <row r="7629" spans="1:1" x14ac:dyDescent="0.25">
      <c r="A7629" s="76" t="s">
        <v>3042</v>
      </c>
    </row>
    <row r="7630" spans="1:1" x14ac:dyDescent="0.25">
      <c r="A7630" s="76" t="s">
        <v>3043</v>
      </c>
    </row>
    <row r="7631" spans="1:1" x14ac:dyDescent="0.25">
      <c r="A7631" s="76" t="s">
        <v>3044</v>
      </c>
    </row>
    <row r="7632" spans="1:1" x14ac:dyDescent="0.25">
      <c r="A7632" s="76" t="s">
        <v>3045</v>
      </c>
    </row>
    <row r="7633" spans="1:1" x14ac:dyDescent="0.25">
      <c r="A7633" s="76" t="s">
        <v>3046</v>
      </c>
    </row>
    <row r="7634" spans="1:1" x14ac:dyDescent="0.25">
      <c r="A7634" s="76" t="s">
        <v>3047</v>
      </c>
    </row>
    <row r="7635" spans="1:1" x14ac:dyDescent="0.25">
      <c r="A7635" s="76" t="s">
        <v>3048</v>
      </c>
    </row>
    <row r="7636" spans="1:1" x14ac:dyDescent="0.25">
      <c r="A7636" s="76" t="s">
        <v>3049</v>
      </c>
    </row>
    <row r="7637" spans="1:1" x14ac:dyDescent="0.25">
      <c r="A7637" s="76" t="s">
        <v>3050</v>
      </c>
    </row>
    <row r="7638" spans="1:1" x14ac:dyDescent="0.25">
      <c r="A7638" s="76" t="s">
        <v>3051</v>
      </c>
    </row>
    <row r="7639" spans="1:1" x14ac:dyDescent="0.25">
      <c r="A7639" s="76" t="s">
        <v>3052</v>
      </c>
    </row>
    <row r="7640" spans="1:1" x14ac:dyDescent="0.25">
      <c r="A7640" s="76" t="s">
        <v>3053</v>
      </c>
    </row>
    <row r="7641" spans="1:1" x14ac:dyDescent="0.25">
      <c r="A7641" s="76" t="s">
        <v>3054</v>
      </c>
    </row>
    <row r="7642" spans="1:1" x14ac:dyDescent="0.25">
      <c r="A7642" s="76" t="s">
        <v>3055</v>
      </c>
    </row>
    <row r="7643" spans="1:1" x14ac:dyDescent="0.25">
      <c r="A7643" s="76" t="s">
        <v>3056</v>
      </c>
    </row>
    <row r="7644" spans="1:1" x14ac:dyDescent="0.25">
      <c r="A7644" s="76" t="s">
        <v>3057</v>
      </c>
    </row>
    <row r="7645" spans="1:1" x14ac:dyDescent="0.25">
      <c r="A7645" s="76" t="s">
        <v>3058</v>
      </c>
    </row>
    <row r="7646" spans="1:1" x14ac:dyDescent="0.25">
      <c r="A7646" s="76" t="s">
        <v>3059</v>
      </c>
    </row>
    <row r="7647" spans="1:1" x14ac:dyDescent="0.25">
      <c r="A7647" s="76" t="s">
        <v>3060</v>
      </c>
    </row>
    <row r="7648" spans="1:1" x14ac:dyDescent="0.25">
      <c r="A7648" s="76" t="s">
        <v>3061</v>
      </c>
    </row>
    <row r="7649" spans="1:1" x14ac:dyDescent="0.25">
      <c r="A7649" s="76" t="s">
        <v>3062</v>
      </c>
    </row>
    <row r="7650" spans="1:1" x14ac:dyDescent="0.25">
      <c r="A7650" s="76" t="s">
        <v>3063</v>
      </c>
    </row>
    <row r="7651" spans="1:1" x14ac:dyDescent="0.25">
      <c r="A7651" s="76" t="s">
        <v>3064</v>
      </c>
    </row>
    <row r="7652" spans="1:1" x14ac:dyDescent="0.25">
      <c r="A7652" s="76" t="s">
        <v>3065</v>
      </c>
    </row>
    <row r="7653" spans="1:1" x14ac:dyDescent="0.25">
      <c r="A7653" s="76" t="s">
        <v>3066</v>
      </c>
    </row>
    <row r="7654" spans="1:1" x14ac:dyDescent="0.25">
      <c r="A7654" s="76" t="s">
        <v>3067</v>
      </c>
    </row>
    <row r="7655" spans="1:1" x14ac:dyDescent="0.25">
      <c r="A7655" s="76" t="s">
        <v>3068</v>
      </c>
    </row>
    <row r="7656" spans="1:1" x14ac:dyDescent="0.25">
      <c r="A7656" s="76" t="s">
        <v>3069</v>
      </c>
    </row>
    <row r="7657" spans="1:1" x14ac:dyDescent="0.25">
      <c r="A7657" s="76" t="s">
        <v>3070</v>
      </c>
    </row>
    <row r="7658" spans="1:1" x14ac:dyDescent="0.25">
      <c r="A7658" s="76" t="s">
        <v>3071</v>
      </c>
    </row>
    <row r="7659" spans="1:1" x14ac:dyDescent="0.25">
      <c r="A7659" s="76" t="s">
        <v>3072</v>
      </c>
    </row>
    <row r="7660" spans="1:1" x14ac:dyDescent="0.25">
      <c r="A7660" s="76" t="s">
        <v>3073</v>
      </c>
    </row>
    <row r="7661" spans="1:1" x14ac:dyDescent="0.25">
      <c r="A7661" s="76" t="s">
        <v>3074</v>
      </c>
    </row>
    <row r="7662" spans="1:1" x14ac:dyDescent="0.25">
      <c r="A7662" s="76" t="s">
        <v>3075</v>
      </c>
    </row>
    <row r="7663" spans="1:1" x14ac:dyDescent="0.25">
      <c r="A7663" s="76" t="s">
        <v>3076</v>
      </c>
    </row>
    <row r="7664" spans="1:1" x14ac:dyDescent="0.25">
      <c r="A7664" s="76" t="s">
        <v>3077</v>
      </c>
    </row>
    <row r="7665" spans="1:1" x14ac:dyDescent="0.25">
      <c r="A7665" s="76" t="s">
        <v>3078</v>
      </c>
    </row>
    <row r="7666" spans="1:1" x14ac:dyDescent="0.25">
      <c r="A7666" s="76" t="s">
        <v>3079</v>
      </c>
    </row>
    <row r="7667" spans="1:1" x14ac:dyDescent="0.25">
      <c r="A7667" s="76" t="s">
        <v>3080</v>
      </c>
    </row>
    <row r="7668" spans="1:1" x14ac:dyDescent="0.25">
      <c r="A7668" s="76" t="s">
        <v>3081</v>
      </c>
    </row>
    <row r="7669" spans="1:1" x14ac:dyDescent="0.25">
      <c r="A7669" s="108" t="s">
        <v>3082</v>
      </c>
    </row>
    <row r="7670" spans="1:1" x14ac:dyDescent="0.25">
      <c r="A7670" s="76" t="s">
        <v>3083</v>
      </c>
    </row>
    <row r="7671" spans="1:1" x14ac:dyDescent="0.25">
      <c r="A7671" s="76" t="s">
        <v>3084</v>
      </c>
    </row>
    <row r="7672" spans="1:1" x14ac:dyDescent="0.25">
      <c r="A7672" s="76" t="s">
        <v>3085</v>
      </c>
    </row>
    <row r="7673" spans="1:1" x14ac:dyDescent="0.25">
      <c r="A7673" s="76" t="s">
        <v>3086</v>
      </c>
    </row>
    <row r="7674" spans="1:1" x14ac:dyDescent="0.25">
      <c r="A7674" s="76" t="s">
        <v>3087</v>
      </c>
    </row>
    <row r="7675" spans="1:1" x14ac:dyDescent="0.25">
      <c r="A7675" s="76" t="s">
        <v>3088</v>
      </c>
    </row>
    <row r="7676" spans="1:1" x14ac:dyDescent="0.25">
      <c r="A7676" s="76" t="s">
        <v>3089</v>
      </c>
    </row>
    <row r="7677" spans="1:1" x14ac:dyDescent="0.25">
      <c r="A7677" s="76" t="s">
        <v>3090</v>
      </c>
    </row>
    <row r="7678" spans="1:1" x14ac:dyDescent="0.25">
      <c r="A7678" s="76" t="s">
        <v>3091</v>
      </c>
    </row>
    <row r="7679" spans="1:1" x14ac:dyDescent="0.25">
      <c r="A7679" s="108" t="s">
        <v>3092</v>
      </c>
    </row>
    <row r="7680" spans="1:1" x14ac:dyDescent="0.25">
      <c r="A7680" s="76" t="s">
        <v>3093</v>
      </c>
    </row>
    <row r="7681" spans="1:1" x14ac:dyDescent="0.25">
      <c r="A7681" s="76" t="s">
        <v>3094</v>
      </c>
    </row>
    <row r="7682" spans="1:1" x14ac:dyDescent="0.25">
      <c r="A7682" s="76" t="s">
        <v>3095</v>
      </c>
    </row>
    <row r="7683" spans="1:1" x14ac:dyDescent="0.25">
      <c r="A7683" s="76" t="s">
        <v>3096</v>
      </c>
    </row>
    <row r="7684" spans="1:1" x14ac:dyDescent="0.25">
      <c r="A7684" s="76" t="s">
        <v>3097</v>
      </c>
    </row>
    <row r="7685" spans="1:1" x14ac:dyDescent="0.25">
      <c r="A7685" s="76" t="s">
        <v>3098</v>
      </c>
    </row>
    <row r="7686" spans="1:1" x14ac:dyDescent="0.25">
      <c r="A7686" s="76" t="s">
        <v>3099</v>
      </c>
    </row>
    <row r="7687" spans="1:1" x14ac:dyDescent="0.25">
      <c r="A7687" s="76" t="s">
        <v>3100</v>
      </c>
    </row>
    <row r="7688" spans="1:1" x14ac:dyDescent="0.25">
      <c r="A7688" s="76" t="s">
        <v>3101</v>
      </c>
    </row>
    <row r="7689" spans="1:1" x14ac:dyDescent="0.25">
      <c r="A7689" s="76" t="s">
        <v>3102</v>
      </c>
    </row>
    <row r="7690" spans="1:1" x14ac:dyDescent="0.25">
      <c r="A7690" s="76" t="s">
        <v>3103</v>
      </c>
    </row>
    <row r="7691" spans="1:1" x14ac:dyDescent="0.25">
      <c r="A7691" s="76" t="s">
        <v>3104</v>
      </c>
    </row>
    <row r="7692" spans="1:1" x14ac:dyDescent="0.25">
      <c r="A7692" s="76" t="s">
        <v>3105</v>
      </c>
    </row>
    <row r="7693" spans="1:1" x14ac:dyDescent="0.25">
      <c r="A7693" s="76" t="s">
        <v>3106</v>
      </c>
    </row>
    <row r="7694" spans="1:1" x14ac:dyDescent="0.25">
      <c r="A7694" s="76" t="s">
        <v>3107</v>
      </c>
    </row>
    <row r="7695" spans="1:1" x14ac:dyDescent="0.25">
      <c r="A7695" s="76" t="s">
        <v>3108</v>
      </c>
    </row>
    <row r="7696" spans="1:1" x14ac:dyDescent="0.25">
      <c r="A7696" s="108" t="s">
        <v>3109</v>
      </c>
    </row>
    <row r="7697" spans="1:1" x14ac:dyDescent="0.25">
      <c r="A7697" s="76" t="s">
        <v>3110</v>
      </c>
    </row>
    <row r="7698" spans="1:1" x14ac:dyDescent="0.25">
      <c r="A7698" s="76" t="s">
        <v>3111</v>
      </c>
    </row>
    <row r="7699" spans="1:1" x14ac:dyDescent="0.25">
      <c r="A7699" s="76" t="s">
        <v>3112</v>
      </c>
    </row>
    <row r="7700" spans="1:1" x14ac:dyDescent="0.25">
      <c r="A7700" s="76" t="s">
        <v>3113</v>
      </c>
    </row>
    <row r="7701" spans="1:1" x14ac:dyDescent="0.25">
      <c r="A7701" s="76" t="s">
        <v>3114</v>
      </c>
    </row>
    <row r="7702" spans="1:1" x14ac:dyDescent="0.25">
      <c r="A7702" s="76" t="s">
        <v>3115</v>
      </c>
    </row>
    <row r="7703" spans="1:1" x14ac:dyDescent="0.25">
      <c r="A7703" s="108" t="s">
        <v>3116</v>
      </c>
    </row>
    <row r="7704" spans="1:1" x14ac:dyDescent="0.25">
      <c r="A7704" s="76" t="s">
        <v>3117</v>
      </c>
    </row>
    <row r="7705" spans="1:1" x14ac:dyDescent="0.25">
      <c r="A7705" s="76" t="s">
        <v>3118</v>
      </c>
    </row>
    <row r="7706" spans="1:1" x14ac:dyDescent="0.25">
      <c r="A7706" s="76" t="s">
        <v>3119</v>
      </c>
    </row>
    <row r="7707" spans="1:1" x14ac:dyDescent="0.25">
      <c r="A7707" s="76" t="s">
        <v>3120</v>
      </c>
    </row>
    <row r="7708" spans="1:1" x14ac:dyDescent="0.25">
      <c r="A7708" s="76" t="s">
        <v>3121</v>
      </c>
    </row>
    <row r="7709" spans="1:1" x14ac:dyDescent="0.25">
      <c r="A7709" s="76" t="s">
        <v>3122</v>
      </c>
    </row>
    <row r="7710" spans="1:1" x14ac:dyDescent="0.25">
      <c r="A7710" s="76" t="s">
        <v>3123</v>
      </c>
    </row>
    <row r="7711" spans="1:1" x14ac:dyDescent="0.25">
      <c r="A7711" s="76" t="s">
        <v>3124</v>
      </c>
    </row>
    <row r="7712" spans="1:1" x14ac:dyDescent="0.25">
      <c r="A7712" s="76" t="s">
        <v>3125</v>
      </c>
    </row>
    <row r="7713" spans="1:1" x14ac:dyDescent="0.25">
      <c r="A7713" s="76" t="s">
        <v>3126</v>
      </c>
    </row>
    <row r="7714" spans="1:1" x14ac:dyDescent="0.25">
      <c r="A7714" s="76" t="s">
        <v>3127</v>
      </c>
    </row>
    <row r="7715" spans="1:1" x14ac:dyDescent="0.25">
      <c r="A7715" s="76" t="s">
        <v>3128</v>
      </c>
    </row>
    <row r="7716" spans="1:1" x14ac:dyDescent="0.25">
      <c r="A7716" s="76" t="s">
        <v>3129</v>
      </c>
    </row>
    <row r="7717" spans="1:1" x14ac:dyDescent="0.25">
      <c r="A7717" s="76" t="s">
        <v>3130</v>
      </c>
    </row>
    <row r="7718" spans="1:1" x14ac:dyDescent="0.25">
      <c r="A7718" s="76" t="s">
        <v>3131</v>
      </c>
    </row>
    <row r="7719" spans="1:1" x14ac:dyDescent="0.25">
      <c r="A7719" s="76" t="s">
        <v>3132</v>
      </c>
    </row>
    <row r="7720" spans="1:1" x14ac:dyDescent="0.25">
      <c r="A7720" s="76" t="s">
        <v>3133</v>
      </c>
    </row>
    <row r="7721" spans="1:1" x14ac:dyDescent="0.25">
      <c r="A7721" s="108" t="s">
        <v>3134</v>
      </c>
    </row>
    <row r="7722" spans="1:1" x14ac:dyDescent="0.25">
      <c r="A7722" s="76" t="s">
        <v>3135</v>
      </c>
    </row>
    <row r="7723" spans="1:1" x14ac:dyDescent="0.25">
      <c r="A7723" s="76" t="s">
        <v>3136</v>
      </c>
    </row>
    <row r="7724" spans="1:1" x14ac:dyDescent="0.25">
      <c r="A7724" s="76" t="s">
        <v>3137</v>
      </c>
    </row>
    <row r="7725" spans="1:1" x14ac:dyDescent="0.25">
      <c r="A7725" s="76" t="s">
        <v>3138</v>
      </c>
    </row>
    <row r="7726" spans="1:1" x14ac:dyDescent="0.25">
      <c r="A7726" s="108" t="s">
        <v>3139</v>
      </c>
    </row>
    <row r="7727" spans="1:1" x14ac:dyDescent="0.25">
      <c r="A7727" s="108" t="s">
        <v>3140</v>
      </c>
    </row>
    <row r="7728" spans="1:1" x14ac:dyDescent="0.25">
      <c r="A7728" s="76" t="s">
        <v>3141</v>
      </c>
    </row>
    <row r="7729" spans="1:1" x14ac:dyDescent="0.25">
      <c r="A7729" s="29" t="s">
        <v>3142</v>
      </c>
    </row>
    <row r="7730" spans="1:1" x14ac:dyDescent="0.25">
      <c r="A7730" s="76" t="s">
        <v>3143</v>
      </c>
    </row>
    <row r="7731" spans="1:1" x14ac:dyDescent="0.25">
      <c r="A7731" s="76" t="s">
        <v>3144</v>
      </c>
    </row>
    <row r="7732" spans="1:1" x14ac:dyDescent="0.25">
      <c r="A7732" s="76" t="s">
        <v>3145</v>
      </c>
    </row>
    <row r="7733" spans="1:1" x14ac:dyDescent="0.25">
      <c r="A7733" s="108" t="s">
        <v>3146</v>
      </c>
    </row>
    <row r="7734" spans="1:1" x14ac:dyDescent="0.25">
      <c r="A7734" s="108" t="s">
        <v>3147</v>
      </c>
    </row>
    <row r="7735" spans="1:1" x14ac:dyDescent="0.25">
      <c r="A7735" s="76" t="s">
        <v>3148</v>
      </c>
    </row>
    <row r="7736" spans="1:1" x14ac:dyDescent="0.25">
      <c r="A7736" s="29" t="s">
        <v>3149</v>
      </c>
    </row>
    <row r="7737" spans="1:1" x14ac:dyDescent="0.25">
      <c r="A7737" s="76" t="s">
        <v>3150</v>
      </c>
    </row>
    <row r="7738" spans="1:1" x14ac:dyDescent="0.25">
      <c r="A7738" s="76" t="s">
        <v>3151</v>
      </c>
    </row>
    <row r="7739" spans="1:1" x14ac:dyDescent="0.25">
      <c r="A7739" s="76" t="s">
        <v>3152</v>
      </c>
    </row>
    <row r="7740" spans="1:1" x14ac:dyDescent="0.25">
      <c r="A7740" s="108" t="s">
        <v>3153</v>
      </c>
    </row>
    <row r="7741" spans="1:1" x14ac:dyDescent="0.25">
      <c r="A7741" s="108" t="s">
        <v>3154</v>
      </c>
    </row>
    <row r="7742" spans="1:1" x14ac:dyDescent="0.25">
      <c r="A7742" s="76" t="s">
        <v>3155</v>
      </c>
    </row>
    <row r="7743" spans="1:1" x14ac:dyDescent="0.25">
      <c r="A7743" s="29" t="s">
        <v>3156</v>
      </c>
    </row>
    <row r="7744" spans="1:1" x14ac:dyDescent="0.25">
      <c r="A7744" s="76" t="s">
        <v>3157</v>
      </c>
    </row>
    <row r="7745" spans="1:1" x14ac:dyDescent="0.25">
      <c r="A7745" s="76" t="s">
        <v>3158</v>
      </c>
    </row>
    <row r="7746" spans="1:1" x14ac:dyDescent="0.25">
      <c r="A7746" s="76" t="s">
        <v>3159</v>
      </c>
    </row>
    <row r="7747" spans="1:1" x14ac:dyDescent="0.25">
      <c r="A7747" s="108" t="s">
        <v>3160</v>
      </c>
    </row>
    <row r="7748" spans="1:1" x14ac:dyDescent="0.25">
      <c r="A7748" s="108" t="s">
        <v>3161</v>
      </c>
    </row>
    <row r="7749" spans="1:1" x14ac:dyDescent="0.25">
      <c r="A7749" s="76" t="s">
        <v>3162</v>
      </c>
    </row>
    <row r="7750" spans="1:1" x14ac:dyDescent="0.25">
      <c r="A7750" s="29" t="s">
        <v>3163</v>
      </c>
    </row>
    <row r="7751" spans="1:1" x14ac:dyDescent="0.25">
      <c r="A7751" s="76" t="s">
        <v>3164</v>
      </c>
    </row>
    <row r="7752" spans="1:1" x14ac:dyDescent="0.25">
      <c r="A7752" s="76" t="s">
        <v>3165</v>
      </c>
    </row>
    <row r="7753" spans="1:1" x14ac:dyDescent="0.25">
      <c r="A7753" s="76" t="s">
        <v>3166</v>
      </c>
    </row>
    <row r="7754" spans="1:1" x14ac:dyDescent="0.25">
      <c r="A7754" s="108" t="s">
        <v>3167</v>
      </c>
    </row>
    <row r="7755" spans="1:1" x14ac:dyDescent="0.25">
      <c r="A7755" s="108" t="s">
        <v>3168</v>
      </c>
    </row>
    <row r="7756" spans="1:1" x14ac:dyDescent="0.25">
      <c r="A7756" s="76" t="s">
        <v>3169</v>
      </c>
    </row>
    <row r="7757" spans="1:1" x14ac:dyDescent="0.25">
      <c r="A7757" s="29" t="s">
        <v>3170</v>
      </c>
    </row>
    <row r="7758" spans="1:1" x14ac:dyDescent="0.25">
      <c r="A7758" s="76" t="s">
        <v>3171</v>
      </c>
    </row>
    <row r="7759" spans="1:1" x14ac:dyDescent="0.25">
      <c r="A7759" s="76" t="s">
        <v>3172</v>
      </c>
    </row>
    <row r="7760" spans="1:1" x14ac:dyDescent="0.25">
      <c r="A7760" s="76" t="s">
        <v>3173</v>
      </c>
    </row>
    <row r="7761" spans="1:1" x14ac:dyDescent="0.25">
      <c r="A7761" s="108" t="s">
        <v>3174</v>
      </c>
    </row>
    <row r="7762" spans="1:1" x14ac:dyDescent="0.25">
      <c r="A7762" s="108" t="s">
        <v>3175</v>
      </c>
    </row>
    <row r="7763" spans="1:1" x14ac:dyDescent="0.25">
      <c r="A7763" s="76" t="s">
        <v>3176</v>
      </c>
    </row>
    <row r="7764" spans="1:1" x14ac:dyDescent="0.25">
      <c r="A7764" s="29" t="s">
        <v>3177</v>
      </c>
    </row>
    <row r="7765" spans="1:1" x14ac:dyDescent="0.25">
      <c r="A7765" s="76" t="s">
        <v>3178</v>
      </c>
    </row>
    <row r="7766" spans="1:1" x14ac:dyDescent="0.25">
      <c r="A7766" s="76" t="s">
        <v>3179</v>
      </c>
    </row>
    <row r="7767" spans="1:1" x14ac:dyDescent="0.25">
      <c r="A7767" s="108" t="s">
        <v>3180</v>
      </c>
    </row>
    <row r="7768" spans="1:1" x14ac:dyDescent="0.25">
      <c r="A7768" s="76" t="s">
        <v>3181</v>
      </c>
    </row>
    <row r="7769" spans="1:1" x14ac:dyDescent="0.25">
      <c r="A7769" s="76" t="s">
        <v>3182</v>
      </c>
    </row>
    <row r="7770" spans="1:1" x14ac:dyDescent="0.25">
      <c r="A7770" s="76" t="s">
        <v>3183</v>
      </c>
    </row>
    <row r="7771" spans="1:1" x14ac:dyDescent="0.25">
      <c r="A7771" s="76" t="s">
        <v>3184</v>
      </c>
    </row>
    <row r="7772" spans="1:1" x14ac:dyDescent="0.25">
      <c r="A7772" s="76" t="s">
        <v>3185</v>
      </c>
    </row>
    <row r="7773" spans="1:1" x14ac:dyDescent="0.25">
      <c r="A7773" s="76" t="s">
        <v>3186</v>
      </c>
    </row>
    <row r="7774" spans="1:1" x14ac:dyDescent="0.25">
      <c r="A7774" s="76" t="s">
        <v>3187</v>
      </c>
    </row>
    <row r="7775" spans="1:1" x14ac:dyDescent="0.25">
      <c r="A7775" s="76" t="s">
        <v>3188</v>
      </c>
    </row>
    <row r="7776" spans="1:1" x14ac:dyDescent="0.25">
      <c r="A7776" s="76" t="s">
        <v>3189</v>
      </c>
    </row>
    <row r="7777" spans="1:1" x14ac:dyDescent="0.25">
      <c r="A7777" s="76" t="s">
        <v>3190</v>
      </c>
    </row>
    <row r="7778" spans="1:1" x14ac:dyDescent="0.25">
      <c r="A7778" s="76" t="s">
        <v>3191</v>
      </c>
    </row>
    <row r="7779" spans="1:1" x14ac:dyDescent="0.25">
      <c r="A7779" s="76" t="s">
        <v>3192</v>
      </c>
    </row>
    <row r="7780" spans="1:1" x14ac:dyDescent="0.25">
      <c r="A7780" s="76" t="s">
        <v>3193</v>
      </c>
    </row>
    <row r="7781" spans="1:1" x14ac:dyDescent="0.25">
      <c r="A7781" s="76" t="s">
        <v>3194</v>
      </c>
    </row>
    <row r="7782" spans="1:1" x14ac:dyDescent="0.25">
      <c r="A7782" s="76" t="s">
        <v>3195</v>
      </c>
    </row>
    <row r="7783" spans="1:1" x14ac:dyDescent="0.25">
      <c r="A7783" s="76" t="s">
        <v>3196</v>
      </c>
    </row>
    <row r="7784" spans="1:1" x14ac:dyDescent="0.25">
      <c r="A7784" s="76" t="s">
        <v>3197</v>
      </c>
    </row>
    <row r="7785" spans="1:1" x14ac:dyDescent="0.25">
      <c r="A7785" s="76" t="s">
        <v>3198</v>
      </c>
    </row>
    <row r="7786" spans="1:1" x14ac:dyDescent="0.25">
      <c r="A7786" s="76" t="s">
        <v>3199</v>
      </c>
    </row>
    <row r="7787" spans="1:1" x14ac:dyDescent="0.25">
      <c r="A7787" s="76" t="s">
        <v>3200</v>
      </c>
    </row>
    <row r="7788" spans="1:1" x14ac:dyDescent="0.25">
      <c r="A7788" s="76" t="s">
        <v>3201</v>
      </c>
    </row>
    <row r="7789" spans="1:1" x14ac:dyDescent="0.25">
      <c r="A7789" s="76" t="s">
        <v>3202</v>
      </c>
    </row>
    <row r="7790" spans="1:1" x14ac:dyDescent="0.25">
      <c r="A7790" s="76" t="s">
        <v>3203</v>
      </c>
    </row>
    <row r="7791" spans="1:1" x14ac:dyDescent="0.25">
      <c r="A7791" s="108" t="s">
        <v>3204</v>
      </c>
    </row>
    <row r="7792" spans="1:1" x14ac:dyDescent="0.25">
      <c r="A7792" s="76" t="s">
        <v>3205</v>
      </c>
    </row>
    <row r="7793" spans="1:1" x14ac:dyDescent="0.25">
      <c r="A7793" s="76" t="s">
        <v>3206</v>
      </c>
    </row>
    <row r="7794" spans="1:1" x14ac:dyDescent="0.25">
      <c r="A7794" s="76" t="s">
        <v>3207</v>
      </c>
    </row>
    <row r="7795" spans="1:1" x14ac:dyDescent="0.25">
      <c r="A7795" s="76" t="s">
        <v>3208</v>
      </c>
    </row>
    <row r="7796" spans="1:1" x14ac:dyDescent="0.25">
      <c r="A7796" s="76" t="s">
        <v>3209</v>
      </c>
    </row>
    <row r="7797" spans="1:1" x14ac:dyDescent="0.25">
      <c r="A7797" s="76" t="s">
        <v>3210</v>
      </c>
    </row>
    <row r="7798" spans="1:1" x14ac:dyDescent="0.25">
      <c r="A7798" s="76" t="s">
        <v>3211</v>
      </c>
    </row>
    <row r="7799" spans="1:1" x14ac:dyDescent="0.25">
      <c r="A7799" s="108" t="s">
        <v>3212</v>
      </c>
    </row>
    <row r="7800" spans="1:1" x14ac:dyDescent="0.25">
      <c r="A7800" s="76" t="s">
        <v>3213</v>
      </c>
    </row>
    <row r="7801" spans="1:1" x14ac:dyDescent="0.25">
      <c r="A7801" s="76" t="s">
        <v>3214</v>
      </c>
    </row>
    <row r="7802" spans="1:1" x14ac:dyDescent="0.25">
      <c r="A7802" s="76" t="s">
        <v>3215</v>
      </c>
    </row>
    <row r="7803" spans="1:1" x14ac:dyDescent="0.25">
      <c r="A7803" s="76" t="s">
        <v>3216</v>
      </c>
    </row>
    <row r="7804" spans="1:1" x14ac:dyDescent="0.25">
      <c r="A7804" s="76" t="s">
        <v>3217</v>
      </c>
    </row>
    <row r="7805" spans="1:1" x14ac:dyDescent="0.25">
      <c r="A7805" s="76" t="s">
        <v>3218</v>
      </c>
    </row>
    <row r="7806" spans="1:1" x14ac:dyDescent="0.25">
      <c r="A7806" s="76" t="s">
        <v>3219</v>
      </c>
    </row>
    <row r="7807" spans="1:1" x14ac:dyDescent="0.25">
      <c r="A7807" s="76" t="s">
        <v>3220</v>
      </c>
    </row>
    <row r="7808" spans="1:1" x14ac:dyDescent="0.25">
      <c r="A7808" s="76" t="s">
        <v>3221</v>
      </c>
    </row>
    <row r="7809" spans="1:1" x14ac:dyDescent="0.25">
      <c r="A7809" s="76" t="s">
        <v>3222</v>
      </c>
    </row>
    <row r="7810" spans="1:1" x14ac:dyDescent="0.25">
      <c r="A7810" s="76" t="s">
        <v>3223</v>
      </c>
    </row>
    <row r="7811" spans="1:1" x14ac:dyDescent="0.25">
      <c r="A7811" s="76" t="s">
        <v>3224</v>
      </c>
    </row>
    <row r="7812" spans="1:1" x14ac:dyDescent="0.25">
      <c r="A7812" s="76" t="s">
        <v>3225</v>
      </c>
    </row>
    <row r="7813" spans="1:1" x14ac:dyDescent="0.25">
      <c r="A7813" s="76" t="s">
        <v>3226</v>
      </c>
    </row>
    <row r="7814" spans="1:1" x14ac:dyDescent="0.25">
      <c r="A7814" s="76" t="s">
        <v>3227</v>
      </c>
    </row>
    <row r="7815" spans="1:1" x14ac:dyDescent="0.25">
      <c r="A7815" s="108" t="s">
        <v>3228</v>
      </c>
    </row>
    <row r="7816" spans="1:1" x14ac:dyDescent="0.25">
      <c r="A7816" s="76" t="s">
        <v>3229</v>
      </c>
    </row>
    <row r="7817" spans="1:1" x14ac:dyDescent="0.25">
      <c r="A7817" s="76" t="s">
        <v>3230</v>
      </c>
    </row>
    <row r="7818" spans="1:1" x14ac:dyDescent="0.25">
      <c r="A7818" s="76" t="s">
        <v>3231</v>
      </c>
    </row>
    <row r="7819" spans="1:1" x14ac:dyDescent="0.25">
      <c r="A7819" s="76" t="s">
        <v>3232</v>
      </c>
    </row>
    <row r="7820" spans="1:1" x14ac:dyDescent="0.25">
      <c r="A7820" s="76" t="s">
        <v>3233</v>
      </c>
    </row>
    <row r="7821" spans="1:1" x14ac:dyDescent="0.25">
      <c r="A7821" s="76" t="s">
        <v>3234</v>
      </c>
    </row>
    <row r="7822" spans="1:1" x14ac:dyDescent="0.25">
      <c r="A7822" s="76" t="s">
        <v>3235</v>
      </c>
    </row>
    <row r="7823" spans="1:1" x14ac:dyDescent="0.25">
      <c r="A7823" s="108" t="s">
        <v>3236</v>
      </c>
    </row>
    <row r="7824" spans="1:1" x14ac:dyDescent="0.25">
      <c r="A7824" s="76" t="s">
        <v>3237</v>
      </c>
    </row>
    <row r="7825" spans="1:1" x14ac:dyDescent="0.25">
      <c r="A7825" s="76" t="s">
        <v>3238</v>
      </c>
    </row>
    <row r="7826" spans="1:1" x14ac:dyDescent="0.25">
      <c r="A7826" s="76" t="s">
        <v>3239</v>
      </c>
    </row>
    <row r="7827" spans="1:1" x14ac:dyDescent="0.25">
      <c r="A7827" s="76" t="s">
        <v>3240</v>
      </c>
    </row>
    <row r="7828" spans="1:1" x14ac:dyDescent="0.25">
      <c r="A7828" s="76" t="s">
        <v>3241</v>
      </c>
    </row>
    <row r="7829" spans="1:1" x14ac:dyDescent="0.25">
      <c r="A7829" s="108" t="s">
        <v>3242</v>
      </c>
    </row>
    <row r="7830" spans="1:1" x14ac:dyDescent="0.25">
      <c r="A7830" s="76" t="s">
        <v>3243</v>
      </c>
    </row>
    <row r="7831" spans="1:1" x14ac:dyDescent="0.25">
      <c r="A7831" s="76" t="s">
        <v>3244</v>
      </c>
    </row>
    <row r="7832" spans="1:1" x14ac:dyDescent="0.25">
      <c r="A7832" s="76" t="s">
        <v>3245</v>
      </c>
    </row>
    <row r="7833" spans="1:1" x14ac:dyDescent="0.25">
      <c r="A7833" s="76" t="s">
        <v>3246</v>
      </c>
    </row>
    <row r="7834" spans="1:1" x14ac:dyDescent="0.25">
      <c r="A7834" s="76" t="s">
        <v>3247</v>
      </c>
    </row>
    <row r="7835" spans="1:1" x14ac:dyDescent="0.25">
      <c r="A7835" s="76" t="s">
        <v>3248</v>
      </c>
    </row>
    <row r="7836" spans="1:1" x14ac:dyDescent="0.25">
      <c r="A7836" s="76" t="s">
        <v>3249</v>
      </c>
    </row>
    <row r="7837" spans="1:1" x14ac:dyDescent="0.25">
      <c r="A7837" s="76" t="s">
        <v>3250</v>
      </c>
    </row>
    <row r="7838" spans="1:1" x14ac:dyDescent="0.25">
      <c r="A7838" s="76" t="s">
        <v>3251</v>
      </c>
    </row>
    <row r="7839" spans="1:1" x14ac:dyDescent="0.25">
      <c r="A7839" s="76" t="s">
        <v>3252</v>
      </c>
    </row>
    <row r="7840" spans="1:1" x14ac:dyDescent="0.25">
      <c r="A7840" s="76" t="s">
        <v>3253</v>
      </c>
    </row>
    <row r="7841" spans="1:1" x14ac:dyDescent="0.25">
      <c r="A7841" s="76" t="s">
        <v>3254</v>
      </c>
    </row>
    <row r="7842" spans="1:1" x14ac:dyDescent="0.25">
      <c r="A7842" s="76" t="s">
        <v>3255</v>
      </c>
    </row>
    <row r="7843" spans="1:1" x14ac:dyDescent="0.25">
      <c r="A7843" s="76" t="s">
        <v>3256</v>
      </c>
    </row>
    <row r="7844" spans="1:1" x14ac:dyDescent="0.25">
      <c r="A7844" s="76" t="s">
        <v>3257</v>
      </c>
    </row>
    <row r="7845" spans="1:1" x14ac:dyDescent="0.25">
      <c r="A7845" s="76" t="s">
        <v>3258</v>
      </c>
    </row>
    <row r="7846" spans="1:1" x14ac:dyDescent="0.25">
      <c r="A7846" s="108" t="s">
        <v>3259</v>
      </c>
    </row>
    <row r="7847" spans="1:1" x14ac:dyDescent="0.25">
      <c r="A7847" s="108" t="s">
        <v>3260</v>
      </c>
    </row>
    <row r="7848" spans="1:1" x14ac:dyDescent="0.25">
      <c r="A7848" s="76" t="s">
        <v>3261</v>
      </c>
    </row>
    <row r="7849" spans="1:1" x14ac:dyDescent="0.25">
      <c r="A7849" s="29" t="s">
        <v>3262</v>
      </c>
    </row>
    <row r="7850" spans="1:1" x14ac:dyDescent="0.25">
      <c r="A7850" s="76" t="s">
        <v>3263</v>
      </c>
    </row>
    <row r="7851" spans="1:1" x14ac:dyDescent="0.25">
      <c r="A7851" s="76" t="s">
        <v>3264</v>
      </c>
    </row>
    <row r="7852" spans="1:1" x14ac:dyDescent="0.25">
      <c r="A7852" s="76" t="s">
        <v>3265</v>
      </c>
    </row>
    <row r="7853" spans="1:1" x14ac:dyDescent="0.25">
      <c r="A7853" s="108" t="s">
        <v>3266</v>
      </c>
    </row>
    <row r="7854" spans="1:1" x14ac:dyDescent="0.25">
      <c r="A7854" s="108" t="s">
        <v>3267</v>
      </c>
    </row>
    <row r="7855" spans="1:1" x14ac:dyDescent="0.25">
      <c r="A7855" s="76" t="s">
        <v>3268</v>
      </c>
    </row>
    <row r="7856" spans="1:1" x14ac:dyDescent="0.25">
      <c r="A7856" s="29" t="s">
        <v>3269</v>
      </c>
    </row>
    <row r="7857" spans="1:1" x14ac:dyDescent="0.25">
      <c r="A7857" s="76" t="s">
        <v>3270</v>
      </c>
    </row>
    <row r="7858" spans="1:1" x14ac:dyDescent="0.25">
      <c r="A7858" s="76" t="s">
        <v>3271</v>
      </c>
    </row>
    <row r="7859" spans="1:1" x14ac:dyDescent="0.25">
      <c r="A7859" s="76" t="s">
        <v>3272</v>
      </c>
    </row>
    <row r="7860" spans="1:1" x14ac:dyDescent="0.25">
      <c r="A7860" s="108" t="s">
        <v>3273</v>
      </c>
    </row>
    <row r="7861" spans="1:1" x14ac:dyDescent="0.25">
      <c r="A7861" s="108" t="s">
        <v>3274</v>
      </c>
    </row>
    <row r="7862" spans="1:1" x14ac:dyDescent="0.25">
      <c r="A7862" s="76" t="s">
        <v>3275</v>
      </c>
    </row>
    <row r="7863" spans="1:1" x14ac:dyDescent="0.25">
      <c r="A7863" s="29" t="s">
        <v>3276</v>
      </c>
    </row>
    <row r="7864" spans="1:1" x14ac:dyDescent="0.25">
      <c r="A7864" s="76" t="s">
        <v>3277</v>
      </c>
    </row>
    <row r="7865" spans="1:1" x14ac:dyDescent="0.25">
      <c r="A7865" s="76" t="s">
        <v>3278</v>
      </c>
    </row>
    <row r="7866" spans="1:1" x14ac:dyDescent="0.25">
      <c r="A7866" s="76" t="s">
        <v>3279</v>
      </c>
    </row>
    <row r="7867" spans="1:1" x14ac:dyDescent="0.25">
      <c r="A7867" s="108" t="s">
        <v>3280</v>
      </c>
    </row>
    <row r="7868" spans="1:1" x14ac:dyDescent="0.25">
      <c r="A7868" s="108" t="s">
        <v>3281</v>
      </c>
    </row>
    <row r="7869" spans="1:1" x14ac:dyDescent="0.25">
      <c r="A7869" s="76" t="s">
        <v>3282</v>
      </c>
    </row>
    <row r="7870" spans="1:1" x14ac:dyDescent="0.25">
      <c r="A7870" s="29" t="s">
        <v>3283</v>
      </c>
    </row>
    <row r="7871" spans="1:1" x14ac:dyDescent="0.25">
      <c r="A7871" s="76" t="s">
        <v>3284</v>
      </c>
    </row>
    <row r="7872" spans="1:1" x14ac:dyDescent="0.25">
      <c r="A7872" s="76" t="s">
        <v>3285</v>
      </c>
    </row>
    <row r="7873" spans="1:1" x14ac:dyDescent="0.25">
      <c r="A7873" s="76" t="s">
        <v>3286</v>
      </c>
    </row>
    <row r="7874" spans="1:1" x14ac:dyDescent="0.25">
      <c r="A7874" s="108" t="s">
        <v>3287</v>
      </c>
    </row>
    <row r="7875" spans="1:1" x14ac:dyDescent="0.25">
      <c r="A7875" s="108" t="s">
        <v>3288</v>
      </c>
    </row>
    <row r="7876" spans="1:1" x14ac:dyDescent="0.25">
      <c r="A7876" s="76" t="s">
        <v>3289</v>
      </c>
    </row>
    <row r="7877" spans="1:1" x14ac:dyDescent="0.25">
      <c r="A7877" s="29" t="s">
        <v>3290</v>
      </c>
    </row>
    <row r="7878" spans="1:1" x14ac:dyDescent="0.25">
      <c r="A7878" s="76" t="s">
        <v>3291</v>
      </c>
    </row>
    <row r="7879" spans="1:1" x14ac:dyDescent="0.25">
      <c r="A7879" s="76" t="s">
        <v>3292</v>
      </c>
    </row>
    <row r="7880" spans="1:1" x14ac:dyDescent="0.25">
      <c r="A7880" s="76" t="s">
        <v>3293</v>
      </c>
    </row>
    <row r="7881" spans="1:1" x14ac:dyDescent="0.25">
      <c r="A7881" s="108" t="s">
        <v>3294</v>
      </c>
    </row>
    <row r="7882" spans="1:1" x14ac:dyDescent="0.25">
      <c r="A7882" s="108" t="s">
        <v>3295</v>
      </c>
    </row>
    <row r="7883" spans="1:1" x14ac:dyDescent="0.25">
      <c r="A7883" s="76" t="s">
        <v>3296</v>
      </c>
    </row>
    <row r="7884" spans="1:1" x14ac:dyDescent="0.25">
      <c r="A7884" s="29" t="s">
        <v>3297</v>
      </c>
    </row>
    <row r="7885" spans="1:1" x14ac:dyDescent="0.25">
      <c r="A7885" s="76" t="s">
        <v>3298</v>
      </c>
    </row>
    <row r="7886" spans="1:1" x14ac:dyDescent="0.25">
      <c r="A7886" s="76" t="s">
        <v>3299</v>
      </c>
    </row>
    <row r="7887" spans="1:1" x14ac:dyDescent="0.25">
      <c r="A7887" s="108" t="s">
        <v>3300</v>
      </c>
    </row>
    <row r="7888" spans="1:1" x14ac:dyDescent="0.25">
      <c r="A7888" s="76" t="s">
        <v>3301</v>
      </c>
    </row>
    <row r="7889" spans="1:1" x14ac:dyDescent="0.25">
      <c r="A7889" s="76" t="s">
        <v>3302</v>
      </c>
    </row>
    <row r="7890" spans="1:1" x14ac:dyDescent="0.25">
      <c r="A7890" s="76" t="s">
        <v>3303</v>
      </c>
    </row>
    <row r="7891" spans="1:1" x14ac:dyDescent="0.25">
      <c r="A7891" s="76" t="s">
        <v>3304</v>
      </c>
    </row>
    <row r="7892" spans="1:1" x14ac:dyDescent="0.25">
      <c r="A7892" s="76" t="s">
        <v>3305</v>
      </c>
    </row>
    <row r="7893" spans="1:1" x14ac:dyDescent="0.25">
      <c r="A7893" s="76" t="s">
        <v>3306</v>
      </c>
    </row>
    <row r="7894" spans="1:1" x14ac:dyDescent="0.25">
      <c r="A7894" s="76" t="s">
        <v>3307</v>
      </c>
    </row>
    <row r="7895" spans="1:1" x14ac:dyDescent="0.25">
      <c r="A7895" s="76" t="s">
        <v>3308</v>
      </c>
    </row>
    <row r="7896" spans="1:1" x14ac:dyDescent="0.25">
      <c r="A7896" s="76" t="s">
        <v>3309</v>
      </c>
    </row>
    <row r="7897" spans="1:1" x14ac:dyDescent="0.25">
      <c r="A7897" s="76" t="s">
        <v>3310</v>
      </c>
    </row>
    <row r="7898" spans="1:1" x14ac:dyDescent="0.25">
      <c r="A7898" s="76" t="s">
        <v>3311</v>
      </c>
    </row>
    <row r="7899" spans="1:1" x14ac:dyDescent="0.25">
      <c r="A7899" s="76" t="s">
        <v>3312</v>
      </c>
    </row>
    <row r="7900" spans="1:1" x14ac:dyDescent="0.25">
      <c r="A7900" s="76" t="s">
        <v>3313</v>
      </c>
    </row>
    <row r="7901" spans="1:1" x14ac:dyDescent="0.25">
      <c r="A7901" s="76" t="s">
        <v>3314</v>
      </c>
    </row>
    <row r="7902" spans="1:1" x14ac:dyDescent="0.25">
      <c r="A7902" s="108" t="s">
        <v>3315</v>
      </c>
    </row>
    <row r="7903" spans="1:1" x14ac:dyDescent="0.25">
      <c r="A7903" s="76" t="s">
        <v>3316</v>
      </c>
    </row>
    <row r="7904" spans="1:1" x14ac:dyDescent="0.25">
      <c r="A7904" s="76" t="s">
        <v>3317</v>
      </c>
    </row>
    <row r="7905" spans="1:1" x14ac:dyDescent="0.25">
      <c r="A7905" s="76" t="s">
        <v>3318</v>
      </c>
    </row>
    <row r="7906" spans="1:1" x14ac:dyDescent="0.25">
      <c r="A7906" s="76" t="s">
        <v>3319</v>
      </c>
    </row>
    <row r="7907" spans="1:1" x14ac:dyDescent="0.25">
      <c r="A7907" s="108" t="s">
        <v>3320</v>
      </c>
    </row>
    <row r="7908" spans="1:1" x14ac:dyDescent="0.25">
      <c r="A7908" s="76" t="s">
        <v>3321</v>
      </c>
    </row>
    <row r="7909" spans="1:1" x14ac:dyDescent="0.25">
      <c r="A7909" s="76" t="s">
        <v>3322</v>
      </c>
    </row>
    <row r="7910" spans="1:1" x14ac:dyDescent="0.25">
      <c r="A7910" s="76" t="s">
        <v>3323</v>
      </c>
    </row>
    <row r="7911" spans="1:1" x14ac:dyDescent="0.25">
      <c r="A7911" s="76" t="s">
        <v>3324</v>
      </c>
    </row>
    <row r="7912" spans="1:1" x14ac:dyDescent="0.25">
      <c r="A7912" s="76" t="s">
        <v>3325</v>
      </c>
    </row>
    <row r="7913" spans="1:1" x14ac:dyDescent="0.25">
      <c r="A7913" s="76" t="s">
        <v>3326</v>
      </c>
    </row>
    <row r="7914" spans="1:1" x14ac:dyDescent="0.25">
      <c r="A7914" s="76" t="s">
        <v>3327</v>
      </c>
    </row>
    <row r="7915" spans="1:1" x14ac:dyDescent="0.25">
      <c r="A7915" s="76" t="s">
        <v>3328</v>
      </c>
    </row>
    <row r="7916" spans="1:1" x14ac:dyDescent="0.25">
      <c r="A7916" s="76" t="s">
        <v>3329</v>
      </c>
    </row>
    <row r="7917" spans="1:1" x14ac:dyDescent="0.25">
      <c r="A7917" s="76" t="s">
        <v>3330</v>
      </c>
    </row>
    <row r="7918" spans="1:1" x14ac:dyDescent="0.25">
      <c r="A7918" s="108" t="s">
        <v>3331</v>
      </c>
    </row>
    <row r="7919" spans="1:1" x14ac:dyDescent="0.25">
      <c r="A7919" s="76" t="s">
        <v>3332</v>
      </c>
    </row>
    <row r="7920" spans="1:1" x14ac:dyDescent="0.25">
      <c r="A7920" s="76" t="s">
        <v>3333</v>
      </c>
    </row>
    <row r="7921" spans="1:1" x14ac:dyDescent="0.25">
      <c r="A7921" s="76" t="s">
        <v>3334</v>
      </c>
    </row>
    <row r="7922" spans="1:1" x14ac:dyDescent="0.25">
      <c r="A7922" s="76" t="s">
        <v>3335</v>
      </c>
    </row>
    <row r="7923" spans="1:1" x14ac:dyDescent="0.25">
      <c r="A7923" s="108" t="s">
        <v>3336</v>
      </c>
    </row>
    <row r="7924" spans="1:1" x14ac:dyDescent="0.25">
      <c r="A7924" s="76" t="s">
        <v>3337</v>
      </c>
    </row>
    <row r="7925" spans="1:1" x14ac:dyDescent="0.25">
      <c r="A7925" s="76" t="s">
        <v>3338</v>
      </c>
    </row>
    <row r="7926" spans="1:1" x14ac:dyDescent="0.25">
      <c r="A7926" s="76" t="s">
        <v>3339</v>
      </c>
    </row>
    <row r="7927" spans="1:1" x14ac:dyDescent="0.25">
      <c r="A7927" s="76" t="s">
        <v>3340</v>
      </c>
    </row>
    <row r="7928" spans="1:1" x14ac:dyDescent="0.25">
      <c r="A7928" s="76" t="s">
        <v>3341</v>
      </c>
    </row>
    <row r="7929" spans="1:1" x14ac:dyDescent="0.25">
      <c r="A7929" s="76" t="s">
        <v>3342</v>
      </c>
    </row>
    <row r="7930" spans="1:1" x14ac:dyDescent="0.25">
      <c r="A7930" s="76" t="s">
        <v>3343</v>
      </c>
    </row>
    <row r="7931" spans="1:1" x14ac:dyDescent="0.25">
      <c r="A7931" s="76" t="s">
        <v>3344</v>
      </c>
    </row>
    <row r="7932" spans="1:1" x14ac:dyDescent="0.25">
      <c r="A7932" s="76" t="s">
        <v>3345</v>
      </c>
    </row>
    <row r="7933" spans="1:1" x14ac:dyDescent="0.25">
      <c r="A7933" s="76" t="s">
        <v>3346</v>
      </c>
    </row>
    <row r="7934" spans="1:1" x14ac:dyDescent="0.25">
      <c r="A7934" s="76" t="s">
        <v>3347</v>
      </c>
    </row>
    <row r="7935" spans="1:1" x14ac:dyDescent="0.25">
      <c r="A7935" s="76" t="s">
        <v>3348</v>
      </c>
    </row>
    <row r="7936" spans="1:1" x14ac:dyDescent="0.25">
      <c r="A7936" s="76" t="s">
        <v>3349</v>
      </c>
    </row>
    <row r="7937" spans="1:1" x14ac:dyDescent="0.25">
      <c r="A7937" s="76" t="s">
        <v>3350</v>
      </c>
    </row>
    <row r="7938" spans="1:1" x14ac:dyDescent="0.25">
      <c r="A7938" s="76" t="s">
        <v>3351</v>
      </c>
    </row>
    <row r="7939" spans="1:1" x14ac:dyDescent="0.25">
      <c r="A7939" s="76" t="s">
        <v>3352</v>
      </c>
    </row>
    <row r="7940" spans="1:1" x14ac:dyDescent="0.25">
      <c r="A7940" s="76" t="s">
        <v>3353</v>
      </c>
    </row>
    <row r="7941" spans="1:1" x14ac:dyDescent="0.25">
      <c r="A7941" s="76" t="s">
        <v>3354</v>
      </c>
    </row>
    <row r="7942" spans="1:1" x14ac:dyDescent="0.25">
      <c r="A7942" s="108" t="s">
        <v>3355</v>
      </c>
    </row>
    <row r="7943" spans="1:1" x14ac:dyDescent="0.25">
      <c r="A7943" s="76" t="s">
        <v>3356</v>
      </c>
    </row>
    <row r="7944" spans="1:1" x14ac:dyDescent="0.25">
      <c r="A7944" s="76" t="s">
        <v>3357</v>
      </c>
    </row>
    <row r="7945" spans="1:1" x14ac:dyDescent="0.25">
      <c r="A7945" s="76" t="s">
        <v>3358</v>
      </c>
    </row>
    <row r="7946" spans="1:1" x14ac:dyDescent="0.25">
      <c r="A7946" s="76" t="s">
        <v>3359</v>
      </c>
    </row>
    <row r="7947" spans="1:1" x14ac:dyDescent="0.25">
      <c r="A7947" s="76" t="s">
        <v>3360</v>
      </c>
    </row>
    <row r="7948" spans="1:1" x14ac:dyDescent="0.25">
      <c r="A7948" s="76" t="s">
        <v>3361</v>
      </c>
    </row>
    <row r="7949" spans="1:1" x14ac:dyDescent="0.25">
      <c r="A7949" s="76" t="s">
        <v>3362</v>
      </c>
    </row>
    <row r="7950" spans="1:1" x14ac:dyDescent="0.25">
      <c r="A7950" s="76" t="s">
        <v>3363</v>
      </c>
    </row>
    <row r="7951" spans="1:1" x14ac:dyDescent="0.25">
      <c r="A7951" s="76" t="s">
        <v>3364</v>
      </c>
    </row>
    <row r="7952" spans="1:1" x14ac:dyDescent="0.25">
      <c r="A7952" s="108" t="s">
        <v>3365</v>
      </c>
    </row>
    <row r="7953" spans="1:1" x14ac:dyDescent="0.25">
      <c r="A7953" s="108" t="s">
        <v>3366</v>
      </c>
    </row>
    <row r="7954" spans="1:1" x14ac:dyDescent="0.25">
      <c r="A7954" s="76" t="s">
        <v>3367</v>
      </c>
    </row>
    <row r="7955" spans="1:1" x14ac:dyDescent="0.25">
      <c r="A7955" s="29" t="s">
        <v>3368</v>
      </c>
    </row>
    <row r="7956" spans="1:1" x14ac:dyDescent="0.25">
      <c r="A7956" s="76" t="s">
        <v>3369</v>
      </c>
    </row>
    <row r="7957" spans="1:1" x14ac:dyDescent="0.25">
      <c r="A7957" s="76" t="s">
        <v>3370</v>
      </c>
    </row>
    <row r="7958" spans="1:1" x14ac:dyDescent="0.25">
      <c r="A7958" s="76" t="s">
        <v>3371</v>
      </c>
    </row>
    <row r="7959" spans="1:1" x14ac:dyDescent="0.25">
      <c r="A7959" s="108" t="s">
        <v>3372</v>
      </c>
    </row>
    <row r="7960" spans="1:1" x14ac:dyDescent="0.25">
      <c r="A7960" s="108" t="s">
        <v>3373</v>
      </c>
    </row>
    <row r="7961" spans="1:1" x14ac:dyDescent="0.25">
      <c r="A7961" s="76" t="s">
        <v>3374</v>
      </c>
    </row>
    <row r="7962" spans="1:1" x14ac:dyDescent="0.25">
      <c r="A7962" s="29" t="s">
        <v>3375</v>
      </c>
    </row>
    <row r="7963" spans="1:1" x14ac:dyDescent="0.25">
      <c r="A7963" s="76" t="s">
        <v>3376</v>
      </c>
    </row>
    <row r="7964" spans="1:1" x14ac:dyDescent="0.25">
      <c r="A7964" s="76" t="s">
        <v>3377</v>
      </c>
    </row>
    <row r="7965" spans="1:1" x14ac:dyDescent="0.25">
      <c r="A7965" s="76" t="s">
        <v>3378</v>
      </c>
    </row>
    <row r="7966" spans="1:1" x14ac:dyDescent="0.25">
      <c r="A7966" s="108" t="s">
        <v>3379</v>
      </c>
    </row>
    <row r="7967" spans="1:1" x14ac:dyDescent="0.25">
      <c r="A7967" s="108" t="s">
        <v>3380</v>
      </c>
    </row>
    <row r="7968" spans="1:1" x14ac:dyDescent="0.25">
      <c r="A7968" s="76" t="s">
        <v>3381</v>
      </c>
    </row>
    <row r="7969" spans="1:1" x14ac:dyDescent="0.25">
      <c r="A7969" s="29" t="s">
        <v>3382</v>
      </c>
    </row>
    <row r="7970" spans="1:1" x14ac:dyDescent="0.25">
      <c r="A7970" s="76" t="s">
        <v>3383</v>
      </c>
    </row>
    <row r="7971" spans="1:1" x14ac:dyDescent="0.25">
      <c r="A7971" s="76" t="s">
        <v>3384</v>
      </c>
    </row>
    <row r="7972" spans="1:1" x14ac:dyDescent="0.25">
      <c r="A7972" s="76" t="s">
        <v>3385</v>
      </c>
    </row>
    <row r="7973" spans="1:1" x14ac:dyDescent="0.25">
      <c r="A7973" s="108" t="s">
        <v>3386</v>
      </c>
    </row>
    <row r="7974" spans="1:1" x14ac:dyDescent="0.25">
      <c r="A7974" s="108" t="s">
        <v>3387</v>
      </c>
    </row>
    <row r="7975" spans="1:1" x14ac:dyDescent="0.25">
      <c r="A7975" s="76" t="s">
        <v>3388</v>
      </c>
    </row>
    <row r="7976" spans="1:1" x14ac:dyDescent="0.25">
      <c r="A7976" s="29" t="s">
        <v>3389</v>
      </c>
    </row>
    <row r="7977" spans="1:1" x14ac:dyDescent="0.25">
      <c r="A7977" s="76" t="s">
        <v>3390</v>
      </c>
    </row>
    <row r="7978" spans="1:1" x14ac:dyDescent="0.25">
      <c r="A7978" s="76" t="s">
        <v>3391</v>
      </c>
    </row>
    <row r="7979" spans="1:1" x14ac:dyDescent="0.25">
      <c r="A7979" s="76" t="s">
        <v>3392</v>
      </c>
    </row>
    <row r="7980" spans="1:1" x14ac:dyDescent="0.25">
      <c r="A7980" s="76" t="s">
        <v>3393</v>
      </c>
    </row>
    <row r="7981" spans="1:1" x14ac:dyDescent="0.25">
      <c r="A7981" s="76" t="s">
        <v>3394</v>
      </c>
    </row>
    <row r="7982" spans="1:1" x14ac:dyDescent="0.25">
      <c r="A7982" s="76" t="s">
        <v>3395</v>
      </c>
    </row>
    <row r="7983" spans="1:1" x14ac:dyDescent="0.25">
      <c r="A7983" s="108" t="s">
        <v>3396</v>
      </c>
    </row>
    <row r="7984" spans="1:1" x14ac:dyDescent="0.25">
      <c r="A7984" s="76" t="s">
        <v>3397</v>
      </c>
    </row>
    <row r="7985" spans="1:1" x14ac:dyDescent="0.25">
      <c r="A7985" s="76" t="s">
        <v>3398</v>
      </c>
    </row>
    <row r="7986" spans="1:1" x14ac:dyDescent="0.25">
      <c r="A7986" s="76" t="s">
        <v>3399</v>
      </c>
    </row>
    <row r="7987" spans="1:1" x14ac:dyDescent="0.25">
      <c r="A7987" s="76" t="s">
        <v>3400</v>
      </c>
    </row>
    <row r="7988" spans="1:1" x14ac:dyDescent="0.25">
      <c r="A7988" s="76" t="s">
        <v>3401</v>
      </c>
    </row>
    <row r="7989" spans="1:1" x14ac:dyDescent="0.25">
      <c r="A7989" s="76" t="s">
        <v>3402</v>
      </c>
    </row>
    <row r="7990" spans="1:1" x14ac:dyDescent="0.25">
      <c r="A7990" s="76" t="s">
        <v>3403</v>
      </c>
    </row>
    <row r="7991" spans="1:1" x14ac:dyDescent="0.25">
      <c r="A7991" s="76" t="s">
        <v>3404</v>
      </c>
    </row>
    <row r="7992" spans="1:1" x14ac:dyDescent="0.25">
      <c r="A7992" s="76" t="s">
        <v>3405</v>
      </c>
    </row>
    <row r="7993" spans="1:1" x14ac:dyDescent="0.25">
      <c r="A7993" s="76" t="s">
        <v>3406</v>
      </c>
    </row>
    <row r="7994" spans="1:1" x14ac:dyDescent="0.25">
      <c r="A7994" s="76" t="s">
        <v>3407</v>
      </c>
    </row>
    <row r="7995" spans="1:1" x14ac:dyDescent="0.25">
      <c r="A7995" s="76" t="s">
        <v>3408</v>
      </c>
    </row>
    <row r="7996" spans="1:1" x14ac:dyDescent="0.25">
      <c r="A7996" s="76" t="s">
        <v>3409</v>
      </c>
    </row>
    <row r="7997" spans="1:1" x14ac:dyDescent="0.25">
      <c r="A7997" s="76" t="s">
        <v>3410</v>
      </c>
    </row>
    <row r="7998" spans="1:1" x14ac:dyDescent="0.25">
      <c r="A7998" s="76" t="s">
        <v>3411</v>
      </c>
    </row>
    <row r="7999" spans="1:1" x14ac:dyDescent="0.25">
      <c r="A7999" s="76" t="s">
        <v>3412</v>
      </c>
    </row>
    <row r="8000" spans="1:1" x14ac:dyDescent="0.25">
      <c r="A8000" s="76" t="s">
        <v>3413</v>
      </c>
    </row>
    <row r="8001" spans="1:1" x14ac:dyDescent="0.25">
      <c r="A8001" s="76" t="s">
        <v>3414</v>
      </c>
    </row>
    <row r="8002" spans="1:1" x14ac:dyDescent="0.25">
      <c r="A8002" s="108" t="s">
        <v>3415</v>
      </c>
    </row>
    <row r="8003" spans="1:1" x14ac:dyDescent="0.25">
      <c r="A8003" s="76" t="s">
        <v>3416</v>
      </c>
    </row>
    <row r="8004" spans="1:1" x14ac:dyDescent="0.25">
      <c r="A8004" s="76" t="s">
        <v>3417</v>
      </c>
    </row>
    <row r="8005" spans="1:1" x14ac:dyDescent="0.25">
      <c r="A8005" s="76" t="s">
        <v>3418</v>
      </c>
    </row>
    <row r="8006" spans="1:1" x14ac:dyDescent="0.25">
      <c r="A8006" s="76" t="s">
        <v>3419</v>
      </c>
    </row>
    <row r="8007" spans="1:1" x14ac:dyDescent="0.25">
      <c r="A8007" s="76" t="s">
        <v>3420</v>
      </c>
    </row>
    <row r="8008" spans="1:1" x14ac:dyDescent="0.25">
      <c r="A8008" s="76" t="s">
        <v>3421</v>
      </c>
    </row>
    <row r="8009" spans="1:1" x14ac:dyDescent="0.25">
      <c r="A8009" s="76" t="s">
        <v>3422</v>
      </c>
    </row>
    <row r="8010" spans="1:1" x14ac:dyDescent="0.25">
      <c r="A8010" s="76" t="s">
        <v>3423</v>
      </c>
    </row>
    <row r="8011" spans="1:1" x14ac:dyDescent="0.25">
      <c r="A8011" s="76" t="s">
        <v>3424</v>
      </c>
    </row>
    <row r="8012" spans="1:1" x14ac:dyDescent="0.25">
      <c r="A8012" s="76" t="s">
        <v>3425</v>
      </c>
    </row>
    <row r="8013" spans="1:1" x14ac:dyDescent="0.25">
      <c r="A8013" s="76" t="s">
        <v>3426</v>
      </c>
    </row>
    <row r="8014" spans="1:1" x14ac:dyDescent="0.25">
      <c r="A8014" s="76" t="s">
        <v>3427</v>
      </c>
    </row>
    <row r="8015" spans="1:1" x14ac:dyDescent="0.25">
      <c r="A8015" s="76" t="s">
        <v>3428</v>
      </c>
    </row>
    <row r="8016" spans="1:1" x14ac:dyDescent="0.25">
      <c r="A8016" s="108" t="s">
        <v>3429</v>
      </c>
    </row>
    <row r="8017" spans="1:1" x14ac:dyDescent="0.25">
      <c r="A8017" s="76" t="s">
        <v>3430</v>
      </c>
    </row>
    <row r="8018" spans="1:1" x14ac:dyDescent="0.25">
      <c r="A8018" s="76" t="s">
        <v>3431</v>
      </c>
    </row>
    <row r="8019" spans="1:1" x14ac:dyDescent="0.25">
      <c r="A8019" s="76" t="s">
        <v>3432</v>
      </c>
    </row>
    <row r="8020" spans="1:1" x14ac:dyDescent="0.25">
      <c r="A8020" s="76" t="s">
        <v>3433</v>
      </c>
    </row>
    <row r="8021" spans="1:1" x14ac:dyDescent="0.25">
      <c r="A8021" s="76" t="s">
        <v>3434</v>
      </c>
    </row>
    <row r="8022" spans="1:1" x14ac:dyDescent="0.25">
      <c r="A8022" s="76" t="s">
        <v>3435</v>
      </c>
    </row>
    <row r="8023" spans="1:1" x14ac:dyDescent="0.25">
      <c r="A8023" s="76" t="s">
        <v>3436</v>
      </c>
    </row>
    <row r="8024" spans="1:1" x14ac:dyDescent="0.25">
      <c r="A8024" s="76" t="s">
        <v>3437</v>
      </c>
    </row>
    <row r="8025" spans="1:1" x14ac:dyDescent="0.25">
      <c r="A8025" s="76" t="s">
        <v>3438</v>
      </c>
    </row>
    <row r="8026" spans="1:1" x14ac:dyDescent="0.25">
      <c r="A8026" s="76" t="s">
        <v>3439</v>
      </c>
    </row>
    <row r="8027" spans="1:1" x14ac:dyDescent="0.25">
      <c r="A8027" s="76" t="s">
        <v>3440</v>
      </c>
    </row>
    <row r="8028" spans="1:1" x14ac:dyDescent="0.25">
      <c r="A8028" s="76" t="s">
        <v>3441</v>
      </c>
    </row>
    <row r="8029" spans="1:1" x14ac:dyDescent="0.25">
      <c r="A8029" s="76" t="s">
        <v>3442</v>
      </c>
    </row>
    <row r="8030" spans="1:1" x14ac:dyDescent="0.25">
      <c r="A8030" s="76" t="s">
        <v>3443</v>
      </c>
    </row>
    <row r="8031" spans="1:1" x14ac:dyDescent="0.25">
      <c r="A8031" s="108" t="s">
        <v>3444</v>
      </c>
    </row>
    <row r="8032" spans="1:1" x14ac:dyDescent="0.25">
      <c r="A8032" s="76" t="s">
        <v>3445</v>
      </c>
    </row>
    <row r="8033" spans="1:1" x14ac:dyDescent="0.25">
      <c r="A8033" s="76" t="s">
        <v>3446</v>
      </c>
    </row>
    <row r="8034" spans="1:1" x14ac:dyDescent="0.25">
      <c r="A8034" s="76" t="s">
        <v>3447</v>
      </c>
    </row>
    <row r="8035" spans="1:1" x14ac:dyDescent="0.25">
      <c r="A8035" s="76" t="s">
        <v>3448</v>
      </c>
    </row>
    <row r="8036" spans="1:1" x14ac:dyDescent="0.25">
      <c r="A8036" s="76" t="s">
        <v>3449</v>
      </c>
    </row>
    <row r="8037" spans="1:1" x14ac:dyDescent="0.25">
      <c r="A8037" s="76" t="s">
        <v>3450</v>
      </c>
    </row>
    <row r="8038" spans="1:1" x14ac:dyDescent="0.25">
      <c r="A8038" s="76" t="s">
        <v>3451</v>
      </c>
    </row>
    <row r="8039" spans="1:1" x14ac:dyDescent="0.25">
      <c r="A8039" s="76" t="s">
        <v>3452</v>
      </c>
    </row>
    <row r="8040" spans="1:1" x14ac:dyDescent="0.25">
      <c r="A8040" s="108" t="s">
        <v>3453</v>
      </c>
    </row>
    <row r="8041" spans="1:1" x14ac:dyDescent="0.25">
      <c r="A8041" s="76" t="s">
        <v>3454</v>
      </c>
    </row>
    <row r="8042" spans="1:1" x14ac:dyDescent="0.25">
      <c r="A8042" s="76" t="s">
        <v>3455</v>
      </c>
    </row>
    <row r="8043" spans="1:1" x14ac:dyDescent="0.25">
      <c r="A8043" s="76" t="s">
        <v>3456</v>
      </c>
    </row>
    <row r="8044" spans="1:1" x14ac:dyDescent="0.25">
      <c r="A8044" s="76" t="s">
        <v>3457</v>
      </c>
    </row>
    <row r="8045" spans="1:1" x14ac:dyDescent="0.25">
      <c r="A8045" s="76" t="s">
        <v>3458</v>
      </c>
    </row>
    <row r="8046" spans="1:1" x14ac:dyDescent="0.25">
      <c r="A8046" s="76" t="s">
        <v>3459</v>
      </c>
    </row>
    <row r="8047" spans="1:1" x14ac:dyDescent="0.25">
      <c r="A8047" s="76" t="s">
        <v>3460</v>
      </c>
    </row>
    <row r="8048" spans="1:1" x14ac:dyDescent="0.25">
      <c r="A8048" s="76" t="s">
        <v>3461</v>
      </c>
    </row>
    <row r="8049" spans="1:1" x14ac:dyDescent="0.25">
      <c r="A8049" s="76" t="s">
        <v>3462</v>
      </c>
    </row>
    <row r="8050" spans="1:1" x14ac:dyDescent="0.25">
      <c r="A8050" s="108" t="s">
        <v>3463</v>
      </c>
    </row>
    <row r="8051" spans="1:1" x14ac:dyDescent="0.25">
      <c r="A8051" s="76" t="s">
        <v>3464</v>
      </c>
    </row>
    <row r="8052" spans="1:1" x14ac:dyDescent="0.25">
      <c r="A8052" s="76" t="s">
        <v>3465</v>
      </c>
    </row>
    <row r="8053" spans="1:1" x14ac:dyDescent="0.25">
      <c r="A8053" s="76" t="s">
        <v>3466</v>
      </c>
    </row>
    <row r="8054" spans="1:1" x14ac:dyDescent="0.25">
      <c r="A8054" s="76" t="s">
        <v>3467</v>
      </c>
    </row>
    <row r="8055" spans="1:1" x14ac:dyDescent="0.25">
      <c r="A8055" s="76" t="s">
        <v>3468</v>
      </c>
    </row>
    <row r="8056" spans="1:1" x14ac:dyDescent="0.25">
      <c r="A8056" s="108" t="s">
        <v>3469</v>
      </c>
    </row>
    <row r="8057" spans="1:1" x14ac:dyDescent="0.25">
      <c r="A8057" s="108" t="s">
        <v>3470</v>
      </c>
    </row>
    <row r="8058" spans="1:1" x14ac:dyDescent="0.25">
      <c r="A8058" s="76" t="s">
        <v>3471</v>
      </c>
    </row>
    <row r="8059" spans="1:1" x14ac:dyDescent="0.25">
      <c r="A8059" s="29" t="s">
        <v>3472</v>
      </c>
    </row>
    <row r="8060" spans="1:1" x14ac:dyDescent="0.25">
      <c r="A8060" s="76" t="s">
        <v>3473</v>
      </c>
    </row>
    <row r="8061" spans="1:1" x14ac:dyDescent="0.25">
      <c r="A8061" s="76" t="s">
        <v>3474</v>
      </c>
    </row>
    <row r="8062" spans="1:1" x14ac:dyDescent="0.25">
      <c r="A8062" s="76" t="s">
        <v>3475</v>
      </c>
    </row>
    <row r="8063" spans="1:1" x14ac:dyDescent="0.25">
      <c r="A8063" s="108" t="s">
        <v>3476</v>
      </c>
    </row>
    <row r="8064" spans="1:1" x14ac:dyDescent="0.25">
      <c r="A8064" s="108" t="s">
        <v>3477</v>
      </c>
    </row>
    <row r="8065" spans="1:1" x14ac:dyDescent="0.25">
      <c r="A8065" s="76" t="s">
        <v>3478</v>
      </c>
    </row>
    <row r="8066" spans="1:1" x14ac:dyDescent="0.25">
      <c r="A8066" s="29" t="s">
        <v>3479</v>
      </c>
    </row>
    <row r="8067" spans="1:1" x14ac:dyDescent="0.25">
      <c r="A8067" s="76" t="s">
        <v>3480</v>
      </c>
    </row>
    <row r="8068" spans="1:1" x14ac:dyDescent="0.25">
      <c r="A8068" s="76" t="s">
        <v>3481</v>
      </c>
    </row>
    <row r="8069" spans="1:1" x14ac:dyDescent="0.25">
      <c r="A8069" s="76" t="s">
        <v>3482</v>
      </c>
    </row>
    <row r="8070" spans="1:1" x14ac:dyDescent="0.25">
      <c r="A8070" s="108" t="s">
        <v>3483</v>
      </c>
    </row>
    <row r="8071" spans="1:1" x14ac:dyDescent="0.25">
      <c r="A8071" s="108" t="s">
        <v>3484</v>
      </c>
    </row>
    <row r="8072" spans="1:1" x14ac:dyDescent="0.25">
      <c r="A8072" s="76" t="s">
        <v>3485</v>
      </c>
    </row>
    <row r="8073" spans="1:1" x14ac:dyDescent="0.25">
      <c r="A8073" s="29" t="s">
        <v>3486</v>
      </c>
    </row>
    <row r="8074" spans="1:1" x14ac:dyDescent="0.25">
      <c r="A8074" s="76" t="s">
        <v>3487</v>
      </c>
    </row>
    <row r="8075" spans="1:1" x14ac:dyDescent="0.25">
      <c r="A8075" s="76" t="s">
        <v>3488</v>
      </c>
    </row>
    <row r="8076" spans="1:1" x14ac:dyDescent="0.25">
      <c r="A8076" s="76" t="s">
        <v>3489</v>
      </c>
    </row>
    <row r="8077" spans="1:1" x14ac:dyDescent="0.25">
      <c r="A8077" s="108" t="s">
        <v>3490</v>
      </c>
    </row>
    <row r="8078" spans="1:1" x14ac:dyDescent="0.25">
      <c r="A8078" s="108" t="s">
        <v>3491</v>
      </c>
    </row>
    <row r="8079" spans="1:1" x14ac:dyDescent="0.25">
      <c r="A8079" s="76" t="s">
        <v>3492</v>
      </c>
    </row>
    <row r="8080" spans="1:1" x14ac:dyDescent="0.25">
      <c r="A8080" s="29" t="s">
        <v>3493</v>
      </c>
    </row>
    <row r="8081" spans="1:1" x14ac:dyDescent="0.25">
      <c r="A8081" s="76" t="s">
        <v>3494</v>
      </c>
    </row>
    <row r="8082" spans="1:1" x14ac:dyDescent="0.25">
      <c r="A8082" s="76" t="s">
        <v>3495</v>
      </c>
    </row>
    <row r="8083" spans="1:1" x14ac:dyDescent="0.25">
      <c r="A8083" s="76" t="s">
        <v>3496</v>
      </c>
    </row>
    <row r="8084" spans="1:1" x14ac:dyDescent="0.25">
      <c r="A8084" s="108" t="s">
        <v>3497</v>
      </c>
    </row>
    <row r="8085" spans="1:1" x14ac:dyDescent="0.25">
      <c r="A8085" s="108" t="s">
        <v>3498</v>
      </c>
    </row>
    <row r="8086" spans="1:1" x14ac:dyDescent="0.25">
      <c r="A8086" s="76" t="s">
        <v>3499</v>
      </c>
    </row>
    <row r="8087" spans="1:1" x14ac:dyDescent="0.25">
      <c r="A8087" s="29" t="s">
        <v>3500</v>
      </c>
    </row>
    <row r="8088" spans="1:1" x14ac:dyDescent="0.25">
      <c r="A8088" s="76" t="s">
        <v>3501</v>
      </c>
    </row>
    <row r="8089" spans="1:1" x14ac:dyDescent="0.25">
      <c r="A8089" s="76" t="s">
        <v>3502</v>
      </c>
    </row>
    <row r="8090" spans="1:1" x14ac:dyDescent="0.25">
      <c r="A8090" s="76" t="s">
        <v>3503</v>
      </c>
    </row>
    <row r="8091" spans="1:1" x14ac:dyDescent="0.25">
      <c r="A8091" s="108" t="s">
        <v>3504</v>
      </c>
    </row>
    <row r="8092" spans="1:1" x14ac:dyDescent="0.25">
      <c r="A8092" s="108" t="s">
        <v>3505</v>
      </c>
    </row>
    <row r="8093" spans="1:1" x14ac:dyDescent="0.25">
      <c r="A8093" s="76" t="s">
        <v>3506</v>
      </c>
    </row>
    <row r="8094" spans="1:1" x14ac:dyDescent="0.25">
      <c r="A8094" s="29" t="s">
        <v>3507</v>
      </c>
    </row>
    <row r="8095" spans="1:1" x14ac:dyDescent="0.25">
      <c r="A8095" s="108" t="s">
        <v>3508</v>
      </c>
    </row>
    <row r="8096" spans="1:1" x14ac:dyDescent="0.25">
      <c r="A8096" s="76" t="s">
        <v>3509</v>
      </c>
    </row>
    <row r="8097" spans="1:1" x14ac:dyDescent="0.25">
      <c r="A8097" s="76" t="s">
        <v>3510</v>
      </c>
    </row>
    <row r="8098" spans="1:1" x14ac:dyDescent="0.25">
      <c r="A8098" s="76" t="s">
        <v>3511</v>
      </c>
    </row>
    <row r="8099" spans="1:1" x14ac:dyDescent="0.25">
      <c r="A8099" s="76" t="s">
        <v>3512</v>
      </c>
    </row>
    <row r="8100" spans="1:1" x14ac:dyDescent="0.25">
      <c r="A8100" s="76" t="s">
        <v>3513</v>
      </c>
    </row>
    <row r="8101" spans="1:1" x14ac:dyDescent="0.25">
      <c r="A8101" s="108" t="s">
        <v>3514</v>
      </c>
    </row>
    <row r="8102" spans="1:1" x14ac:dyDescent="0.25">
      <c r="A8102" s="76" t="s">
        <v>3515</v>
      </c>
    </row>
    <row r="8103" spans="1:1" x14ac:dyDescent="0.25">
      <c r="A8103" s="76" t="s">
        <v>3516</v>
      </c>
    </row>
    <row r="8104" spans="1:1" x14ac:dyDescent="0.25">
      <c r="A8104" s="76" t="s">
        <v>3517</v>
      </c>
    </row>
    <row r="8105" spans="1:1" x14ac:dyDescent="0.25">
      <c r="A8105" s="76" t="s">
        <v>3518</v>
      </c>
    </row>
    <row r="8106" spans="1:1" x14ac:dyDescent="0.25">
      <c r="A8106" s="76" t="s">
        <v>3519</v>
      </c>
    </row>
    <row r="8107" spans="1:1" x14ac:dyDescent="0.25">
      <c r="A8107" s="76" t="s">
        <v>3520</v>
      </c>
    </row>
    <row r="8108" spans="1:1" x14ac:dyDescent="0.25">
      <c r="A8108" s="76" t="s">
        <v>3521</v>
      </c>
    </row>
    <row r="8109" spans="1:1" x14ac:dyDescent="0.25">
      <c r="A8109" s="76" t="s">
        <v>3522</v>
      </c>
    </row>
    <row r="8110" spans="1:1" x14ac:dyDescent="0.25">
      <c r="A8110" s="76" t="s">
        <v>3523</v>
      </c>
    </row>
    <row r="8111" spans="1:1" x14ac:dyDescent="0.25">
      <c r="A8111" s="76" t="s">
        <v>3524</v>
      </c>
    </row>
    <row r="8112" spans="1:1" x14ac:dyDescent="0.25">
      <c r="A8112" s="76" t="s">
        <v>3525</v>
      </c>
    </row>
    <row r="8113" spans="1:1" x14ac:dyDescent="0.25">
      <c r="A8113" s="76" t="s">
        <v>3526</v>
      </c>
    </row>
    <row r="8114" spans="1:1" x14ac:dyDescent="0.25">
      <c r="A8114" s="76" t="s">
        <v>3527</v>
      </c>
    </row>
    <row r="8115" spans="1:1" x14ac:dyDescent="0.25">
      <c r="A8115" s="76" t="s">
        <v>3528</v>
      </c>
    </row>
    <row r="8116" spans="1:1" x14ac:dyDescent="0.25">
      <c r="A8116" s="76" t="s">
        <v>3529</v>
      </c>
    </row>
    <row r="8117" spans="1:1" x14ac:dyDescent="0.25">
      <c r="A8117" s="108" t="s">
        <v>3530</v>
      </c>
    </row>
    <row r="8118" spans="1:1" x14ac:dyDescent="0.25">
      <c r="A8118" s="76" t="s">
        <v>3531</v>
      </c>
    </row>
    <row r="8119" spans="1:1" x14ac:dyDescent="0.25">
      <c r="A8119" s="76" t="s">
        <v>3532</v>
      </c>
    </row>
    <row r="8120" spans="1:1" x14ac:dyDescent="0.25">
      <c r="A8120" s="76" t="s">
        <v>3533</v>
      </c>
    </row>
    <row r="8121" spans="1:1" x14ac:dyDescent="0.25">
      <c r="A8121" s="76" t="s">
        <v>3534</v>
      </c>
    </row>
    <row r="8122" spans="1:1" x14ac:dyDescent="0.25">
      <c r="A8122" s="76" t="s">
        <v>3535</v>
      </c>
    </row>
    <row r="8123" spans="1:1" x14ac:dyDescent="0.25">
      <c r="A8123" s="76" t="s">
        <v>3536</v>
      </c>
    </row>
    <row r="8124" spans="1:1" x14ac:dyDescent="0.25">
      <c r="A8124" s="76" t="s">
        <v>3537</v>
      </c>
    </row>
    <row r="8125" spans="1:1" x14ac:dyDescent="0.25">
      <c r="A8125" s="76" t="s">
        <v>3538</v>
      </c>
    </row>
    <row r="8126" spans="1:1" x14ac:dyDescent="0.25">
      <c r="A8126" s="76" t="s">
        <v>3539</v>
      </c>
    </row>
    <row r="8127" spans="1:1" x14ac:dyDescent="0.25">
      <c r="A8127" s="76" t="s">
        <v>3540</v>
      </c>
    </row>
    <row r="8128" spans="1:1" x14ac:dyDescent="0.25">
      <c r="A8128" s="76" t="s">
        <v>3541</v>
      </c>
    </row>
    <row r="8129" spans="1:1" x14ac:dyDescent="0.25">
      <c r="A8129" s="76" t="s">
        <v>3542</v>
      </c>
    </row>
    <row r="8130" spans="1:1" x14ac:dyDescent="0.25">
      <c r="A8130" s="108" t="s">
        <v>3543</v>
      </c>
    </row>
    <row r="8131" spans="1:1" x14ac:dyDescent="0.25">
      <c r="A8131" s="76" t="s">
        <v>3544</v>
      </c>
    </row>
    <row r="8132" spans="1:1" x14ac:dyDescent="0.25">
      <c r="A8132" s="76" t="s">
        <v>3545</v>
      </c>
    </row>
    <row r="8133" spans="1:1" x14ac:dyDescent="0.25">
      <c r="A8133" s="76" t="s">
        <v>3546</v>
      </c>
    </row>
    <row r="8134" spans="1:1" x14ac:dyDescent="0.25">
      <c r="A8134" s="76" t="s">
        <v>3547</v>
      </c>
    </row>
    <row r="8135" spans="1:1" x14ac:dyDescent="0.25">
      <c r="A8135" s="76" t="s">
        <v>3548</v>
      </c>
    </row>
    <row r="8136" spans="1:1" x14ac:dyDescent="0.25">
      <c r="A8136" s="76" t="s">
        <v>3549</v>
      </c>
    </row>
    <row r="8137" spans="1:1" x14ac:dyDescent="0.25">
      <c r="A8137" s="76" t="s">
        <v>3550</v>
      </c>
    </row>
    <row r="8138" spans="1:1" x14ac:dyDescent="0.25">
      <c r="A8138" s="76" t="s">
        <v>3551</v>
      </c>
    </row>
    <row r="8139" spans="1:1" x14ac:dyDescent="0.25">
      <c r="A8139" s="76" t="s">
        <v>3552</v>
      </c>
    </row>
    <row r="8140" spans="1:1" x14ac:dyDescent="0.25">
      <c r="A8140" s="76" t="s">
        <v>3553</v>
      </c>
    </row>
    <row r="8141" spans="1:1" x14ac:dyDescent="0.25">
      <c r="A8141" s="76" t="s">
        <v>3554</v>
      </c>
    </row>
    <row r="8142" spans="1:1" x14ac:dyDescent="0.25">
      <c r="A8142" s="108" t="s">
        <v>3555</v>
      </c>
    </row>
    <row r="8143" spans="1:1" x14ac:dyDescent="0.25">
      <c r="A8143" s="76" t="s">
        <v>3556</v>
      </c>
    </row>
    <row r="8144" spans="1:1" x14ac:dyDescent="0.25">
      <c r="A8144" s="76" t="s">
        <v>3557</v>
      </c>
    </row>
    <row r="8145" spans="1:1" x14ac:dyDescent="0.25">
      <c r="A8145" s="76" t="s">
        <v>3558</v>
      </c>
    </row>
    <row r="8146" spans="1:1" x14ac:dyDescent="0.25">
      <c r="A8146" s="76" t="s">
        <v>3559</v>
      </c>
    </row>
    <row r="8147" spans="1:1" x14ac:dyDescent="0.25">
      <c r="A8147" s="76" t="s">
        <v>3560</v>
      </c>
    </row>
    <row r="8148" spans="1:1" x14ac:dyDescent="0.25">
      <c r="A8148" s="76" t="s">
        <v>3561</v>
      </c>
    </row>
    <row r="8149" spans="1:1" x14ac:dyDescent="0.25">
      <c r="A8149" s="76" t="s">
        <v>3562</v>
      </c>
    </row>
    <row r="8150" spans="1:1" x14ac:dyDescent="0.25">
      <c r="A8150" s="76" t="s">
        <v>3563</v>
      </c>
    </row>
    <row r="8151" spans="1:1" x14ac:dyDescent="0.25">
      <c r="A8151" s="76" t="s">
        <v>3564</v>
      </c>
    </row>
    <row r="8152" spans="1:1" x14ac:dyDescent="0.25">
      <c r="A8152" s="76" t="s">
        <v>3565</v>
      </c>
    </row>
    <row r="8153" spans="1:1" x14ac:dyDescent="0.25">
      <c r="A8153" s="76" t="s">
        <v>3566</v>
      </c>
    </row>
    <row r="8154" spans="1:1" x14ac:dyDescent="0.25">
      <c r="A8154" s="76" t="s">
        <v>3567</v>
      </c>
    </row>
    <row r="8155" spans="1:1" x14ac:dyDescent="0.25">
      <c r="A8155" s="76" t="s">
        <v>3568</v>
      </c>
    </row>
    <row r="8156" spans="1:1" x14ac:dyDescent="0.25">
      <c r="A8156" s="76" t="s">
        <v>3569</v>
      </c>
    </row>
    <row r="8157" spans="1:1" x14ac:dyDescent="0.25">
      <c r="A8157" s="76" t="s">
        <v>3570</v>
      </c>
    </row>
    <row r="8158" spans="1:1" x14ac:dyDescent="0.25">
      <c r="A8158" s="108" t="s">
        <v>3571</v>
      </c>
    </row>
    <row r="8159" spans="1:1" x14ac:dyDescent="0.25">
      <c r="A8159" s="76" t="s">
        <v>3572</v>
      </c>
    </row>
    <row r="8160" spans="1:1" x14ac:dyDescent="0.25">
      <c r="A8160" s="76" t="s">
        <v>3573</v>
      </c>
    </row>
    <row r="8161" spans="1:1" x14ac:dyDescent="0.25">
      <c r="A8161" s="76" t="s">
        <v>3574</v>
      </c>
    </row>
    <row r="8162" spans="1:1" x14ac:dyDescent="0.25">
      <c r="A8162" s="76" t="s">
        <v>3575</v>
      </c>
    </row>
    <row r="8163" spans="1:1" x14ac:dyDescent="0.25">
      <c r="A8163" s="76" t="s">
        <v>3576</v>
      </c>
    </row>
    <row r="8164" spans="1:1" x14ac:dyDescent="0.25">
      <c r="A8164" s="76" t="s">
        <v>3577</v>
      </c>
    </row>
    <row r="8165" spans="1:1" x14ac:dyDescent="0.25">
      <c r="A8165" s="108" t="s">
        <v>3578</v>
      </c>
    </row>
    <row r="8166" spans="1:1" x14ac:dyDescent="0.25">
      <c r="A8166" s="108" t="s">
        <v>3579</v>
      </c>
    </row>
    <row r="8167" spans="1:1" x14ac:dyDescent="0.25">
      <c r="A8167" s="76" t="s">
        <v>3580</v>
      </c>
    </row>
    <row r="8168" spans="1:1" x14ac:dyDescent="0.25">
      <c r="A8168" s="29" t="s">
        <v>3581</v>
      </c>
    </row>
    <row r="8169" spans="1:1" x14ac:dyDescent="0.25">
      <c r="A8169" s="76" t="s">
        <v>3582</v>
      </c>
    </row>
    <row r="8170" spans="1:1" x14ac:dyDescent="0.25">
      <c r="A8170" s="76" t="s">
        <v>3583</v>
      </c>
    </row>
    <row r="8171" spans="1:1" x14ac:dyDescent="0.25">
      <c r="A8171" s="76" t="s">
        <v>3584</v>
      </c>
    </row>
    <row r="8172" spans="1:1" x14ac:dyDescent="0.25">
      <c r="A8172" s="108" t="s">
        <v>3585</v>
      </c>
    </row>
    <row r="8173" spans="1:1" x14ac:dyDescent="0.25">
      <c r="A8173" s="108" t="s">
        <v>3586</v>
      </c>
    </row>
    <row r="8174" spans="1:1" x14ac:dyDescent="0.25">
      <c r="A8174" s="76" t="s">
        <v>3587</v>
      </c>
    </row>
    <row r="8175" spans="1:1" x14ac:dyDescent="0.25">
      <c r="A8175" s="29" t="s">
        <v>3588</v>
      </c>
    </row>
    <row r="8176" spans="1:1" x14ac:dyDescent="0.25">
      <c r="A8176" s="76" t="s">
        <v>3589</v>
      </c>
    </row>
    <row r="8177" spans="1:1" x14ac:dyDescent="0.25">
      <c r="A8177" s="76" t="s">
        <v>3590</v>
      </c>
    </row>
    <row r="8178" spans="1:1" x14ac:dyDescent="0.25">
      <c r="A8178" s="76" t="s">
        <v>3591</v>
      </c>
    </row>
    <row r="8179" spans="1:1" x14ac:dyDescent="0.25">
      <c r="A8179" s="108" t="s">
        <v>3592</v>
      </c>
    </row>
    <row r="8180" spans="1:1" x14ac:dyDescent="0.25">
      <c r="A8180" s="108" t="s">
        <v>3593</v>
      </c>
    </row>
    <row r="8181" spans="1:1" x14ac:dyDescent="0.25">
      <c r="A8181" s="76" t="s">
        <v>3594</v>
      </c>
    </row>
    <row r="8182" spans="1:1" x14ac:dyDescent="0.25">
      <c r="A8182" s="29" t="s">
        <v>3595</v>
      </c>
    </row>
    <row r="8183" spans="1:1" x14ac:dyDescent="0.25">
      <c r="A8183" s="76" t="s">
        <v>3596</v>
      </c>
    </row>
    <row r="8184" spans="1:1" x14ac:dyDescent="0.25">
      <c r="A8184" s="76" t="s">
        <v>3597</v>
      </c>
    </row>
    <row r="8185" spans="1:1" x14ac:dyDescent="0.25">
      <c r="A8185" s="76" t="s">
        <v>3598</v>
      </c>
    </row>
    <row r="8186" spans="1:1" x14ac:dyDescent="0.25">
      <c r="A8186" s="108" t="s">
        <v>3599</v>
      </c>
    </row>
    <row r="8187" spans="1:1" x14ac:dyDescent="0.25">
      <c r="A8187" s="108" t="s">
        <v>3600</v>
      </c>
    </row>
    <row r="8188" spans="1:1" x14ac:dyDescent="0.25">
      <c r="A8188" s="76" t="s">
        <v>3601</v>
      </c>
    </row>
    <row r="8189" spans="1:1" x14ac:dyDescent="0.25">
      <c r="A8189" s="29" t="s">
        <v>3602</v>
      </c>
    </row>
    <row r="8190" spans="1:1" x14ac:dyDescent="0.25">
      <c r="A8190" s="76" t="s">
        <v>3603</v>
      </c>
    </row>
    <row r="8191" spans="1:1" x14ac:dyDescent="0.25">
      <c r="A8191" s="76" t="s">
        <v>3604</v>
      </c>
    </row>
    <row r="8192" spans="1:1" x14ac:dyDescent="0.25">
      <c r="A8192" s="76" t="s">
        <v>3605</v>
      </c>
    </row>
    <row r="8193" spans="1:1" x14ac:dyDescent="0.25">
      <c r="A8193" s="108" t="s">
        <v>3606</v>
      </c>
    </row>
    <row r="8194" spans="1:1" x14ac:dyDescent="0.25">
      <c r="A8194" s="108" t="s">
        <v>3607</v>
      </c>
    </row>
    <row r="8195" spans="1:1" x14ac:dyDescent="0.25">
      <c r="A8195" s="76" t="s">
        <v>3608</v>
      </c>
    </row>
    <row r="8196" spans="1:1" x14ac:dyDescent="0.25">
      <c r="A8196" s="29" t="s">
        <v>3609</v>
      </c>
    </row>
    <row r="8197" spans="1:1" x14ac:dyDescent="0.25">
      <c r="A8197" s="76" t="s">
        <v>3610</v>
      </c>
    </row>
    <row r="8198" spans="1:1" x14ac:dyDescent="0.25">
      <c r="A8198" s="76" t="s">
        <v>3611</v>
      </c>
    </row>
    <row r="8199" spans="1:1" x14ac:dyDescent="0.25">
      <c r="A8199" s="76" t="s">
        <v>3612</v>
      </c>
    </row>
    <row r="8200" spans="1:1" x14ac:dyDescent="0.25">
      <c r="A8200" s="108" t="s">
        <v>3613</v>
      </c>
    </row>
    <row r="8201" spans="1:1" x14ac:dyDescent="0.25">
      <c r="A8201" s="108" t="s">
        <v>3614</v>
      </c>
    </row>
    <row r="8202" spans="1:1" x14ac:dyDescent="0.25">
      <c r="A8202" s="76" t="s">
        <v>3615</v>
      </c>
    </row>
    <row r="8203" spans="1:1" x14ac:dyDescent="0.25">
      <c r="A8203" s="29" t="s">
        <v>3616</v>
      </c>
    </row>
    <row r="8204" spans="1:1" x14ac:dyDescent="0.25">
      <c r="A8204" s="108" t="s">
        <v>3617</v>
      </c>
    </row>
    <row r="8205" spans="1:1" x14ac:dyDescent="0.25">
      <c r="A8205" s="76" t="s">
        <v>3618</v>
      </c>
    </row>
    <row r="8206" spans="1:1" x14ac:dyDescent="0.25">
      <c r="A8206" s="76" t="s">
        <v>3619</v>
      </c>
    </row>
    <row r="8207" spans="1:1" x14ac:dyDescent="0.25">
      <c r="A8207" s="76" t="s">
        <v>3620</v>
      </c>
    </row>
    <row r="8208" spans="1:1" x14ac:dyDescent="0.25">
      <c r="A8208" s="76" t="s">
        <v>3621</v>
      </c>
    </row>
    <row r="8209" spans="1:1" x14ac:dyDescent="0.25">
      <c r="A8209" s="76" t="s">
        <v>3622</v>
      </c>
    </row>
    <row r="8210" spans="1:1" x14ac:dyDescent="0.25">
      <c r="A8210" s="76" t="s">
        <v>3623</v>
      </c>
    </row>
    <row r="8211" spans="1:1" x14ac:dyDescent="0.25">
      <c r="A8211" s="76" t="s">
        <v>3624</v>
      </c>
    </row>
    <row r="8212" spans="1:1" x14ac:dyDescent="0.25">
      <c r="A8212" s="76" t="s">
        <v>3625</v>
      </c>
    </row>
    <row r="8213" spans="1:1" x14ac:dyDescent="0.25">
      <c r="A8213" s="76" t="s">
        <v>3626</v>
      </c>
    </row>
    <row r="8214" spans="1:1" x14ac:dyDescent="0.25">
      <c r="A8214" s="76" t="s">
        <v>3627</v>
      </c>
    </row>
    <row r="8215" spans="1:1" x14ac:dyDescent="0.25">
      <c r="A8215" s="76" t="s">
        <v>3628</v>
      </c>
    </row>
    <row r="8216" spans="1:1" x14ac:dyDescent="0.25">
      <c r="A8216" s="76" t="s">
        <v>3629</v>
      </c>
    </row>
    <row r="8217" spans="1:1" x14ac:dyDescent="0.25">
      <c r="A8217" s="76" t="s">
        <v>3630</v>
      </c>
    </row>
    <row r="8218" spans="1:1" x14ac:dyDescent="0.25">
      <c r="A8218" s="76" t="s">
        <v>3631</v>
      </c>
    </row>
    <row r="8219" spans="1:1" x14ac:dyDescent="0.25">
      <c r="A8219" s="76" t="s">
        <v>3632</v>
      </c>
    </row>
    <row r="8220" spans="1:1" x14ac:dyDescent="0.25">
      <c r="A8220" s="76" t="s">
        <v>3633</v>
      </c>
    </row>
    <row r="8221" spans="1:1" x14ac:dyDescent="0.25">
      <c r="A8221" s="76" t="s">
        <v>3634</v>
      </c>
    </row>
    <row r="8222" spans="1:1" x14ac:dyDescent="0.25">
      <c r="A8222" s="108" t="s">
        <v>3635</v>
      </c>
    </row>
    <row r="8223" spans="1:1" x14ac:dyDescent="0.25">
      <c r="A8223" s="76" t="s">
        <v>3636</v>
      </c>
    </row>
    <row r="8224" spans="1:1" x14ac:dyDescent="0.25">
      <c r="A8224" s="76" t="s">
        <v>3637</v>
      </c>
    </row>
    <row r="8225" spans="1:1" x14ac:dyDescent="0.25">
      <c r="A8225" s="76" t="s">
        <v>3638</v>
      </c>
    </row>
    <row r="8226" spans="1:1" x14ac:dyDescent="0.25">
      <c r="A8226" s="76" t="s">
        <v>3639</v>
      </c>
    </row>
    <row r="8227" spans="1:1" x14ac:dyDescent="0.25">
      <c r="A8227" s="76" t="s">
        <v>3640</v>
      </c>
    </row>
    <row r="8228" spans="1:1" x14ac:dyDescent="0.25">
      <c r="A8228" s="76" t="s">
        <v>3641</v>
      </c>
    </row>
    <row r="8229" spans="1:1" x14ac:dyDescent="0.25">
      <c r="A8229" s="76" t="s">
        <v>3642</v>
      </c>
    </row>
    <row r="8230" spans="1:1" x14ac:dyDescent="0.25">
      <c r="A8230" s="108" t="s">
        <v>3643</v>
      </c>
    </row>
    <row r="8231" spans="1:1" x14ac:dyDescent="0.25">
      <c r="A8231" s="76" t="s">
        <v>3644</v>
      </c>
    </row>
    <row r="8232" spans="1:1" x14ac:dyDescent="0.25">
      <c r="A8232" s="76" t="s">
        <v>3645</v>
      </c>
    </row>
    <row r="8233" spans="1:1" x14ac:dyDescent="0.25">
      <c r="A8233" s="76" t="s">
        <v>3646</v>
      </c>
    </row>
    <row r="8234" spans="1:1" x14ac:dyDescent="0.25">
      <c r="A8234" s="76" t="s">
        <v>3647</v>
      </c>
    </row>
    <row r="8235" spans="1:1" x14ac:dyDescent="0.25">
      <c r="A8235" s="76" t="s">
        <v>3648</v>
      </c>
    </row>
    <row r="8236" spans="1:1" x14ac:dyDescent="0.25">
      <c r="A8236" s="76" t="s">
        <v>3649</v>
      </c>
    </row>
    <row r="8237" spans="1:1" x14ac:dyDescent="0.25">
      <c r="A8237" s="76" t="s">
        <v>3650</v>
      </c>
    </row>
    <row r="8238" spans="1:1" x14ac:dyDescent="0.25">
      <c r="A8238" s="76" t="s">
        <v>3651</v>
      </c>
    </row>
    <row r="8239" spans="1:1" x14ac:dyDescent="0.25">
      <c r="A8239" s="108" t="s">
        <v>3652</v>
      </c>
    </row>
    <row r="8240" spans="1:1" x14ac:dyDescent="0.25">
      <c r="A8240" s="76" t="s">
        <v>3653</v>
      </c>
    </row>
    <row r="8241" spans="1:1" x14ac:dyDescent="0.25">
      <c r="A8241" s="76" t="s">
        <v>3654</v>
      </c>
    </row>
    <row r="8242" spans="1:1" x14ac:dyDescent="0.25">
      <c r="A8242" s="76" t="s">
        <v>3655</v>
      </c>
    </row>
    <row r="8243" spans="1:1" x14ac:dyDescent="0.25">
      <c r="A8243" s="76" t="s">
        <v>3656</v>
      </c>
    </row>
    <row r="8244" spans="1:1" x14ac:dyDescent="0.25">
      <c r="A8244" s="76" t="s">
        <v>3657</v>
      </c>
    </row>
    <row r="8245" spans="1:1" x14ac:dyDescent="0.25">
      <c r="A8245" s="76" t="s">
        <v>3658</v>
      </c>
    </row>
    <row r="8246" spans="1:1" x14ac:dyDescent="0.25">
      <c r="A8246" s="76" t="s">
        <v>3659</v>
      </c>
    </row>
    <row r="8247" spans="1:1" x14ac:dyDescent="0.25">
      <c r="A8247" s="76" t="s">
        <v>3660</v>
      </c>
    </row>
    <row r="8248" spans="1:1" x14ac:dyDescent="0.25">
      <c r="A8248" s="76" t="s">
        <v>3661</v>
      </c>
    </row>
    <row r="8249" spans="1:1" x14ac:dyDescent="0.25">
      <c r="A8249" s="76" t="s">
        <v>3662</v>
      </c>
    </row>
    <row r="8250" spans="1:1" x14ac:dyDescent="0.25">
      <c r="A8250" s="108" t="s">
        <v>3663</v>
      </c>
    </row>
    <row r="8251" spans="1:1" x14ac:dyDescent="0.25">
      <c r="A8251" s="76" t="s">
        <v>3664</v>
      </c>
    </row>
    <row r="8252" spans="1:1" x14ac:dyDescent="0.25">
      <c r="A8252" s="76" t="s">
        <v>3665</v>
      </c>
    </row>
    <row r="8253" spans="1:1" x14ac:dyDescent="0.25">
      <c r="A8253" s="76" t="s">
        <v>3666</v>
      </c>
    </row>
    <row r="8254" spans="1:1" x14ac:dyDescent="0.25">
      <c r="A8254" s="76" t="s">
        <v>3667</v>
      </c>
    </row>
    <row r="8255" spans="1:1" x14ac:dyDescent="0.25">
      <c r="A8255" s="76" t="s">
        <v>3668</v>
      </c>
    </row>
    <row r="8256" spans="1:1" x14ac:dyDescent="0.25">
      <c r="A8256" s="76" t="s">
        <v>3669</v>
      </c>
    </row>
    <row r="8257" spans="1:1" x14ac:dyDescent="0.25">
      <c r="A8257" s="76" t="s">
        <v>3670</v>
      </c>
    </row>
    <row r="8258" spans="1:1" x14ac:dyDescent="0.25">
      <c r="A8258" s="76" t="s">
        <v>3671</v>
      </c>
    </row>
    <row r="8259" spans="1:1" x14ac:dyDescent="0.25">
      <c r="A8259" s="76" t="s">
        <v>3672</v>
      </c>
    </row>
    <row r="8260" spans="1:1" x14ac:dyDescent="0.25">
      <c r="A8260" s="76" t="s">
        <v>3673</v>
      </c>
    </row>
    <row r="8261" spans="1:1" x14ac:dyDescent="0.25">
      <c r="A8261" s="76" t="s">
        <v>3674</v>
      </c>
    </row>
    <row r="8262" spans="1:1" x14ac:dyDescent="0.25">
      <c r="A8262" s="76" t="s">
        <v>3675</v>
      </c>
    </row>
    <row r="8263" spans="1:1" x14ac:dyDescent="0.25">
      <c r="A8263" s="108" t="s">
        <v>3676</v>
      </c>
    </row>
    <row r="8264" spans="1:1" x14ac:dyDescent="0.25">
      <c r="A8264" s="76" t="s">
        <v>3677</v>
      </c>
    </row>
    <row r="8265" spans="1:1" x14ac:dyDescent="0.25">
      <c r="A8265" s="76" t="s">
        <v>3678</v>
      </c>
    </row>
    <row r="8266" spans="1:1" x14ac:dyDescent="0.25">
      <c r="A8266" s="76" t="s">
        <v>3679</v>
      </c>
    </row>
    <row r="8267" spans="1:1" x14ac:dyDescent="0.25">
      <c r="A8267" s="76" t="s">
        <v>3680</v>
      </c>
    </row>
    <row r="8268" spans="1:1" x14ac:dyDescent="0.25">
      <c r="A8268" s="76" t="s">
        <v>3681</v>
      </c>
    </row>
    <row r="8269" spans="1:1" x14ac:dyDescent="0.25">
      <c r="A8269" s="76" t="s">
        <v>3682</v>
      </c>
    </row>
    <row r="8270" spans="1:1" x14ac:dyDescent="0.25">
      <c r="A8270" s="76" t="s">
        <v>3683</v>
      </c>
    </row>
    <row r="8271" spans="1:1" x14ac:dyDescent="0.25">
      <c r="A8271" s="76" t="s">
        <v>3684</v>
      </c>
    </row>
    <row r="8272" spans="1:1" x14ac:dyDescent="0.25">
      <c r="A8272" s="76" t="s">
        <v>3685</v>
      </c>
    </row>
    <row r="8273" spans="1:1" x14ac:dyDescent="0.25">
      <c r="A8273" s="76" t="s">
        <v>3686</v>
      </c>
    </row>
    <row r="8274" spans="1:1" x14ac:dyDescent="0.25">
      <c r="A8274" s="76" t="s">
        <v>3687</v>
      </c>
    </row>
    <row r="8275" spans="1:1" x14ac:dyDescent="0.25">
      <c r="A8275" s="108" t="s">
        <v>3688</v>
      </c>
    </row>
    <row r="8276" spans="1:1" x14ac:dyDescent="0.25">
      <c r="A8276" s="108" t="s">
        <v>3689</v>
      </c>
    </row>
    <row r="8277" spans="1:1" x14ac:dyDescent="0.25">
      <c r="A8277" s="76" t="s">
        <v>3690</v>
      </c>
    </row>
    <row r="8278" spans="1:1" x14ac:dyDescent="0.25">
      <c r="A8278" s="29" t="s">
        <v>3691</v>
      </c>
    </row>
    <row r="8279" spans="1:1" x14ac:dyDescent="0.25">
      <c r="A8279" s="76" t="s">
        <v>3692</v>
      </c>
    </row>
    <row r="8280" spans="1:1" x14ac:dyDescent="0.25">
      <c r="A8280" s="76" t="s">
        <v>3693</v>
      </c>
    </row>
    <row r="8281" spans="1:1" x14ac:dyDescent="0.25">
      <c r="A8281" s="76" t="s">
        <v>3694</v>
      </c>
    </row>
    <row r="8282" spans="1:1" x14ac:dyDescent="0.25">
      <c r="A8282" s="108" t="s">
        <v>3695</v>
      </c>
    </row>
    <row r="8283" spans="1:1" x14ac:dyDescent="0.25">
      <c r="A8283" s="108" t="s">
        <v>3696</v>
      </c>
    </row>
    <row r="8284" spans="1:1" x14ac:dyDescent="0.25">
      <c r="A8284" s="76" t="s">
        <v>3697</v>
      </c>
    </row>
    <row r="8285" spans="1:1" x14ac:dyDescent="0.25">
      <c r="A8285" s="29" t="s">
        <v>3698</v>
      </c>
    </row>
    <row r="8286" spans="1:1" x14ac:dyDescent="0.25">
      <c r="A8286" s="76" t="s">
        <v>3699</v>
      </c>
    </row>
    <row r="8287" spans="1:1" x14ac:dyDescent="0.25">
      <c r="A8287" s="76" t="s">
        <v>3700</v>
      </c>
    </row>
    <row r="8288" spans="1:1" x14ac:dyDescent="0.25">
      <c r="A8288" s="76" t="s">
        <v>3701</v>
      </c>
    </row>
    <row r="8289" spans="1:1" x14ac:dyDescent="0.25">
      <c r="A8289" s="108" t="s">
        <v>3702</v>
      </c>
    </row>
    <row r="8290" spans="1:1" x14ac:dyDescent="0.25">
      <c r="A8290" s="108" t="s">
        <v>3703</v>
      </c>
    </row>
    <row r="8291" spans="1:1" x14ac:dyDescent="0.25">
      <c r="A8291" s="76" t="s">
        <v>3704</v>
      </c>
    </row>
    <row r="8292" spans="1:1" x14ac:dyDescent="0.25">
      <c r="A8292" s="29" t="s">
        <v>3705</v>
      </c>
    </row>
    <row r="8293" spans="1:1" x14ac:dyDescent="0.25">
      <c r="A8293" s="76" t="s">
        <v>3706</v>
      </c>
    </row>
    <row r="8294" spans="1:1" x14ac:dyDescent="0.25">
      <c r="A8294" s="76" t="s">
        <v>3707</v>
      </c>
    </row>
    <row r="8295" spans="1:1" x14ac:dyDescent="0.25">
      <c r="A8295" s="76" t="s">
        <v>3708</v>
      </c>
    </row>
    <row r="8296" spans="1:1" x14ac:dyDescent="0.25">
      <c r="A8296" s="108" t="s">
        <v>3709</v>
      </c>
    </row>
    <row r="8297" spans="1:1" x14ac:dyDescent="0.25">
      <c r="A8297" s="108" t="s">
        <v>3710</v>
      </c>
    </row>
    <row r="8298" spans="1:1" x14ac:dyDescent="0.25">
      <c r="A8298" s="76" t="s">
        <v>3711</v>
      </c>
    </row>
    <row r="8299" spans="1:1" x14ac:dyDescent="0.25">
      <c r="A8299" s="29" t="s">
        <v>3712</v>
      </c>
    </row>
    <row r="8300" spans="1:1" x14ac:dyDescent="0.25">
      <c r="A8300" s="76" t="s">
        <v>3713</v>
      </c>
    </row>
    <row r="8301" spans="1:1" x14ac:dyDescent="0.25">
      <c r="A8301" s="76" t="s">
        <v>3714</v>
      </c>
    </row>
    <row r="8302" spans="1:1" x14ac:dyDescent="0.25">
      <c r="A8302" s="76" t="s">
        <v>3715</v>
      </c>
    </row>
    <row r="8303" spans="1:1" x14ac:dyDescent="0.25">
      <c r="A8303" s="108" t="s">
        <v>3716</v>
      </c>
    </row>
    <row r="8304" spans="1:1" x14ac:dyDescent="0.25">
      <c r="A8304" s="108" t="s">
        <v>3717</v>
      </c>
    </row>
    <row r="8305" spans="1:1" x14ac:dyDescent="0.25">
      <c r="A8305" s="76" t="s">
        <v>3718</v>
      </c>
    </row>
    <row r="8306" spans="1:1" x14ac:dyDescent="0.25">
      <c r="A8306" s="29" t="s">
        <v>3719</v>
      </c>
    </row>
    <row r="8307" spans="1:1" x14ac:dyDescent="0.25">
      <c r="A8307" s="76" t="s">
        <v>3720</v>
      </c>
    </row>
    <row r="8308" spans="1:1" x14ac:dyDescent="0.25">
      <c r="A8308" s="76" t="s">
        <v>3721</v>
      </c>
    </row>
    <row r="8309" spans="1:1" x14ac:dyDescent="0.25">
      <c r="A8309" s="76" t="s">
        <v>3722</v>
      </c>
    </row>
    <row r="8310" spans="1:1" x14ac:dyDescent="0.25">
      <c r="A8310" s="108" t="s">
        <v>3723</v>
      </c>
    </row>
    <row r="8311" spans="1:1" x14ac:dyDescent="0.25">
      <c r="A8311" s="108" t="s">
        <v>3724</v>
      </c>
    </row>
    <row r="8312" spans="1:1" x14ac:dyDescent="0.25">
      <c r="A8312" s="76" t="s">
        <v>3725</v>
      </c>
    </row>
    <row r="8313" spans="1:1" x14ac:dyDescent="0.25">
      <c r="A8313" s="29" t="s">
        <v>3726</v>
      </c>
    </row>
    <row r="8314" spans="1:1" x14ac:dyDescent="0.25">
      <c r="A8314" s="76" t="s">
        <v>3727</v>
      </c>
    </row>
    <row r="8315" spans="1:1" x14ac:dyDescent="0.25">
      <c r="A8315" s="108" t="s">
        <v>3728</v>
      </c>
    </row>
    <row r="8316" spans="1:1" x14ac:dyDescent="0.25">
      <c r="A8316" s="76" t="s">
        <v>3729</v>
      </c>
    </row>
    <row r="8317" spans="1:1" x14ac:dyDescent="0.25">
      <c r="A8317" s="76" t="s">
        <v>3730</v>
      </c>
    </row>
    <row r="8318" spans="1:1" x14ac:dyDescent="0.25">
      <c r="A8318" s="76" t="s">
        <v>3731</v>
      </c>
    </row>
    <row r="8319" spans="1:1" x14ac:dyDescent="0.25">
      <c r="A8319" s="76" t="s">
        <v>3732</v>
      </c>
    </row>
    <row r="8320" spans="1:1" x14ac:dyDescent="0.25">
      <c r="A8320" s="76" t="s">
        <v>3733</v>
      </c>
    </row>
    <row r="8321" spans="1:1" x14ac:dyDescent="0.25">
      <c r="A8321" s="76" t="s">
        <v>3734</v>
      </c>
    </row>
    <row r="8322" spans="1:1" x14ac:dyDescent="0.25">
      <c r="A8322" s="76" t="s">
        <v>3735</v>
      </c>
    </row>
    <row r="8323" spans="1:1" x14ac:dyDescent="0.25">
      <c r="A8323" s="76" t="s">
        <v>3736</v>
      </c>
    </row>
    <row r="8324" spans="1:1" x14ac:dyDescent="0.25">
      <c r="A8324" s="76" t="s">
        <v>3737</v>
      </c>
    </row>
    <row r="8325" spans="1:1" x14ac:dyDescent="0.25">
      <c r="A8325" s="76" t="s">
        <v>3738</v>
      </c>
    </row>
    <row r="8326" spans="1:1" x14ac:dyDescent="0.25">
      <c r="A8326" s="76" t="s">
        <v>3739</v>
      </c>
    </row>
    <row r="8327" spans="1:1" x14ac:dyDescent="0.25">
      <c r="A8327" s="76" t="s">
        <v>3740</v>
      </c>
    </row>
    <row r="8328" spans="1:1" x14ac:dyDescent="0.25">
      <c r="A8328" s="76" t="s">
        <v>3741</v>
      </c>
    </row>
    <row r="8329" spans="1:1" x14ac:dyDescent="0.25">
      <c r="A8329" s="76" t="s">
        <v>3742</v>
      </c>
    </row>
    <row r="8330" spans="1:1" x14ac:dyDescent="0.25">
      <c r="A8330" s="76" t="s">
        <v>3743</v>
      </c>
    </row>
    <row r="8331" spans="1:1" x14ac:dyDescent="0.25">
      <c r="A8331" s="76" t="s">
        <v>3744</v>
      </c>
    </row>
    <row r="8332" spans="1:1" x14ac:dyDescent="0.25">
      <c r="A8332" s="76" t="s">
        <v>3745</v>
      </c>
    </row>
    <row r="8333" spans="1:1" x14ac:dyDescent="0.25">
      <c r="A8333" s="76" t="s">
        <v>3746</v>
      </c>
    </row>
    <row r="8334" spans="1:1" x14ac:dyDescent="0.25">
      <c r="A8334" s="76" t="s">
        <v>3747</v>
      </c>
    </row>
    <row r="8335" spans="1:1" x14ac:dyDescent="0.25">
      <c r="A8335" s="76" t="s">
        <v>3748</v>
      </c>
    </row>
    <row r="8336" spans="1:1" x14ac:dyDescent="0.25">
      <c r="A8336" s="76" t="s">
        <v>3749</v>
      </c>
    </row>
    <row r="8337" spans="1:1" x14ac:dyDescent="0.25">
      <c r="A8337" s="108" t="s">
        <v>3750</v>
      </c>
    </row>
    <row r="8338" spans="1:1" x14ac:dyDescent="0.25">
      <c r="A8338" s="76" t="s">
        <v>3751</v>
      </c>
    </row>
    <row r="8339" spans="1:1" x14ac:dyDescent="0.25">
      <c r="A8339" s="108" t="s">
        <v>3752</v>
      </c>
    </row>
    <row r="8340" spans="1:1" x14ac:dyDescent="0.25">
      <c r="A8340" s="76" t="s">
        <v>3753</v>
      </c>
    </row>
    <row r="8341" spans="1:1" x14ac:dyDescent="0.25">
      <c r="A8341" s="76" t="s">
        <v>3754</v>
      </c>
    </row>
    <row r="8342" spans="1:1" x14ac:dyDescent="0.25">
      <c r="A8342" s="76" t="s">
        <v>3755</v>
      </c>
    </row>
    <row r="8343" spans="1:1" x14ac:dyDescent="0.25">
      <c r="A8343" s="76" t="s">
        <v>3756</v>
      </c>
    </row>
    <row r="8344" spans="1:1" x14ac:dyDescent="0.25">
      <c r="A8344" s="76" t="s">
        <v>3757</v>
      </c>
    </row>
    <row r="8345" spans="1:1" x14ac:dyDescent="0.25">
      <c r="A8345" s="76" t="s">
        <v>3758</v>
      </c>
    </row>
    <row r="8346" spans="1:1" x14ac:dyDescent="0.25">
      <c r="A8346" s="76" t="s">
        <v>3759</v>
      </c>
    </row>
    <row r="8347" spans="1:1" x14ac:dyDescent="0.25">
      <c r="A8347" s="76" t="s">
        <v>3760</v>
      </c>
    </row>
    <row r="8348" spans="1:1" x14ac:dyDescent="0.25">
      <c r="A8348" s="76" t="s">
        <v>3761</v>
      </c>
    </row>
    <row r="8349" spans="1:1" x14ac:dyDescent="0.25">
      <c r="A8349" s="108" t="s">
        <v>3762</v>
      </c>
    </row>
    <row r="8350" spans="1:1" x14ac:dyDescent="0.25">
      <c r="A8350" s="76" t="s">
        <v>3763</v>
      </c>
    </row>
    <row r="8351" spans="1:1" x14ac:dyDescent="0.25">
      <c r="A8351" s="76" t="s">
        <v>3764</v>
      </c>
    </row>
    <row r="8352" spans="1:1" x14ac:dyDescent="0.25">
      <c r="A8352" s="76" t="s">
        <v>3765</v>
      </c>
    </row>
    <row r="8353" spans="1:1" x14ac:dyDescent="0.25">
      <c r="A8353" s="76" t="s">
        <v>3766</v>
      </c>
    </row>
    <row r="8354" spans="1:1" x14ac:dyDescent="0.25">
      <c r="A8354" s="76" t="s">
        <v>3767</v>
      </c>
    </row>
    <row r="8355" spans="1:1" x14ac:dyDescent="0.25">
      <c r="A8355" s="76" t="s">
        <v>3768</v>
      </c>
    </row>
    <row r="8356" spans="1:1" x14ac:dyDescent="0.25">
      <c r="A8356" s="108" t="s">
        <v>3769</v>
      </c>
    </row>
    <row r="8357" spans="1:1" x14ac:dyDescent="0.25">
      <c r="A8357" s="76" t="s">
        <v>3770</v>
      </c>
    </row>
    <row r="8358" spans="1:1" x14ac:dyDescent="0.25">
      <c r="A8358" s="76" t="s">
        <v>3771</v>
      </c>
    </row>
    <row r="8359" spans="1:1" x14ac:dyDescent="0.25">
      <c r="A8359" s="76" t="s">
        <v>3772</v>
      </c>
    </row>
    <row r="8360" spans="1:1" x14ac:dyDescent="0.25">
      <c r="A8360" s="76" t="s">
        <v>3773</v>
      </c>
    </row>
    <row r="8361" spans="1:1" x14ac:dyDescent="0.25">
      <c r="A8361" s="76" t="s">
        <v>3774</v>
      </c>
    </row>
    <row r="8362" spans="1:1" x14ac:dyDescent="0.25">
      <c r="A8362" s="76" t="s">
        <v>3775</v>
      </c>
    </row>
    <row r="8363" spans="1:1" x14ac:dyDescent="0.25">
      <c r="A8363" s="76" t="s">
        <v>3776</v>
      </c>
    </row>
    <row r="8364" spans="1:1" x14ac:dyDescent="0.25">
      <c r="A8364" s="76" t="s">
        <v>3777</v>
      </c>
    </row>
    <row r="8365" spans="1:1" x14ac:dyDescent="0.25">
      <c r="A8365" s="76" t="s">
        <v>3778</v>
      </c>
    </row>
    <row r="8366" spans="1:1" x14ac:dyDescent="0.25">
      <c r="A8366" s="76" t="s">
        <v>3779</v>
      </c>
    </row>
    <row r="8367" spans="1:1" x14ac:dyDescent="0.25">
      <c r="A8367" s="76" t="s">
        <v>3780</v>
      </c>
    </row>
    <row r="8368" spans="1:1" x14ac:dyDescent="0.25">
      <c r="A8368" s="76" t="s">
        <v>3781</v>
      </c>
    </row>
    <row r="8369" spans="1:1" x14ac:dyDescent="0.25">
      <c r="A8369" s="76" t="s">
        <v>3782</v>
      </c>
    </row>
    <row r="8370" spans="1:1" x14ac:dyDescent="0.25">
      <c r="A8370" s="76" t="s">
        <v>3783</v>
      </c>
    </row>
    <row r="8371" spans="1:1" x14ac:dyDescent="0.25">
      <c r="A8371" s="76" t="s">
        <v>3784</v>
      </c>
    </row>
    <row r="8372" spans="1:1" x14ac:dyDescent="0.25">
      <c r="A8372" s="76" t="s">
        <v>3785</v>
      </c>
    </row>
    <row r="8373" spans="1:1" x14ac:dyDescent="0.25">
      <c r="A8373" s="108" t="s">
        <v>3786</v>
      </c>
    </row>
    <row r="8374" spans="1:1" x14ac:dyDescent="0.25">
      <c r="A8374" s="76" t="s">
        <v>3787</v>
      </c>
    </row>
    <row r="8375" spans="1:1" x14ac:dyDescent="0.25">
      <c r="A8375" s="76" t="s">
        <v>3788</v>
      </c>
    </row>
    <row r="8376" spans="1:1" x14ac:dyDescent="0.25">
      <c r="A8376" s="76" t="s">
        <v>3789</v>
      </c>
    </row>
    <row r="8377" spans="1:1" x14ac:dyDescent="0.25">
      <c r="A8377" s="76" t="s">
        <v>3790</v>
      </c>
    </row>
    <row r="8378" spans="1:1" x14ac:dyDescent="0.25">
      <c r="A8378" s="108" t="s">
        <v>3791</v>
      </c>
    </row>
    <row r="8379" spans="1:1" x14ac:dyDescent="0.25">
      <c r="A8379" s="108" t="s">
        <v>3792</v>
      </c>
    </row>
    <row r="8380" spans="1:1" x14ac:dyDescent="0.25">
      <c r="A8380" s="76" t="s">
        <v>3793</v>
      </c>
    </row>
    <row r="8381" spans="1:1" x14ac:dyDescent="0.25">
      <c r="A8381" s="29" t="s">
        <v>3794</v>
      </c>
    </row>
    <row r="8382" spans="1:1" x14ac:dyDescent="0.25">
      <c r="A8382" s="76" t="s">
        <v>3795</v>
      </c>
    </row>
    <row r="8383" spans="1:1" x14ac:dyDescent="0.25">
      <c r="A8383" s="76" t="s">
        <v>3796</v>
      </c>
    </row>
    <row r="8384" spans="1:1" x14ac:dyDescent="0.25">
      <c r="A8384" s="76" t="s">
        <v>3797</v>
      </c>
    </row>
    <row r="8385" spans="1:1" x14ac:dyDescent="0.25">
      <c r="A8385" s="108" t="s">
        <v>3798</v>
      </c>
    </row>
    <row r="8386" spans="1:1" x14ac:dyDescent="0.25">
      <c r="A8386" s="108" t="s">
        <v>3799</v>
      </c>
    </row>
    <row r="8387" spans="1:1" x14ac:dyDescent="0.25">
      <c r="A8387" s="76" t="s">
        <v>3800</v>
      </c>
    </row>
    <row r="8388" spans="1:1" x14ac:dyDescent="0.25">
      <c r="A8388" s="29" t="s">
        <v>3801</v>
      </c>
    </row>
    <row r="8389" spans="1:1" x14ac:dyDescent="0.25">
      <c r="A8389" s="76" t="s">
        <v>3802</v>
      </c>
    </row>
    <row r="8390" spans="1:1" x14ac:dyDescent="0.25">
      <c r="A8390" s="76" t="s">
        <v>3803</v>
      </c>
    </row>
    <row r="8391" spans="1:1" x14ac:dyDescent="0.25">
      <c r="A8391" s="76" t="s">
        <v>3804</v>
      </c>
    </row>
    <row r="8392" spans="1:1" x14ac:dyDescent="0.25">
      <c r="A8392" s="108" t="s">
        <v>3805</v>
      </c>
    </row>
    <row r="8393" spans="1:1" x14ac:dyDescent="0.25">
      <c r="A8393" s="108" t="s">
        <v>3806</v>
      </c>
    </row>
    <row r="8394" spans="1:1" x14ac:dyDescent="0.25">
      <c r="A8394" s="76" t="s">
        <v>3807</v>
      </c>
    </row>
    <row r="8395" spans="1:1" x14ac:dyDescent="0.25">
      <c r="A8395" s="29" t="s">
        <v>3808</v>
      </c>
    </row>
    <row r="8396" spans="1:1" x14ac:dyDescent="0.25">
      <c r="A8396" s="76" t="s">
        <v>3809</v>
      </c>
    </row>
    <row r="8397" spans="1:1" x14ac:dyDescent="0.25">
      <c r="A8397" s="76" t="s">
        <v>3810</v>
      </c>
    </row>
    <row r="8398" spans="1:1" x14ac:dyDescent="0.25">
      <c r="A8398" s="76" t="s">
        <v>3811</v>
      </c>
    </row>
    <row r="8399" spans="1:1" x14ac:dyDescent="0.25">
      <c r="A8399" s="108" t="s">
        <v>3812</v>
      </c>
    </row>
    <row r="8400" spans="1:1" x14ac:dyDescent="0.25">
      <c r="A8400" s="108" t="s">
        <v>3813</v>
      </c>
    </row>
    <row r="8401" spans="1:1" x14ac:dyDescent="0.25">
      <c r="A8401" s="76" t="s">
        <v>3814</v>
      </c>
    </row>
    <row r="8402" spans="1:1" x14ac:dyDescent="0.25">
      <c r="A8402" s="29" t="s">
        <v>3815</v>
      </c>
    </row>
    <row r="8403" spans="1:1" x14ac:dyDescent="0.25">
      <c r="A8403" s="76" t="s">
        <v>3816</v>
      </c>
    </row>
    <row r="8404" spans="1:1" x14ac:dyDescent="0.25">
      <c r="A8404" s="76" t="s">
        <v>3817</v>
      </c>
    </row>
    <row r="8405" spans="1:1" x14ac:dyDescent="0.25">
      <c r="A8405" s="76" t="s">
        <v>3818</v>
      </c>
    </row>
    <row r="8406" spans="1:1" x14ac:dyDescent="0.25">
      <c r="A8406" s="108" t="s">
        <v>3819</v>
      </c>
    </row>
    <row r="8407" spans="1:1" x14ac:dyDescent="0.25">
      <c r="A8407" s="108" t="s">
        <v>3820</v>
      </c>
    </row>
    <row r="8408" spans="1:1" x14ac:dyDescent="0.25">
      <c r="A8408" s="76" t="s">
        <v>3821</v>
      </c>
    </row>
    <row r="8409" spans="1:1" x14ac:dyDescent="0.25">
      <c r="A8409" s="29" t="s">
        <v>3822</v>
      </c>
    </row>
    <row r="8410" spans="1:1" x14ac:dyDescent="0.25">
      <c r="A8410" s="76" t="s">
        <v>3823</v>
      </c>
    </row>
    <row r="8411" spans="1:1" x14ac:dyDescent="0.25">
      <c r="A8411" s="76" t="s">
        <v>3824</v>
      </c>
    </row>
    <row r="8412" spans="1:1" x14ac:dyDescent="0.25">
      <c r="A8412" s="76" t="s">
        <v>3825</v>
      </c>
    </row>
    <row r="8413" spans="1:1" x14ac:dyDescent="0.25">
      <c r="A8413" s="108" t="s">
        <v>3826</v>
      </c>
    </row>
    <row r="8414" spans="1:1" x14ac:dyDescent="0.25">
      <c r="A8414" s="108" t="s">
        <v>3827</v>
      </c>
    </row>
    <row r="8415" spans="1:1" x14ac:dyDescent="0.25">
      <c r="A8415" s="76" t="s">
        <v>3828</v>
      </c>
    </row>
    <row r="8416" spans="1:1" x14ac:dyDescent="0.25">
      <c r="A8416" s="29" t="s">
        <v>3829</v>
      </c>
    </row>
    <row r="8417" spans="1:1" x14ac:dyDescent="0.25">
      <c r="A8417" s="76" t="s">
        <v>3830</v>
      </c>
    </row>
    <row r="8418" spans="1:1" x14ac:dyDescent="0.25">
      <c r="A8418" s="76" t="s">
        <v>3831</v>
      </c>
    </row>
    <row r="8419" spans="1:1" x14ac:dyDescent="0.25">
      <c r="A8419" s="76" t="s">
        <v>3832</v>
      </c>
    </row>
    <row r="8420" spans="1:1" x14ac:dyDescent="0.25">
      <c r="A8420" s="76" t="s">
        <v>3833</v>
      </c>
    </row>
    <row r="8421" spans="1:1" x14ac:dyDescent="0.25">
      <c r="A8421" s="108" t="s">
        <v>3834</v>
      </c>
    </row>
    <row r="8422" spans="1:1" x14ac:dyDescent="0.25">
      <c r="A8422" s="76" t="s">
        <v>3835</v>
      </c>
    </row>
    <row r="8423" spans="1:1" x14ac:dyDescent="0.25">
      <c r="A8423" s="76" t="s">
        <v>3836</v>
      </c>
    </row>
    <row r="8424" spans="1:1" x14ac:dyDescent="0.25">
      <c r="A8424" s="76" t="s">
        <v>3837</v>
      </c>
    </row>
    <row r="8425" spans="1:1" x14ac:dyDescent="0.25">
      <c r="A8425" s="76" t="s">
        <v>3838</v>
      </c>
    </row>
    <row r="8426" spans="1:1" x14ac:dyDescent="0.25">
      <c r="A8426" s="76" t="s">
        <v>3839</v>
      </c>
    </row>
    <row r="8427" spans="1:1" x14ac:dyDescent="0.25">
      <c r="A8427" s="76" t="s">
        <v>3840</v>
      </c>
    </row>
    <row r="8428" spans="1:1" x14ac:dyDescent="0.25">
      <c r="A8428" s="76" t="s">
        <v>3841</v>
      </c>
    </row>
    <row r="8429" spans="1:1" x14ac:dyDescent="0.25">
      <c r="A8429" s="76" t="s">
        <v>3842</v>
      </c>
    </row>
    <row r="8430" spans="1:1" x14ac:dyDescent="0.25">
      <c r="A8430" s="76" t="s">
        <v>3843</v>
      </c>
    </row>
    <row r="8431" spans="1:1" x14ac:dyDescent="0.25">
      <c r="A8431" s="76" t="s">
        <v>3844</v>
      </c>
    </row>
    <row r="8432" spans="1:1" x14ac:dyDescent="0.25">
      <c r="A8432" s="76" t="s">
        <v>3845</v>
      </c>
    </row>
    <row r="8433" spans="1:1" x14ac:dyDescent="0.25">
      <c r="A8433" s="76" t="s">
        <v>3846</v>
      </c>
    </row>
    <row r="8434" spans="1:1" x14ac:dyDescent="0.25">
      <c r="A8434" s="76" t="s">
        <v>3847</v>
      </c>
    </row>
    <row r="8435" spans="1:1" x14ac:dyDescent="0.25">
      <c r="A8435" s="108" t="s">
        <v>3848</v>
      </c>
    </row>
    <row r="8436" spans="1:1" x14ac:dyDescent="0.25">
      <c r="A8436" s="76" t="s">
        <v>3849</v>
      </c>
    </row>
    <row r="8437" spans="1:1" x14ac:dyDescent="0.25">
      <c r="A8437" s="76" t="s">
        <v>3850</v>
      </c>
    </row>
    <row r="8438" spans="1:1" x14ac:dyDescent="0.25">
      <c r="A8438" s="76" t="s">
        <v>3851</v>
      </c>
    </row>
    <row r="8439" spans="1:1" x14ac:dyDescent="0.25">
      <c r="A8439" s="76" t="s">
        <v>3852</v>
      </c>
    </row>
    <row r="8440" spans="1:1" x14ac:dyDescent="0.25">
      <c r="A8440" s="76" t="s">
        <v>3853</v>
      </c>
    </row>
    <row r="8441" spans="1:1" x14ac:dyDescent="0.25">
      <c r="A8441" s="76" t="s">
        <v>3854</v>
      </c>
    </row>
    <row r="8442" spans="1:1" x14ac:dyDescent="0.25">
      <c r="A8442" s="76" t="s">
        <v>3855</v>
      </c>
    </row>
    <row r="8443" spans="1:1" x14ac:dyDescent="0.25">
      <c r="A8443" s="76" t="s">
        <v>3856</v>
      </c>
    </row>
    <row r="8444" spans="1:1" x14ac:dyDescent="0.25">
      <c r="A8444" s="76" t="s">
        <v>3857</v>
      </c>
    </row>
    <row r="8445" spans="1:1" x14ac:dyDescent="0.25">
      <c r="A8445" s="108" t="s">
        <v>3858</v>
      </c>
    </row>
    <row r="8446" spans="1:1" x14ac:dyDescent="0.25">
      <c r="A8446" s="76" t="s">
        <v>3859</v>
      </c>
    </row>
    <row r="8447" spans="1:1" x14ac:dyDescent="0.25">
      <c r="A8447" s="76" t="s">
        <v>3860</v>
      </c>
    </row>
    <row r="8448" spans="1:1" x14ac:dyDescent="0.25">
      <c r="A8448" s="76" t="s">
        <v>3861</v>
      </c>
    </row>
    <row r="8449" spans="1:1" x14ac:dyDescent="0.25">
      <c r="A8449" s="76" t="s">
        <v>3862</v>
      </c>
    </row>
    <row r="8450" spans="1:1" x14ac:dyDescent="0.25">
      <c r="A8450" s="76" t="s">
        <v>3863</v>
      </c>
    </row>
    <row r="8451" spans="1:1" x14ac:dyDescent="0.25">
      <c r="A8451" s="76" t="s">
        <v>3864</v>
      </c>
    </row>
    <row r="8452" spans="1:1" x14ac:dyDescent="0.25">
      <c r="A8452" s="76" t="s">
        <v>3865</v>
      </c>
    </row>
    <row r="8453" spans="1:1" x14ac:dyDescent="0.25">
      <c r="A8453" s="76" t="s">
        <v>3866</v>
      </c>
    </row>
    <row r="8454" spans="1:1" x14ac:dyDescent="0.25">
      <c r="A8454" s="76" t="s">
        <v>3867</v>
      </c>
    </row>
    <row r="8455" spans="1:1" x14ac:dyDescent="0.25">
      <c r="A8455" s="76" t="s">
        <v>3868</v>
      </c>
    </row>
    <row r="8456" spans="1:1" x14ac:dyDescent="0.25">
      <c r="A8456" s="76" t="s">
        <v>3869</v>
      </c>
    </row>
    <row r="8457" spans="1:1" x14ac:dyDescent="0.25">
      <c r="A8457" s="76" t="s">
        <v>3870</v>
      </c>
    </row>
    <row r="8458" spans="1:1" x14ac:dyDescent="0.25">
      <c r="A8458" s="76" t="s">
        <v>3871</v>
      </c>
    </row>
    <row r="8459" spans="1:1" x14ac:dyDescent="0.25">
      <c r="A8459" s="76" t="s">
        <v>3872</v>
      </c>
    </row>
    <row r="8460" spans="1:1" x14ac:dyDescent="0.25">
      <c r="A8460" s="76" t="s">
        <v>3873</v>
      </c>
    </row>
    <row r="8461" spans="1:1" x14ac:dyDescent="0.25">
      <c r="A8461" s="76" t="s">
        <v>3874</v>
      </c>
    </row>
    <row r="8462" spans="1:1" x14ac:dyDescent="0.25">
      <c r="A8462" s="76" t="s">
        <v>3875</v>
      </c>
    </row>
    <row r="8463" spans="1:1" x14ac:dyDescent="0.25">
      <c r="A8463" s="108" t="s">
        <v>3876</v>
      </c>
    </row>
    <row r="8464" spans="1:1" x14ac:dyDescent="0.25">
      <c r="A8464" s="76" t="s">
        <v>3877</v>
      </c>
    </row>
    <row r="8465" spans="1:1" x14ac:dyDescent="0.25">
      <c r="A8465" s="76" t="s">
        <v>3878</v>
      </c>
    </row>
    <row r="8466" spans="1:1" x14ac:dyDescent="0.25">
      <c r="A8466" s="76" t="s">
        <v>3879</v>
      </c>
    </row>
    <row r="8467" spans="1:1" x14ac:dyDescent="0.25">
      <c r="A8467" s="76" t="s">
        <v>3880</v>
      </c>
    </row>
    <row r="8468" spans="1:1" x14ac:dyDescent="0.25">
      <c r="A8468" s="76" t="s">
        <v>3881</v>
      </c>
    </row>
    <row r="8469" spans="1:1" x14ac:dyDescent="0.25">
      <c r="A8469" s="76" t="s">
        <v>3882</v>
      </c>
    </row>
    <row r="8470" spans="1:1" x14ac:dyDescent="0.25">
      <c r="A8470" s="76" t="s">
        <v>3883</v>
      </c>
    </row>
    <row r="8471" spans="1:1" x14ac:dyDescent="0.25">
      <c r="A8471" s="76" t="s">
        <v>3884</v>
      </c>
    </row>
    <row r="8472" spans="1:1" x14ac:dyDescent="0.25">
      <c r="A8472" s="76" t="s">
        <v>3885</v>
      </c>
    </row>
    <row r="8473" spans="1:1" x14ac:dyDescent="0.25">
      <c r="A8473" s="76" t="s">
        <v>3886</v>
      </c>
    </row>
    <row r="8474" spans="1:1" x14ac:dyDescent="0.25">
      <c r="A8474" s="76" t="s">
        <v>3887</v>
      </c>
    </row>
    <row r="8475" spans="1:1" x14ac:dyDescent="0.25">
      <c r="A8475" s="76" t="s">
        <v>3888</v>
      </c>
    </row>
    <row r="8476" spans="1:1" x14ac:dyDescent="0.25">
      <c r="A8476" s="76" t="s">
        <v>3889</v>
      </c>
    </row>
    <row r="8477" spans="1:1" x14ac:dyDescent="0.25">
      <c r="A8477" s="76" t="s">
        <v>3890</v>
      </c>
    </row>
    <row r="8478" spans="1:1" x14ac:dyDescent="0.25">
      <c r="A8478" s="76" t="s">
        <v>3891</v>
      </c>
    </row>
    <row r="8479" spans="1:1" x14ac:dyDescent="0.25">
      <c r="A8479" s="76" t="s">
        <v>3892</v>
      </c>
    </row>
    <row r="8480" spans="1:1" x14ac:dyDescent="0.25">
      <c r="A8480" s="108" t="s">
        <v>3893</v>
      </c>
    </row>
    <row r="8481" spans="1:1" x14ac:dyDescent="0.25">
      <c r="A8481" s="76" t="s">
        <v>3894</v>
      </c>
    </row>
    <row r="8482" spans="1:1" x14ac:dyDescent="0.25">
      <c r="A8482" s="76" t="s">
        <v>3895</v>
      </c>
    </row>
    <row r="8483" spans="1:1" x14ac:dyDescent="0.25">
      <c r="A8483" s="76" t="s">
        <v>3896</v>
      </c>
    </row>
    <row r="8484" spans="1:1" x14ac:dyDescent="0.25">
      <c r="A8484" s="76" t="s">
        <v>3897</v>
      </c>
    </row>
    <row r="8485" spans="1:1" x14ac:dyDescent="0.25">
      <c r="A8485" s="76" t="s">
        <v>3898</v>
      </c>
    </row>
    <row r="8486" spans="1:1" x14ac:dyDescent="0.25">
      <c r="A8486" s="76" t="s">
        <v>3899</v>
      </c>
    </row>
    <row r="8487" spans="1:1" x14ac:dyDescent="0.25">
      <c r="A8487" s="76" t="s">
        <v>3900</v>
      </c>
    </row>
    <row r="8488" spans="1:1" x14ac:dyDescent="0.25">
      <c r="A8488" s="76" t="s">
        <v>3901</v>
      </c>
    </row>
    <row r="8489" spans="1:1" x14ac:dyDescent="0.25">
      <c r="A8489" s="76" t="s">
        <v>3902</v>
      </c>
    </row>
    <row r="8490" spans="1:1" x14ac:dyDescent="0.25">
      <c r="A8490" s="76" t="s">
        <v>3903</v>
      </c>
    </row>
    <row r="8491" spans="1:1" x14ac:dyDescent="0.25">
      <c r="A8491" s="76" t="s">
        <v>3904</v>
      </c>
    </row>
    <row r="8492" spans="1:1" x14ac:dyDescent="0.25">
      <c r="A8492" s="76" t="s">
        <v>3905</v>
      </c>
    </row>
    <row r="8493" spans="1:1" x14ac:dyDescent="0.25">
      <c r="A8493" s="108" t="s">
        <v>3906</v>
      </c>
    </row>
    <row r="8494" spans="1:1" x14ac:dyDescent="0.25">
      <c r="A8494" s="76" t="s">
        <v>3907</v>
      </c>
    </row>
    <row r="8495" spans="1:1" x14ac:dyDescent="0.25">
      <c r="A8495" s="76" t="s">
        <v>3908</v>
      </c>
    </row>
    <row r="8496" spans="1:1" x14ac:dyDescent="0.25">
      <c r="A8496" s="76" t="s">
        <v>3909</v>
      </c>
    </row>
    <row r="8497" spans="1:1" x14ac:dyDescent="0.25">
      <c r="A8497" s="76" t="s">
        <v>3910</v>
      </c>
    </row>
    <row r="8498" spans="1:1" x14ac:dyDescent="0.25">
      <c r="A8498" s="76" t="s">
        <v>3911</v>
      </c>
    </row>
    <row r="8499" spans="1:1" x14ac:dyDescent="0.25">
      <c r="A8499" s="76" t="s">
        <v>3912</v>
      </c>
    </row>
    <row r="8500" spans="1:1" x14ac:dyDescent="0.25">
      <c r="A8500" s="76" t="s">
        <v>3913</v>
      </c>
    </row>
    <row r="8501" spans="1:1" x14ac:dyDescent="0.25">
      <c r="A8501" s="76" t="s">
        <v>3914</v>
      </c>
    </row>
    <row r="8502" spans="1:1" x14ac:dyDescent="0.25">
      <c r="A8502" s="76" t="s">
        <v>3915</v>
      </c>
    </row>
    <row r="8503" spans="1:1" x14ac:dyDescent="0.25">
      <c r="A8503" s="76" t="s">
        <v>3916</v>
      </c>
    </row>
    <row r="8504" spans="1:1" x14ac:dyDescent="0.25">
      <c r="A8504" s="76" t="s">
        <v>3917</v>
      </c>
    </row>
    <row r="8505" spans="1:1" x14ac:dyDescent="0.25">
      <c r="A8505" s="76" t="s">
        <v>3918</v>
      </c>
    </row>
    <row r="8506" spans="1:1" x14ac:dyDescent="0.25">
      <c r="A8506" s="108" t="s">
        <v>3919</v>
      </c>
    </row>
    <row r="8507" spans="1:1" x14ac:dyDescent="0.25">
      <c r="A8507" s="108" t="s">
        <v>3920</v>
      </c>
    </row>
    <row r="8508" spans="1:1" x14ac:dyDescent="0.25">
      <c r="A8508" s="76" t="s">
        <v>3921</v>
      </c>
    </row>
    <row r="8509" spans="1:1" x14ac:dyDescent="0.25">
      <c r="A8509" s="29" t="s">
        <v>3922</v>
      </c>
    </row>
    <row r="8510" spans="1:1" x14ac:dyDescent="0.25">
      <c r="A8510" s="76" t="s">
        <v>3923</v>
      </c>
    </row>
    <row r="8511" spans="1:1" x14ac:dyDescent="0.25">
      <c r="A8511" s="76" t="s">
        <v>3924</v>
      </c>
    </row>
    <row r="8512" spans="1:1" x14ac:dyDescent="0.25">
      <c r="A8512" s="76" t="s">
        <v>3925</v>
      </c>
    </row>
    <row r="8513" spans="1:1" x14ac:dyDescent="0.25">
      <c r="A8513" s="108" t="s">
        <v>3926</v>
      </c>
    </row>
    <row r="8514" spans="1:1" x14ac:dyDescent="0.25">
      <c r="A8514" s="108" t="s">
        <v>3927</v>
      </c>
    </row>
    <row r="8515" spans="1:1" x14ac:dyDescent="0.25">
      <c r="A8515" s="76" t="s">
        <v>3928</v>
      </c>
    </row>
    <row r="8516" spans="1:1" x14ac:dyDescent="0.25">
      <c r="A8516" s="29" t="s">
        <v>3929</v>
      </c>
    </row>
    <row r="8517" spans="1:1" x14ac:dyDescent="0.25">
      <c r="A8517" s="76" t="s">
        <v>3930</v>
      </c>
    </row>
    <row r="8518" spans="1:1" x14ac:dyDescent="0.25">
      <c r="A8518" s="76" t="s">
        <v>3931</v>
      </c>
    </row>
    <row r="8519" spans="1:1" x14ac:dyDescent="0.25">
      <c r="A8519" s="76" t="s">
        <v>3932</v>
      </c>
    </row>
    <row r="8520" spans="1:1" x14ac:dyDescent="0.25">
      <c r="A8520" s="108" t="s">
        <v>3933</v>
      </c>
    </row>
    <row r="8521" spans="1:1" x14ac:dyDescent="0.25">
      <c r="A8521" s="108" t="s">
        <v>3934</v>
      </c>
    </row>
    <row r="8522" spans="1:1" x14ac:dyDescent="0.25">
      <c r="A8522" s="76" t="s">
        <v>3935</v>
      </c>
    </row>
    <row r="8523" spans="1:1" x14ac:dyDescent="0.25">
      <c r="A8523" s="29" t="s">
        <v>3936</v>
      </c>
    </row>
    <row r="8524" spans="1:1" x14ac:dyDescent="0.25">
      <c r="A8524" s="76" t="s">
        <v>3937</v>
      </c>
    </row>
    <row r="8525" spans="1:1" x14ac:dyDescent="0.25">
      <c r="A8525" s="76" t="s">
        <v>3938</v>
      </c>
    </row>
    <row r="8526" spans="1:1" x14ac:dyDescent="0.25">
      <c r="A8526" s="76" t="s">
        <v>3939</v>
      </c>
    </row>
    <row r="8527" spans="1:1" x14ac:dyDescent="0.25">
      <c r="A8527" s="108" t="s">
        <v>3940</v>
      </c>
    </row>
    <row r="8528" spans="1:1" x14ac:dyDescent="0.25">
      <c r="A8528" s="108" t="s">
        <v>3941</v>
      </c>
    </row>
    <row r="8529" spans="1:1" x14ac:dyDescent="0.25">
      <c r="A8529" s="76" t="s">
        <v>3942</v>
      </c>
    </row>
    <row r="8530" spans="1:1" x14ac:dyDescent="0.25">
      <c r="A8530" s="29" t="s">
        <v>3943</v>
      </c>
    </row>
    <row r="8531" spans="1:1" x14ac:dyDescent="0.25">
      <c r="A8531" s="76" t="s">
        <v>3944</v>
      </c>
    </row>
    <row r="8532" spans="1:1" x14ac:dyDescent="0.25">
      <c r="A8532" s="76" t="s">
        <v>3945</v>
      </c>
    </row>
    <row r="8533" spans="1:1" x14ac:dyDescent="0.25">
      <c r="A8533" s="76" t="s">
        <v>3946</v>
      </c>
    </row>
    <row r="8534" spans="1:1" x14ac:dyDescent="0.25">
      <c r="A8534" s="108" t="s">
        <v>3947</v>
      </c>
    </row>
    <row r="8535" spans="1:1" x14ac:dyDescent="0.25">
      <c r="A8535" s="108" t="s">
        <v>3948</v>
      </c>
    </row>
    <row r="8536" spans="1:1" x14ac:dyDescent="0.25">
      <c r="A8536" s="76" t="s">
        <v>3949</v>
      </c>
    </row>
    <row r="8537" spans="1:1" x14ac:dyDescent="0.25">
      <c r="A8537" s="29" t="s">
        <v>3950</v>
      </c>
    </row>
    <row r="8538" spans="1:1" x14ac:dyDescent="0.25">
      <c r="A8538" s="76" t="s">
        <v>3951</v>
      </c>
    </row>
    <row r="8539" spans="1:1" x14ac:dyDescent="0.25">
      <c r="A8539" s="76" t="s">
        <v>3952</v>
      </c>
    </row>
    <row r="8540" spans="1:1" x14ac:dyDescent="0.25">
      <c r="A8540" s="76" t="s">
        <v>3953</v>
      </c>
    </row>
    <row r="8541" spans="1:1" x14ac:dyDescent="0.25">
      <c r="A8541" s="108" t="s">
        <v>3954</v>
      </c>
    </row>
    <row r="8542" spans="1:1" x14ac:dyDescent="0.25">
      <c r="A8542" s="108" t="s">
        <v>3955</v>
      </c>
    </row>
    <row r="8543" spans="1:1" x14ac:dyDescent="0.25">
      <c r="A8543" s="76" t="s">
        <v>3956</v>
      </c>
    </row>
    <row r="8544" spans="1:1" x14ac:dyDescent="0.25">
      <c r="A8544" s="29" t="s">
        <v>3957</v>
      </c>
    </row>
    <row r="8545" spans="1:1" x14ac:dyDescent="0.25">
      <c r="A8545" s="108" t="s">
        <v>3958</v>
      </c>
    </row>
    <row r="8546" spans="1:1" x14ac:dyDescent="0.25">
      <c r="A8546" s="76" t="s">
        <v>3959</v>
      </c>
    </row>
    <row r="8547" spans="1:1" x14ac:dyDescent="0.25">
      <c r="A8547" s="76" t="s">
        <v>3960</v>
      </c>
    </row>
    <row r="8548" spans="1:1" x14ac:dyDescent="0.25">
      <c r="A8548" s="76" t="s">
        <v>3961</v>
      </c>
    </row>
    <row r="8549" spans="1:1" x14ac:dyDescent="0.25">
      <c r="A8549" s="76" t="s">
        <v>3962</v>
      </c>
    </row>
    <row r="8550" spans="1:1" x14ac:dyDescent="0.25">
      <c r="A8550" s="76" t="s">
        <v>3963</v>
      </c>
    </row>
    <row r="8551" spans="1:1" x14ac:dyDescent="0.25">
      <c r="A8551" s="76" t="s">
        <v>3964</v>
      </c>
    </row>
    <row r="8552" spans="1:1" x14ac:dyDescent="0.25">
      <c r="A8552" s="76" t="s">
        <v>3965</v>
      </c>
    </row>
    <row r="8553" spans="1:1" x14ac:dyDescent="0.25">
      <c r="A8553" s="76" t="s">
        <v>3966</v>
      </c>
    </row>
    <row r="8554" spans="1:1" x14ac:dyDescent="0.25">
      <c r="A8554" s="76" t="s">
        <v>3967</v>
      </c>
    </row>
    <row r="8555" spans="1:1" x14ac:dyDescent="0.25">
      <c r="A8555" s="76" t="s">
        <v>3968</v>
      </c>
    </row>
    <row r="8556" spans="1:1" x14ac:dyDescent="0.25">
      <c r="A8556" s="108" t="s">
        <v>3969</v>
      </c>
    </row>
    <row r="8557" spans="1:1" x14ac:dyDescent="0.25">
      <c r="A8557" s="76" t="s">
        <v>3970</v>
      </c>
    </row>
    <row r="8558" spans="1:1" x14ac:dyDescent="0.25">
      <c r="A8558" s="76" t="s">
        <v>3971</v>
      </c>
    </row>
    <row r="8559" spans="1:1" x14ac:dyDescent="0.25">
      <c r="A8559" s="76" t="s">
        <v>3972</v>
      </c>
    </row>
    <row r="8560" spans="1:1" x14ac:dyDescent="0.25">
      <c r="A8560" s="76" t="s">
        <v>3973</v>
      </c>
    </row>
    <row r="8561" spans="1:1" x14ac:dyDescent="0.25">
      <c r="A8561" s="76" t="s">
        <v>3974</v>
      </c>
    </row>
    <row r="8562" spans="1:1" x14ac:dyDescent="0.25">
      <c r="A8562" s="108" t="s">
        <v>3975</v>
      </c>
    </row>
    <row r="8563" spans="1:1" x14ac:dyDescent="0.25">
      <c r="A8563" s="76" t="s">
        <v>3976</v>
      </c>
    </row>
    <row r="8564" spans="1:1" x14ac:dyDescent="0.25">
      <c r="A8564" s="76" t="s">
        <v>3977</v>
      </c>
    </row>
    <row r="8565" spans="1:1" x14ac:dyDescent="0.25">
      <c r="A8565" s="76" t="s">
        <v>3978</v>
      </c>
    </row>
    <row r="8566" spans="1:1" x14ac:dyDescent="0.25">
      <c r="A8566" s="76" t="s">
        <v>3979</v>
      </c>
    </row>
    <row r="8567" spans="1:1" x14ac:dyDescent="0.25">
      <c r="A8567" s="76" t="s">
        <v>3980</v>
      </c>
    </row>
    <row r="8568" spans="1:1" x14ac:dyDescent="0.25">
      <c r="A8568" s="76" t="s">
        <v>3981</v>
      </c>
    </row>
    <row r="8569" spans="1:1" x14ac:dyDescent="0.25">
      <c r="A8569" s="108" t="s">
        <v>3982</v>
      </c>
    </row>
    <row r="8570" spans="1:1" x14ac:dyDescent="0.25">
      <c r="A8570" s="76" t="s">
        <v>3983</v>
      </c>
    </row>
    <row r="8571" spans="1:1" x14ac:dyDescent="0.25">
      <c r="A8571" s="76" t="s">
        <v>3984</v>
      </c>
    </row>
    <row r="8572" spans="1:1" x14ac:dyDescent="0.25">
      <c r="A8572" s="76" t="s">
        <v>3985</v>
      </c>
    </row>
    <row r="8573" spans="1:1" x14ac:dyDescent="0.25">
      <c r="A8573" s="76" t="s">
        <v>3986</v>
      </c>
    </row>
    <row r="8574" spans="1:1" x14ac:dyDescent="0.25">
      <c r="A8574" s="76" t="s">
        <v>3987</v>
      </c>
    </row>
    <row r="8575" spans="1:1" x14ac:dyDescent="0.25">
      <c r="A8575" s="76" t="s">
        <v>3988</v>
      </c>
    </row>
    <row r="8576" spans="1:1" x14ac:dyDescent="0.25">
      <c r="A8576" s="76" t="s">
        <v>3989</v>
      </c>
    </row>
    <row r="8577" spans="1:1" x14ac:dyDescent="0.25">
      <c r="A8577" s="76" t="s">
        <v>3990</v>
      </c>
    </row>
    <row r="8578" spans="1:1" x14ac:dyDescent="0.25">
      <c r="A8578" s="76" t="s">
        <v>3991</v>
      </c>
    </row>
    <row r="8579" spans="1:1" x14ac:dyDescent="0.25">
      <c r="A8579" s="76" t="s">
        <v>3992</v>
      </c>
    </row>
    <row r="8580" spans="1:1" x14ac:dyDescent="0.25">
      <c r="A8580" s="76" t="s">
        <v>3993</v>
      </c>
    </row>
    <row r="8581" spans="1:1" x14ac:dyDescent="0.25">
      <c r="A8581" s="76" t="s">
        <v>3994</v>
      </c>
    </row>
    <row r="8582" spans="1:1" x14ac:dyDescent="0.25">
      <c r="A8582" s="76" t="s">
        <v>3995</v>
      </c>
    </row>
    <row r="8583" spans="1:1" x14ac:dyDescent="0.25">
      <c r="A8583" s="108" t="s">
        <v>3996</v>
      </c>
    </row>
    <row r="8584" spans="1:1" x14ac:dyDescent="0.25">
      <c r="A8584" s="76" t="s">
        <v>3997</v>
      </c>
    </row>
    <row r="8585" spans="1:1" x14ac:dyDescent="0.25">
      <c r="A8585" s="76" t="s">
        <v>3998</v>
      </c>
    </row>
    <row r="8586" spans="1:1" x14ac:dyDescent="0.25">
      <c r="A8586" s="76" t="s">
        <v>3999</v>
      </c>
    </row>
    <row r="8587" spans="1:1" x14ac:dyDescent="0.25">
      <c r="A8587" s="76" t="s">
        <v>4000</v>
      </c>
    </row>
    <row r="8588" spans="1:1" x14ac:dyDescent="0.25">
      <c r="A8588" s="76" t="s">
        <v>4001</v>
      </c>
    </row>
    <row r="8589" spans="1:1" x14ac:dyDescent="0.25">
      <c r="A8589" s="76" t="s">
        <v>4002</v>
      </c>
    </row>
    <row r="8590" spans="1:1" x14ac:dyDescent="0.25">
      <c r="A8590" s="76" t="s">
        <v>4003</v>
      </c>
    </row>
    <row r="8591" spans="1:1" x14ac:dyDescent="0.25">
      <c r="A8591" s="76" t="s">
        <v>4004</v>
      </c>
    </row>
    <row r="8592" spans="1:1" x14ac:dyDescent="0.25">
      <c r="A8592" s="76" t="s">
        <v>4005</v>
      </c>
    </row>
    <row r="8593" spans="1:1" x14ac:dyDescent="0.25">
      <c r="A8593" s="108" t="s">
        <v>4006</v>
      </c>
    </row>
    <row r="8594" spans="1:1" x14ac:dyDescent="0.25">
      <c r="A8594" s="76" t="s">
        <v>4007</v>
      </c>
    </row>
    <row r="8595" spans="1:1" x14ac:dyDescent="0.25">
      <c r="A8595" s="76" t="s">
        <v>4008</v>
      </c>
    </row>
    <row r="8596" spans="1:1" x14ac:dyDescent="0.25">
      <c r="A8596" s="76" t="s">
        <v>4009</v>
      </c>
    </row>
    <row r="8597" spans="1:1" x14ac:dyDescent="0.25">
      <c r="A8597" s="76" t="s">
        <v>4010</v>
      </c>
    </row>
    <row r="8598" spans="1:1" x14ac:dyDescent="0.25">
      <c r="A8598" s="108" t="s">
        <v>4011</v>
      </c>
    </row>
    <row r="8599" spans="1:1" x14ac:dyDescent="0.25">
      <c r="A8599" s="108" t="s">
        <v>4012</v>
      </c>
    </row>
    <row r="8600" spans="1:1" x14ac:dyDescent="0.25">
      <c r="A8600" s="76" t="s">
        <v>4013</v>
      </c>
    </row>
    <row r="8601" spans="1:1" x14ac:dyDescent="0.25">
      <c r="A8601" s="29" t="s">
        <v>4014</v>
      </c>
    </row>
    <row r="8602" spans="1:1" x14ac:dyDescent="0.25">
      <c r="A8602" s="76" t="s">
        <v>4015</v>
      </c>
    </row>
    <row r="8603" spans="1:1" x14ac:dyDescent="0.25">
      <c r="A8603" s="76" t="s">
        <v>4016</v>
      </c>
    </row>
    <row r="8604" spans="1:1" x14ac:dyDescent="0.25">
      <c r="A8604" s="76" t="s">
        <v>4017</v>
      </c>
    </row>
    <row r="8605" spans="1:1" x14ac:dyDescent="0.25">
      <c r="A8605" s="108" t="s">
        <v>4018</v>
      </c>
    </row>
    <row r="8606" spans="1:1" x14ac:dyDescent="0.25">
      <c r="A8606" s="108" t="s">
        <v>4019</v>
      </c>
    </row>
    <row r="8607" spans="1:1" x14ac:dyDescent="0.25">
      <c r="A8607" s="76" t="s">
        <v>4020</v>
      </c>
    </row>
    <row r="8608" spans="1:1" x14ac:dyDescent="0.25">
      <c r="A8608" s="29" t="s">
        <v>4021</v>
      </c>
    </row>
    <row r="8609" spans="1:1" x14ac:dyDescent="0.25">
      <c r="A8609" s="76" t="s">
        <v>4022</v>
      </c>
    </row>
    <row r="8610" spans="1:1" x14ac:dyDescent="0.25">
      <c r="A8610" s="76" t="s">
        <v>4023</v>
      </c>
    </row>
    <row r="8611" spans="1:1" x14ac:dyDescent="0.25">
      <c r="A8611" s="76" t="s">
        <v>4024</v>
      </c>
    </row>
    <row r="8612" spans="1:1" x14ac:dyDescent="0.25">
      <c r="A8612" s="108" t="s">
        <v>4025</v>
      </c>
    </row>
    <row r="8613" spans="1:1" x14ac:dyDescent="0.25">
      <c r="A8613" s="108" t="s">
        <v>4026</v>
      </c>
    </row>
    <row r="8614" spans="1:1" x14ac:dyDescent="0.25">
      <c r="A8614" s="76" t="s">
        <v>4027</v>
      </c>
    </row>
    <row r="8615" spans="1:1" x14ac:dyDescent="0.25">
      <c r="A8615" s="29" t="s">
        <v>4028</v>
      </c>
    </row>
    <row r="8616" spans="1:1" x14ac:dyDescent="0.25">
      <c r="A8616" s="76" t="s">
        <v>4029</v>
      </c>
    </row>
    <row r="8617" spans="1:1" x14ac:dyDescent="0.25">
      <c r="A8617" s="76" t="s">
        <v>4030</v>
      </c>
    </row>
    <row r="8618" spans="1:1" x14ac:dyDescent="0.25">
      <c r="A8618" s="76" t="s">
        <v>4031</v>
      </c>
    </row>
    <row r="8619" spans="1:1" x14ac:dyDescent="0.25">
      <c r="A8619" s="108" t="s">
        <v>4032</v>
      </c>
    </row>
    <row r="8620" spans="1:1" x14ac:dyDescent="0.25">
      <c r="A8620" s="108" t="s">
        <v>4033</v>
      </c>
    </row>
    <row r="8621" spans="1:1" x14ac:dyDescent="0.25">
      <c r="A8621" s="76" t="s">
        <v>4034</v>
      </c>
    </row>
    <row r="8622" spans="1:1" x14ac:dyDescent="0.25">
      <c r="A8622" s="29" t="s">
        <v>4035</v>
      </c>
    </row>
    <row r="8623" spans="1:1" x14ac:dyDescent="0.25">
      <c r="A8623" s="76" t="s">
        <v>4036</v>
      </c>
    </row>
    <row r="8624" spans="1:1" x14ac:dyDescent="0.25">
      <c r="A8624" s="76" t="s">
        <v>4037</v>
      </c>
    </row>
    <row r="8625" spans="1:1" x14ac:dyDescent="0.25">
      <c r="A8625" s="76" t="s">
        <v>4038</v>
      </c>
    </row>
    <row r="8626" spans="1:1" x14ac:dyDescent="0.25">
      <c r="A8626" s="108" t="s">
        <v>4039</v>
      </c>
    </row>
    <row r="8627" spans="1:1" x14ac:dyDescent="0.25">
      <c r="A8627" s="108" t="s">
        <v>4040</v>
      </c>
    </row>
    <row r="8628" spans="1:1" x14ac:dyDescent="0.25">
      <c r="A8628" s="76" t="s">
        <v>4041</v>
      </c>
    </row>
    <row r="8629" spans="1:1" x14ac:dyDescent="0.25">
      <c r="A8629" s="29" t="s">
        <v>4042</v>
      </c>
    </row>
    <row r="8630" spans="1:1" x14ac:dyDescent="0.25">
      <c r="A8630" s="76" t="s">
        <v>4043</v>
      </c>
    </row>
    <row r="8631" spans="1:1" x14ac:dyDescent="0.25">
      <c r="A8631" s="76" t="s">
        <v>4044</v>
      </c>
    </row>
    <row r="8632" spans="1:1" x14ac:dyDescent="0.25">
      <c r="A8632" s="76" t="s">
        <v>4045</v>
      </c>
    </row>
    <row r="8633" spans="1:1" x14ac:dyDescent="0.25">
      <c r="A8633" s="108" t="s">
        <v>4046</v>
      </c>
    </row>
    <row r="8634" spans="1:1" x14ac:dyDescent="0.25">
      <c r="A8634" s="108" t="s">
        <v>4047</v>
      </c>
    </row>
    <row r="8635" spans="1:1" x14ac:dyDescent="0.25">
      <c r="A8635" s="76" t="s">
        <v>4048</v>
      </c>
    </row>
    <row r="8636" spans="1:1" x14ac:dyDescent="0.25">
      <c r="A8636" s="29" t="s">
        <v>4049</v>
      </c>
    </row>
    <row r="8637" spans="1:1" x14ac:dyDescent="0.25">
      <c r="A8637" s="108" t="s">
        <v>4050</v>
      </c>
    </row>
    <row r="8638" spans="1:1" x14ac:dyDescent="0.25">
      <c r="A8638" s="76" t="s">
        <v>4051</v>
      </c>
    </row>
    <row r="8639" spans="1:1" x14ac:dyDescent="0.25">
      <c r="A8639" s="76" t="s">
        <v>4052</v>
      </c>
    </row>
    <row r="8640" spans="1:1" x14ac:dyDescent="0.25">
      <c r="A8640" s="76" t="s">
        <v>4053</v>
      </c>
    </row>
    <row r="8641" spans="1:1" x14ac:dyDescent="0.25">
      <c r="A8641" s="76" t="s">
        <v>4054</v>
      </c>
    </row>
    <row r="8642" spans="1:1" x14ac:dyDescent="0.25">
      <c r="A8642" s="76" t="s">
        <v>4055</v>
      </c>
    </row>
    <row r="8643" spans="1:1" x14ac:dyDescent="0.25">
      <c r="A8643" s="76" t="s">
        <v>4056</v>
      </c>
    </row>
    <row r="8644" spans="1:1" x14ac:dyDescent="0.25">
      <c r="A8644" s="76" t="s">
        <v>4057</v>
      </c>
    </row>
    <row r="8645" spans="1:1" x14ac:dyDescent="0.25">
      <c r="A8645" s="76" t="s">
        <v>4058</v>
      </c>
    </row>
    <row r="8646" spans="1:1" x14ac:dyDescent="0.25">
      <c r="A8646" s="76" t="s">
        <v>4059</v>
      </c>
    </row>
    <row r="8647" spans="1:1" x14ac:dyDescent="0.25">
      <c r="A8647" s="76" t="s">
        <v>4060</v>
      </c>
    </row>
    <row r="8648" spans="1:1" x14ac:dyDescent="0.25">
      <c r="A8648" s="108" t="s">
        <v>4061</v>
      </c>
    </row>
    <row r="8649" spans="1:1" x14ac:dyDescent="0.25">
      <c r="A8649" s="108" t="s">
        <v>4062</v>
      </c>
    </row>
    <row r="8650" spans="1:1" x14ac:dyDescent="0.25">
      <c r="A8650" s="76" t="s">
        <v>4063</v>
      </c>
    </row>
    <row r="8651" spans="1:1" x14ac:dyDescent="0.25">
      <c r="A8651" s="29" t="s">
        <v>4064</v>
      </c>
    </row>
    <row r="8652" spans="1:1" x14ac:dyDescent="0.25">
      <c r="A8652" s="76" t="s">
        <v>4065</v>
      </c>
    </row>
    <row r="8653" spans="1:1" x14ac:dyDescent="0.25">
      <c r="A8653" s="76" t="s">
        <v>4066</v>
      </c>
    </row>
    <row r="8654" spans="1:1" x14ac:dyDescent="0.25">
      <c r="A8654" s="76" t="s">
        <v>4067</v>
      </c>
    </row>
    <row r="8655" spans="1:1" x14ac:dyDescent="0.25">
      <c r="A8655" s="108" t="s">
        <v>4068</v>
      </c>
    </row>
    <row r="8656" spans="1:1" x14ac:dyDescent="0.25">
      <c r="A8656" s="108" t="s">
        <v>4069</v>
      </c>
    </row>
    <row r="8657" spans="1:1" x14ac:dyDescent="0.25">
      <c r="A8657" s="108" t="s">
        <v>4070</v>
      </c>
    </row>
    <row r="8658" spans="1:1" x14ac:dyDescent="0.25">
      <c r="A8658" s="29" t="s">
        <v>4071</v>
      </c>
    </row>
    <row r="8659" spans="1:1" x14ac:dyDescent="0.25">
      <c r="A8659" s="76" t="s">
        <v>4072</v>
      </c>
    </row>
    <row r="8660" spans="1:1" x14ac:dyDescent="0.25">
      <c r="A8660" s="29" t="s">
        <v>4073</v>
      </c>
    </row>
    <row r="8661" spans="1:1" x14ac:dyDescent="0.25">
      <c r="A8661" s="76" t="s">
        <v>4074</v>
      </c>
    </row>
    <row r="8662" spans="1:1" x14ac:dyDescent="0.25">
      <c r="A8662" s="76" t="s">
        <v>4075</v>
      </c>
    </row>
    <row r="8663" spans="1:1" x14ac:dyDescent="0.25">
      <c r="A8663" s="76" t="s">
        <v>4076</v>
      </c>
    </row>
    <row r="8664" spans="1:1" x14ac:dyDescent="0.25">
      <c r="A8664" s="108" t="s">
        <v>4077</v>
      </c>
    </row>
    <row r="8665" spans="1:1" x14ac:dyDescent="0.25">
      <c r="A8665" s="108" t="s">
        <v>4078</v>
      </c>
    </row>
    <row r="8666" spans="1:1" x14ac:dyDescent="0.25">
      <c r="A8666" s="29" t="s">
        <v>4079</v>
      </c>
    </row>
    <row r="8667" spans="1:1" x14ac:dyDescent="0.25">
      <c r="A8667" s="76" t="s">
        <v>4080</v>
      </c>
    </row>
    <row r="8668" spans="1:1" x14ac:dyDescent="0.25">
      <c r="A8668" s="29" t="s">
        <v>4081</v>
      </c>
    </row>
    <row r="8669" spans="1:1" x14ac:dyDescent="0.25">
      <c r="A8669" s="76" t="s">
        <v>4082</v>
      </c>
    </row>
    <row r="8670" spans="1:1" x14ac:dyDescent="0.25">
      <c r="A8670" s="76" t="s">
        <v>4083</v>
      </c>
    </row>
    <row r="8671" spans="1:1" x14ac:dyDescent="0.25">
      <c r="A8671" s="76" t="s">
        <v>4084</v>
      </c>
    </row>
    <row r="8672" spans="1:1" x14ac:dyDescent="0.25">
      <c r="A8672" s="108" t="s">
        <v>4085</v>
      </c>
    </row>
    <row r="8673" spans="1:1" x14ac:dyDescent="0.25">
      <c r="A8673" s="108" t="s">
        <v>4086</v>
      </c>
    </row>
    <row r="8674" spans="1:1" x14ac:dyDescent="0.25">
      <c r="A8674" s="29" t="s">
        <v>4087</v>
      </c>
    </row>
    <row r="8675" spans="1:1" x14ac:dyDescent="0.25">
      <c r="A8675" s="76" t="s">
        <v>4088</v>
      </c>
    </row>
    <row r="8676" spans="1:1" x14ac:dyDescent="0.25">
      <c r="A8676" s="29" t="s">
        <v>4089</v>
      </c>
    </row>
    <row r="8677" spans="1:1" x14ac:dyDescent="0.25">
      <c r="A8677" s="76" t="s">
        <v>4090</v>
      </c>
    </row>
    <row r="8678" spans="1:1" x14ac:dyDescent="0.25">
      <c r="A8678" s="76" t="s">
        <v>4091</v>
      </c>
    </row>
    <row r="8679" spans="1:1" x14ac:dyDescent="0.25">
      <c r="A8679" s="76" t="s">
        <v>4092</v>
      </c>
    </row>
    <row r="8680" spans="1:1" x14ac:dyDescent="0.25">
      <c r="A8680" s="108" t="s">
        <v>4093</v>
      </c>
    </row>
    <row r="8681" spans="1:1" x14ac:dyDescent="0.25">
      <c r="A8681" s="108" t="s">
        <v>4094</v>
      </c>
    </row>
    <row r="8682" spans="1:1" x14ac:dyDescent="0.25">
      <c r="A8682" s="29" t="s">
        <v>4095</v>
      </c>
    </row>
    <row r="8683" spans="1:1" x14ac:dyDescent="0.25">
      <c r="A8683" s="76" t="s">
        <v>4096</v>
      </c>
    </row>
    <row r="8684" spans="1:1" x14ac:dyDescent="0.25">
      <c r="A8684" s="29" t="s">
        <v>4097</v>
      </c>
    </row>
    <row r="8685" spans="1:1" x14ac:dyDescent="0.25">
      <c r="A8685" s="76" t="s">
        <v>4098</v>
      </c>
    </row>
    <row r="8686" spans="1:1" x14ac:dyDescent="0.25">
      <c r="A8686" s="76" t="s">
        <v>4099</v>
      </c>
    </row>
    <row r="8687" spans="1:1" x14ac:dyDescent="0.25">
      <c r="A8687" s="76" t="s">
        <v>4100</v>
      </c>
    </row>
    <row r="8688" spans="1:1" x14ac:dyDescent="0.25">
      <c r="A8688" s="108" t="s">
        <v>4101</v>
      </c>
    </row>
    <row r="8689" spans="1:1" x14ac:dyDescent="0.25">
      <c r="A8689" s="108" t="s">
        <v>4102</v>
      </c>
    </row>
    <row r="8690" spans="1:1" x14ac:dyDescent="0.25">
      <c r="A8690" s="29" t="s">
        <v>4103</v>
      </c>
    </row>
    <row r="8691" spans="1:1" x14ac:dyDescent="0.25">
      <c r="A8691" s="76" t="s">
        <v>4104</v>
      </c>
    </row>
    <row r="8692" spans="1:1" x14ac:dyDescent="0.25">
      <c r="A8692" s="29" t="s">
        <v>4105</v>
      </c>
    </row>
    <row r="8693" spans="1:1" x14ac:dyDescent="0.25">
      <c r="A8693" s="76" t="s">
        <v>4106</v>
      </c>
    </row>
    <row r="8694" spans="1:1" x14ac:dyDescent="0.25">
      <c r="A8694" s="29" t="s">
        <v>4107</v>
      </c>
    </row>
    <row r="8695" spans="1:1" x14ac:dyDescent="0.25">
      <c r="A8695" s="108" t="s">
        <v>4108</v>
      </c>
    </row>
    <row r="8696" spans="1:1" x14ac:dyDescent="0.25">
      <c r="A8696" s="76" t="s">
        <v>4109</v>
      </c>
    </row>
    <row r="8697" spans="1:1" x14ac:dyDescent="0.25">
      <c r="A8697" s="76" t="s">
        <v>4110</v>
      </c>
    </row>
    <row r="8698" spans="1:1" x14ac:dyDescent="0.25">
      <c r="A8698" s="29" t="s">
        <v>4111</v>
      </c>
    </row>
    <row r="8699" spans="1:1" x14ac:dyDescent="0.25">
      <c r="A8699" s="76" t="s">
        <v>4112</v>
      </c>
    </row>
    <row r="8700" spans="1:1" x14ac:dyDescent="0.25">
      <c r="A8700" s="76" t="s">
        <v>4113</v>
      </c>
    </row>
    <row r="8701" spans="1:1" x14ac:dyDescent="0.25">
      <c r="A8701" s="76" t="s">
        <v>4114</v>
      </c>
    </row>
    <row r="8702" spans="1:1" x14ac:dyDescent="0.25">
      <c r="A8702" s="76" t="s">
        <v>4115</v>
      </c>
    </row>
    <row r="8703" spans="1:1" x14ac:dyDescent="0.25">
      <c r="A8703" s="108" t="s">
        <v>4116</v>
      </c>
    </row>
    <row r="8704" spans="1:1" x14ac:dyDescent="0.25">
      <c r="A8704" s="108" t="s">
        <v>4117</v>
      </c>
    </row>
    <row r="8705" spans="1:1" x14ac:dyDescent="0.25">
      <c r="A8705" s="29" t="s">
        <v>4118</v>
      </c>
    </row>
    <row r="8706" spans="1:1" x14ac:dyDescent="0.25">
      <c r="A8706" s="76" t="s">
        <v>4119</v>
      </c>
    </row>
    <row r="8707" spans="1:1" x14ac:dyDescent="0.25">
      <c r="A8707" s="29" t="s">
        <v>4120</v>
      </c>
    </row>
    <row r="8708" spans="1:1" x14ac:dyDescent="0.25">
      <c r="A8708" s="76" t="s">
        <v>4121</v>
      </c>
    </row>
    <row r="8709" spans="1:1" x14ac:dyDescent="0.25">
      <c r="A8709" s="76" t="s">
        <v>4122</v>
      </c>
    </row>
    <row r="8710" spans="1:1" x14ac:dyDescent="0.25">
      <c r="A8710" s="76" t="s">
        <v>4123</v>
      </c>
    </row>
    <row r="8711" spans="1:1" x14ac:dyDescent="0.25">
      <c r="A8711" s="108" t="s">
        <v>4124</v>
      </c>
    </row>
    <row r="8712" spans="1:1" x14ac:dyDescent="0.25">
      <c r="A8712" s="108" t="s">
        <v>4125</v>
      </c>
    </row>
    <row r="8713" spans="1:1" x14ac:dyDescent="0.25">
      <c r="A8713" s="29" t="s">
        <v>4126</v>
      </c>
    </row>
    <row r="8714" spans="1:1" x14ac:dyDescent="0.25">
      <c r="A8714" s="76" t="s">
        <v>4127</v>
      </c>
    </row>
    <row r="8715" spans="1:1" x14ac:dyDescent="0.25">
      <c r="A8715" s="29" t="s">
        <v>4128</v>
      </c>
    </row>
    <row r="8716" spans="1:1" x14ac:dyDescent="0.25">
      <c r="A8716" s="76" t="s">
        <v>4129</v>
      </c>
    </row>
    <row r="8717" spans="1:1" x14ac:dyDescent="0.25">
      <c r="A8717" s="76" t="s">
        <v>4130</v>
      </c>
    </row>
    <row r="8718" spans="1:1" x14ac:dyDescent="0.25">
      <c r="A8718" s="76" t="s">
        <v>4131</v>
      </c>
    </row>
    <row r="8719" spans="1:1" x14ac:dyDescent="0.25">
      <c r="A8719" s="108" t="s">
        <v>4132</v>
      </c>
    </row>
    <row r="8720" spans="1:1" x14ac:dyDescent="0.25">
      <c r="A8720" s="108" t="s">
        <v>4133</v>
      </c>
    </row>
    <row r="8721" spans="1:1" x14ac:dyDescent="0.25">
      <c r="A8721" s="29" t="s">
        <v>4134</v>
      </c>
    </row>
    <row r="8722" spans="1:1" x14ac:dyDescent="0.25">
      <c r="A8722" s="76" t="s">
        <v>4135</v>
      </c>
    </row>
    <row r="8723" spans="1:1" x14ac:dyDescent="0.25">
      <c r="A8723" s="29" t="s">
        <v>4136</v>
      </c>
    </row>
    <row r="8724" spans="1:1" x14ac:dyDescent="0.25">
      <c r="A8724" s="76" t="s">
        <v>4137</v>
      </c>
    </row>
    <row r="8725" spans="1:1" x14ac:dyDescent="0.25">
      <c r="A8725" s="76" t="s">
        <v>4138</v>
      </c>
    </row>
    <row r="8726" spans="1:1" x14ac:dyDescent="0.25">
      <c r="A8726" s="76" t="s">
        <v>4139</v>
      </c>
    </row>
    <row r="8727" spans="1:1" x14ac:dyDescent="0.25">
      <c r="A8727" s="108" t="s">
        <v>4140</v>
      </c>
    </row>
    <row r="8728" spans="1:1" x14ac:dyDescent="0.25">
      <c r="A8728" s="108" t="s">
        <v>4141</v>
      </c>
    </row>
    <row r="8729" spans="1:1" x14ac:dyDescent="0.25">
      <c r="A8729" s="29" t="s">
        <v>4142</v>
      </c>
    </row>
    <row r="8730" spans="1:1" x14ac:dyDescent="0.25">
      <c r="A8730" s="76" t="s">
        <v>4143</v>
      </c>
    </row>
    <row r="8731" spans="1:1" x14ac:dyDescent="0.25">
      <c r="A8731" s="29" t="s">
        <v>4144</v>
      </c>
    </row>
    <row r="8732" spans="1:1" x14ac:dyDescent="0.25">
      <c r="A8732" s="76" t="s">
        <v>4145</v>
      </c>
    </row>
    <row r="8733" spans="1:1" x14ac:dyDescent="0.25">
      <c r="A8733" s="76" t="s">
        <v>4146</v>
      </c>
    </row>
    <row r="8734" spans="1:1" x14ac:dyDescent="0.25">
      <c r="A8734" s="76" t="s">
        <v>4147</v>
      </c>
    </row>
    <row r="8735" spans="1:1" x14ac:dyDescent="0.25">
      <c r="A8735" s="108" t="s">
        <v>4148</v>
      </c>
    </row>
    <row r="8736" spans="1:1" x14ac:dyDescent="0.25">
      <c r="A8736" s="108" t="s">
        <v>4149</v>
      </c>
    </row>
    <row r="8737" spans="1:1" x14ac:dyDescent="0.25">
      <c r="A8737" s="29" t="s">
        <v>4150</v>
      </c>
    </row>
    <row r="8738" spans="1:1" x14ac:dyDescent="0.25">
      <c r="A8738" s="76" t="s">
        <v>4151</v>
      </c>
    </row>
    <row r="8739" spans="1:1" x14ac:dyDescent="0.25">
      <c r="A8739" s="29" t="s">
        <v>4152</v>
      </c>
    </row>
    <row r="8740" spans="1:1" x14ac:dyDescent="0.25">
      <c r="A8740" s="76" t="s">
        <v>4153</v>
      </c>
    </row>
    <row r="8741" spans="1:1" x14ac:dyDescent="0.25">
      <c r="A8741" s="76" t="s">
        <v>4154</v>
      </c>
    </row>
    <row r="8742" spans="1:1" x14ac:dyDescent="0.25">
      <c r="A8742" s="76" t="s">
        <v>4155</v>
      </c>
    </row>
    <row r="8743" spans="1:1" x14ac:dyDescent="0.25">
      <c r="A8743" s="108" t="s">
        <v>4156</v>
      </c>
    </row>
    <row r="8744" spans="1:1" x14ac:dyDescent="0.25">
      <c r="A8744" s="108" t="s">
        <v>4157</v>
      </c>
    </row>
    <row r="8745" spans="1:1" x14ac:dyDescent="0.25">
      <c r="A8745" s="29" t="s">
        <v>4158</v>
      </c>
    </row>
    <row r="8746" spans="1:1" x14ac:dyDescent="0.25">
      <c r="A8746" s="76" t="s">
        <v>4159</v>
      </c>
    </row>
    <row r="8747" spans="1:1" x14ac:dyDescent="0.25">
      <c r="A8747" s="29" t="s">
        <v>4160</v>
      </c>
    </row>
    <row r="8748" spans="1:1" x14ac:dyDescent="0.25">
      <c r="A8748" s="76" t="s">
        <v>4161</v>
      </c>
    </row>
    <row r="8749" spans="1:1" x14ac:dyDescent="0.25">
      <c r="A8749" s="76" t="s">
        <v>4162</v>
      </c>
    </row>
    <row r="8750" spans="1:1" x14ac:dyDescent="0.25">
      <c r="A8750" s="76" t="s">
        <v>4163</v>
      </c>
    </row>
    <row r="8751" spans="1:1" x14ac:dyDescent="0.25">
      <c r="A8751" s="108" t="s">
        <v>4164</v>
      </c>
    </row>
    <row r="8752" spans="1:1" x14ac:dyDescent="0.25">
      <c r="A8752" s="108" t="s">
        <v>4165</v>
      </c>
    </row>
    <row r="8753" spans="1:1" x14ac:dyDescent="0.25">
      <c r="A8753" s="29" t="s">
        <v>4166</v>
      </c>
    </row>
    <row r="8754" spans="1:1" x14ac:dyDescent="0.25">
      <c r="A8754" s="76" t="s">
        <v>4167</v>
      </c>
    </row>
    <row r="8755" spans="1:1" x14ac:dyDescent="0.25">
      <c r="A8755" s="29" t="s">
        <v>4168</v>
      </c>
    </row>
    <row r="8756" spans="1:1" x14ac:dyDescent="0.25">
      <c r="A8756" s="76" t="s">
        <v>4169</v>
      </c>
    </row>
    <row r="8757" spans="1:1" x14ac:dyDescent="0.25">
      <c r="A8757" s="29" t="s">
        <v>4170</v>
      </c>
    </row>
    <row r="8758" spans="1:1" x14ac:dyDescent="0.25">
      <c r="A8758" s="76" t="s">
        <v>4171</v>
      </c>
    </row>
    <row r="8759" spans="1:1" x14ac:dyDescent="0.25">
      <c r="A8759" s="29" t="s">
        <v>4172</v>
      </c>
    </row>
    <row r="8760" spans="1:1" x14ac:dyDescent="0.25">
      <c r="A8760" s="76" t="s">
        <v>4173</v>
      </c>
    </row>
    <row r="8761" spans="1:1" x14ac:dyDescent="0.25">
      <c r="A8761" s="29" t="s">
        <v>4174</v>
      </c>
    </row>
    <row r="8762" spans="1:1" x14ac:dyDescent="0.25">
      <c r="A8762" s="76" t="s">
        <v>4175</v>
      </c>
    </row>
    <row r="8763" spans="1:1" x14ac:dyDescent="0.25">
      <c r="A8763" s="29" t="s">
        <v>4176</v>
      </c>
    </row>
    <row r="8764" spans="1:1" x14ac:dyDescent="0.25">
      <c r="A8764" s="76" t="s">
        <v>4177</v>
      </c>
    </row>
    <row r="8765" spans="1:1" x14ac:dyDescent="0.25">
      <c r="A8765" s="29" t="s">
        <v>4178</v>
      </c>
    </row>
    <row r="8766" spans="1:1" x14ac:dyDescent="0.25">
      <c r="A8766" s="76" t="s">
        <v>4179</v>
      </c>
    </row>
    <row r="8767" spans="1:1" x14ac:dyDescent="0.25">
      <c r="A8767" s="29" t="s">
        <v>4180</v>
      </c>
    </row>
    <row r="8768" spans="1:1" x14ac:dyDescent="0.25">
      <c r="A8768" s="76" t="s">
        <v>4181</v>
      </c>
    </row>
    <row r="8769" spans="1:1" x14ac:dyDescent="0.25">
      <c r="A8769" s="29" t="s">
        <v>4182</v>
      </c>
    </row>
    <row r="8770" spans="1:1" x14ac:dyDescent="0.25">
      <c r="A8770" s="76" t="s">
        <v>4183</v>
      </c>
    </row>
    <row r="8771" spans="1:1" x14ac:dyDescent="0.25">
      <c r="A8771" s="29" t="s">
        <v>4184</v>
      </c>
    </row>
    <row r="8772" spans="1:1" x14ac:dyDescent="0.25">
      <c r="A8772" s="76" t="s">
        <v>4185</v>
      </c>
    </row>
    <row r="8773" spans="1:1" x14ac:dyDescent="0.25">
      <c r="A8773" s="29" t="s">
        <v>4186</v>
      </c>
    </row>
    <row r="8774" spans="1:1" x14ac:dyDescent="0.25">
      <c r="A8774" s="76" t="s">
        <v>4187</v>
      </c>
    </row>
    <row r="8775" spans="1:1" x14ac:dyDescent="0.25">
      <c r="A8775" s="29" t="s">
        <v>4188</v>
      </c>
    </row>
    <row r="8776" spans="1:1" x14ac:dyDescent="0.25">
      <c r="A8776" s="76" t="s">
        <v>4189</v>
      </c>
    </row>
    <row r="8777" spans="1:1" x14ac:dyDescent="0.25">
      <c r="A8777" s="29" t="s">
        <v>4190</v>
      </c>
    </row>
    <row r="8778" spans="1:1" x14ac:dyDescent="0.25">
      <c r="A8778" s="76" t="s">
        <v>4191</v>
      </c>
    </row>
    <row r="8779" spans="1:1" x14ac:dyDescent="0.25">
      <c r="A8779" s="29" t="s">
        <v>4192</v>
      </c>
    </row>
    <row r="8780" spans="1:1" x14ac:dyDescent="0.25">
      <c r="A8780" s="76" t="s">
        <v>4193</v>
      </c>
    </row>
    <row r="8781" spans="1:1" x14ac:dyDescent="0.25">
      <c r="A8781" s="29" t="s">
        <v>4194</v>
      </c>
    </row>
    <row r="8782" spans="1:1" x14ac:dyDescent="0.25">
      <c r="A8782" s="76" t="s">
        <v>4195</v>
      </c>
    </row>
    <row r="8783" spans="1:1" x14ac:dyDescent="0.25">
      <c r="A8783" s="29" t="s">
        <v>4196</v>
      </c>
    </row>
    <row r="8784" spans="1:1" x14ac:dyDescent="0.25">
      <c r="A8784" s="76" t="s">
        <v>4197</v>
      </c>
    </row>
    <row r="8785" spans="1:1" x14ac:dyDescent="0.25">
      <c r="A8785" s="29" t="s">
        <v>4198</v>
      </c>
    </row>
    <row r="8786" spans="1:1" x14ac:dyDescent="0.25">
      <c r="A8786" s="76" t="s">
        <v>4199</v>
      </c>
    </row>
    <row r="8787" spans="1:1" x14ac:dyDescent="0.25">
      <c r="A8787" s="29" t="s">
        <v>4200</v>
      </c>
    </row>
    <row r="8788" spans="1:1" x14ac:dyDescent="0.25">
      <c r="A8788" s="76" t="s">
        <v>4201</v>
      </c>
    </row>
    <row r="8789" spans="1:1" x14ac:dyDescent="0.25">
      <c r="A8789" s="76" t="s">
        <v>4202</v>
      </c>
    </row>
    <row r="8790" spans="1:1" x14ac:dyDescent="0.25">
      <c r="A8790" s="76" t="s">
        <v>4203</v>
      </c>
    </row>
    <row r="8791" spans="1:1" x14ac:dyDescent="0.25">
      <c r="A8791" s="76" t="s">
        <v>4204</v>
      </c>
    </row>
    <row r="8792" spans="1:1" x14ac:dyDescent="0.25">
      <c r="A8792" s="108" t="s">
        <v>4205</v>
      </c>
    </row>
    <row r="8793" spans="1:1" x14ac:dyDescent="0.25">
      <c r="A8793" s="108" t="s">
        <v>4206</v>
      </c>
    </row>
    <row r="8794" spans="1:1" x14ac:dyDescent="0.25">
      <c r="A8794" s="29" t="s">
        <v>4207</v>
      </c>
    </row>
    <row r="8795" spans="1:1" x14ac:dyDescent="0.25">
      <c r="A8795" s="108" t="s">
        <v>4208</v>
      </c>
    </row>
    <row r="8796" spans="1:1" x14ac:dyDescent="0.25">
      <c r="A8796" s="76" t="s">
        <v>4209</v>
      </c>
    </row>
    <row r="8797" spans="1:1" x14ac:dyDescent="0.25">
      <c r="A8797" s="76" t="s">
        <v>4210</v>
      </c>
    </row>
    <row r="8798" spans="1:1" x14ac:dyDescent="0.25">
      <c r="A8798" s="29" t="s">
        <v>4211</v>
      </c>
    </row>
    <row r="8799" spans="1:1" x14ac:dyDescent="0.25">
      <c r="A8799" s="76" t="s">
        <v>4212</v>
      </c>
    </row>
    <row r="8800" spans="1:1" x14ac:dyDescent="0.25">
      <c r="A8800" s="29" t="s">
        <v>4213</v>
      </c>
    </row>
    <row r="8801" spans="1:1" x14ac:dyDescent="0.25">
      <c r="A8801" s="76" t="s">
        <v>4214</v>
      </c>
    </row>
    <row r="8802" spans="1:1" x14ac:dyDescent="0.25">
      <c r="A8802" s="29" t="s">
        <v>4215</v>
      </c>
    </row>
    <row r="8803" spans="1:1" x14ac:dyDescent="0.25">
      <c r="A8803" s="76" t="s">
        <v>4216</v>
      </c>
    </row>
    <row r="8804" spans="1:1" x14ac:dyDescent="0.25">
      <c r="A8804" s="29" t="s">
        <v>4217</v>
      </c>
    </row>
    <row r="8805" spans="1:1" x14ac:dyDescent="0.25">
      <c r="A8805" s="76" t="s">
        <v>4218</v>
      </c>
    </row>
    <row r="8806" spans="1:1" x14ac:dyDescent="0.25">
      <c r="A8806" s="29" t="s">
        <v>4219</v>
      </c>
    </row>
    <row r="8807" spans="1:1" x14ac:dyDescent="0.25">
      <c r="A8807" s="76" t="s">
        <v>4220</v>
      </c>
    </row>
    <row r="8808" spans="1:1" x14ac:dyDescent="0.25">
      <c r="A8808" s="29" t="s">
        <v>4221</v>
      </c>
    </row>
    <row r="8809" spans="1:1" x14ac:dyDescent="0.25">
      <c r="A8809" s="76" t="s">
        <v>4222</v>
      </c>
    </row>
    <row r="8810" spans="1:1" x14ac:dyDescent="0.25">
      <c r="A8810" s="29" t="s">
        <v>4223</v>
      </c>
    </row>
    <row r="8811" spans="1:1" x14ac:dyDescent="0.25">
      <c r="A8811" s="76" t="s">
        <v>4224</v>
      </c>
    </row>
    <row r="8812" spans="1:1" x14ac:dyDescent="0.25">
      <c r="A8812" s="29" t="s">
        <v>4225</v>
      </c>
    </row>
    <row r="8813" spans="1:1" x14ac:dyDescent="0.25">
      <c r="A8813" s="76" t="s">
        <v>4226</v>
      </c>
    </row>
    <row r="8814" spans="1:1" x14ac:dyDescent="0.25">
      <c r="A8814" s="29" t="s">
        <v>4227</v>
      </c>
    </row>
    <row r="8815" spans="1:1" x14ac:dyDescent="0.25">
      <c r="A8815" s="76" t="s">
        <v>4228</v>
      </c>
    </row>
    <row r="8816" spans="1:1" x14ac:dyDescent="0.25">
      <c r="A8816" s="29" t="s">
        <v>4229</v>
      </c>
    </row>
    <row r="8817" spans="1:1" x14ac:dyDescent="0.25">
      <c r="A8817" s="76" t="s">
        <v>4230</v>
      </c>
    </row>
    <row r="8818" spans="1:1" x14ac:dyDescent="0.25">
      <c r="A8818" s="29" t="s">
        <v>4231</v>
      </c>
    </row>
    <row r="8819" spans="1:1" x14ac:dyDescent="0.25">
      <c r="A8819" s="76" t="s">
        <v>4232</v>
      </c>
    </row>
    <row r="8820" spans="1:1" x14ac:dyDescent="0.25">
      <c r="A8820" s="29" t="s">
        <v>4233</v>
      </c>
    </row>
    <row r="8821" spans="1:1" x14ac:dyDescent="0.25">
      <c r="A8821" s="76" t="s">
        <v>4234</v>
      </c>
    </row>
    <row r="8822" spans="1:1" x14ac:dyDescent="0.25">
      <c r="A8822" s="29" t="s">
        <v>4235</v>
      </c>
    </row>
    <row r="8823" spans="1:1" x14ac:dyDescent="0.25">
      <c r="A8823" s="76" t="s">
        <v>4236</v>
      </c>
    </row>
    <row r="8824" spans="1:1" x14ac:dyDescent="0.25">
      <c r="A8824" s="29" t="s">
        <v>4237</v>
      </c>
    </row>
    <row r="8825" spans="1:1" x14ac:dyDescent="0.25">
      <c r="A8825" s="76" t="s">
        <v>4238</v>
      </c>
    </row>
    <row r="8826" spans="1:1" x14ac:dyDescent="0.25">
      <c r="A8826" s="29" t="s">
        <v>4239</v>
      </c>
    </row>
    <row r="8827" spans="1:1" x14ac:dyDescent="0.25">
      <c r="A8827" s="76" t="s">
        <v>4240</v>
      </c>
    </row>
    <row r="8828" spans="1:1" x14ac:dyDescent="0.25">
      <c r="A8828" s="76" t="s">
        <v>4241</v>
      </c>
    </row>
    <row r="8829" spans="1:1" x14ac:dyDescent="0.25">
      <c r="A8829" s="76" t="s">
        <v>4242</v>
      </c>
    </row>
    <row r="8830" spans="1:1" x14ac:dyDescent="0.25">
      <c r="A8830" s="108" t="s">
        <v>4243</v>
      </c>
    </row>
    <row r="8831" spans="1:1" x14ac:dyDescent="0.25">
      <c r="A8831" s="108" t="s">
        <v>4244</v>
      </c>
    </row>
    <row r="8832" spans="1:1" x14ac:dyDescent="0.25">
      <c r="A8832" s="29" t="s">
        <v>4245</v>
      </c>
    </row>
    <row r="8833" spans="1:1" x14ac:dyDescent="0.25">
      <c r="A8833" s="76" t="s">
        <v>4246</v>
      </c>
    </row>
    <row r="8834" spans="1:1" x14ac:dyDescent="0.25">
      <c r="A8834" s="29" t="s">
        <v>4247</v>
      </c>
    </row>
    <row r="8835" spans="1:1" x14ac:dyDescent="0.25">
      <c r="A8835" s="76" t="s">
        <v>4248</v>
      </c>
    </row>
    <row r="8836" spans="1:1" x14ac:dyDescent="0.25">
      <c r="A8836" s="76" t="s">
        <v>4249</v>
      </c>
    </row>
    <row r="8837" spans="1:1" x14ac:dyDescent="0.25">
      <c r="A8837" s="76" t="s">
        <v>4250</v>
      </c>
    </row>
    <row r="8838" spans="1:1" x14ac:dyDescent="0.25">
      <c r="A8838" s="108" t="s">
        <v>4251</v>
      </c>
    </row>
    <row r="8839" spans="1:1" x14ac:dyDescent="0.25">
      <c r="A8839" s="108" t="s">
        <v>4252</v>
      </c>
    </row>
    <row r="8840" spans="1:1" x14ac:dyDescent="0.25">
      <c r="A8840" s="29" t="s">
        <v>4253</v>
      </c>
    </row>
    <row r="8841" spans="1:1" x14ac:dyDescent="0.25">
      <c r="A8841" s="76" t="s">
        <v>4254</v>
      </c>
    </row>
    <row r="8842" spans="1:1" x14ac:dyDescent="0.25">
      <c r="A8842" s="29" t="s">
        <v>4255</v>
      </c>
    </row>
    <row r="8843" spans="1:1" x14ac:dyDescent="0.25">
      <c r="A8843" s="76" t="s">
        <v>4256</v>
      </c>
    </row>
    <row r="8844" spans="1:1" x14ac:dyDescent="0.25">
      <c r="A8844" s="76" t="s">
        <v>4257</v>
      </c>
    </row>
    <row r="8845" spans="1:1" x14ac:dyDescent="0.25">
      <c r="A8845" s="76" t="s">
        <v>4258</v>
      </c>
    </row>
    <row r="8846" spans="1:1" x14ac:dyDescent="0.25">
      <c r="A8846" s="108" t="s">
        <v>4259</v>
      </c>
    </row>
    <row r="8847" spans="1:1" x14ac:dyDescent="0.25">
      <c r="A8847" s="108" t="s">
        <v>4260</v>
      </c>
    </row>
    <row r="8848" spans="1:1" x14ac:dyDescent="0.25">
      <c r="A8848" s="29" t="s">
        <v>4261</v>
      </c>
    </row>
    <row r="8849" spans="1:1" x14ac:dyDescent="0.25">
      <c r="A8849" s="76" t="s">
        <v>4262</v>
      </c>
    </row>
    <row r="8850" spans="1:1" x14ac:dyDescent="0.25">
      <c r="A8850" s="29" t="s">
        <v>4263</v>
      </c>
    </row>
    <row r="8851" spans="1:1" x14ac:dyDescent="0.25">
      <c r="A8851" s="76" t="s">
        <v>4264</v>
      </c>
    </row>
    <row r="8852" spans="1:1" x14ac:dyDescent="0.25">
      <c r="A8852" s="76" t="s">
        <v>4265</v>
      </c>
    </row>
    <row r="8853" spans="1:1" x14ac:dyDescent="0.25">
      <c r="A8853" s="76" t="s">
        <v>4266</v>
      </c>
    </row>
    <row r="8854" spans="1:1" x14ac:dyDescent="0.25">
      <c r="A8854" s="108" t="s">
        <v>4267</v>
      </c>
    </row>
    <row r="8855" spans="1:1" x14ac:dyDescent="0.25">
      <c r="A8855" s="108" t="s">
        <v>4268</v>
      </c>
    </row>
    <row r="8856" spans="1:1" x14ac:dyDescent="0.25">
      <c r="A8856" s="29" t="s">
        <v>4269</v>
      </c>
    </row>
    <row r="8857" spans="1:1" x14ac:dyDescent="0.25">
      <c r="A8857" s="76" t="s">
        <v>4270</v>
      </c>
    </row>
    <row r="8858" spans="1:1" x14ac:dyDescent="0.25">
      <c r="A8858" s="29" t="s">
        <v>4271</v>
      </c>
    </row>
    <row r="8859" spans="1:1" x14ac:dyDescent="0.25">
      <c r="A8859" s="76" t="s">
        <v>4272</v>
      </c>
    </row>
    <row r="8860" spans="1:1" x14ac:dyDescent="0.25">
      <c r="A8860" s="76" t="s">
        <v>4273</v>
      </c>
    </row>
    <row r="8861" spans="1:1" x14ac:dyDescent="0.25">
      <c r="A8861" s="76" t="s">
        <v>4274</v>
      </c>
    </row>
    <row r="8862" spans="1:1" x14ac:dyDescent="0.25">
      <c r="A8862" s="108" t="s">
        <v>4275</v>
      </c>
    </row>
    <row r="8863" spans="1:1" x14ac:dyDescent="0.25">
      <c r="A8863" s="108" t="s">
        <v>4276</v>
      </c>
    </row>
    <row r="8864" spans="1:1" x14ac:dyDescent="0.25">
      <c r="A8864" s="29" t="s">
        <v>4277</v>
      </c>
    </row>
    <row r="8865" spans="1:1" x14ac:dyDescent="0.25">
      <c r="A8865" s="76" t="s">
        <v>4278</v>
      </c>
    </row>
    <row r="8866" spans="1:1" x14ac:dyDescent="0.25">
      <c r="A8866" s="29" t="s">
        <v>4279</v>
      </c>
    </row>
    <row r="8867" spans="1:1" x14ac:dyDescent="0.25">
      <c r="A8867" s="76" t="s">
        <v>4280</v>
      </c>
    </row>
    <row r="8868" spans="1:1" x14ac:dyDescent="0.25">
      <c r="A8868" s="76" t="s">
        <v>4281</v>
      </c>
    </row>
    <row r="8869" spans="1:1" x14ac:dyDescent="0.25">
      <c r="A8869" s="76" t="s">
        <v>4282</v>
      </c>
    </row>
    <row r="8870" spans="1:1" x14ac:dyDescent="0.25">
      <c r="A8870" s="108" t="s">
        <v>4283</v>
      </c>
    </row>
    <row r="8871" spans="1:1" x14ac:dyDescent="0.25">
      <c r="A8871" s="108" t="s">
        <v>4284</v>
      </c>
    </row>
    <row r="8872" spans="1:1" x14ac:dyDescent="0.25">
      <c r="A8872" s="29" t="s">
        <v>4285</v>
      </c>
    </row>
    <row r="8873" spans="1:1" x14ac:dyDescent="0.25">
      <c r="A8873" s="76" t="s">
        <v>4286</v>
      </c>
    </row>
    <row r="8874" spans="1:1" x14ac:dyDescent="0.25">
      <c r="A8874" s="29" t="s">
        <v>4287</v>
      </c>
    </row>
    <row r="8875" spans="1:1" x14ac:dyDescent="0.25">
      <c r="A8875" s="76" t="s">
        <v>4288</v>
      </c>
    </row>
    <row r="8876" spans="1:1" x14ac:dyDescent="0.25">
      <c r="A8876" s="29" t="s">
        <v>4289</v>
      </c>
    </row>
    <row r="8877" spans="1:1" x14ac:dyDescent="0.25">
      <c r="A8877" s="76" t="s">
        <v>4290</v>
      </c>
    </row>
    <row r="8878" spans="1:1" x14ac:dyDescent="0.25">
      <c r="A8878" s="29" t="s">
        <v>4291</v>
      </c>
    </row>
    <row r="8879" spans="1:1" x14ac:dyDescent="0.25">
      <c r="A8879" s="108" t="s">
        <v>4292</v>
      </c>
    </row>
    <row r="8880" spans="1:1" x14ac:dyDescent="0.25">
      <c r="A8880" s="76" t="s">
        <v>4293</v>
      </c>
    </row>
    <row r="8881" spans="1:1" x14ac:dyDescent="0.25">
      <c r="A8881" s="76" t="s">
        <v>4294</v>
      </c>
    </row>
    <row r="8882" spans="1:1" x14ac:dyDescent="0.25">
      <c r="A8882" s="29" t="s">
        <v>4295</v>
      </c>
    </row>
    <row r="8883" spans="1:1" x14ac:dyDescent="0.25">
      <c r="A8883" s="76" t="s">
        <v>4296</v>
      </c>
    </row>
    <row r="8884" spans="1:1" x14ac:dyDescent="0.25">
      <c r="A8884" s="29" t="s">
        <v>4297</v>
      </c>
    </row>
    <row r="8885" spans="1:1" x14ac:dyDescent="0.25">
      <c r="A8885" s="76" t="s">
        <v>4298</v>
      </c>
    </row>
    <row r="8886" spans="1:1" x14ac:dyDescent="0.25">
      <c r="A8886" s="29" t="s">
        <v>4299</v>
      </c>
    </row>
    <row r="8887" spans="1:1" x14ac:dyDescent="0.25">
      <c r="A8887" s="76" t="s">
        <v>4300</v>
      </c>
    </row>
    <row r="8888" spans="1:1" x14ac:dyDescent="0.25">
      <c r="A8888" s="29" t="s">
        <v>4301</v>
      </c>
    </row>
    <row r="8889" spans="1:1" x14ac:dyDescent="0.25">
      <c r="A8889" s="76" t="s">
        <v>4302</v>
      </c>
    </row>
    <row r="8890" spans="1:1" x14ac:dyDescent="0.25">
      <c r="A8890" s="29" t="s">
        <v>4303</v>
      </c>
    </row>
    <row r="8891" spans="1:1" x14ac:dyDescent="0.25">
      <c r="A8891" s="76" t="s">
        <v>4304</v>
      </c>
    </row>
    <row r="8892" spans="1:1" x14ac:dyDescent="0.25">
      <c r="A8892" s="29" t="s">
        <v>4305</v>
      </c>
    </row>
    <row r="8893" spans="1:1" x14ac:dyDescent="0.25">
      <c r="A8893" s="108" t="s">
        <v>4306</v>
      </c>
    </row>
    <row r="8894" spans="1:1" x14ac:dyDescent="0.25">
      <c r="A8894" s="76" t="s">
        <v>4307</v>
      </c>
    </row>
    <row r="8895" spans="1:1" x14ac:dyDescent="0.25">
      <c r="A8895" s="76" t="s">
        <v>4308</v>
      </c>
    </row>
    <row r="8896" spans="1:1" x14ac:dyDescent="0.25">
      <c r="A8896" s="29" t="s">
        <v>4309</v>
      </c>
    </row>
    <row r="8897" spans="1:1" x14ac:dyDescent="0.25">
      <c r="A8897" s="76" t="s">
        <v>4310</v>
      </c>
    </row>
    <row r="8898" spans="1:1" x14ac:dyDescent="0.25">
      <c r="A8898" s="29" t="s">
        <v>4311</v>
      </c>
    </row>
    <row r="8899" spans="1:1" x14ac:dyDescent="0.25">
      <c r="A8899" s="76" t="s">
        <v>4312</v>
      </c>
    </row>
    <row r="8900" spans="1:1" x14ac:dyDescent="0.25">
      <c r="A8900" s="29" t="s">
        <v>4313</v>
      </c>
    </row>
    <row r="8901" spans="1:1" x14ac:dyDescent="0.25">
      <c r="A8901" s="76" t="s">
        <v>4314</v>
      </c>
    </row>
    <row r="8902" spans="1:1" x14ac:dyDescent="0.25">
      <c r="A8902" s="29" t="s">
        <v>4315</v>
      </c>
    </row>
    <row r="8903" spans="1:1" x14ac:dyDescent="0.25">
      <c r="A8903" s="76" t="s">
        <v>4316</v>
      </c>
    </row>
    <row r="8904" spans="1:1" x14ac:dyDescent="0.25">
      <c r="A8904" s="29" t="s">
        <v>4317</v>
      </c>
    </row>
    <row r="8905" spans="1:1" x14ac:dyDescent="0.25">
      <c r="A8905" s="76" t="s">
        <v>4318</v>
      </c>
    </row>
    <row r="8906" spans="1:1" x14ac:dyDescent="0.25">
      <c r="A8906" s="29" t="s">
        <v>4319</v>
      </c>
    </row>
    <row r="8907" spans="1:1" x14ac:dyDescent="0.25">
      <c r="A8907" s="76" t="s">
        <v>4320</v>
      </c>
    </row>
    <row r="8908" spans="1:1" x14ac:dyDescent="0.25">
      <c r="A8908" s="29" t="s">
        <v>4321</v>
      </c>
    </row>
    <row r="8909" spans="1:1" x14ac:dyDescent="0.25">
      <c r="A8909" s="76" t="s">
        <v>4322</v>
      </c>
    </row>
    <row r="8910" spans="1:1" x14ac:dyDescent="0.25">
      <c r="A8910" s="29" t="s">
        <v>4323</v>
      </c>
    </row>
    <row r="8911" spans="1:1" x14ac:dyDescent="0.25">
      <c r="A8911" s="76" t="s">
        <v>4324</v>
      </c>
    </row>
    <row r="8912" spans="1:1" x14ac:dyDescent="0.25">
      <c r="A8912" s="29" t="s">
        <v>4325</v>
      </c>
    </row>
    <row r="8913" spans="1:1" x14ac:dyDescent="0.25">
      <c r="A8913" s="76" t="s">
        <v>4326</v>
      </c>
    </row>
    <row r="8914" spans="1:1" x14ac:dyDescent="0.25">
      <c r="A8914" s="29" t="s">
        <v>4327</v>
      </c>
    </row>
    <row r="8915" spans="1:1" x14ac:dyDescent="0.25">
      <c r="A8915" s="76" t="s">
        <v>4328</v>
      </c>
    </row>
    <row r="8916" spans="1:1" x14ac:dyDescent="0.25">
      <c r="A8916" s="29" t="s">
        <v>4329</v>
      </c>
    </row>
    <row r="8917" spans="1:1" x14ac:dyDescent="0.25">
      <c r="A8917" s="76" t="s">
        <v>4330</v>
      </c>
    </row>
    <row r="8918" spans="1:1" x14ac:dyDescent="0.25">
      <c r="A8918" s="29" t="s">
        <v>4331</v>
      </c>
    </row>
    <row r="8919" spans="1:1" x14ac:dyDescent="0.25">
      <c r="A8919" s="76" t="s">
        <v>4332</v>
      </c>
    </row>
    <row r="8920" spans="1:1" x14ac:dyDescent="0.25">
      <c r="A8920" s="29" t="s">
        <v>4333</v>
      </c>
    </row>
    <row r="8921" spans="1:1" x14ac:dyDescent="0.25">
      <c r="A8921" s="76" t="s">
        <v>4334</v>
      </c>
    </row>
    <row r="8922" spans="1:1" x14ac:dyDescent="0.25">
      <c r="A8922" s="29" t="s">
        <v>4335</v>
      </c>
    </row>
    <row r="8923" spans="1:1" x14ac:dyDescent="0.25">
      <c r="A8923" s="108" t="s">
        <v>4336</v>
      </c>
    </row>
    <row r="8924" spans="1:1" x14ac:dyDescent="0.25">
      <c r="A8924" s="76" t="s">
        <v>4337</v>
      </c>
    </row>
    <row r="8925" spans="1:1" x14ac:dyDescent="0.25">
      <c r="A8925" s="76" t="s">
        <v>4338</v>
      </c>
    </row>
    <row r="8926" spans="1:1" x14ac:dyDescent="0.25">
      <c r="A8926" s="29" t="s">
        <v>4339</v>
      </c>
    </row>
    <row r="8927" spans="1:1" x14ac:dyDescent="0.25">
      <c r="A8927" s="76" t="s">
        <v>4340</v>
      </c>
    </row>
    <row r="8928" spans="1:1" x14ac:dyDescent="0.25">
      <c r="A8928" s="29" t="s">
        <v>4341</v>
      </c>
    </row>
    <row r="8929" spans="1:1" x14ac:dyDescent="0.25">
      <c r="A8929" s="108" t="s">
        <v>4342</v>
      </c>
    </row>
    <row r="8930" spans="1:1" x14ac:dyDescent="0.25">
      <c r="A8930" s="76" t="s">
        <v>4343</v>
      </c>
    </row>
    <row r="8931" spans="1:1" x14ac:dyDescent="0.25">
      <c r="A8931" s="76" t="s">
        <v>4344</v>
      </c>
    </row>
    <row r="8932" spans="1:1" x14ac:dyDescent="0.25">
      <c r="A8932" s="29" t="s">
        <v>4345</v>
      </c>
    </row>
    <row r="8933" spans="1:1" x14ac:dyDescent="0.25">
      <c r="A8933" s="76" t="s">
        <v>4346</v>
      </c>
    </row>
    <row r="8934" spans="1:1" x14ac:dyDescent="0.25">
      <c r="A8934" s="29" t="s">
        <v>4347</v>
      </c>
    </row>
    <row r="8935" spans="1:1" x14ac:dyDescent="0.25">
      <c r="A8935" s="76" t="s">
        <v>4348</v>
      </c>
    </row>
    <row r="8936" spans="1:1" x14ac:dyDescent="0.25">
      <c r="A8936" s="29" t="s">
        <v>4349</v>
      </c>
    </row>
    <row r="8937" spans="1:1" x14ac:dyDescent="0.25">
      <c r="A8937" s="76" t="s">
        <v>4350</v>
      </c>
    </row>
    <row r="8938" spans="1:1" x14ac:dyDescent="0.25">
      <c r="A8938" s="29" t="s">
        <v>4351</v>
      </c>
    </row>
    <row r="8939" spans="1:1" x14ac:dyDescent="0.25">
      <c r="A8939" s="76" t="s">
        <v>4352</v>
      </c>
    </row>
    <row r="8940" spans="1:1" x14ac:dyDescent="0.25">
      <c r="A8940" s="29" t="s">
        <v>4353</v>
      </c>
    </row>
    <row r="8941" spans="1:1" x14ac:dyDescent="0.25">
      <c r="A8941" s="76" t="s">
        <v>4354</v>
      </c>
    </row>
    <row r="8942" spans="1:1" x14ac:dyDescent="0.25">
      <c r="A8942" s="29" t="s">
        <v>4355</v>
      </c>
    </row>
    <row r="8943" spans="1:1" x14ac:dyDescent="0.25">
      <c r="A8943" s="76" t="s">
        <v>4356</v>
      </c>
    </row>
    <row r="8944" spans="1:1" x14ac:dyDescent="0.25">
      <c r="A8944" s="29" t="s">
        <v>4357</v>
      </c>
    </row>
    <row r="8945" spans="1:1" x14ac:dyDescent="0.25">
      <c r="A8945" s="108" t="s">
        <v>4358</v>
      </c>
    </row>
    <row r="8946" spans="1:1" x14ac:dyDescent="0.25">
      <c r="A8946" s="76" t="s">
        <v>4359</v>
      </c>
    </row>
    <row r="8947" spans="1:1" x14ac:dyDescent="0.25">
      <c r="A8947" s="76" t="s">
        <v>4360</v>
      </c>
    </row>
    <row r="8948" spans="1:1" x14ac:dyDescent="0.25">
      <c r="A8948" s="29" t="s">
        <v>4361</v>
      </c>
    </row>
    <row r="8949" spans="1:1" x14ac:dyDescent="0.25">
      <c r="A8949" s="76" t="s">
        <v>4362</v>
      </c>
    </row>
    <row r="8950" spans="1:1" x14ac:dyDescent="0.25">
      <c r="A8950" s="29" t="s">
        <v>4363</v>
      </c>
    </row>
    <row r="8951" spans="1:1" x14ac:dyDescent="0.25">
      <c r="A8951" s="76" t="s">
        <v>4364</v>
      </c>
    </row>
    <row r="8952" spans="1:1" x14ac:dyDescent="0.25">
      <c r="A8952" s="76" t="s">
        <v>4365</v>
      </c>
    </row>
    <row r="8953" spans="1:1" x14ac:dyDescent="0.25">
      <c r="A8953" s="76" t="s">
        <v>4366</v>
      </c>
    </row>
    <row r="8954" spans="1:1" x14ac:dyDescent="0.25">
      <c r="A8954" s="108" t="s">
        <v>4367</v>
      </c>
    </row>
    <row r="8955" spans="1:1" x14ac:dyDescent="0.25">
      <c r="A8955" s="108" t="s">
        <v>4368</v>
      </c>
    </row>
    <row r="8956" spans="1:1" x14ac:dyDescent="0.25">
      <c r="A8956" s="29" t="s">
        <v>4369</v>
      </c>
    </row>
    <row r="8957" spans="1:1" x14ac:dyDescent="0.25">
      <c r="A8957" s="76" t="s">
        <v>4370</v>
      </c>
    </row>
    <row r="8958" spans="1:1" x14ac:dyDescent="0.25">
      <c r="A8958" s="29" t="s">
        <v>4371</v>
      </c>
    </row>
    <row r="8959" spans="1:1" x14ac:dyDescent="0.25">
      <c r="A8959" s="76" t="s">
        <v>4372</v>
      </c>
    </row>
    <row r="8960" spans="1:1" x14ac:dyDescent="0.25">
      <c r="A8960" s="76" t="s">
        <v>4373</v>
      </c>
    </row>
    <row r="8961" spans="1:1" x14ac:dyDescent="0.25">
      <c r="A8961" s="76" t="s">
        <v>4374</v>
      </c>
    </row>
    <row r="8962" spans="1:1" x14ac:dyDescent="0.25">
      <c r="A8962" s="108" t="s">
        <v>4375</v>
      </c>
    </row>
    <row r="8963" spans="1:1" x14ac:dyDescent="0.25">
      <c r="A8963" s="108" t="s">
        <v>4376</v>
      </c>
    </row>
    <row r="8964" spans="1:1" x14ac:dyDescent="0.25">
      <c r="A8964" s="29" t="s">
        <v>4377</v>
      </c>
    </row>
    <row r="8965" spans="1:1" x14ac:dyDescent="0.25">
      <c r="A8965" s="76" t="s">
        <v>4378</v>
      </c>
    </row>
    <row r="8966" spans="1:1" x14ac:dyDescent="0.25">
      <c r="A8966" s="29" t="s">
        <v>4379</v>
      </c>
    </row>
    <row r="8967" spans="1:1" x14ac:dyDescent="0.25">
      <c r="A8967" s="76" t="s">
        <v>4380</v>
      </c>
    </row>
    <row r="8968" spans="1:1" x14ac:dyDescent="0.25">
      <c r="A8968" s="76" t="s">
        <v>4381</v>
      </c>
    </row>
    <row r="8969" spans="1:1" x14ac:dyDescent="0.25">
      <c r="A8969" s="76" t="s">
        <v>4382</v>
      </c>
    </row>
    <row r="8970" spans="1:1" x14ac:dyDescent="0.25">
      <c r="A8970" s="108" t="s">
        <v>4383</v>
      </c>
    </row>
    <row r="8971" spans="1:1" x14ac:dyDescent="0.25">
      <c r="A8971" s="108" t="s">
        <v>4384</v>
      </c>
    </row>
    <row r="8972" spans="1:1" x14ac:dyDescent="0.25">
      <c r="A8972" s="29" t="s">
        <v>4385</v>
      </c>
    </row>
    <row r="8973" spans="1:1" x14ac:dyDescent="0.25">
      <c r="A8973" s="76" t="s">
        <v>4386</v>
      </c>
    </row>
    <row r="8974" spans="1:1" x14ac:dyDescent="0.25">
      <c r="A8974" s="29" t="s">
        <v>4387</v>
      </c>
    </row>
    <row r="8975" spans="1:1" x14ac:dyDescent="0.25">
      <c r="A8975" s="76" t="s">
        <v>4388</v>
      </c>
    </row>
    <row r="8976" spans="1:1" x14ac:dyDescent="0.25">
      <c r="A8976" s="76" t="s">
        <v>4389</v>
      </c>
    </row>
    <row r="8977" spans="1:1" x14ac:dyDescent="0.25">
      <c r="A8977" s="76" t="s">
        <v>4390</v>
      </c>
    </row>
    <row r="8978" spans="1:1" x14ac:dyDescent="0.25">
      <c r="A8978" s="108" t="s">
        <v>4391</v>
      </c>
    </row>
    <row r="8979" spans="1:1" x14ac:dyDescent="0.25">
      <c r="A8979" s="108" t="s">
        <v>4392</v>
      </c>
    </row>
    <row r="8980" spans="1:1" x14ac:dyDescent="0.25">
      <c r="A8980" s="29" t="s">
        <v>4393</v>
      </c>
    </row>
    <row r="8981" spans="1:1" x14ac:dyDescent="0.25">
      <c r="A8981" s="76" t="s">
        <v>4394</v>
      </c>
    </row>
    <row r="8982" spans="1:1" x14ac:dyDescent="0.25">
      <c r="A8982" s="29" t="s">
        <v>4395</v>
      </c>
    </row>
    <row r="8983" spans="1:1" x14ac:dyDescent="0.25">
      <c r="A8983" s="76" t="s">
        <v>4396</v>
      </c>
    </row>
    <row r="8984" spans="1:1" x14ac:dyDescent="0.25">
      <c r="A8984" s="76" t="s">
        <v>4397</v>
      </c>
    </row>
    <row r="8985" spans="1:1" x14ac:dyDescent="0.25">
      <c r="A8985" s="76" t="s">
        <v>4398</v>
      </c>
    </row>
    <row r="8986" spans="1:1" x14ac:dyDescent="0.25">
      <c r="A8986" s="108" t="s">
        <v>4399</v>
      </c>
    </row>
    <row r="8987" spans="1:1" x14ac:dyDescent="0.25">
      <c r="A8987" s="108" t="s">
        <v>4400</v>
      </c>
    </row>
    <row r="8988" spans="1:1" x14ac:dyDescent="0.25">
      <c r="A8988" s="29" t="s">
        <v>4401</v>
      </c>
    </row>
    <row r="8989" spans="1:1" x14ac:dyDescent="0.25">
      <c r="A8989" s="76" t="s">
        <v>4402</v>
      </c>
    </row>
    <row r="8990" spans="1:1" x14ac:dyDescent="0.25">
      <c r="A8990" s="29" t="s">
        <v>4403</v>
      </c>
    </row>
    <row r="8991" spans="1:1" x14ac:dyDescent="0.25">
      <c r="A8991" s="76" t="s">
        <v>4404</v>
      </c>
    </row>
    <row r="8992" spans="1:1" x14ac:dyDescent="0.25">
      <c r="A8992" s="76" t="s">
        <v>4405</v>
      </c>
    </row>
    <row r="8993" spans="1:1" x14ac:dyDescent="0.25">
      <c r="A8993" s="76" t="s">
        <v>4406</v>
      </c>
    </row>
    <row r="8994" spans="1:1" x14ac:dyDescent="0.25">
      <c r="A8994" s="108" t="s">
        <v>4407</v>
      </c>
    </row>
    <row r="8995" spans="1:1" x14ac:dyDescent="0.25">
      <c r="A8995" s="108" t="s">
        <v>4408</v>
      </c>
    </row>
    <row r="8996" spans="1:1" x14ac:dyDescent="0.25">
      <c r="A8996" s="29" t="s">
        <v>4409</v>
      </c>
    </row>
    <row r="8997" spans="1:1" x14ac:dyDescent="0.25">
      <c r="A8997" s="76" t="s">
        <v>4410</v>
      </c>
    </row>
    <row r="8998" spans="1:1" x14ac:dyDescent="0.25">
      <c r="A8998" s="29" t="s">
        <v>4411</v>
      </c>
    </row>
    <row r="8999" spans="1:1" x14ac:dyDescent="0.25">
      <c r="A8999" s="76" t="s">
        <v>4412</v>
      </c>
    </row>
    <row r="9000" spans="1:1" x14ac:dyDescent="0.25">
      <c r="A9000" s="29" t="s">
        <v>4413</v>
      </c>
    </row>
    <row r="9001" spans="1:1" x14ac:dyDescent="0.25">
      <c r="A9001" s="76" t="s">
        <v>4414</v>
      </c>
    </row>
    <row r="9002" spans="1:1" x14ac:dyDescent="0.25">
      <c r="A9002" s="29" t="s">
        <v>4415</v>
      </c>
    </row>
    <row r="9003" spans="1:1" x14ac:dyDescent="0.25">
      <c r="A9003" s="76" t="s">
        <v>4416</v>
      </c>
    </row>
    <row r="9004" spans="1:1" x14ac:dyDescent="0.25">
      <c r="A9004" s="29" t="s">
        <v>4417</v>
      </c>
    </row>
    <row r="9005" spans="1:1" x14ac:dyDescent="0.25">
      <c r="A9005" s="76" t="s">
        <v>4418</v>
      </c>
    </row>
    <row r="9006" spans="1:1" x14ac:dyDescent="0.25">
      <c r="A9006" s="29" t="s">
        <v>4419</v>
      </c>
    </row>
    <row r="9007" spans="1:1" x14ac:dyDescent="0.25">
      <c r="A9007" s="76" t="s">
        <v>4420</v>
      </c>
    </row>
    <row r="9008" spans="1:1" x14ac:dyDescent="0.25">
      <c r="A9008" s="29" t="s">
        <v>4421</v>
      </c>
    </row>
    <row r="9009" spans="1:1" x14ac:dyDescent="0.25">
      <c r="A9009" s="76" t="s">
        <v>4422</v>
      </c>
    </row>
    <row r="9010" spans="1:1" x14ac:dyDescent="0.25">
      <c r="A9010" s="29" t="s">
        <v>4423</v>
      </c>
    </row>
    <row r="9011" spans="1:1" x14ac:dyDescent="0.25">
      <c r="A9011" s="76" t="s">
        <v>4424</v>
      </c>
    </row>
    <row r="9012" spans="1:1" x14ac:dyDescent="0.25">
      <c r="A9012" s="29" t="s">
        <v>4425</v>
      </c>
    </row>
    <row r="9013" spans="1:1" x14ac:dyDescent="0.25">
      <c r="A9013" s="76" t="s">
        <v>4426</v>
      </c>
    </row>
    <row r="9014" spans="1:1" x14ac:dyDescent="0.25">
      <c r="A9014" s="29" t="s">
        <v>4427</v>
      </c>
    </row>
    <row r="9015" spans="1:1" x14ac:dyDescent="0.25">
      <c r="A9015" s="76" t="s">
        <v>4428</v>
      </c>
    </row>
    <row r="9016" spans="1:1" x14ac:dyDescent="0.25">
      <c r="A9016" s="29" t="s">
        <v>4429</v>
      </c>
    </row>
    <row r="9017" spans="1:1" x14ac:dyDescent="0.25">
      <c r="A9017" s="108" t="s">
        <v>4430</v>
      </c>
    </row>
    <row r="9018" spans="1:1" x14ac:dyDescent="0.25">
      <c r="A9018" s="76" t="s">
        <v>4431</v>
      </c>
    </row>
    <row r="9019" spans="1:1" x14ac:dyDescent="0.25">
      <c r="A9019" s="76" t="s">
        <v>4432</v>
      </c>
    </row>
    <row r="9020" spans="1:1" x14ac:dyDescent="0.25">
      <c r="A9020" s="29" t="s">
        <v>4433</v>
      </c>
    </row>
    <row r="9021" spans="1:1" x14ac:dyDescent="0.25">
      <c r="A9021" s="76" t="s">
        <v>4434</v>
      </c>
    </row>
    <row r="9022" spans="1:1" x14ac:dyDescent="0.25">
      <c r="A9022" s="29" t="s">
        <v>4435</v>
      </c>
    </row>
    <row r="9023" spans="1:1" x14ac:dyDescent="0.25">
      <c r="A9023" s="76" t="s">
        <v>4436</v>
      </c>
    </row>
    <row r="9024" spans="1:1" x14ac:dyDescent="0.25">
      <c r="A9024" s="29" t="s">
        <v>4437</v>
      </c>
    </row>
    <row r="9025" spans="1:1" x14ac:dyDescent="0.25">
      <c r="A9025" s="76" t="s">
        <v>4438</v>
      </c>
    </row>
    <row r="9026" spans="1:1" x14ac:dyDescent="0.25">
      <c r="A9026" s="29" t="s">
        <v>4439</v>
      </c>
    </row>
    <row r="9027" spans="1:1" x14ac:dyDescent="0.25">
      <c r="A9027" s="76" t="s">
        <v>4440</v>
      </c>
    </row>
    <row r="9028" spans="1:1" x14ac:dyDescent="0.25">
      <c r="A9028" s="29" t="s">
        <v>4441</v>
      </c>
    </row>
    <row r="9029" spans="1:1" x14ac:dyDescent="0.25">
      <c r="A9029" s="76" t="s">
        <v>4442</v>
      </c>
    </row>
    <row r="9030" spans="1:1" x14ac:dyDescent="0.25">
      <c r="A9030" s="29" t="s">
        <v>4443</v>
      </c>
    </row>
    <row r="9031" spans="1:1" x14ac:dyDescent="0.25">
      <c r="A9031" s="76" t="s">
        <v>4444</v>
      </c>
    </row>
    <row r="9032" spans="1:1" x14ac:dyDescent="0.25">
      <c r="A9032" s="29" t="s">
        <v>4445</v>
      </c>
    </row>
    <row r="9033" spans="1:1" x14ac:dyDescent="0.25">
      <c r="A9033" s="76" t="s">
        <v>4446</v>
      </c>
    </row>
    <row r="9034" spans="1:1" x14ac:dyDescent="0.25">
      <c r="A9034" s="29" t="s">
        <v>4447</v>
      </c>
    </row>
    <row r="9035" spans="1:1" x14ac:dyDescent="0.25">
      <c r="A9035" s="76" t="s">
        <v>4448</v>
      </c>
    </row>
    <row r="9036" spans="1:1" x14ac:dyDescent="0.25">
      <c r="A9036" s="29" t="s">
        <v>4449</v>
      </c>
    </row>
    <row r="9037" spans="1:1" x14ac:dyDescent="0.25">
      <c r="A9037" s="76" t="s">
        <v>4450</v>
      </c>
    </row>
    <row r="9038" spans="1:1" x14ac:dyDescent="0.25">
      <c r="A9038" s="29" t="s">
        <v>4451</v>
      </c>
    </row>
    <row r="9039" spans="1:1" x14ac:dyDescent="0.25">
      <c r="A9039" s="76" t="s">
        <v>4452</v>
      </c>
    </row>
    <row r="9040" spans="1:1" x14ac:dyDescent="0.25">
      <c r="A9040" s="29" t="s">
        <v>4453</v>
      </c>
    </row>
    <row r="9041" spans="1:1" x14ac:dyDescent="0.25">
      <c r="A9041" s="76" t="s">
        <v>4454</v>
      </c>
    </row>
    <row r="9042" spans="1:1" x14ac:dyDescent="0.25">
      <c r="A9042" s="29" t="s">
        <v>4455</v>
      </c>
    </row>
    <row r="9043" spans="1:1" x14ac:dyDescent="0.25">
      <c r="A9043" s="76" t="s">
        <v>4456</v>
      </c>
    </row>
    <row r="9044" spans="1:1" x14ac:dyDescent="0.25">
      <c r="A9044" s="29" t="s">
        <v>4457</v>
      </c>
    </row>
    <row r="9045" spans="1:1" x14ac:dyDescent="0.25">
      <c r="A9045" s="76" t="s">
        <v>4458</v>
      </c>
    </row>
    <row r="9046" spans="1:1" x14ac:dyDescent="0.25">
      <c r="A9046" s="29" t="s">
        <v>4459</v>
      </c>
    </row>
    <row r="9047" spans="1:1" x14ac:dyDescent="0.25">
      <c r="A9047" s="76" t="s">
        <v>4460</v>
      </c>
    </row>
    <row r="9048" spans="1:1" x14ac:dyDescent="0.25">
      <c r="A9048" s="29" t="s">
        <v>4461</v>
      </c>
    </row>
    <row r="9049" spans="1:1" x14ac:dyDescent="0.25">
      <c r="A9049" s="76" t="s">
        <v>4462</v>
      </c>
    </row>
    <row r="9050" spans="1:1" x14ac:dyDescent="0.25">
      <c r="A9050" s="29" t="s">
        <v>4463</v>
      </c>
    </row>
    <row r="9051" spans="1:1" x14ac:dyDescent="0.25">
      <c r="A9051" s="76" t="s">
        <v>4464</v>
      </c>
    </row>
    <row r="9052" spans="1:1" x14ac:dyDescent="0.25">
      <c r="A9052" s="29" t="s">
        <v>4465</v>
      </c>
    </row>
    <row r="9053" spans="1:1" x14ac:dyDescent="0.25">
      <c r="A9053" s="76" t="s">
        <v>4466</v>
      </c>
    </row>
    <row r="9054" spans="1:1" x14ac:dyDescent="0.25">
      <c r="A9054" s="29" t="s">
        <v>4467</v>
      </c>
    </row>
    <row r="9055" spans="1:1" x14ac:dyDescent="0.25">
      <c r="A9055" s="76" t="s">
        <v>4468</v>
      </c>
    </row>
    <row r="9056" spans="1:1" x14ac:dyDescent="0.25">
      <c r="A9056" s="29" t="s">
        <v>4469</v>
      </c>
    </row>
    <row r="9057" spans="1:1" x14ac:dyDescent="0.25">
      <c r="A9057" s="76" t="s">
        <v>4470</v>
      </c>
    </row>
    <row r="9058" spans="1:1" x14ac:dyDescent="0.25">
      <c r="A9058" s="29" t="s">
        <v>4471</v>
      </c>
    </row>
    <row r="9059" spans="1:1" x14ac:dyDescent="0.25">
      <c r="A9059" s="108" t="s">
        <v>4472</v>
      </c>
    </row>
    <row r="9060" spans="1:1" x14ac:dyDescent="0.25">
      <c r="A9060" s="76" t="s">
        <v>4473</v>
      </c>
    </row>
    <row r="9061" spans="1:1" x14ac:dyDescent="0.25">
      <c r="A9061" s="76" t="s">
        <v>4474</v>
      </c>
    </row>
    <row r="9062" spans="1:1" x14ac:dyDescent="0.25">
      <c r="A9062" s="29" t="s">
        <v>4475</v>
      </c>
    </row>
    <row r="9063" spans="1:1" x14ac:dyDescent="0.25">
      <c r="A9063" s="76" t="s">
        <v>4476</v>
      </c>
    </row>
    <row r="9064" spans="1:1" x14ac:dyDescent="0.25">
      <c r="A9064" s="29" t="s">
        <v>4477</v>
      </c>
    </row>
    <row r="9065" spans="1:1" x14ac:dyDescent="0.25">
      <c r="A9065" s="76" t="s">
        <v>4478</v>
      </c>
    </row>
    <row r="9066" spans="1:1" x14ac:dyDescent="0.25">
      <c r="A9066" s="29" t="s">
        <v>4479</v>
      </c>
    </row>
    <row r="9067" spans="1:1" x14ac:dyDescent="0.25">
      <c r="A9067" s="76" t="s">
        <v>4480</v>
      </c>
    </row>
    <row r="9068" spans="1:1" x14ac:dyDescent="0.25">
      <c r="A9068" s="29" t="s">
        <v>4481</v>
      </c>
    </row>
    <row r="9069" spans="1:1" x14ac:dyDescent="0.25">
      <c r="A9069" s="76" t="s">
        <v>4482</v>
      </c>
    </row>
    <row r="9070" spans="1:1" x14ac:dyDescent="0.25">
      <c r="A9070" s="29" t="s">
        <v>4483</v>
      </c>
    </row>
    <row r="9071" spans="1:1" x14ac:dyDescent="0.25">
      <c r="A9071" s="76" t="s">
        <v>4484</v>
      </c>
    </row>
    <row r="9072" spans="1:1" x14ac:dyDescent="0.25">
      <c r="A9072" s="29" t="s">
        <v>4485</v>
      </c>
    </row>
    <row r="9073" spans="1:1" x14ac:dyDescent="0.25">
      <c r="A9073" s="76" t="s">
        <v>4486</v>
      </c>
    </row>
    <row r="9074" spans="1:1" x14ac:dyDescent="0.25">
      <c r="A9074" s="29" t="s">
        <v>4487</v>
      </c>
    </row>
    <row r="9075" spans="1:1" x14ac:dyDescent="0.25">
      <c r="A9075" s="76" t="s">
        <v>4488</v>
      </c>
    </row>
    <row r="9076" spans="1:1" x14ac:dyDescent="0.25">
      <c r="A9076" s="29" t="s">
        <v>4489</v>
      </c>
    </row>
    <row r="9077" spans="1:1" x14ac:dyDescent="0.25">
      <c r="A9077" s="76" t="s">
        <v>4490</v>
      </c>
    </row>
    <row r="9078" spans="1:1" x14ac:dyDescent="0.25">
      <c r="A9078" s="29" t="s">
        <v>4491</v>
      </c>
    </row>
    <row r="9079" spans="1:1" x14ac:dyDescent="0.25">
      <c r="A9079" s="76" t="s">
        <v>4492</v>
      </c>
    </row>
    <row r="9080" spans="1:1" x14ac:dyDescent="0.25">
      <c r="A9080" s="29" t="s">
        <v>4493</v>
      </c>
    </row>
    <row r="9081" spans="1:1" x14ac:dyDescent="0.25">
      <c r="A9081" s="76" t="s">
        <v>4494</v>
      </c>
    </row>
    <row r="9082" spans="1:1" x14ac:dyDescent="0.25">
      <c r="A9082" s="29" t="s">
        <v>4495</v>
      </c>
    </row>
    <row r="9083" spans="1:1" x14ac:dyDescent="0.25">
      <c r="A9083" s="76" t="s">
        <v>4496</v>
      </c>
    </row>
    <row r="9084" spans="1:1" x14ac:dyDescent="0.25">
      <c r="A9084" s="29" t="s">
        <v>4497</v>
      </c>
    </row>
    <row r="9085" spans="1:1" x14ac:dyDescent="0.25">
      <c r="A9085" s="76" t="s">
        <v>4498</v>
      </c>
    </row>
    <row r="9086" spans="1:1" x14ac:dyDescent="0.25">
      <c r="A9086" s="29" t="s">
        <v>4499</v>
      </c>
    </row>
    <row r="9087" spans="1:1" x14ac:dyDescent="0.25">
      <c r="A9087" s="76" t="s">
        <v>4500</v>
      </c>
    </row>
    <row r="9088" spans="1:1" x14ac:dyDescent="0.25">
      <c r="A9088" s="29" t="s">
        <v>4501</v>
      </c>
    </row>
    <row r="9089" spans="1:1" x14ac:dyDescent="0.25">
      <c r="A9089" s="108" t="s">
        <v>4502</v>
      </c>
    </row>
    <row r="9090" spans="1:1" x14ac:dyDescent="0.25">
      <c r="A9090" s="76" t="s">
        <v>4503</v>
      </c>
    </row>
    <row r="9091" spans="1:1" x14ac:dyDescent="0.25">
      <c r="A9091" s="76" t="s">
        <v>4504</v>
      </c>
    </row>
    <row r="9092" spans="1:1" x14ac:dyDescent="0.25">
      <c r="A9092" s="29" t="s">
        <v>4505</v>
      </c>
    </row>
    <row r="9093" spans="1:1" x14ac:dyDescent="0.25">
      <c r="A9093" s="76" t="s">
        <v>4506</v>
      </c>
    </row>
    <row r="9094" spans="1:1" x14ac:dyDescent="0.25">
      <c r="A9094" s="29" t="s">
        <v>4507</v>
      </c>
    </row>
    <row r="9095" spans="1:1" x14ac:dyDescent="0.25">
      <c r="A9095" s="76" t="s">
        <v>4508</v>
      </c>
    </row>
    <row r="9096" spans="1:1" x14ac:dyDescent="0.25">
      <c r="A9096" s="76" t="s">
        <v>4509</v>
      </c>
    </row>
    <row r="9097" spans="1:1" x14ac:dyDescent="0.25">
      <c r="A9097" s="76" t="s">
        <v>4510</v>
      </c>
    </row>
    <row r="9098" spans="1:1" x14ac:dyDescent="0.25">
      <c r="A9098" s="76" t="s">
        <v>4511</v>
      </c>
    </row>
    <row r="9099" spans="1:1" x14ac:dyDescent="0.25">
      <c r="A9099" s="108" t="s">
        <v>4512</v>
      </c>
    </row>
    <row r="9100" spans="1:1" x14ac:dyDescent="0.25">
      <c r="A9100" s="108" t="s">
        <v>4513</v>
      </c>
    </row>
    <row r="9101" spans="1:1" x14ac:dyDescent="0.25">
      <c r="A9101" s="29" t="s">
        <v>4514</v>
      </c>
    </row>
    <row r="9102" spans="1:1" x14ac:dyDescent="0.25">
      <c r="A9102" s="76" t="s">
        <v>4515</v>
      </c>
    </row>
    <row r="9103" spans="1:1" x14ac:dyDescent="0.25">
      <c r="A9103" s="29" t="s">
        <v>4516</v>
      </c>
    </row>
    <row r="9104" spans="1:1" x14ac:dyDescent="0.25">
      <c r="A9104" s="76" t="s">
        <v>4517</v>
      </c>
    </row>
    <row r="9105" spans="1:1" x14ac:dyDescent="0.25">
      <c r="A9105" s="29" t="s">
        <v>4518</v>
      </c>
    </row>
    <row r="9106" spans="1:1" x14ac:dyDescent="0.25">
      <c r="A9106" s="76" t="s">
        <v>4519</v>
      </c>
    </row>
    <row r="9107" spans="1:1" x14ac:dyDescent="0.25">
      <c r="A9107" s="29" t="s">
        <v>4520</v>
      </c>
    </row>
    <row r="9108" spans="1:1" x14ac:dyDescent="0.25">
      <c r="A9108" s="76" t="s">
        <v>4521</v>
      </c>
    </row>
    <row r="9109" spans="1:1" x14ac:dyDescent="0.25">
      <c r="A9109" s="29" t="s">
        <v>4522</v>
      </c>
    </row>
    <row r="9110" spans="1:1" x14ac:dyDescent="0.25">
      <c r="A9110" s="76" t="s">
        <v>4523</v>
      </c>
    </row>
    <row r="9111" spans="1:1" x14ac:dyDescent="0.25">
      <c r="A9111" s="29" t="s">
        <v>4524</v>
      </c>
    </row>
    <row r="9112" spans="1:1" x14ac:dyDescent="0.25">
      <c r="A9112" s="76" t="s">
        <v>4525</v>
      </c>
    </row>
    <row r="9113" spans="1:1" x14ac:dyDescent="0.25">
      <c r="A9113" s="29" t="s">
        <v>4526</v>
      </c>
    </row>
    <row r="9114" spans="1:1" x14ac:dyDescent="0.25">
      <c r="A9114" s="76" t="s">
        <v>4527</v>
      </c>
    </row>
    <row r="9115" spans="1:1" x14ac:dyDescent="0.25">
      <c r="A9115" s="29" t="s">
        <v>4528</v>
      </c>
    </row>
    <row r="9116" spans="1:1" x14ac:dyDescent="0.25">
      <c r="A9116" s="76" t="s">
        <v>4529</v>
      </c>
    </row>
    <row r="9117" spans="1:1" x14ac:dyDescent="0.25">
      <c r="A9117" s="29" t="s">
        <v>4530</v>
      </c>
    </row>
    <row r="9118" spans="1:1" x14ac:dyDescent="0.25">
      <c r="A9118" s="76" t="s">
        <v>4531</v>
      </c>
    </row>
    <row r="9119" spans="1:1" x14ac:dyDescent="0.25">
      <c r="A9119" s="29" t="s">
        <v>4532</v>
      </c>
    </row>
    <row r="9120" spans="1:1" x14ac:dyDescent="0.25">
      <c r="A9120" s="76" t="s">
        <v>4533</v>
      </c>
    </row>
    <row r="9121" spans="1:1" x14ac:dyDescent="0.25">
      <c r="A9121" s="29" t="s">
        <v>4534</v>
      </c>
    </row>
    <row r="9122" spans="1:1" x14ac:dyDescent="0.25">
      <c r="A9122" s="76" t="s">
        <v>4535</v>
      </c>
    </row>
    <row r="9123" spans="1:1" x14ac:dyDescent="0.25">
      <c r="A9123" s="29" t="s">
        <v>4536</v>
      </c>
    </row>
    <row r="9124" spans="1:1" x14ac:dyDescent="0.25">
      <c r="A9124" s="76" t="s">
        <v>4537</v>
      </c>
    </row>
    <row r="9125" spans="1:1" x14ac:dyDescent="0.25">
      <c r="A9125" s="29" t="s">
        <v>4538</v>
      </c>
    </row>
    <row r="9126" spans="1:1" x14ac:dyDescent="0.25">
      <c r="A9126" s="76" t="s">
        <v>4539</v>
      </c>
    </row>
    <row r="9127" spans="1:1" x14ac:dyDescent="0.25">
      <c r="A9127" s="29" t="s">
        <v>4540</v>
      </c>
    </row>
    <row r="9128" spans="1:1" x14ac:dyDescent="0.25">
      <c r="A9128" s="108" t="s">
        <v>4541</v>
      </c>
    </row>
    <row r="9129" spans="1:1" x14ac:dyDescent="0.25">
      <c r="A9129" s="76" t="s">
        <v>4542</v>
      </c>
    </row>
    <row r="9130" spans="1:1" x14ac:dyDescent="0.25">
      <c r="A9130" s="76" t="s">
        <v>4543</v>
      </c>
    </row>
    <row r="9131" spans="1:1" x14ac:dyDescent="0.25">
      <c r="A9131" s="29" t="s">
        <v>4544</v>
      </c>
    </row>
    <row r="9132" spans="1:1" x14ac:dyDescent="0.25">
      <c r="A9132" s="76" t="s">
        <v>4545</v>
      </c>
    </row>
    <row r="9133" spans="1:1" x14ac:dyDescent="0.25">
      <c r="A9133" s="29" t="s">
        <v>4546</v>
      </c>
    </row>
    <row r="9134" spans="1:1" x14ac:dyDescent="0.25">
      <c r="A9134" s="76" t="s">
        <v>4547</v>
      </c>
    </row>
    <row r="9135" spans="1:1" x14ac:dyDescent="0.25">
      <c r="A9135" s="29" t="s">
        <v>4548</v>
      </c>
    </row>
    <row r="9136" spans="1:1" x14ac:dyDescent="0.25">
      <c r="A9136" s="76" t="s">
        <v>4549</v>
      </c>
    </row>
    <row r="9137" spans="1:1" x14ac:dyDescent="0.25">
      <c r="A9137" s="29" t="s">
        <v>4550</v>
      </c>
    </row>
    <row r="9138" spans="1:1" x14ac:dyDescent="0.25">
      <c r="A9138" s="76" t="s">
        <v>4551</v>
      </c>
    </row>
    <row r="9139" spans="1:1" x14ac:dyDescent="0.25">
      <c r="A9139" s="29" t="s">
        <v>4552</v>
      </c>
    </row>
    <row r="9140" spans="1:1" x14ac:dyDescent="0.25">
      <c r="A9140" s="76" t="s">
        <v>4553</v>
      </c>
    </row>
    <row r="9141" spans="1:1" x14ac:dyDescent="0.25">
      <c r="A9141" s="29" t="s">
        <v>4554</v>
      </c>
    </row>
    <row r="9142" spans="1:1" x14ac:dyDescent="0.25">
      <c r="A9142" s="76" t="s">
        <v>4555</v>
      </c>
    </row>
    <row r="9143" spans="1:1" x14ac:dyDescent="0.25">
      <c r="A9143" s="29" t="s">
        <v>4556</v>
      </c>
    </row>
    <row r="9144" spans="1:1" x14ac:dyDescent="0.25">
      <c r="A9144" s="76" t="s">
        <v>4557</v>
      </c>
    </row>
    <row r="9145" spans="1:1" x14ac:dyDescent="0.25">
      <c r="A9145" s="29" t="s">
        <v>4558</v>
      </c>
    </row>
    <row r="9146" spans="1:1" x14ac:dyDescent="0.25">
      <c r="A9146" s="108" t="s">
        <v>4559</v>
      </c>
    </row>
    <row r="9147" spans="1:1" x14ac:dyDescent="0.25">
      <c r="A9147" s="76" t="s">
        <v>4560</v>
      </c>
    </row>
    <row r="9148" spans="1:1" x14ac:dyDescent="0.25">
      <c r="A9148" s="76" t="s">
        <v>4561</v>
      </c>
    </row>
    <row r="9149" spans="1:1" x14ac:dyDescent="0.25">
      <c r="A9149" s="29" t="s">
        <v>4562</v>
      </c>
    </row>
    <row r="9150" spans="1:1" x14ac:dyDescent="0.25">
      <c r="A9150" s="76" t="s">
        <v>4563</v>
      </c>
    </row>
    <row r="9151" spans="1:1" x14ac:dyDescent="0.25">
      <c r="A9151" s="29" t="s">
        <v>4564</v>
      </c>
    </row>
    <row r="9152" spans="1:1" x14ac:dyDescent="0.25">
      <c r="A9152" s="76" t="s">
        <v>4565</v>
      </c>
    </row>
    <row r="9153" spans="1:1" x14ac:dyDescent="0.25">
      <c r="A9153" s="29" t="s">
        <v>4566</v>
      </c>
    </row>
    <row r="9154" spans="1:1" x14ac:dyDescent="0.25">
      <c r="A9154" s="76" t="s">
        <v>4567</v>
      </c>
    </row>
    <row r="9155" spans="1:1" x14ac:dyDescent="0.25">
      <c r="A9155" s="29" t="s">
        <v>4568</v>
      </c>
    </row>
    <row r="9156" spans="1:1" x14ac:dyDescent="0.25">
      <c r="A9156" s="76" t="s">
        <v>4569</v>
      </c>
    </row>
    <row r="9157" spans="1:1" x14ac:dyDescent="0.25">
      <c r="A9157" s="29" t="s">
        <v>4570</v>
      </c>
    </row>
    <row r="9158" spans="1:1" x14ac:dyDescent="0.25">
      <c r="A9158" s="76" t="s">
        <v>4571</v>
      </c>
    </row>
    <row r="9159" spans="1:1" x14ac:dyDescent="0.25">
      <c r="A9159" s="29" t="s">
        <v>4572</v>
      </c>
    </row>
    <row r="9160" spans="1:1" x14ac:dyDescent="0.25">
      <c r="A9160" s="76" t="s">
        <v>4573</v>
      </c>
    </row>
    <row r="9161" spans="1:1" x14ac:dyDescent="0.25">
      <c r="A9161" s="29" t="s">
        <v>4574</v>
      </c>
    </row>
    <row r="9162" spans="1:1" x14ac:dyDescent="0.25">
      <c r="A9162" s="76" t="s">
        <v>4575</v>
      </c>
    </row>
    <row r="9163" spans="1:1" x14ac:dyDescent="0.25">
      <c r="A9163" s="29" t="s">
        <v>4576</v>
      </c>
    </row>
    <row r="9164" spans="1:1" x14ac:dyDescent="0.25">
      <c r="A9164" s="76" t="s">
        <v>4577</v>
      </c>
    </row>
    <row r="9165" spans="1:1" x14ac:dyDescent="0.25">
      <c r="A9165" s="29" t="s">
        <v>4578</v>
      </c>
    </row>
    <row r="9166" spans="1:1" x14ac:dyDescent="0.25">
      <c r="A9166" s="76" t="s">
        <v>4579</v>
      </c>
    </row>
    <row r="9167" spans="1:1" x14ac:dyDescent="0.25">
      <c r="A9167" s="29" t="s">
        <v>4580</v>
      </c>
    </row>
    <row r="9168" spans="1:1" x14ac:dyDescent="0.25">
      <c r="A9168" s="108" t="s">
        <v>4581</v>
      </c>
    </row>
    <row r="9169" spans="1:1" x14ac:dyDescent="0.25">
      <c r="A9169" s="76" t="s">
        <v>4582</v>
      </c>
    </row>
    <row r="9170" spans="1:1" x14ac:dyDescent="0.25">
      <c r="A9170" s="76" t="s">
        <v>4583</v>
      </c>
    </row>
    <row r="9171" spans="1:1" x14ac:dyDescent="0.25">
      <c r="A9171" s="76" t="s">
        <v>4584</v>
      </c>
    </row>
    <row r="9172" spans="1:1" x14ac:dyDescent="0.25">
      <c r="A9172" s="76" t="s">
        <v>4585</v>
      </c>
    </row>
    <row r="9173" spans="1:1" x14ac:dyDescent="0.25">
      <c r="A9173" s="108" t="s">
        <v>4586</v>
      </c>
    </row>
    <row r="9174" spans="1:1" x14ac:dyDescent="0.25">
      <c r="A9174" s="108" t="s">
        <v>4587</v>
      </c>
    </row>
    <row r="9175" spans="1:1" x14ac:dyDescent="0.25">
      <c r="A9175" s="29" t="s">
        <v>4588</v>
      </c>
    </row>
    <row r="9176" spans="1:1" x14ac:dyDescent="0.25">
      <c r="A9176" s="76" t="s">
        <v>4589</v>
      </c>
    </row>
    <row r="9177" spans="1:1" x14ac:dyDescent="0.25">
      <c r="A9177" s="29" t="s">
        <v>4590</v>
      </c>
    </row>
    <row r="9178" spans="1:1" x14ac:dyDescent="0.25">
      <c r="A9178" s="76" t="s">
        <v>4591</v>
      </c>
    </row>
    <row r="9179" spans="1:1" x14ac:dyDescent="0.25">
      <c r="A9179" s="76" t="s">
        <v>4592</v>
      </c>
    </row>
    <row r="9180" spans="1:1" x14ac:dyDescent="0.25">
      <c r="A9180" s="76" t="s">
        <v>4593</v>
      </c>
    </row>
    <row r="9181" spans="1:1" x14ac:dyDescent="0.25">
      <c r="A9181" s="108" t="s">
        <v>4594</v>
      </c>
    </row>
    <row r="9182" spans="1:1" x14ac:dyDescent="0.25">
      <c r="A9182" s="108" t="s">
        <v>4595</v>
      </c>
    </row>
    <row r="9183" spans="1:1" x14ac:dyDescent="0.25">
      <c r="A9183" s="29" t="s">
        <v>4596</v>
      </c>
    </row>
    <row r="9184" spans="1:1" x14ac:dyDescent="0.25">
      <c r="A9184" s="76" t="s">
        <v>4597</v>
      </c>
    </row>
    <row r="9185" spans="1:1" x14ac:dyDescent="0.25">
      <c r="A9185" s="29" t="s">
        <v>4598</v>
      </c>
    </row>
    <row r="9186" spans="1:1" x14ac:dyDescent="0.25">
      <c r="A9186" s="76" t="s">
        <v>4599</v>
      </c>
    </row>
    <row r="9187" spans="1:1" x14ac:dyDescent="0.25">
      <c r="A9187" s="76" t="s">
        <v>4600</v>
      </c>
    </row>
    <row r="9188" spans="1:1" x14ac:dyDescent="0.25">
      <c r="A9188" s="76" t="s">
        <v>4601</v>
      </c>
    </row>
    <row r="9189" spans="1:1" x14ac:dyDescent="0.25">
      <c r="A9189" s="108" t="s">
        <v>4602</v>
      </c>
    </row>
    <row r="9190" spans="1:1" x14ac:dyDescent="0.25">
      <c r="A9190" s="108" t="s">
        <v>4603</v>
      </c>
    </row>
    <row r="9191" spans="1:1" x14ac:dyDescent="0.25">
      <c r="A9191" s="29" t="s">
        <v>4604</v>
      </c>
    </row>
    <row r="9192" spans="1:1" x14ac:dyDescent="0.25">
      <c r="A9192" s="76" t="s">
        <v>4605</v>
      </c>
    </row>
    <row r="9193" spans="1:1" x14ac:dyDescent="0.25">
      <c r="A9193" s="29" t="s">
        <v>4606</v>
      </c>
    </row>
    <row r="9194" spans="1:1" x14ac:dyDescent="0.25">
      <c r="A9194" s="76" t="s">
        <v>4607</v>
      </c>
    </row>
    <row r="9195" spans="1:1" x14ac:dyDescent="0.25">
      <c r="A9195" s="76" t="s">
        <v>4608</v>
      </c>
    </row>
    <row r="9196" spans="1:1" x14ac:dyDescent="0.25">
      <c r="A9196" s="76" t="s">
        <v>4609</v>
      </c>
    </row>
    <row r="9197" spans="1:1" x14ac:dyDescent="0.25">
      <c r="A9197" s="108" t="s">
        <v>4610</v>
      </c>
    </row>
    <row r="9198" spans="1:1" x14ac:dyDescent="0.25">
      <c r="A9198" s="108" t="s">
        <v>4611</v>
      </c>
    </row>
    <row r="9199" spans="1:1" x14ac:dyDescent="0.25">
      <c r="A9199" s="29" t="s">
        <v>4612</v>
      </c>
    </row>
    <row r="9200" spans="1:1" x14ac:dyDescent="0.25">
      <c r="A9200" s="76" t="s">
        <v>4613</v>
      </c>
    </row>
    <row r="9201" spans="1:1" x14ac:dyDescent="0.25">
      <c r="A9201" s="29" t="s">
        <v>4614</v>
      </c>
    </row>
    <row r="9202" spans="1:1" x14ac:dyDescent="0.25">
      <c r="A9202" s="76" t="s">
        <v>4615</v>
      </c>
    </row>
    <row r="9203" spans="1:1" x14ac:dyDescent="0.25">
      <c r="A9203" s="76" t="s">
        <v>4616</v>
      </c>
    </row>
    <row r="9204" spans="1:1" x14ac:dyDescent="0.25">
      <c r="A9204" s="76" t="s">
        <v>4617</v>
      </c>
    </row>
    <row r="9205" spans="1:1" x14ac:dyDescent="0.25">
      <c r="A9205" s="108" t="s">
        <v>4618</v>
      </c>
    </row>
    <row r="9206" spans="1:1" x14ac:dyDescent="0.25">
      <c r="A9206" s="108" t="s">
        <v>4619</v>
      </c>
    </row>
    <row r="9207" spans="1:1" x14ac:dyDescent="0.25">
      <c r="A9207" s="29" t="s">
        <v>4620</v>
      </c>
    </row>
    <row r="9208" spans="1:1" x14ac:dyDescent="0.25">
      <c r="A9208" s="76" t="s">
        <v>4621</v>
      </c>
    </row>
    <row r="9209" spans="1:1" x14ac:dyDescent="0.25">
      <c r="A9209" s="29" t="s">
        <v>4622</v>
      </c>
    </row>
    <row r="9210" spans="1:1" x14ac:dyDescent="0.25">
      <c r="A9210" s="76" t="s">
        <v>4623</v>
      </c>
    </row>
    <row r="9211" spans="1:1" x14ac:dyDescent="0.25">
      <c r="A9211" s="76" t="s">
        <v>4624</v>
      </c>
    </row>
    <row r="9212" spans="1:1" x14ac:dyDescent="0.25">
      <c r="A9212" s="76" t="s">
        <v>4625</v>
      </c>
    </row>
    <row r="9213" spans="1:1" x14ac:dyDescent="0.25">
      <c r="A9213" s="108" t="s">
        <v>4626</v>
      </c>
    </row>
    <row r="9214" spans="1:1" x14ac:dyDescent="0.25">
      <c r="A9214" s="108" t="s">
        <v>4627</v>
      </c>
    </row>
    <row r="9215" spans="1:1" x14ac:dyDescent="0.25">
      <c r="A9215" s="29" t="s">
        <v>4628</v>
      </c>
    </row>
    <row r="9216" spans="1:1" x14ac:dyDescent="0.25">
      <c r="A9216" s="76" t="s">
        <v>4629</v>
      </c>
    </row>
    <row r="9217" spans="1:1" x14ac:dyDescent="0.25">
      <c r="A9217" s="29" t="s">
        <v>4630</v>
      </c>
    </row>
    <row r="9218" spans="1:1" x14ac:dyDescent="0.25">
      <c r="A9218" s="108" t="s">
        <v>4631</v>
      </c>
    </row>
    <row r="9219" spans="1:1" x14ac:dyDescent="0.25">
      <c r="A9219" s="76" t="s">
        <v>4632</v>
      </c>
    </row>
    <row r="9220" spans="1:1" x14ac:dyDescent="0.25">
      <c r="A9220" s="76" t="s">
        <v>4633</v>
      </c>
    </row>
    <row r="9221" spans="1:1" x14ac:dyDescent="0.25">
      <c r="A9221" s="29" t="s">
        <v>4634</v>
      </c>
    </row>
    <row r="9222" spans="1:1" x14ac:dyDescent="0.25">
      <c r="A9222" s="76" t="s">
        <v>4635</v>
      </c>
    </row>
    <row r="9223" spans="1:1" x14ac:dyDescent="0.25">
      <c r="A9223" s="29" t="s">
        <v>4636</v>
      </c>
    </row>
    <row r="9224" spans="1:1" x14ac:dyDescent="0.25">
      <c r="A9224" s="76" t="s">
        <v>4637</v>
      </c>
    </row>
    <row r="9225" spans="1:1" x14ac:dyDescent="0.25">
      <c r="A9225" s="29" t="s">
        <v>4638</v>
      </c>
    </row>
    <row r="9226" spans="1:1" x14ac:dyDescent="0.25">
      <c r="A9226" s="76" t="s">
        <v>4639</v>
      </c>
    </row>
    <row r="9227" spans="1:1" x14ac:dyDescent="0.25">
      <c r="A9227" s="29" t="s">
        <v>4640</v>
      </c>
    </row>
    <row r="9228" spans="1:1" x14ac:dyDescent="0.25">
      <c r="A9228" s="76" t="s">
        <v>4641</v>
      </c>
    </row>
    <row r="9229" spans="1:1" x14ac:dyDescent="0.25">
      <c r="A9229" s="29" t="s">
        <v>4642</v>
      </c>
    </row>
    <row r="9230" spans="1:1" x14ac:dyDescent="0.25">
      <c r="A9230" s="76" t="s">
        <v>4643</v>
      </c>
    </row>
    <row r="9231" spans="1:1" x14ac:dyDescent="0.25">
      <c r="A9231" s="29" t="s">
        <v>4644</v>
      </c>
    </row>
    <row r="9232" spans="1:1" x14ac:dyDescent="0.25">
      <c r="A9232" s="76" t="s">
        <v>4645</v>
      </c>
    </row>
    <row r="9233" spans="1:1" x14ac:dyDescent="0.25">
      <c r="A9233" s="29" t="s">
        <v>4646</v>
      </c>
    </row>
    <row r="9234" spans="1:1" x14ac:dyDescent="0.25">
      <c r="A9234" s="76" t="s">
        <v>4647</v>
      </c>
    </row>
    <row r="9235" spans="1:1" x14ac:dyDescent="0.25">
      <c r="A9235" s="29" t="s">
        <v>4648</v>
      </c>
    </row>
    <row r="9236" spans="1:1" x14ac:dyDescent="0.25">
      <c r="A9236" s="108" t="s">
        <v>4649</v>
      </c>
    </row>
    <row r="9237" spans="1:1" x14ac:dyDescent="0.25">
      <c r="A9237" s="76" t="s">
        <v>4650</v>
      </c>
    </row>
    <row r="9238" spans="1:1" x14ac:dyDescent="0.25">
      <c r="A9238" s="76" t="s">
        <v>4651</v>
      </c>
    </row>
    <row r="9239" spans="1:1" x14ac:dyDescent="0.25">
      <c r="A9239" s="29" t="s">
        <v>4652</v>
      </c>
    </row>
    <row r="9240" spans="1:1" x14ac:dyDescent="0.25">
      <c r="A9240" s="76" t="s">
        <v>4653</v>
      </c>
    </row>
    <row r="9241" spans="1:1" x14ac:dyDescent="0.25">
      <c r="A9241" s="29" t="s">
        <v>4654</v>
      </c>
    </row>
    <row r="9242" spans="1:1" x14ac:dyDescent="0.25">
      <c r="A9242" s="76" t="s">
        <v>4655</v>
      </c>
    </row>
    <row r="9243" spans="1:1" x14ac:dyDescent="0.25">
      <c r="A9243" s="29" t="s">
        <v>4656</v>
      </c>
    </row>
    <row r="9244" spans="1:1" x14ac:dyDescent="0.25">
      <c r="A9244" s="76" t="s">
        <v>4657</v>
      </c>
    </row>
    <row r="9245" spans="1:1" x14ac:dyDescent="0.25">
      <c r="A9245" s="29" t="s">
        <v>4658</v>
      </c>
    </row>
    <row r="9246" spans="1:1" x14ac:dyDescent="0.25">
      <c r="A9246" s="76" t="s">
        <v>4659</v>
      </c>
    </row>
    <row r="9247" spans="1:1" x14ac:dyDescent="0.25">
      <c r="A9247" s="29" t="s">
        <v>4660</v>
      </c>
    </row>
    <row r="9248" spans="1:1" x14ac:dyDescent="0.25">
      <c r="A9248" s="76" t="s">
        <v>4661</v>
      </c>
    </row>
    <row r="9249" spans="1:1" x14ac:dyDescent="0.25">
      <c r="A9249" s="29" t="s">
        <v>4662</v>
      </c>
    </row>
    <row r="9250" spans="1:1" x14ac:dyDescent="0.25">
      <c r="A9250" s="108" t="s">
        <v>4663</v>
      </c>
    </row>
    <row r="9251" spans="1:1" x14ac:dyDescent="0.25">
      <c r="A9251" s="76" t="s">
        <v>4664</v>
      </c>
    </row>
    <row r="9252" spans="1:1" x14ac:dyDescent="0.25">
      <c r="A9252" s="76" t="s">
        <v>4665</v>
      </c>
    </row>
    <row r="9253" spans="1:1" x14ac:dyDescent="0.25">
      <c r="A9253" s="29" t="s">
        <v>4666</v>
      </c>
    </row>
    <row r="9254" spans="1:1" x14ac:dyDescent="0.25">
      <c r="A9254" s="76" t="s">
        <v>4667</v>
      </c>
    </row>
    <row r="9255" spans="1:1" x14ac:dyDescent="0.25">
      <c r="A9255" s="29" t="s">
        <v>4668</v>
      </c>
    </row>
    <row r="9256" spans="1:1" x14ac:dyDescent="0.25">
      <c r="A9256" s="76" t="s">
        <v>4669</v>
      </c>
    </row>
    <row r="9257" spans="1:1" x14ac:dyDescent="0.25">
      <c r="A9257" s="29" t="s">
        <v>4670</v>
      </c>
    </row>
    <row r="9258" spans="1:1" x14ac:dyDescent="0.25">
      <c r="A9258" s="76" t="s">
        <v>4671</v>
      </c>
    </row>
    <row r="9259" spans="1:1" x14ac:dyDescent="0.25">
      <c r="A9259" s="29" t="s">
        <v>4672</v>
      </c>
    </row>
    <row r="9260" spans="1:1" x14ac:dyDescent="0.25">
      <c r="A9260" s="76" t="s">
        <v>4673</v>
      </c>
    </row>
    <row r="9261" spans="1:1" x14ac:dyDescent="0.25">
      <c r="A9261" s="29" t="s">
        <v>4674</v>
      </c>
    </row>
    <row r="9262" spans="1:1" x14ac:dyDescent="0.25">
      <c r="A9262" s="76" t="s">
        <v>4675</v>
      </c>
    </row>
    <row r="9263" spans="1:1" x14ac:dyDescent="0.25">
      <c r="A9263" s="29" t="s">
        <v>4676</v>
      </c>
    </row>
    <row r="9264" spans="1:1" x14ac:dyDescent="0.25">
      <c r="A9264" s="76" t="s">
        <v>4677</v>
      </c>
    </row>
    <row r="9265" spans="1:1" x14ac:dyDescent="0.25">
      <c r="A9265" s="29" t="s">
        <v>4678</v>
      </c>
    </row>
    <row r="9266" spans="1:1" x14ac:dyDescent="0.25">
      <c r="A9266" s="76" t="s">
        <v>4679</v>
      </c>
    </row>
    <row r="9267" spans="1:1" x14ac:dyDescent="0.25">
      <c r="A9267" s="29" t="s">
        <v>4680</v>
      </c>
    </row>
    <row r="9268" spans="1:1" x14ac:dyDescent="0.25">
      <c r="A9268" s="76" t="s">
        <v>4681</v>
      </c>
    </row>
    <row r="9269" spans="1:1" x14ac:dyDescent="0.25">
      <c r="A9269" s="29" t="s">
        <v>4682</v>
      </c>
    </row>
    <row r="9270" spans="1:1" x14ac:dyDescent="0.25">
      <c r="A9270" s="76" t="s">
        <v>4683</v>
      </c>
    </row>
    <row r="9271" spans="1:1" x14ac:dyDescent="0.25">
      <c r="A9271" s="29" t="s">
        <v>4684</v>
      </c>
    </row>
    <row r="9272" spans="1:1" x14ac:dyDescent="0.25">
      <c r="A9272" s="76" t="s">
        <v>4685</v>
      </c>
    </row>
    <row r="9273" spans="1:1" x14ac:dyDescent="0.25">
      <c r="A9273" s="29" t="s">
        <v>4686</v>
      </c>
    </row>
    <row r="9274" spans="1:1" x14ac:dyDescent="0.25">
      <c r="A9274" s="76" t="s">
        <v>4687</v>
      </c>
    </row>
    <row r="9275" spans="1:1" x14ac:dyDescent="0.25">
      <c r="A9275" s="29" t="s">
        <v>4688</v>
      </c>
    </row>
    <row r="9276" spans="1:1" x14ac:dyDescent="0.25">
      <c r="A9276" s="76" t="s">
        <v>4689</v>
      </c>
    </row>
    <row r="9277" spans="1:1" x14ac:dyDescent="0.25">
      <c r="A9277" s="29" t="s">
        <v>4690</v>
      </c>
    </row>
    <row r="9278" spans="1:1" x14ac:dyDescent="0.25">
      <c r="A9278" s="76" t="s">
        <v>4691</v>
      </c>
    </row>
    <row r="9279" spans="1:1" x14ac:dyDescent="0.25">
      <c r="A9279" s="29" t="s">
        <v>4692</v>
      </c>
    </row>
    <row r="9280" spans="1:1" x14ac:dyDescent="0.25">
      <c r="A9280" s="76" t="s">
        <v>4693</v>
      </c>
    </row>
    <row r="9281" spans="1:1" x14ac:dyDescent="0.25">
      <c r="A9281" s="29" t="s">
        <v>4694</v>
      </c>
    </row>
    <row r="9282" spans="1:1" x14ac:dyDescent="0.25">
      <c r="A9282" s="76" t="s">
        <v>4695</v>
      </c>
    </row>
    <row r="9283" spans="1:1" x14ac:dyDescent="0.25">
      <c r="A9283" s="29" t="s">
        <v>4696</v>
      </c>
    </row>
    <row r="9284" spans="1:1" x14ac:dyDescent="0.25">
      <c r="A9284" s="108" t="s">
        <v>4697</v>
      </c>
    </row>
    <row r="9285" spans="1:1" x14ac:dyDescent="0.25">
      <c r="A9285" s="76" t="s">
        <v>4698</v>
      </c>
    </row>
    <row r="9286" spans="1:1" x14ac:dyDescent="0.25">
      <c r="A9286" s="76" t="s">
        <v>4699</v>
      </c>
    </row>
    <row r="9287" spans="1:1" x14ac:dyDescent="0.25">
      <c r="A9287" s="29" t="s">
        <v>4700</v>
      </c>
    </row>
    <row r="9288" spans="1:1" x14ac:dyDescent="0.25">
      <c r="A9288" s="76" t="s">
        <v>4701</v>
      </c>
    </row>
    <row r="9289" spans="1:1" x14ac:dyDescent="0.25">
      <c r="A9289" s="29" t="s">
        <v>4702</v>
      </c>
    </row>
    <row r="9290" spans="1:1" x14ac:dyDescent="0.25">
      <c r="A9290" s="108" t="s">
        <v>4703</v>
      </c>
    </row>
    <row r="9291" spans="1:1" x14ac:dyDescent="0.25">
      <c r="A9291" s="76" t="s">
        <v>4704</v>
      </c>
    </row>
    <row r="9292" spans="1:1" x14ac:dyDescent="0.25">
      <c r="A9292" s="76" t="s">
        <v>4705</v>
      </c>
    </row>
    <row r="9293" spans="1:1" x14ac:dyDescent="0.25">
      <c r="A9293" s="29" t="s">
        <v>4706</v>
      </c>
    </row>
    <row r="9294" spans="1:1" x14ac:dyDescent="0.25">
      <c r="A9294" s="76" t="s">
        <v>4707</v>
      </c>
    </row>
    <row r="9295" spans="1:1" x14ac:dyDescent="0.25">
      <c r="A9295" s="29" t="s">
        <v>4708</v>
      </c>
    </row>
    <row r="9296" spans="1:1" x14ac:dyDescent="0.25">
      <c r="A9296" s="108" t="s">
        <v>4709</v>
      </c>
    </row>
    <row r="9297" spans="1:1" x14ac:dyDescent="0.25">
      <c r="A9297" s="76" t="s">
        <v>4710</v>
      </c>
    </row>
    <row r="9298" spans="1:1" x14ac:dyDescent="0.25">
      <c r="A9298" s="76" t="s">
        <v>4711</v>
      </c>
    </row>
    <row r="9299" spans="1:1" x14ac:dyDescent="0.25">
      <c r="A9299" s="29" t="s">
        <v>4712</v>
      </c>
    </row>
    <row r="9300" spans="1:1" x14ac:dyDescent="0.25">
      <c r="A9300" s="76" t="s">
        <v>4713</v>
      </c>
    </row>
    <row r="9301" spans="1:1" x14ac:dyDescent="0.25">
      <c r="A9301" s="29" t="s">
        <v>4714</v>
      </c>
    </row>
    <row r="9302" spans="1:1" x14ac:dyDescent="0.25">
      <c r="A9302" s="76" t="s">
        <v>4715</v>
      </c>
    </row>
    <row r="9303" spans="1:1" x14ac:dyDescent="0.25">
      <c r="A9303" s="29" t="s">
        <v>4716</v>
      </c>
    </row>
    <row r="9304" spans="1:1" x14ac:dyDescent="0.25">
      <c r="A9304" s="76" t="s">
        <v>4717</v>
      </c>
    </row>
    <row r="9305" spans="1:1" x14ac:dyDescent="0.25">
      <c r="A9305" s="29" t="s">
        <v>4718</v>
      </c>
    </row>
    <row r="9306" spans="1:1" x14ac:dyDescent="0.25">
      <c r="A9306" s="76" t="s">
        <v>4719</v>
      </c>
    </row>
    <row r="9307" spans="1:1" x14ac:dyDescent="0.25">
      <c r="A9307" s="76" t="s">
        <v>4720</v>
      </c>
    </row>
    <row r="9308" spans="1:1" x14ac:dyDescent="0.25">
      <c r="A9308" s="76" t="s">
        <v>4721</v>
      </c>
    </row>
    <row r="9309" spans="1:1" x14ac:dyDescent="0.25">
      <c r="A9309" s="108" t="s">
        <v>4722</v>
      </c>
    </row>
    <row r="9310" spans="1:1" x14ac:dyDescent="0.25">
      <c r="A9310" s="108" t="s">
        <v>4723</v>
      </c>
    </row>
    <row r="9311" spans="1:1" x14ac:dyDescent="0.25">
      <c r="A9311" s="29" t="s">
        <v>4724</v>
      </c>
    </row>
    <row r="9312" spans="1:1" x14ac:dyDescent="0.25">
      <c r="A9312" s="76" t="s">
        <v>4725</v>
      </c>
    </row>
    <row r="9313" spans="1:1" x14ac:dyDescent="0.25">
      <c r="A9313" s="29" t="s">
        <v>4726</v>
      </c>
    </row>
    <row r="9314" spans="1:1" x14ac:dyDescent="0.25">
      <c r="A9314" s="76" t="s">
        <v>4727</v>
      </c>
    </row>
    <row r="9315" spans="1:1" x14ac:dyDescent="0.25">
      <c r="A9315" s="76" t="s">
        <v>4728</v>
      </c>
    </row>
    <row r="9316" spans="1:1" x14ac:dyDescent="0.25">
      <c r="A9316" s="76" t="s">
        <v>4729</v>
      </c>
    </row>
    <row r="9317" spans="1:1" x14ac:dyDescent="0.25">
      <c r="A9317" s="108" t="s">
        <v>4730</v>
      </c>
    </row>
    <row r="9318" spans="1:1" x14ac:dyDescent="0.25">
      <c r="A9318" s="108" t="s">
        <v>4731</v>
      </c>
    </row>
    <row r="9319" spans="1:1" x14ac:dyDescent="0.25">
      <c r="A9319" s="29" t="s">
        <v>4732</v>
      </c>
    </row>
    <row r="9320" spans="1:1" x14ac:dyDescent="0.25">
      <c r="A9320" s="76" t="s">
        <v>4733</v>
      </c>
    </row>
    <row r="9321" spans="1:1" x14ac:dyDescent="0.25">
      <c r="A9321" s="29" t="s">
        <v>4734</v>
      </c>
    </row>
    <row r="9322" spans="1:1" x14ac:dyDescent="0.25">
      <c r="A9322" s="76" t="s">
        <v>4735</v>
      </c>
    </row>
    <row r="9323" spans="1:1" x14ac:dyDescent="0.25">
      <c r="A9323" s="76" t="s">
        <v>4736</v>
      </c>
    </row>
    <row r="9324" spans="1:1" x14ac:dyDescent="0.25">
      <c r="A9324" s="76" t="s">
        <v>4737</v>
      </c>
    </row>
    <row r="9325" spans="1:1" x14ac:dyDescent="0.25">
      <c r="A9325" s="108" t="s">
        <v>4738</v>
      </c>
    </row>
    <row r="9326" spans="1:1" x14ac:dyDescent="0.25">
      <c r="A9326" s="108" t="s">
        <v>4739</v>
      </c>
    </row>
    <row r="9327" spans="1:1" x14ac:dyDescent="0.25">
      <c r="A9327" s="29" t="s">
        <v>4740</v>
      </c>
    </row>
    <row r="9328" spans="1:1" x14ac:dyDescent="0.25">
      <c r="A9328" s="76" t="s">
        <v>4741</v>
      </c>
    </row>
    <row r="9329" spans="1:1" x14ac:dyDescent="0.25">
      <c r="A9329" s="29" t="s">
        <v>4742</v>
      </c>
    </row>
    <row r="9330" spans="1:1" x14ac:dyDescent="0.25">
      <c r="A9330" s="76" t="s">
        <v>4743</v>
      </c>
    </row>
    <row r="9331" spans="1:1" x14ac:dyDescent="0.25">
      <c r="A9331" s="76" t="s">
        <v>4744</v>
      </c>
    </row>
    <row r="9332" spans="1:1" x14ac:dyDescent="0.25">
      <c r="A9332" s="76" t="s">
        <v>4745</v>
      </c>
    </row>
    <row r="9333" spans="1:1" x14ac:dyDescent="0.25">
      <c r="A9333" s="108" t="s">
        <v>4746</v>
      </c>
    </row>
    <row r="9334" spans="1:1" x14ac:dyDescent="0.25">
      <c r="A9334" s="108" t="s">
        <v>4747</v>
      </c>
    </row>
    <row r="9335" spans="1:1" x14ac:dyDescent="0.25">
      <c r="A9335" s="29" t="s">
        <v>4748</v>
      </c>
    </row>
    <row r="9336" spans="1:1" x14ac:dyDescent="0.25">
      <c r="A9336" s="76" t="s">
        <v>4749</v>
      </c>
    </row>
    <row r="9337" spans="1:1" x14ac:dyDescent="0.25">
      <c r="A9337" s="29" t="s">
        <v>4750</v>
      </c>
    </row>
    <row r="9338" spans="1:1" x14ac:dyDescent="0.25">
      <c r="A9338" s="76" t="s">
        <v>4751</v>
      </c>
    </row>
    <row r="9339" spans="1:1" x14ac:dyDescent="0.25">
      <c r="A9339" s="76" t="s">
        <v>4752</v>
      </c>
    </row>
    <row r="9340" spans="1:1" x14ac:dyDescent="0.25">
      <c r="A9340" s="76" t="s">
        <v>4753</v>
      </c>
    </row>
    <row r="9341" spans="1:1" x14ac:dyDescent="0.25">
      <c r="A9341" s="108" t="s">
        <v>4754</v>
      </c>
    </row>
    <row r="9342" spans="1:1" x14ac:dyDescent="0.25">
      <c r="A9342" s="108" t="s">
        <v>4755</v>
      </c>
    </row>
    <row r="9343" spans="1:1" x14ac:dyDescent="0.25">
      <c r="A9343" s="29" t="s">
        <v>4756</v>
      </c>
    </row>
    <row r="9344" spans="1:1" x14ac:dyDescent="0.25">
      <c r="A9344" s="76" t="s">
        <v>4757</v>
      </c>
    </row>
    <row r="9345" spans="1:1" x14ac:dyDescent="0.25">
      <c r="A9345" s="29" t="s">
        <v>4758</v>
      </c>
    </row>
    <row r="9346" spans="1:1" x14ac:dyDescent="0.25">
      <c r="A9346" s="76" t="s">
        <v>4759</v>
      </c>
    </row>
    <row r="9347" spans="1:1" x14ac:dyDescent="0.25">
      <c r="A9347" s="29" t="s">
        <v>4760</v>
      </c>
    </row>
    <row r="9348" spans="1:1" x14ac:dyDescent="0.25">
      <c r="A9348" s="76" t="s">
        <v>4761</v>
      </c>
    </row>
    <row r="9349" spans="1:1" x14ac:dyDescent="0.25">
      <c r="A9349" s="29" t="s">
        <v>4762</v>
      </c>
    </row>
    <row r="9350" spans="1:1" x14ac:dyDescent="0.25">
      <c r="A9350" s="108" t="s">
        <v>4763</v>
      </c>
    </row>
    <row r="9351" spans="1:1" x14ac:dyDescent="0.25">
      <c r="A9351" s="76" t="s">
        <v>4764</v>
      </c>
    </row>
    <row r="9352" spans="1:1" x14ac:dyDescent="0.25">
      <c r="A9352" s="76" t="s">
        <v>4765</v>
      </c>
    </row>
    <row r="9353" spans="1:1" x14ac:dyDescent="0.25">
      <c r="A9353" s="29" t="s">
        <v>4766</v>
      </c>
    </row>
    <row r="9354" spans="1:1" x14ac:dyDescent="0.25">
      <c r="A9354" s="76" t="s">
        <v>4767</v>
      </c>
    </row>
    <row r="9355" spans="1:1" x14ac:dyDescent="0.25">
      <c r="A9355" s="29" t="s">
        <v>4768</v>
      </c>
    </row>
    <row r="9356" spans="1:1" x14ac:dyDescent="0.25">
      <c r="A9356" s="76" t="s">
        <v>4769</v>
      </c>
    </row>
    <row r="9357" spans="1:1" x14ac:dyDescent="0.25">
      <c r="A9357" s="29" t="s">
        <v>4770</v>
      </c>
    </row>
    <row r="9358" spans="1:1" x14ac:dyDescent="0.25">
      <c r="A9358" s="76" t="s">
        <v>4771</v>
      </c>
    </row>
    <row r="9359" spans="1:1" x14ac:dyDescent="0.25">
      <c r="A9359" s="29" t="s">
        <v>4772</v>
      </c>
    </row>
    <row r="9360" spans="1:1" x14ac:dyDescent="0.25">
      <c r="A9360" s="76" t="s">
        <v>4773</v>
      </c>
    </row>
    <row r="9361" spans="1:1" x14ac:dyDescent="0.25">
      <c r="A9361" s="29" t="s">
        <v>4774</v>
      </c>
    </row>
    <row r="9362" spans="1:1" x14ac:dyDescent="0.25">
      <c r="A9362" s="76" t="s">
        <v>4775</v>
      </c>
    </row>
    <row r="9363" spans="1:1" x14ac:dyDescent="0.25">
      <c r="A9363" s="29" t="s">
        <v>4776</v>
      </c>
    </row>
    <row r="9364" spans="1:1" x14ac:dyDescent="0.25">
      <c r="A9364" s="76" t="s">
        <v>4777</v>
      </c>
    </row>
    <row r="9365" spans="1:1" x14ac:dyDescent="0.25">
      <c r="A9365" s="29" t="s">
        <v>4778</v>
      </c>
    </row>
    <row r="9366" spans="1:1" x14ac:dyDescent="0.25">
      <c r="A9366" s="76" t="s">
        <v>4779</v>
      </c>
    </row>
    <row r="9367" spans="1:1" x14ac:dyDescent="0.25">
      <c r="A9367" s="29" t="s">
        <v>4780</v>
      </c>
    </row>
    <row r="9368" spans="1:1" x14ac:dyDescent="0.25">
      <c r="A9368" s="76" t="s">
        <v>4781</v>
      </c>
    </row>
    <row r="9369" spans="1:1" x14ac:dyDescent="0.25">
      <c r="A9369" s="29" t="s">
        <v>4782</v>
      </c>
    </row>
    <row r="9370" spans="1:1" x14ac:dyDescent="0.25">
      <c r="A9370" s="76" t="s">
        <v>4783</v>
      </c>
    </row>
    <row r="9371" spans="1:1" x14ac:dyDescent="0.25">
      <c r="A9371" s="29" t="s">
        <v>4784</v>
      </c>
    </row>
    <row r="9372" spans="1:1" x14ac:dyDescent="0.25">
      <c r="A9372" s="108" t="s">
        <v>4785</v>
      </c>
    </row>
    <row r="9373" spans="1:1" x14ac:dyDescent="0.25">
      <c r="A9373" s="76" t="s">
        <v>4786</v>
      </c>
    </row>
    <row r="9374" spans="1:1" x14ac:dyDescent="0.25">
      <c r="A9374" s="108" t="s">
        <v>4787</v>
      </c>
    </row>
    <row r="9375" spans="1:1" x14ac:dyDescent="0.25">
      <c r="A9375" s="76" t="s">
        <v>4788</v>
      </c>
    </row>
    <row r="9376" spans="1:1" x14ac:dyDescent="0.25">
      <c r="A9376" s="76" t="s">
        <v>4789</v>
      </c>
    </row>
    <row r="9377" spans="1:1" x14ac:dyDescent="0.25">
      <c r="A9377" s="29" t="s">
        <v>4790</v>
      </c>
    </row>
    <row r="9378" spans="1:1" x14ac:dyDescent="0.25">
      <c r="A9378" s="76" t="s">
        <v>4791</v>
      </c>
    </row>
    <row r="9379" spans="1:1" x14ac:dyDescent="0.25">
      <c r="A9379" s="29" t="s">
        <v>4792</v>
      </c>
    </row>
    <row r="9380" spans="1:1" x14ac:dyDescent="0.25">
      <c r="A9380" s="108" t="s">
        <v>4793</v>
      </c>
    </row>
    <row r="9381" spans="1:1" x14ac:dyDescent="0.25">
      <c r="A9381" s="76" t="s">
        <v>4794</v>
      </c>
    </row>
    <row r="9382" spans="1:1" x14ac:dyDescent="0.25">
      <c r="A9382" s="108" t="s">
        <v>4795</v>
      </c>
    </row>
    <row r="9383" spans="1:1" x14ac:dyDescent="0.25">
      <c r="A9383" s="76" t="s">
        <v>4796</v>
      </c>
    </row>
    <row r="9384" spans="1:1" x14ac:dyDescent="0.25">
      <c r="A9384" s="76" t="s">
        <v>4797</v>
      </c>
    </row>
    <row r="9385" spans="1:1" x14ac:dyDescent="0.25">
      <c r="A9385" s="29" t="s">
        <v>4798</v>
      </c>
    </row>
    <row r="9386" spans="1:1" x14ac:dyDescent="0.25">
      <c r="A9386" s="76" t="s">
        <v>4799</v>
      </c>
    </row>
    <row r="9387" spans="1:1" x14ac:dyDescent="0.25">
      <c r="A9387" s="29" t="s">
        <v>4800</v>
      </c>
    </row>
    <row r="9388" spans="1:1" x14ac:dyDescent="0.25">
      <c r="A9388" s="76" t="s">
        <v>4801</v>
      </c>
    </row>
    <row r="9389" spans="1:1" x14ac:dyDescent="0.25">
      <c r="A9389" s="29" t="s">
        <v>4802</v>
      </c>
    </row>
    <row r="9390" spans="1:1" x14ac:dyDescent="0.25">
      <c r="A9390" s="76" t="s">
        <v>4803</v>
      </c>
    </row>
    <row r="9391" spans="1:1" x14ac:dyDescent="0.25">
      <c r="A9391" s="29" t="s">
        <v>4804</v>
      </c>
    </row>
    <row r="9392" spans="1:1" x14ac:dyDescent="0.25">
      <c r="A9392" s="76" t="s">
        <v>4805</v>
      </c>
    </row>
    <row r="9393" spans="1:1" x14ac:dyDescent="0.25">
      <c r="A9393" s="29" t="s">
        <v>4806</v>
      </c>
    </row>
    <row r="9394" spans="1:1" x14ac:dyDescent="0.25">
      <c r="A9394" s="76" t="s">
        <v>4807</v>
      </c>
    </row>
    <row r="9395" spans="1:1" x14ac:dyDescent="0.25">
      <c r="A9395" s="29" t="s">
        <v>4808</v>
      </c>
    </row>
    <row r="9396" spans="1:1" x14ac:dyDescent="0.25">
      <c r="A9396" s="108" t="s">
        <v>4809</v>
      </c>
    </row>
    <row r="9397" spans="1:1" x14ac:dyDescent="0.25">
      <c r="A9397" s="76" t="s">
        <v>4810</v>
      </c>
    </row>
    <row r="9398" spans="1:1" x14ac:dyDescent="0.25">
      <c r="A9398" s="76" t="s">
        <v>4811</v>
      </c>
    </row>
    <row r="9399" spans="1:1" x14ac:dyDescent="0.25">
      <c r="A9399" s="76" t="s">
        <v>4812</v>
      </c>
    </row>
    <row r="9400" spans="1:1" x14ac:dyDescent="0.25">
      <c r="A9400" s="76" t="s">
        <v>4813</v>
      </c>
    </row>
    <row r="9401" spans="1:1" x14ac:dyDescent="0.25">
      <c r="A9401" s="108" t="s">
        <v>4814</v>
      </c>
    </row>
    <row r="9402" spans="1:1" x14ac:dyDescent="0.25">
      <c r="A9402" s="108" t="s">
        <v>4815</v>
      </c>
    </row>
    <row r="9403" spans="1:1" x14ac:dyDescent="0.25">
      <c r="A9403" s="29" t="s">
        <v>4816</v>
      </c>
    </row>
    <row r="9404" spans="1:1" x14ac:dyDescent="0.25">
      <c r="A9404" s="76" t="s">
        <v>4817</v>
      </c>
    </row>
    <row r="9405" spans="1:1" x14ac:dyDescent="0.25">
      <c r="A9405" s="29" t="s">
        <v>4818</v>
      </c>
    </row>
    <row r="9406" spans="1:1" x14ac:dyDescent="0.25">
      <c r="A9406" s="76" t="s">
        <v>4819</v>
      </c>
    </row>
    <row r="9407" spans="1:1" x14ac:dyDescent="0.25">
      <c r="A9407" s="76" t="s">
        <v>4820</v>
      </c>
    </row>
    <row r="9408" spans="1:1" x14ac:dyDescent="0.25">
      <c r="A9408" s="76" t="s">
        <v>4821</v>
      </c>
    </row>
    <row r="9409" spans="1:1" x14ac:dyDescent="0.25">
      <c r="A9409" s="108" t="s">
        <v>4822</v>
      </c>
    </row>
    <row r="9410" spans="1:1" x14ac:dyDescent="0.25">
      <c r="A9410" s="108" t="s">
        <v>4823</v>
      </c>
    </row>
    <row r="9411" spans="1:1" x14ac:dyDescent="0.25">
      <c r="A9411" s="29" t="s">
        <v>4824</v>
      </c>
    </row>
    <row r="9412" spans="1:1" x14ac:dyDescent="0.25">
      <c r="A9412" s="76" t="s">
        <v>4825</v>
      </c>
    </row>
    <row r="9413" spans="1:1" x14ac:dyDescent="0.25">
      <c r="A9413" s="29" t="s">
        <v>4826</v>
      </c>
    </row>
    <row r="9414" spans="1:1" x14ac:dyDescent="0.25">
      <c r="A9414" s="76" t="s">
        <v>4827</v>
      </c>
    </row>
    <row r="9415" spans="1:1" x14ac:dyDescent="0.25">
      <c r="A9415" s="76" t="s">
        <v>4828</v>
      </c>
    </row>
    <row r="9416" spans="1:1" x14ac:dyDescent="0.25">
      <c r="A9416" s="76" t="s">
        <v>4829</v>
      </c>
    </row>
    <row r="9417" spans="1:1" x14ac:dyDescent="0.25">
      <c r="A9417" s="108" t="s">
        <v>4830</v>
      </c>
    </row>
    <row r="9418" spans="1:1" x14ac:dyDescent="0.25">
      <c r="A9418" s="108" t="s">
        <v>4831</v>
      </c>
    </row>
    <row r="9419" spans="1:1" x14ac:dyDescent="0.25">
      <c r="A9419" s="29" t="s">
        <v>4832</v>
      </c>
    </row>
    <row r="9420" spans="1:1" x14ac:dyDescent="0.25">
      <c r="A9420" s="76" t="s">
        <v>4833</v>
      </c>
    </row>
    <row r="9421" spans="1:1" x14ac:dyDescent="0.25">
      <c r="A9421" s="29" t="s">
        <v>4834</v>
      </c>
    </row>
    <row r="9422" spans="1:1" x14ac:dyDescent="0.25">
      <c r="A9422" s="76" t="s">
        <v>4835</v>
      </c>
    </row>
    <row r="9423" spans="1:1" x14ac:dyDescent="0.25">
      <c r="A9423" s="76" t="s">
        <v>4836</v>
      </c>
    </row>
    <row r="9424" spans="1:1" x14ac:dyDescent="0.25">
      <c r="A9424" s="76" t="s">
        <v>4837</v>
      </c>
    </row>
    <row r="9425" spans="1:1" x14ac:dyDescent="0.25">
      <c r="A9425" s="108" t="s">
        <v>4838</v>
      </c>
    </row>
    <row r="9426" spans="1:1" x14ac:dyDescent="0.25">
      <c r="A9426" s="108" t="s">
        <v>4839</v>
      </c>
    </row>
    <row r="9427" spans="1:1" x14ac:dyDescent="0.25">
      <c r="A9427" s="29" t="s">
        <v>4840</v>
      </c>
    </row>
    <row r="9428" spans="1:1" x14ac:dyDescent="0.25">
      <c r="A9428" s="76" t="s">
        <v>4841</v>
      </c>
    </row>
    <row r="9429" spans="1:1" x14ac:dyDescent="0.25">
      <c r="A9429" s="29" t="s">
        <v>4842</v>
      </c>
    </row>
    <row r="9430" spans="1:1" x14ac:dyDescent="0.25">
      <c r="A9430" s="76" t="s">
        <v>4843</v>
      </c>
    </row>
    <row r="9431" spans="1:1" x14ac:dyDescent="0.25">
      <c r="A9431" s="76" t="s">
        <v>4844</v>
      </c>
    </row>
    <row r="9432" spans="1:1" x14ac:dyDescent="0.25">
      <c r="A9432" s="76" t="s">
        <v>4845</v>
      </c>
    </row>
    <row r="9433" spans="1:1" x14ac:dyDescent="0.25">
      <c r="A9433" s="108" t="s">
        <v>4846</v>
      </c>
    </row>
    <row r="9434" spans="1:1" x14ac:dyDescent="0.25">
      <c r="A9434" s="108" t="s">
        <v>4847</v>
      </c>
    </row>
    <row r="9435" spans="1:1" x14ac:dyDescent="0.25">
      <c r="A9435" s="29" t="s">
        <v>4848</v>
      </c>
    </row>
    <row r="9436" spans="1:1" x14ac:dyDescent="0.25">
      <c r="A9436" s="76" t="s">
        <v>4849</v>
      </c>
    </row>
    <row r="9437" spans="1:1" x14ac:dyDescent="0.25">
      <c r="A9437" s="29" t="s">
        <v>4850</v>
      </c>
    </row>
    <row r="9438" spans="1:1" x14ac:dyDescent="0.25">
      <c r="A9438" s="76" t="s">
        <v>4851</v>
      </c>
    </row>
    <row r="9439" spans="1:1" x14ac:dyDescent="0.25">
      <c r="A9439" s="76" t="s">
        <v>4852</v>
      </c>
    </row>
    <row r="9440" spans="1:1" x14ac:dyDescent="0.25">
      <c r="A9440" s="76" t="s">
        <v>4853</v>
      </c>
    </row>
    <row r="9441" spans="1:1" x14ac:dyDescent="0.25">
      <c r="A9441" s="108" t="s">
        <v>4854</v>
      </c>
    </row>
    <row r="9442" spans="1:1" x14ac:dyDescent="0.25">
      <c r="A9442" s="108" t="s">
        <v>4855</v>
      </c>
    </row>
    <row r="9443" spans="1:1" x14ac:dyDescent="0.25">
      <c r="A9443" s="29" t="s">
        <v>4856</v>
      </c>
    </row>
    <row r="9444" spans="1:1" x14ac:dyDescent="0.25">
      <c r="A9444" s="76" t="s">
        <v>4857</v>
      </c>
    </row>
    <row r="9445" spans="1:1" x14ac:dyDescent="0.25">
      <c r="A9445" s="29" t="s">
        <v>4858</v>
      </c>
    </row>
    <row r="9446" spans="1:1" x14ac:dyDescent="0.25">
      <c r="A9446" s="76" t="s">
        <v>4859</v>
      </c>
    </row>
    <row r="9447" spans="1:1" x14ac:dyDescent="0.25">
      <c r="A9447" s="29" t="s">
        <v>4860</v>
      </c>
    </row>
    <row r="9448" spans="1:1" x14ac:dyDescent="0.25">
      <c r="A9448" s="76" t="s">
        <v>4861</v>
      </c>
    </row>
    <row r="9449" spans="1:1" x14ac:dyDescent="0.25">
      <c r="A9449" s="29" t="s">
        <v>4862</v>
      </c>
    </row>
    <row r="9450" spans="1:1" x14ac:dyDescent="0.25">
      <c r="A9450" s="76" t="s">
        <v>4863</v>
      </c>
    </row>
    <row r="9451" spans="1:1" x14ac:dyDescent="0.25">
      <c r="A9451" s="29" t="s">
        <v>4864</v>
      </c>
    </row>
    <row r="9452" spans="1:1" x14ac:dyDescent="0.25">
      <c r="A9452" s="76" t="s">
        <v>4865</v>
      </c>
    </row>
    <row r="9453" spans="1:1" x14ac:dyDescent="0.25">
      <c r="A9453" s="29" t="s">
        <v>4866</v>
      </c>
    </row>
    <row r="9454" spans="1:1" x14ac:dyDescent="0.25">
      <c r="A9454" s="76" t="s">
        <v>4867</v>
      </c>
    </row>
    <row r="9455" spans="1:1" x14ac:dyDescent="0.25">
      <c r="A9455" s="29" t="s">
        <v>4868</v>
      </c>
    </row>
    <row r="9456" spans="1:1" x14ac:dyDescent="0.25">
      <c r="A9456" s="108" t="s">
        <v>4869</v>
      </c>
    </row>
    <row r="9457" spans="1:1" x14ac:dyDescent="0.25">
      <c r="A9457" s="76" t="s">
        <v>4870</v>
      </c>
    </row>
    <row r="9458" spans="1:1" x14ac:dyDescent="0.25">
      <c r="A9458" s="76" t="s">
        <v>4871</v>
      </c>
    </row>
    <row r="9459" spans="1:1" x14ac:dyDescent="0.25">
      <c r="A9459" s="29" t="s">
        <v>4872</v>
      </c>
    </row>
    <row r="9460" spans="1:1" x14ac:dyDescent="0.25">
      <c r="A9460" s="76" t="s">
        <v>4873</v>
      </c>
    </row>
    <row r="9461" spans="1:1" x14ac:dyDescent="0.25">
      <c r="A9461" s="29" t="s">
        <v>4874</v>
      </c>
    </row>
    <row r="9462" spans="1:1" x14ac:dyDescent="0.25">
      <c r="A9462" s="76" t="s">
        <v>4875</v>
      </c>
    </row>
    <row r="9463" spans="1:1" x14ac:dyDescent="0.25">
      <c r="A9463" s="29" t="s">
        <v>4876</v>
      </c>
    </row>
    <row r="9464" spans="1:1" x14ac:dyDescent="0.25">
      <c r="A9464" s="76" t="s">
        <v>4877</v>
      </c>
    </row>
    <row r="9465" spans="1:1" x14ac:dyDescent="0.25">
      <c r="A9465" s="29" t="s">
        <v>4878</v>
      </c>
    </row>
    <row r="9466" spans="1:1" x14ac:dyDescent="0.25">
      <c r="A9466" s="76" t="s">
        <v>4879</v>
      </c>
    </row>
    <row r="9467" spans="1:1" x14ac:dyDescent="0.25">
      <c r="A9467" s="29" t="s">
        <v>4880</v>
      </c>
    </row>
    <row r="9468" spans="1:1" x14ac:dyDescent="0.25">
      <c r="A9468" s="76" t="s">
        <v>4881</v>
      </c>
    </row>
    <row r="9469" spans="1:1" x14ac:dyDescent="0.25">
      <c r="A9469" s="29" t="s">
        <v>4882</v>
      </c>
    </row>
    <row r="9470" spans="1:1" x14ac:dyDescent="0.25">
      <c r="A9470" s="76" t="s">
        <v>4883</v>
      </c>
    </row>
    <row r="9471" spans="1:1" x14ac:dyDescent="0.25">
      <c r="A9471" s="29" t="s">
        <v>4884</v>
      </c>
    </row>
    <row r="9472" spans="1:1" x14ac:dyDescent="0.25">
      <c r="A9472" s="76" t="s">
        <v>4885</v>
      </c>
    </row>
    <row r="9473" spans="1:1" x14ac:dyDescent="0.25">
      <c r="A9473" s="29" t="s">
        <v>4886</v>
      </c>
    </row>
    <row r="9474" spans="1:1" x14ac:dyDescent="0.25">
      <c r="A9474" s="76" t="s">
        <v>4887</v>
      </c>
    </row>
    <row r="9475" spans="1:1" x14ac:dyDescent="0.25">
      <c r="A9475" s="29" t="s">
        <v>4888</v>
      </c>
    </row>
    <row r="9476" spans="1:1" x14ac:dyDescent="0.25">
      <c r="A9476" s="108" t="s">
        <v>4889</v>
      </c>
    </row>
    <row r="9477" spans="1:1" x14ac:dyDescent="0.25">
      <c r="A9477" s="76" t="s">
        <v>4890</v>
      </c>
    </row>
    <row r="9478" spans="1:1" x14ac:dyDescent="0.25">
      <c r="A9478" s="108" t="s">
        <v>4891</v>
      </c>
    </row>
    <row r="9479" spans="1:1" x14ac:dyDescent="0.25">
      <c r="A9479" s="76" t="s">
        <v>4892</v>
      </c>
    </row>
    <row r="9480" spans="1:1" x14ac:dyDescent="0.25">
      <c r="A9480" s="76" t="s">
        <v>4893</v>
      </c>
    </row>
    <row r="9481" spans="1:1" x14ac:dyDescent="0.25">
      <c r="A9481" s="29" t="s">
        <v>4894</v>
      </c>
    </row>
    <row r="9482" spans="1:1" x14ac:dyDescent="0.25">
      <c r="A9482" s="76" t="s">
        <v>4895</v>
      </c>
    </row>
    <row r="9483" spans="1:1" x14ac:dyDescent="0.25">
      <c r="A9483" s="29" t="s">
        <v>4896</v>
      </c>
    </row>
    <row r="9484" spans="1:1" x14ac:dyDescent="0.25">
      <c r="A9484" s="108" t="s">
        <v>4897</v>
      </c>
    </row>
    <row r="9485" spans="1:1" x14ac:dyDescent="0.25">
      <c r="A9485" s="76" t="s">
        <v>4898</v>
      </c>
    </row>
    <row r="9486" spans="1:1" x14ac:dyDescent="0.25">
      <c r="A9486" s="108" t="s">
        <v>4899</v>
      </c>
    </row>
    <row r="9487" spans="1:1" x14ac:dyDescent="0.25">
      <c r="A9487" s="76" t="s">
        <v>4900</v>
      </c>
    </row>
    <row r="9488" spans="1:1" x14ac:dyDescent="0.25">
      <c r="A9488" s="76" t="s">
        <v>4901</v>
      </c>
    </row>
    <row r="9489" spans="1:1" x14ac:dyDescent="0.25">
      <c r="A9489" s="29" t="s">
        <v>4902</v>
      </c>
    </row>
    <row r="9490" spans="1:1" x14ac:dyDescent="0.25">
      <c r="A9490" s="76" t="s">
        <v>4903</v>
      </c>
    </row>
    <row r="9491" spans="1:1" x14ac:dyDescent="0.25">
      <c r="A9491" s="29" t="s">
        <v>4904</v>
      </c>
    </row>
    <row r="9492" spans="1:1" x14ac:dyDescent="0.25">
      <c r="A9492" s="76" t="s">
        <v>4905</v>
      </c>
    </row>
    <row r="9493" spans="1:1" x14ac:dyDescent="0.25">
      <c r="A9493" s="29" t="s">
        <v>4906</v>
      </c>
    </row>
    <row r="9494" spans="1:1" x14ac:dyDescent="0.25">
      <c r="A9494" s="76" t="s">
        <v>4907</v>
      </c>
    </row>
    <row r="9495" spans="1:1" x14ac:dyDescent="0.25">
      <c r="A9495" s="29" t="s">
        <v>4908</v>
      </c>
    </row>
    <row r="9496" spans="1:1" x14ac:dyDescent="0.25">
      <c r="A9496" s="76" t="s">
        <v>4909</v>
      </c>
    </row>
    <row r="9497" spans="1:1" x14ac:dyDescent="0.25">
      <c r="A9497" s="29" t="s">
        <v>4910</v>
      </c>
    </row>
    <row r="9498" spans="1:1" x14ac:dyDescent="0.25">
      <c r="A9498" s="76" t="s">
        <v>4911</v>
      </c>
    </row>
    <row r="9499" spans="1:1" x14ac:dyDescent="0.25">
      <c r="A9499" s="29" t="s">
        <v>4912</v>
      </c>
    </row>
    <row r="9500" spans="1:1" x14ac:dyDescent="0.25">
      <c r="A9500" s="76" t="s">
        <v>4913</v>
      </c>
    </row>
    <row r="9501" spans="1:1" x14ac:dyDescent="0.25">
      <c r="A9501" s="29" t="s">
        <v>4914</v>
      </c>
    </row>
    <row r="9502" spans="1:1" x14ac:dyDescent="0.25">
      <c r="A9502" s="76" t="s">
        <v>4915</v>
      </c>
    </row>
    <row r="9503" spans="1:1" x14ac:dyDescent="0.25">
      <c r="A9503" s="29" t="s">
        <v>4916</v>
      </c>
    </row>
    <row r="9504" spans="1:1" x14ac:dyDescent="0.25">
      <c r="A9504" s="76" t="s">
        <v>4917</v>
      </c>
    </row>
    <row r="9505" spans="1:1" x14ac:dyDescent="0.25">
      <c r="A9505" s="29" t="s">
        <v>4918</v>
      </c>
    </row>
    <row r="9506" spans="1:1" x14ac:dyDescent="0.25">
      <c r="A9506" s="76" t="s">
        <v>4919</v>
      </c>
    </row>
    <row r="9507" spans="1:1" x14ac:dyDescent="0.25">
      <c r="A9507" s="29" t="s">
        <v>4920</v>
      </c>
    </row>
    <row r="9508" spans="1:1" x14ac:dyDescent="0.25">
      <c r="A9508" s="76" t="s">
        <v>4921</v>
      </c>
    </row>
    <row r="9509" spans="1:1" x14ac:dyDescent="0.25">
      <c r="A9509" s="29" t="s">
        <v>4922</v>
      </c>
    </row>
    <row r="9510" spans="1:1" x14ac:dyDescent="0.25">
      <c r="A9510" s="76" t="s">
        <v>4923</v>
      </c>
    </row>
    <row r="9511" spans="1:1" x14ac:dyDescent="0.25">
      <c r="A9511" s="29" t="s">
        <v>4924</v>
      </c>
    </row>
    <row r="9512" spans="1:1" x14ac:dyDescent="0.25">
      <c r="A9512" s="76" t="s">
        <v>4925</v>
      </c>
    </row>
    <row r="9513" spans="1:1" x14ac:dyDescent="0.25">
      <c r="A9513" s="29" t="s">
        <v>4926</v>
      </c>
    </row>
    <row r="9514" spans="1:1" x14ac:dyDescent="0.25">
      <c r="A9514" s="76" t="s">
        <v>4927</v>
      </c>
    </row>
    <row r="9515" spans="1:1" x14ac:dyDescent="0.25">
      <c r="A9515" s="29" t="s">
        <v>4928</v>
      </c>
    </row>
    <row r="9516" spans="1:1" x14ac:dyDescent="0.25">
      <c r="A9516" s="76" t="s">
        <v>4929</v>
      </c>
    </row>
    <row r="9517" spans="1:1" x14ac:dyDescent="0.25">
      <c r="A9517" s="29" t="s">
        <v>4930</v>
      </c>
    </row>
    <row r="9518" spans="1:1" x14ac:dyDescent="0.25">
      <c r="A9518" s="76" t="s">
        <v>4931</v>
      </c>
    </row>
    <row r="9519" spans="1:1" x14ac:dyDescent="0.25">
      <c r="A9519" s="29" t="s">
        <v>4932</v>
      </c>
    </row>
    <row r="9520" spans="1:1" x14ac:dyDescent="0.25">
      <c r="A9520" s="76" t="s">
        <v>4933</v>
      </c>
    </row>
    <row r="9521" spans="1:1" x14ac:dyDescent="0.25">
      <c r="A9521" s="29" t="s">
        <v>4934</v>
      </c>
    </row>
    <row r="9522" spans="1:1" x14ac:dyDescent="0.25">
      <c r="A9522" s="76" t="s">
        <v>4935</v>
      </c>
    </row>
    <row r="9523" spans="1:1" x14ac:dyDescent="0.25">
      <c r="A9523" s="29" t="s">
        <v>4936</v>
      </c>
    </row>
    <row r="9524" spans="1:1" x14ac:dyDescent="0.25">
      <c r="A9524" s="108" t="s">
        <v>4937</v>
      </c>
    </row>
    <row r="9525" spans="1:1" x14ac:dyDescent="0.25">
      <c r="A9525" s="76" t="s">
        <v>4938</v>
      </c>
    </row>
    <row r="9526" spans="1:1" x14ac:dyDescent="0.25">
      <c r="A9526" s="76" t="s">
        <v>4939</v>
      </c>
    </row>
    <row r="9527" spans="1:1" x14ac:dyDescent="0.25">
      <c r="A9527" s="29" t="s">
        <v>4940</v>
      </c>
    </row>
    <row r="9528" spans="1:1" x14ac:dyDescent="0.25">
      <c r="A9528" s="76" t="s">
        <v>4941</v>
      </c>
    </row>
    <row r="9529" spans="1:1" x14ac:dyDescent="0.25">
      <c r="A9529" s="29" t="s">
        <v>4942</v>
      </c>
    </row>
    <row r="9530" spans="1:1" x14ac:dyDescent="0.25">
      <c r="A9530" s="76" t="s">
        <v>4943</v>
      </c>
    </row>
    <row r="9531" spans="1:1" x14ac:dyDescent="0.25">
      <c r="A9531" s="29" t="s">
        <v>4944</v>
      </c>
    </row>
    <row r="9532" spans="1:1" x14ac:dyDescent="0.25">
      <c r="A9532" s="76" t="s">
        <v>4945</v>
      </c>
    </row>
    <row r="9533" spans="1:1" x14ac:dyDescent="0.25">
      <c r="A9533" s="29" t="s">
        <v>4946</v>
      </c>
    </row>
    <row r="9534" spans="1:1" x14ac:dyDescent="0.25">
      <c r="A9534" s="76" t="s">
        <v>4947</v>
      </c>
    </row>
    <row r="9535" spans="1:1" x14ac:dyDescent="0.25">
      <c r="A9535" s="76" t="s">
        <v>4948</v>
      </c>
    </row>
    <row r="9536" spans="1:1" x14ac:dyDescent="0.25">
      <c r="A9536" s="76" t="s">
        <v>4949</v>
      </c>
    </row>
    <row r="9537" spans="1:1" x14ac:dyDescent="0.25">
      <c r="A9537" s="108" t="s">
        <v>4950</v>
      </c>
    </row>
    <row r="9538" spans="1:1" x14ac:dyDescent="0.25">
      <c r="A9538" s="108" t="s">
        <v>4951</v>
      </c>
    </row>
    <row r="9539" spans="1:1" x14ac:dyDescent="0.25">
      <c r="A9539" s="29" t="s">
        <v>4952</v>
      </c>
    </row>
    <row r="9540" spans="1:1" x14ac:dyDescent="0.25">
      <c r="A9540" s="76" t="s">
        <v>4953</v>
      </c>
    </row>
    <row r="9541" spans="1:1" x14ac:dyDescent="0.25">
      <c r="A9541" s="29" t="s">
        <v>4954</v>
      </c>
    </row>
    <row r="9542" spans="1:1" x14ac:dyDescent="0.25">
      <c r="A9542" s="76" t="s">
        <v>4955</v>
      </c>
    </row>
    <row r="9543" spans="1:1" x14ac:dyDescent="0.25">
      <c r="A9543" s="76" t="s">
        <v>4956</v>
      </c>
    </row>
    <row r="9544" spans="1:1" x14ac:dyDescent="0.25">
      <c r="A9544" s="76" t="s">
        <v>4957</v>
      </c>
    </row>
    <row r="9545" spans="1:1" x14ac:dyDescent="0.25">
      <c r="A9545" s="108" t="s">
        <v>4958</v>
      </c>
    </row>
    <row r="9546" spans="1:1" x14ac:dyDescent="0.25">
      <c r="A9546" s="108" t="s">
        <v>4959</v>
      </c>
    </row>
    <row r="9547" spans="1:1" x14ac:dyDescent="0.25">
      <c r="A9547" s="29" t="s">
        <v>4960</v>
      </c>
    </row>
    <row r="9548" spans="1:1" x14ac:dyDescent="0.25">
      <c r="A9548" s="76" t="s">
        <v>4961</v>
      </c>
    </row>
    <row r="9549" spans="1:1" x14ac:dyDescent="0.25">
      <c r="A9549" s="29" t="s">
        <v>4962</v>
      </c>
    </row>
    <row r="9550" spans="1:1" x14ac:dyDescent="0.25">
      <c r="A9550" s="76" t="s">
        <v>4963</v>
      </c>
    </row>
    <row r="9551" spans="1:1" x14ac:dyDescent="0.25">
      <c r="A9551" s="76" t="s">
        <v>4964</v>
      </c>
    </row>
    <row r="9552" spans="1:1" x14ac:dyDescent="0.25">
      <c r="A9552" s="76" t="s">
        <v>4965</v>
      </c>
    </row>
    <row r="9553" spans="1:1" x14ac:dyDescent="0.25">
      <c r="A9553" s="108" t="s">
        <v>4966</v>
      </c>
    </row>
    <row r="9554" spans="1:1" x14ac:dyDescent="0.25">
      <c r="A9554" s="108" t="s">
        <v>4967</v>
      </c>
    </row>
    <row r="9555" spans="1:1" x14ac:dyDescent="0.25">
      <c r="A9555" s="29" t="s">
        <v>4968</v>
      </c>
    </row>
    <row r="9556" spans="1:1" x14ac:dyDescent="0.25">
      <c r="A9556" s="76" t="s">
        <v>4969</v>
      </c>
    </row>
    <row r="9557" spans="1:1" x14ac:dyDescent="0.25">
      <c r="A9557" s="29" t="s">
        <v>4970</v>
      </c>
    </row>
    <row r="9558" spans="1:1" x14ac:dyDescent="0.25">
      <c r="A9558" s="76" t="s">
        <v>4971</v>
      </c>
    </row>
    <row r="9559" spans="1:1" x14ac:dyDescent="0.25">
      <c r="A9559" s="76" t="s">
        <v>4972</v>
      </c>
    </row>
    <row r="9560" spans="1:1" x14ac:dyDescent="0.25">
      <c r="A9560" s="76" t="s">
        <v>4973</v>
      </c>
    </row>
    <row r="9561" spans="1:1" x14ac:dyDescent="0.25">
      <c r="A9561" s="108" t="s">
        <v>4974</v>
      </c>
    </row>
    <row r="9562" spans="1:1" x14ac:dyDescent="0.25">
      <c r="A9562" s="108" t="s">
        <v>4975</v>
      </c>
    </row>
    <row r="9563" spans="1:1" x14ac:dyDescent="0.25">
      <c r="A9563" s="29" t="s">
        <v>4976</v>
      </c>
    </row>
    <row r="9564" spans="1:1" x14ac:dyDescent="0.25">
      <c r="A9564" s="76" t="s">
        <v>4977</v>
      </c>
    </row>
    <row r="9565" spans="1:1" x14ac:dyDescent="0.25">
      <c r="A9565" s="29" t="s">
        <v>4978</v>
      </c>
    </row>
    <row r="9566" spans="1:1" x14ac:dyDescent="0.25">
      <c r="A9566" s="76" t="s">
        <v>4979</v>
      </c>
    </row>
    <row r="9567" spans="1:1" x14ac:dyDescent="0.25">
      <c r="A9567" s="76" t="s">
        <v>4980</v>
      </c>
    </row>
    <row r="9568" spans="1:1" x14ac:dyDescent="0.25">
      <c r="A9568" s="76" t="s">
        <v>4981</v>
      </c>
    </row>
    <row r="9569" spans="1:1" x14ac:dyDescent="0.25">
      <c r="A9569" s="108" t="s">
        <v>4982</v>
      </c>
    </row>
    <row r="9570" spans="1:1" x14ac:dyDescent="0.25">
      <c r="A9570" s="108" t="s">
        <v>4983</v>
      </c>
    </row>
    <row r="9571" spans="1:1" x14ac:dyDescent="0.25">
      <c r="A9571" s="29" t="s">
        <v>4984</v>
      </c>
    </row>
    <row r="9572" spans="1:1" x14ac:dyDescent="0.25">
      <c r="A9572" s="76" t="s">
        <v>4985</v>
      </c>
    </row>
    <row r="9573" spans="1:1" x14ac:dyDescent="0.25">
      <c r="A9573" s="29" t="s">
        <v>4986</v>
      </c>
    </row>
    <row r="9574" spans="1:1" x14ac:dyDescent="0.25">
      <c r="A9574" s="76" t="s">
        <v>4987</v>
      </c>
    </row>
    <row r="9575" spans="1:1" x14ac:dyDescent="0.25">
      <c r="A9575" s="76" t="s">
        <v>4988</v>
      </c>
    </row>
    <row r="9576" spans="1:1" x14ac:dyDescent="0.25">
      <c r="A9576" s="76" t="s">
        <v>4989</v>
      </c>
    </row>
    <row r="9577" spans="1:1" x14ac:dyDescent="0.25">
      <c r="A9577" s="108" t="s">
        <v>4990</v>
      </c>
    </row>
    <row r="9578" spans="1:1" x14ac:dyDescent="0.25">
      <c r="A9578" s="108" t="s">
        <v>4991</v>
      </c>
    </row>
    <row r="9579" spans="1:1" x14ac:dyDescent="0.25">
      <c r="A9579" s="29" t="s">
        <v>4992</v>
      </c>
    </row>
    <row r="9580" spans="1:1" x14ac:dyDescent="0.25">
      <c r="A9580" s="76" t="s">
        <v>4993</v>
      </c>
    </row>
    <row r="9581" spans="1:1" x14ac:dyDescent="0.25">
      <c r="A9581" s="29" t="s">
        <v>4994</v>
      </c>
    </row>
    <row r="9582" spans="1:1" x14ac:dyDescent="0.25">
      <c r="A9582" s="76" t="s">
        <v>4995</v>
      </c>
    </row>
    <row r="9583" spans="1:1" x14ac:dyDescent="0.25">
      <c r="A9583" s="29" t="s">
        <v>4996</v>
      </c>
    </row>
    <row r="9584" spans="1:1" x14ac:dyDescent="0.25">
      <c r="A9584" s="76" t="s">
        <v>4997</v>
      </c>
    </row>
    <row r="9585" spans="1:1" x14ac:dyDescent="0.25">
      <c r="A9585" s="29" t="s">
        <v>4998</v>
      </c>
    </row>
    <row r="9586" spans="1:1" x14ac:dyDescent="0.25">
      <c r="A9586" s="76" t="s">
        <v>4999</v>
      </c>
    </row>
    <row r="9587" spans="1:1" x14ac:dyDescent="0.25">
      <c r="A9587" s="29" t="s">
        <v>5000</v>
      </c>
    </row>
    <row r="9588" spans="1:1" x14ac:dyDescent="0.25">
      <c r="A9588" s="76" t="s">
        <v>5001</v>
      </c>
    </row>
    <row r="9589" spans="1:1" x14ac:dyDescent="0.25">
      <c r="A9589" s="29" t="s">
        <v>5002</v>
      </c>
    </row>
    <row r="9590" spans="1:1" x14ac:dyDescent="0.25">
      <c r="A9590" s="76" t="s">
        <v>5003</v>
      </c>
    </row>
    <row r="9591" spans="1:1" x14ac:dyDescent="0.25">
      <c r="A9591" s="29" t="s">
        <v>5004</v>
      </c>
    </row>
    <row r="9592" spans="1:1" x14ac:dyDescent="0.25">
      <c r="A9592" s="108" t="s">
        <v>5005</v>
      </c>
    </row>
    <row r="9593" spans="1:1" x14ac:dyDescent="0.25">
      <c r="A9593" s="76" t="s">
        <v>5006</v>
      </c>
    </row>
    <row r="9594" spans="1:1" x14ac:dyDescent="0.25">
      <c r="A9594" s="76" t="s">
        <v>5007</v>
      </c>
    </row>
    <row r="9595" spans="1:1" x14ac:dyDescent="0.25">
      <c r="A9595" s="29" t="s">
        <v>5008</v>
      </c>
    </row>
    <row r="9596" spans="1:1" x14ac:dyDescent="0.25">
      <c r="A9596" s="76" t="s">
        <v>5009</v>
      </c>
    </row>
    <row r="9597" spans="1:1" x14ac:dyDescent="0.25">
      <c r="A9597" s="29" t="s">
        <v>5010</v>
      </c>
    </row>
    <row r="9598" spans="1:1" x14ac:dyDescent="0.25">
      <c r="A9598" s="76" t="s">
        <v>5011</v>
      </c>
    </row>
    <row r="9599" spans="1:1" x14ac:dyDescent="0.25">
      <c r="A9599" s="29" t="s">
        <v>5012</v>
      </c>
    </row>
    <row r="9600" spans="1:1" x14ac:dyDescent="0.25">
      <c r="A9600" s="76" t="s">
        <v>5013</v>
      </c>
    </row>
    <row r="9601" spans="1:1" x14ac:dyDescent="0.25">
      <c r="A9601" s="29" t="s">
        <v>5014</v>
      </c>
    </row>
    <row r="9602" spans="1:1" x14ac:dyDescent="0.25">
      <c r="A9602" s="76" t="s">
        <v>5015</v>
      </c>
    </row>
    <row r="9603" spans="1:1" x14ac:dyDescent="0.25">
      <c r="A9603" s="29" t="s">
        <v>5016</v>
      </c>
    </row>
    <row r="9604" spans="1:1" x14ac:dyDescent="0.25">
      <c r="A9604" s="76" t="s">
        <v>5017</v>
      </c>
    </row>
    <row r="9605" spans="1:1" x14ac:dyDescent="0.25">
      <c r="A9605" s="29" t="s">
        <v>5018</v>
      </c>
    </row>
    <row r="9606" spans="1:1" x14ac:dyDescent="0.25">
      <c r="A9606" s="76" t="s">
        <v>5019</v>
      </c>
    </row>
    <row r="9607" spans="1:1" x14ac:dyDescent="0.25">
      <c r="A9607" s="29" t="s">
        <v>5020</v>
      </c>
    </row>
    <row r="9608" spans="1:1" x14ac:dyDescent="0.25">
      <c r="A9608" s="76" t="s">
        <v>5021</v>
      </c>
    </row>
    <row r="9609" spans="1:1" x14ac:dyDescent="0.25">
      <c r="A9609" s="29" t="s">
        <v>5022</v>
      </c>
    </row>
    <row r="9610" spans="1:1" x14ac:dyDescent="0.25">
      <c r="A9610" s="76" t="s">
        <v>5023</v>
      </c>
    </row>
    <row r="9611" spans="1:1" x14ac:dyDescent="0.25">
      <c r="A9611" s="29" t="s">
        <v>5024</v>
      </c>
    </row>
    <row r="9612" spans="1:1" x14ac:dyDescent="0.25">
      <c r="A9612" s="76" t="s">
        <v>5025</v>
      </c>
    </row>
    <row r="9613" spans="1:1" x14ac:dyDescent="0.25">
      <c r="A9613" s="29" t="s">
        <v>5026</v>
      </c>
    </row>
    <row r="9614" spans="1:1" x14ac:dyDescent="0.25">
      <c r="A9614" s="76" t="s">
        <v>5027</v>
      </c>
    </row>
    <row r="9615" spans="1:1" x14ac:dyDescent="0.25">
      <c r="A9615" s="29" t="s">
        <v>5028</v>
      </c>
    </row>
    <row r="9616" spans="1:1" x14ac:dyDescent="0.25">
      <c r="A9616" s="76" t="s">
        <v>5029</v>
      </c>
    </row>
    <row r="9617" spans="1:1" x14ac:dyDescent="0.25">
      <c r="A9617" s="29" t="s">
        <v>5030</v>
      </c>
    </row>
    <row r="9618" spans="1:1" x14ac:dyDescent="0.25">
      <c r="A9618" s="108" t="s">
        <v>5031</v>
      </c>
    </row>
    <row r="9619" spans="1:1" x14ac:dyDescent="0.25">
      <c r="A9619" s="76" t="s">
        <v>5032</v>
      </c>
    </row>
    <row r="9620" spans="1:1" x14ac:dyDescent="0.25">
      <c r="A9620" s="76" t="s">
        <v>5033</v>
      </c>
    </row>
    <row r="9621" spans="1:1" x14ac:dyDescent="0.25">
      <c r="A9621" s="29" t="s">
        <v>5034</v>
      </c>
    </row>
    <row r="9622" spans="1:1" x14ac:dyDescent="0.25">
      <c r="A9622" s="76" t="s">
        <v>5035</v>
      </c>
    </row>
    <row r="9623" spans="1:1" x14ac:dyDescent="0.25">
      <c r="A9623" s="29" t="s">
        <v>5036</v>
      </c>
    </row>
    <row r="9624" spans="1:1" x14ac:dyDescent="0.25">
      <c r="A9624" s="76" t="s">
        <v>5037</v>
      </c>
    </row>
    <row r="9625" spans="1:1" x14ac:dyDescent="0.25">
      <c r="A9625" s="29" t="s">
        <v>5038</v>
      </c>
    </row>
    <row r="9626" spans="1:1" x14ac:dyDescent="0.25">
      <c r="A9626" s="76" t="s">
        <v>5039</v>
      </c>
    </row>
    <row r="9627" spans="1:1" x14ac:dyDescent="0.25">
      <c r="A9627" s="29" t="s">
        <v>5040</v>
      </c>
    </row>
    <row r="9628" spans="1:1" x14ac:dyDescent="0.25">
      <c r="A9628" s="76" t="s">
        <v>5041</v>
      </c>
    </row>
    <row r="9629" spans="1:1" x14ac:dyDescent="0.25">
      <c r="A9629" s="29" t="s">
        <v>5042</v>
      </c>
    </row>
    <row r="9630" spans="1:1" x14ac:dyDescent="0.25">
      <c r="A9630" s="108" t="s">
        <v>5043</v>
      </c>
    </row>
    <row r="9631" spans="1:1" x14ac:dyDescent="0.25">
      <c r="A9631" s="76" t="s">
        <v>5044</v>
      </c>
    </row>
    <row r="9632" spans="1:1" x14ac:dyDescent="0.25">
      <c r="A9632" s="108" t="s">
        <v>5045</v>
      </c>
    </row>
    <row r="9633" spans="1:1" x14ac:dyDescent="0.25">
      <c r="A9633" s="76" t="s">
        <v>5046</v>
      </c>
    </row>
    <row r="9634" spans="1:1" x14ac:dyDescent="0.25">
      <c r="A9634" s="76" t="s">
        <v>5047</v>
      </c>
    </row>
    <row r="9635" spans="1:1" x14ac:dyDescent="0.25">
      <c r="A9635" s="29" t="s">
        <v>5048</v>
      </c>
    </row>
    <row r="9636" spans="1:1" x14ac:dyDescent="0.25">
      <c r="A9636" s="76" t="s">
        <v>5049</v>
      </c>
    </row>
    <row r="9637" spans="1:1" x14ac:dyDescent="0.25">
      <c r="A9637" s="29" t="s">
        <v>5050</v>
      </c>
    </row>
    <row r="9638" spans="1:1" x14ac:dyDescent="0.25">
      <c r="A9638" s="76" t="s">
        <v>5051</v>
      </c>
    </row>
    <row r="9639" spans="1:1" x14ac:dyDescent="0.25">
      <c r="A9639" s="29" t="s">
        <v>5052</v>
      </c>
    </row>
    <row r="9640" spans="1:1" x14ac:dyDescent="0.25">
      <c r="A9640" s="76" t="s">
        <v>5053</v>
      </c>
    </row>
    <row r="9641" spans="1:1" x14ac:dyDescent="0.25">
      <c r="A9641" s="29" t="s">
        <v>5054</v>
      </c>
    </row>
    <row r="9642" spans="1:1" x14ac:dyDescent="0.25">
      <c r="A9642" s="76" t="s">
        <v>5055</v>
      </c>
    </row>
    <row r="9643" spans="1:1" x14ac:dyDescent="0.25">
      <c r="A9643" s="29" t="s">
        <v>5056</v>
      </c>
    </row>
    <row r="9644" spans="1:1" x14ac:dyDescent="0.25">
      <c r="A9644" s="76" t="s">
        <v>5057</v>
      </c>
    </row>
    <row r="9645" spans="1:1" x14ac:dyDescent="0.25">
      <c r="A9645" s="29" t="s">
        <v>5058</v>
      </c>
    </row>
    <row r="9646" spans="1:1" x14ac:dyDescent="0.25">
      <c r="A9646" s="76" t="s">
        <v>5059</v>
      </c>
    </row>
    <row r="9647" spans="1:1" x14ac:dyDescent="0.25">
      <c r="A9647" s="29" t="s">
        <v>5060</v>
      </c>
    </row>
    <row r="9648" spans="1:1" x14ac:dyDescent="0.25">
      <c r="A9648" s="76" t="s">
        <v>5061</v>
      </c>
    </row>
    <row r="9649" spans="1:1" x14ac:dyDescent="0.25">
      <c r="A9649" s="29" t="s">
        <v>5062</v>
      </c>
    </row>
    <row r="9650" spans="1:1" x14ac:dyDescent="0.25">
      <c r="A9650" s="108" t="s">
        <v>5063</v>
      </c>
    </row>
    <row r="9651" spans="1:1" x14ac:dyDescent="0.25">
      <c r="A9651" s="76" t="s">
        <v>5064</v>
      </c>
    </row>
    <row r="9652" spans="1:1" x14ac:dyDescent="0.25">
      <c r="A9652" s="76" t="s">
        <v>5065</v>
      </c>
    </row>
    <row r="9653" spans="1:1" x14ac:dyDescent="0.25">
      <c r="A9653" s="29" t="s">
        <v>5066</v>
      </c>
    </row>
    <row r="9654" spans="1:1" x14ac:dyDescent="0.25">
      <c r="A9654" s="76" t="s">
        <v>5067</v>
      </c>
    </row>
    <row r="9655" spans="1:1" x14ac:dyDescent="0.25">
      <c r="A9655" s="29" t="s">
        <v>5068</v>
      </c>
    </row>
    <row r="9656" spans="1:1" x14ac:dyDescent="0.25">
      <c r="A9656" s="76" t="s">
        <v>5069</v>
      </c>
    </row>
    <row r="9657" spans="1:1" x14ac:dyDescent="0.25">
      <c r="A9657" s="29" t="s">
        <v>5070</v>
      </c>
    </row>
    <row r="9658" spans="1:1" x14ac:dyDescent="0.25">
      <c r="A9658" s="76" t="s">
        <v>5071</v>
      </c>
    </row>
    <row r="9659" spans="1:1" x14ac:dyDescent="0.25">
      <c r="A9659" s="29" t="s">
        <v>5072</v>
      </c>
    </row>
    <row r="9660" spans="1:1" x14ac:dyDescent="0.25">
      <c r="A9660" s="108" t="s">
        <v>5073</v>
      </c>
    </row>
    <row r="9661" spans="1:1" x14ac:dyDescent="0.25">
      <c r="A9661" s="76" t="s">
        <v>5074</v>
      </c>
    </row>
    <row r="9662" spans="1:1" x14ac:dyDescent="0.25">
      <c r="A9662" s="76" t="s">
        <v>5075</v>
      </c>
    </row>
    <row r="9663" spans="1:1" x14ac:dyDescent="0.25">
      <c r="A9663" s="29" t="s">
        <v>5076</v>
      </c>
    </row>
    <row r="9664" spans="1:1" x14ac:dyDescent="0.25">
      <c r="A9664" s="76" t="s">
        <v>5077</v>
      </c>
    </row>
    <row r="9665" spans="1:1" x14ac:dyDescent="0.25">
      <c r="A9665" s="29" t="s">
        <v>5078</v>
      </c>
    </row>
    <row r="9666" spans="1:1" x14ac:dyDescent="0.25">
      <c r="A9666" s="76" t="s">
        <v>5079</v>
      </c>
    </row>
    <row r="9667" spans="1:1" x14ac:dyDescent="0.25">
      <c r="A9667" s="29" t="s">
        <v>5080</v>
      </c>
    </row>
    <row r="9668" spans="1:1" x14ac:dyDescent="0.25">
      <c r="A9668" s="76" t="s">
        <v>5081</v>
      </c>
    </row>
    <row r="9669" spans="1:1" x14ac:dyDescent="0.25">
      <c r="A9669" s="29" t="s">
        <v>5082</v>
      </c>
    </row>
    <row r="9670" spans="1:1" x14ac:dyDescent="0.25">
      <c r="A9670" s="76" t="s">
        <v>5083</v>
      </c>
    </row>
    <row r="9671" spans="1:1" x14ac:dyDescent="0.25">
      <c r="A9671" s="29" t="s">
        <v>5084</v>
      </c>
    </row>
    <row r="9672" spans="1:1" x14ac:dyDescent="0.25">
      <c r="A9672" s="76" t="s">
        <v>5085</v>
      </c>
    </row>
    <row r="9673" spans="1:1" x14ac:dyDescent="0.25">
      <c r="A9673" s="29" t="s">
        <v>5086</v>
      </c>
    </row>
    <row r="9674" spans="1:1" x14ac:dyDescent="0.25">
      <c r="A9674" s="76" t="s">
        <v>5087</v>
      </c>
    </row>
    <row r="9675" spans="1:1" x14ac:dyDescent="0.25">
      <c r="A9675" s="29" t="s">
        <v>5088</v>
      </c>
    </row>
    <row r="9676" spans="1:1" x14ac:dyDescent="0.25">
      <c r="A9676" s="76" t="s">
        <v>5089</v>
      </c>
    </row>
    <row r="9677" spans="1:1" x14ac:dyDescent="0.25">
      <c r="A9677" s="76" t="s">
        <v>5090</v>
      </c>
    </row>
    <row r="9678" spans="1:1" x14ac:dyDescent="0.25">
      <c r="A9678" s="76" t="s">
        <v>5091</v>
      </c>
    </row>
    <row r="9679" spans="1:1" x14ac:dyDescent="0.25">
      <c r="A9679" s="108" t="s">
        <v>5092</v>
      </c>
    </row>
    <row r="9680" spans="1:1" x14ac:dyDescent="0.25">
      <c r="A9680" s="108" t="s">
        <v>5093</v>
      </c>
    </row>
    <row r="9681" spans="1:1" x14ac:dyDescent="0.25">
      <c r="A9681" s="29" t="s">
        <v>5094</v>
      </c>
    </row>
    <row r="9682" spans="1:1" x14ac:dyDescent="0.25">
      <c r="A9682" s="76" t="s">
        <v>5095</v>
      </c>
    </row>
    <row r="9683" spans="1:1" x14ac:dyDescent="0.25">
      <c r="A9683" s="29" t="s">
        <v>5096</v>
      </c>
    </row>
    <row r="9684" spans="1:1" x14ac:dyDescent="0.25">
      <c r="A9684" s="76" t="s">
        <v>5097</v>
      </c>
    </row>
    <row r="9685" spans="1:1" x14ac:dyDescent="0.25">
      <c r="A9685" s="76" t="s">
        <v>5098</v>
      </c>
    </row>
    <row r="9686" spans="1:1" x14ac:dyDescent="0.25">
      <c r="A9686" s="76" t="s">
        <v>5099</v>
      </c>
    </row>
    <row r="9687" spans="1:1" x14ac:dyDescent="0.25">
      <c r="A9687" s="108" t="s">
        <v>5100</v>
      </c>
    </row>
    <row r="9688" spans="1:1" x14ac:dyDescent="0.25">
      <c r="A9688" s="108" t="s">
        <v>5101</v>
      </c>
    </row>
    <row r="9689" spans="1:1" x14ac:dyDescent="0.25">
      <c r="A9689" s="29" t="s">
        <v>5102</v>
      </c>
    </row>
    <row r="9690" spans="1:1" x14ac:dyDescent="0.25">
      <c r="A9690" s="76" t="s">
        <v>5103</v>
      </c>
    </row>
    <row r="9691" spans="1:1" x14ac:dyDescent="0.25">
      <c r="A9691" s="29" t="s">
        <v>5104</v>
      </c>
    </row>
    <row r="9692" spans="1:1" x14ac:dyDescent="0.25">
      <c r="A9692" s="76" t="s">
        <v>5105</v>
      </c>
    </row>
    <row r="9693" spans="1:1" x14ac:dyDescent="0.25">
      <c r="A9693" s="76" t="s">
        <v>5106</v>
      </c>
    </row>
    <row r="9694" spans="1:1" x14ac:dyDescent="0.25">
      <c r="A9694" s="76" t="s">
        <v>5107</v>
      </c>
    </row>
    <row r="9695" spans="1:1" x14ac:dyDescent="0.25">
      <c r="A9695" s="108" t="s">
        <v>5108</v>
      </c>
    </row>
    <row r="9696" spans="1:1" x14ac:dyDescent="0.25">
      <c r="A9696" s="108" t="s">
        <v>5109</v>
      </c>
    </row>
    <row r="9697" spans="1:1" x14ac:dyDescent="0.25">
      <c r="A9697" s="29" t="s">
        <v>5110</v>
      </c>
    </row>
    <row r="9698" spans="1:1" x14ac:dyDescent="0.25">
      <c r="A9698" s="76" t="s">
        <v>5111</v>
      </c>
    </row>
    <row r="9699" spans="1:1" x14ac:dyDescent="0.25">
      <c r="A9699" s="29" t="s">
        <v>5112</v>
      </c>
    </row>
    <row r="9700" spans="1:1" x14ac:dyDescent="0.25">
      <c r="A9700" s="76" t="s">
        <v>5113</v>
      </c>
    </row>
    <row r="9701" spans="1:1" x14ac:dyDescent="0.25">
      <c r="A9701" s="76" t="s">
        <v>5114</v>
      </c>
    </row>
    <row r="9702" spans="1:1" x14ac:dyDescent="0.25">
      <c r="A9702" s="76" t="s">
        <v>5115</v>
      </c>
    </row>
    <row r="9703" spans="1:1" x14ac:dyDescent="0.25">
      <c r="A9703" s="108" t="s">
        <v>5116</v>
      </c>
    </row>
    <row r="9704" spans="1:1" x14ac:dyDescent="0.25">
      <c r="A9704" s="108" t="s">
        <v>5117</v>
      </c>
    </row>
    <row r="9705" spans="1:1" x14ac:dyDescent="0.25">
      <c r="A9705" s="29" t="s">
        <v>5118</v>
      </c>
    </row>
    <row r="9706" spans="1:1" x14ac:dyDescent="0.25">
      <c r="A9706" s="76" t="s">
        <v>5119</v>
      </c>
    </row>
    <row r="9707" spans="1:1" x14ac:dyDescent="0.25">
      <c r="A9707" s="29" t="s">
        <v>5120</v>
      </c>
    </row>
    <row r="9708" spans="1:1" x14ac:dyDescent="0.25">
      <c r="A9708" s="76" t="s">
        <v>5121</v>
      </c>
    </row>
    <row r="9709" spans="1:1" x14ac:dyDescent="0.25">
      <c r="A9709" s="76" t="s">
        <v>5122</v>
      </c>
    </row>
    <row r="9710" spans="1:1" x14ac:dyDescent="0.25">
      <c r="A9710" s="76" t="s">
        <v>5123</v>
      </c>
    </row>
    <row r="9711" spans="1:1" x14ac:dyDescent="0.25">
      <c r="A9711" s="108" t="s">
        <v>5124</v>
      </c>
    </row>
    <row r="9712" spans="1:1" x14ac:dyDescent="0.25">
      <c r="A9712" s="108" t="s">
        <v>5125</v>
      </c>
    </row>
    <row r="9713" spans="1:1" x14ac:dyDescent="0.25">
      <c r="A9713" s="29" t="s">
        <v>5126</v>
      </c>
    </row>
    <row r="9714" spans="1:1" x14ac:dyDescent="0.25">
      <c r="A9714" s="76" t="s">
        <v>5127</v>
      </c>
    </row>
    <row r="9715" spans="1:1" x14ac:dyDescent="0.25">
      <c r="A9715" s="29" t="s">
        <v>5128</v>
      </c>
    </row>
    <row r="9716" spans="1:1" x14ac:dyDescent="0.25">
      <c r="A9716" s="76" t="s">
        <v>5129</v>
      </c>
    </row>
    <row r="9717" spans="1:1" x14ac:dyDescent="0.25">
      <c r="A9717" s="76" t="s">
        <v>5130</v>
      </c>
    </row>
    <row r="9718" spans="1:1" x14ac:dyDescent="0.25">
      <c r="A9718" s="76" t="s">
        <v>5131</v>
      </c>
    </row>
    <row r="9719" spans="1:1" x14ac:dyDescent="0.25">
      <c r="A9719" s="108" t="s">
        <v>5132</v>
      </c>
    </row>
    <row r="9720" spans="1:1" x14ac:dyDescent="0.25">
      <c r="A9720" s="108" t="s">
        <v>5133</v>
      </c>
    </row>
    <row r="9721" spans="1:1" x14ac:dyDescent="0.25">
      <c r="A9721" s="29" t="s">
        <v>5134</v>
      </c>
    </row>
    <row r="9722" spans="1:1" x14ac:dyDescent="0.25">
      <c r="A9722" s="76" t="s">
        <v>5135</v>
      </c>
    </row>
    <row r="9723" spans="1:1" x14ac:dyDescent="0.25">
      <c r="A9723" s="29" t="s">
        <v>5136</v>
      </c>
    </row>
    <row r="9724" spans="1:1" x14ac:dyDescent="0.25">
      <c r="A9724" s="76" t="s">
        <v>5137</v>
      </c>
    </row>
    <row r="9725" spans="1:1" x14ac:dyDescent="0.25">
      <c r="A9725" s="29" t="s">
        <v>5138</v>
      </c>
    </row>
    <row r="9726" spans="1:1" x14ac:dyDescent="0.25">
      <c r="A9726" s="108" t="s">
        <v>5139</v>
      </c>
    </row>
    <row r="9727" spans="1:1" x14ac:dyDescent="0.25">
      <c r="A9727" s="76" t="s">
        <v>5140</v>
      </c>
    </row>
    <row r="9728" spans="1:1" x14ac:dyDescent="0.25">
      <c r="A9728" s="76" t="s">
        <v>5141</v>
      </c>
    </row>
    <row r="9729" spans="1:1" x14ac:dyDescent="0.25">
      <c r="A9729" s="29" t="s">
        <v>5142</v>
      </c>
    </row>
    <row r="9730" spans="1:1" x14ac:dyDescent="0.25">
      <c r="A9730" s="76" t="s">
        <v>5143</v>
      </c>
    </row>
    <row r="9731" spans="1:1" x14ac:dyDescent="0.25">
      <c r="A9731" s="29" t="s">
        <v>5144</v>
      </c>
    </row>
    <row r="9732" spans="1:1" x14ac:dyDescent="0.25">
      <c r="A9732" s="76" t="s">
        <v>5145</v>
      </c>
    </row>
    <row r="9733" spans="1:1" x14ac:dyDescent="0.25">
      <c r="A9733" s="29" t="s">
        <v>5146</v>
      </c>
    </row>
    <row r="9734" spans="1:1" x14ac:dyDescent="0.25">
      <c r="A9734" s="76" t="s">
        <v>5147</v>
      </c>
    </row>
    <row r="9735" spans="1:1" x14ac:dyDescent="0.25">
      <c r="A9735" s="29" t="s">
        <v>5148</v>
      </c>
    </row>
    <row r="9736" spans="1:1" x14ac:dyDescent="0.25">
      <c r="A9736" s="76" t="s">
        <v>5149</v>
      </c>
    </row>
    <row r="9737" spans="1:1" x14ac:dyDescent="0.25">
      <c r="A9737" s="29" t="s">
        <v>5150</v>
      </c>
    </row>
    <row r="9738" spans="1:1" x14ac:dyDescent="0.25">
      <c r="A9738" s="76" t="s">
        <v>5151</v>
      </c>
    </row>
    <row r="9739" spans="1:1" x14ac:dyDescent="0.25">
      <c r="A9739" s="29" t="s">
        <v>5152</v>
      </c>
    </row>
    <row r="9740" spans="1:1" x14ac:dyDescent="0.25">
      <c r="A9740" s="76" t="s">
        <v>5153</v>
      </c>
    </row>
    <row r="9741" spans="1:1" x14ac:dyDescent="0.25">
      <c r="A9741" s="29" t="s">
        <v>5154</v>
      </c>
    </row>
    <row r="9742" spans="1:1" x14ac:dyDescent="0.25">
      <c r="A9742" s="76" t="s">
        <v>5155</v>
      </c>
    </row>
    <row r="9743" spans="1:1" x14ac:dyDescent="0.25">
      <c r="A9743" s="29" t="s">
        <v>5156</v>
      </c>
    </row>
    <row r="9744" spans="1:1" x14ac:dyDescent="0.25">
      <c r="A9744" s="76" t="s">
        <v>5157</v>
      </c>
    </row>
    <row r="9745" spans="1:1" x14ac:dyDescent="0.25">
      <c r="A9745" s="29" t="s">
        <v>5158</v>
      </c>
    </row>
    <row r="9746" spans="1:1" x14ac:dyDescent="0.25">
      <c r="A9746" s="76" t="s">
        <v>5159</v>
      </c>
    </row>
    <row r="9747" spans="1:1" x14ac:dyDescent="0.25">
      <c r="A9747" s="29" t="s">
        <v>5160</v>
      </c>
    </row>
    <row r="9748" spans="1:1" x14ac:dyDescent="0.25">
      <c r="A9748" s="76" t="s">
        <v>5161</v>
      </c>
    </row>
    <row r="9749" spans="1:1" x14ac:dyDescent="0.25">
      <c r="A9749" s="29" t="s">
        <v>5162</v>
      </c>
    </row>
    <row r="9750" spans="1:1" x14ac:dyDescent="0.25">
      <c r="A9750" s="76" t="s">
        <v>5163</v>
      </c>
    </row>
    <row r="9751" spans="1:1" x14ac:dyDescent="0.25">
      <c r="A9751" s="29" t="s">
        <v>5164</v>
      </c>
    </row>
    <row r="9752" spans="1:1" x14ac:dyDescent="0.25">
      <c r="A9752" s="76" t="s">
        <v>5165</v>
      </c>
    </row>
    <row r="9753" spans="1:1" x14ac:dyDescent="0.25">
      <c r="A9753" s="29" t="s">
        <v>5166</v>
      </c>
    </row>
    <row r="9754" spans="1:1" x14ac:dyDescent="0.25">
      <c r="A9754" s="76" t="s">
        <v>5167</v>
      </c>
    </row>
    <row r="9755" spans="1:1" x14ac:dyDescent="0.25">
      <c r="A9755" s="29" t="s">
        <v>5168</v>
      </c>
    </row>
    <row r="9756" spans="1:1" x14ac:dyDescent="0.25">
      <c r="A9756" s="76" t="s">
        <v>5169</v>
      </c>
    </row>
    <row r="9757" spans="1:1" x14ac:dyDescent="0.25">
      <c r="A9757" s="29" t="s">
        <v>5170</v>
      </c>
    </row>
    <row r="9758" spans="1:1" x14ac:dyDescent="0.25">
      <c r="A9758" s="76" t="s">
        <v>5171</v>
      </c>
    </row>
    <row r="9759" spans="1:1" x14ac:dyDescent="0.25">
      <c r="A9759" s="29" t="s">
        <v>5172</v>
      </c>
    </row>
    <row r="9760" spans="1:1" x14ac:dyDescent="0.25">
      <c r="A9760" s="76" t="s">
        <v>5173</v>
      </c>
    </row>
    <row r="9761" spans="1:1" x14ac:dyDescent="0.25">
      <c r="A9761" s="29" t="s">
        <v>5174</v>
      </c>
    </row>
    <row r="9762" spans="1:1" x14ac:dyDescent="0.25">
      <c r="A9762" s="76" t="s">
        <v>5175</v>
      </c>
    </row>
    <row r="9763" spans="1:1" x14ac:dyDescent="0.25">
      <c r="A9763" s="29" t="s">
        <v>5176</v>
      </c>
    </row>
    <row r="9764" spans="1:1" x14ac:dyDescent="0.25">
      <c r="A9764" s="76" t="s">
        <v>5177</v>
      </c>
    </row>
    <row r="9765" spans="1:1" x14ac:dyDescent="0.25">
      <c r="A9765" s="29" t="s">
        <v>5178</v>
      </c>
    </row>
    <row r="9766" spans="1:1" x14ac:dyDescent="0.25">
      <c r="A9766" s="76" t="s">
        <v>5179</v>
      </c>
    </row>
    <row r="9767" spans="1:1" x14ac:dyDescent="0.25">
      <c r="A9767" s="29" t="s">
        <v>5180</v>
      </c>
    </row>
    <row r="9768" spans="1:1" x14ac:dyDescent="0.25">
      <c r="A9768" s="76" t="s">
        <v>5181</v>
      </c>
    </row>
    <row r="9769" spans="1:1" x14ac:dyDescent="0.25">
      <c r="A9769" s="29" t="s">
        <v>5182</v>
      </c>
    </row>
    <row r="9770" spans="1:1" x14ac:dyDescent="0.25">
      <c r="A9770" s="76" t="s">
        <v>5183</v>
      </c>
    </row>
    <row r="9771" spans="1:1" x14ac:dyDescent="0.25">
      <c r="A9771" s="29" t="s">
        <v>5184</v>
      </c>
    </row>
    <row r="9772" spans="1:1" x14ac:dyDescent="0.25">
      <c r="A9772" s="108" t="s">
        <v>5185</v>
      </c>
    </row>
    <row r="9773" spans="1:1" x14ac:dyDescent="0.25">
      <c r="A9773" s="76" t="s">
        <v>5186</v>
      </c>
    </row>
    <row r="9774" spans="1:1" x14ac:dyDescent="0.25">
      <c r="A9774" s="76" t="s">
        <v>5187</v>
      </c>
    </row>
    <row r="9775" spans="1:1" x14ac:dyDescent="0.25">
      <c r="A9775" s="29" t="s">
        <v>5188</v>
      </c>
    </row>
    <row r="9776" spans="1:1" x14ac:dyDescent="0.25">
      <c r="A9776" s="76" t="s">
        <v>5189</v>
      </c>
    </row>
    <row r="9777" spans="1:1" x14ac:dyDescent="0.25">
      <c r="A9777" s="29" t="s">
        <v>5190</v>
      </c>
    </row>
    <row r="9778" spans="1:1" x14ac:dyDescent="0.25">
      <c r="A9778" s="76" t="s">
        <v>5191</v>
      </c>
    </row>
    <row r="9779" spans="1:1" x14ac:dyDescent="0.25">
      <c r="A9779" s="29" t="s">
        <v>5192</v>
      </c>
    </row>
    <row r="9780" spans="1:1" x14ac:dyDescent="0.25">
      <c r="A9780" s="76" t="s">
        <v>5193</v>
      </c>
    </row>
    <row r="9781" spans="1:1" x14ac:dyDescent="0.25">
      <c r="A9781" s="29" t="s">
        <v>5194</v>
      </c>
    </row>
    <row r="9782" spans="1:1" x14ac:dyDescent="0.25">
      <c r="A9782" s="108" t="s">
        <v>5195</v>
      </c>
    </row>
    <row r="9783" spans="1:1" x14ac:dyDescent="0.25">
      <c r="A9783" s="76" t="s">
        <v>5196</v>
      </c>
    </row>
    <row r="9784" spans="1:1" x14ac:dyDescent="0.25">
      <c r="A9784" s="76" t="s">
        <v>5197</v>
      </c>
    </row>
    <row r="9785" spans="1:1" x14ac:dyDescent="0.25">
      <c r="A9785" s="29" t="s">
        <v>5198</v>
      </c>
    </row>
    <row r="9786" spans="1:1" x14ac:dyDescent="0.25">
      <c r="A9786" s="76" t="s">
        <v>5199</v>
      </c>
    </row>
    <row r="9787" spans="1:1" x14ac:dyDescent="0.25">
      <c r="A9787" s="29" t="s">
        <v>5200</v>
      </c>
    </row>
    <row r="9788" spans="1:1" x14ac:dyDescent="0.25">
      <c r="A9788" s="76" t="s">
        <v>5201</v>
      </c>
    </row>
    <row r="9789" spans="1:1" x14ac:dyDescent="0.25">
      <c r="A9789" s="29" t="s">
        <v>5202</v>
      </c>
    </row>
    <row r="9790" spans="1:1" x14ac:dyDescent="0.25">
      <c r="A9790" s="76" t="s">
        <v>5203</v>
      </c>
    </row>
    <row r="9791" spans="1:1" x14ac:dyDescent="0.25">
      <c r="A9791" s="29" t="s">
        <v>5204</v>
      </c>
    </row>
    <row r="9792" spans="1:1" x14ac:dyDescent="0.25">
      <c r="A9792" s="76" t="s">
        <v>5205</v>
      </c>
    </row>
    <row r="9793" spans="1:1" x14ac:dyDescent="0.25">
      <c r="A9793" s="29" t="s">
        <v>5206</v>
      </c>
    </row>
    <row r="9794" spans="1:1" x14ac:dyDescent="0.25">
      <c r="A9794" s="76" t="s">
        <v>5207</v>
      </c>
    </row>
    <row r="9795" spans="1:1" x14ac:dyDescent="0.25">
      <c r="A9795" s="29" t="s">
        <v>5208</v>
      </c>
    </row>
    <row r="9796" spans="1:1" x14ac:dyDescent="0.25">
      <c r="A9796" s="108" t="s">
        <v>5209</v>
      </c>
    </row>
    <row r="9797" spans="1:1" x14ac:dyDescent="0.25">
      <c r="A9797" s="76" t="s">
        <v>5210</v>
      </c>
    </row>
    <row r="9798" spans="1:1" x14ac:dyDescent="0.25">
      <c r="A9798" s="108" t="s">
        <v>5211</v>
      </c>
    </row>
    <row r="9799" spans="1:1" x14ac:dyDescent="0.25">
      <c r="A9799" s="76" t="s">
        <v>5212</v>
      </c>
    </row>
    <row r="9800" spans="1:1" x14ac:dyDescent="0.25">
      <c r="A9800" s="76" t="s">
        <v>5213</v>
      </c>
    </row>
    <row r="9801" spans="1:1" x14ac:dyDescent="0.25">
      <c r="A9801" s="76" t="s">
        <v>5214</v>
      </c>
    </row>
    <row r="9802" spans="1:1" x14ac:dyDescent="0.25">
      <c r="A9802" s="76" t="s">
        <v>5215</v>
      </c>
    </row>
    <row r="9803" spans="1:1" x14ac:dyDescent="0.25">
      <c r="A9803" s="108" t="s">
        <v>5216</v>
      </c>
    </row>
    <row r="9804" spans="1:1" x14ac:dyDescent="0.25">
      <c r="A9804" s="108" t="s">
        <v>5217</v>
      </c>
    </row>
    <row r="9805" spans="1:1" x14ac:dyDescent="0.25">
      <c r="A9805" s="29" t="s">
        <v>5218</v>
      </c>
    </row>
    <row r="9806" spans="1:1" x14ac:dyDescent="0.25">
      <c r="A9806" s="76" t="s">
        <v>5219</v>
      </c>
    </row>
    <row r="9807" spans="1:1" x14ac:dyDescent="0.25">
      <c r="A9807" s="29" t="s">
        <v>5220</v>
      </c>
    </row>
    <row r="9808" spans="1:1" x14ac:dyDescent="0.25">
      <c r="A9808" s="76" t="s">
        <v>5221</v>
      </c>
    </row>
    <row r="9809" spans="1:1" x14ac:dyDescent="0.25">
      <c r="A9809" s="76" t="s">
        <v>5222</v>
      </c>
    </row>
    <row r="9810" spans="1:1" x14ac:dyDescent="0.25">
      <c r="A9810" s="76" t="s">
        <v>5223</v>
      </c>
    </row>
    <row r="9811" spans="1:1" x14ac:dyDescent="0.25">
      <c r="A9811" s="108" t="s">
        <v>5224</v>
      </c>
    </row>
    <row r="9812" spans="1:1" x14ac:dyDescent="0.25">
      <c r="A9812" s="108" t="s">
        <v>5225</v>
      </c>
    </row>
    <row r="9813" spans="1:1" x14ac:dyDescent="0.25">
      <c r="A9813" s="29" t="s">
        <v>5226</v>
      </c>
    </row>
    <row r="9814" spans="1:1" x14ac:dyDescent="0.25">
      <c r="A9814" s="76" t="s">
        <v>5227</v>
      </c>
    </row>
    <row r="9815" spans="1:1" x14ac:dyDescent="0.25">
      <c r="A9815" s="29" t="s">
        <v>5228</v>
      </c>
    </row>
    <row r="9816" spans="1:1" x14ac:dyDescent="0.25">
      <c r="A9816" s="76" t="s">
        <v>5229</v>
      </c>
    </row>
    <row r="9817" spans="1:1" x14ac:dyDescent="0.25">
      <c r="A9817" s="76" t="s">
        <v>5230</v>
      </c>
    </row>
    <row r="9818" spans="1:1" x14ac:dyDescent="0.25">
      <c r="A9818" s="76" t="s">
        <v>5231</v>
      </c>
    </row>
    <row r="9819" spans="1:1" x14ac:dyDescent="0.25">
      <c r="A9819" s="108" t="s">
        <v>5232</v>
      </c>
    </row>
    <row r="9820" spans="1:1" x14ac:dyDescent="0.25">
      <c r="A9820" s="108" t="s">
        <v>5233</v>
      </c>
    </row>
    <row r="9821" spans="1:1" x14ac:dyDescent="0.25">
      <c r="A9821" s="29" t="s">
        <v>5234</v>
      </c>
    </row>
    <row r="9822" spans="1:1" x14ac:dyDescent="0.25">
      <c r="A9822" s="76" t="s">
        <v>5235</v>
      </c>
    </row>
    <row r="9823" spans="1:1" x14ac:dyDescent="0.25">
      <c r="A9823" s="29" t="s">
        <v>5236</v>
      </c>
    </row>
    <row r="9824" spans="1:1" x14ac:dyDescent="0.25">
      <c r="A9824" s="76" t="s">
        <v>5237</v>
      </c>
    </row>
    <row r="9825" spans="1:1" x14ac:dyDescent="0.25">
      <c r="A9825" s="76" t="s">
        <v>5238</v>
      </c>
    </row>
    <row r="9826" spans="1:1" x14ac:dyDescent="0.25">
      <c r="A9826" s="76" t="s">
        <v>5239</v>
      </c>
    </row>
    <row r="9827" spans="1:1" x14ac:dyDescent="0.25">
      <c r="A9827" s="108" t="s">
        <v>5240</v>
      </c>
    </row>
    <row r="9828" spans="1:1" x14ac:dyDescent="0.25">
      <c r="A9828" s="108" t="s">
        <v>5241</v>
      </c>
    </row>
    <row r="9829" spans="1:1" x14ac:dyDescent="0.25">
      <c r="A9829" s="29" t="s">
        <v>5242</v>
      </c>
    </row>
    <row r="9830" spans="1:1" x14ac:dyDescent="0.25">
      <c r="A9830" s="76" t="s">
        <v>5243</v>
      </c>
    </row>
    <row r="9831" spans="1:1" x14ac:dyDescent="0.25">
      <c r="A9831" s="29" t="s">
        <v>5244</v>
      </c>
    </row>
    <row r="9832" spans="1:1" x14ac:dyDescent="0.25">
      <c r="A9832" s="76" t="s">
        <v>5245</v>
      </c>
    </row>
    <row r="9833" spans="1:1" x14ac:dyDescent="0.25">
      <c r="A9833" s="76" t="s">
        <v>5246</v>
      </c>
    </row>
    <row r="9834" spans="1:1" x14ac:dyDescent="0.25">
      <c r="A9834" s="76" t="s">
        <v>5247</v>
      </c>
    </row>
    <row r="9835" spans="1:1" x14ac:dyDescent="0.25">
      <c r="A9835" s="108" t="s">
        <v>5248</v>
      </c>
    </row>
    <row r="9836" spans="1:1" x14ac:dyDescent="0.25">
      <c r="A9836" s="108" t="s">
        <v>5249</v>
      </c>
    </row>
    <row r="9837" spans="1:1" x14ac:dyDescent="0.25">
      <c r="A9837" s="29" t="s">
        <v>5250</v>
      </c>
    </row>
    <row r="9838" spans="1:1" x14ac:dyDescent="0.25">
      <c r="A9838" s="76" t="s">
        <v>5251</v>
      </c>
    </row>
    <row r="9839" spans="1:1" x14ac:dyDescent="0.25">
      <c r="A9839" s="29" t="s">
        <v>5252</v>
      </c>
    </row>
    <row r="9840" spans="1:1" x14ac:dyDescent="0.25">
      <c r="A9840" s="76" t="s">
        <v>5253</v>
      </c>
    </row>
    <row r="9841" spans="1:1" x14ac:dyDescent="0.25">
      <c r="A9841" s="76" t="s">
        <v>5254</v>
      </c>
    </row>
    <row r="9842" spans="1:1" x14ac:dyDescent="0.25">
      <c r="A9842" s="76" t="s">
        <v>5255</v>
      </c>
    </row>
    <row r="9843" spans="1:1" x14ac:dyDescent="0.25">
      <c r="A9843" s="108" t="s">
        <v>5256</v>
      </c>
    </row>
    <row r="9844" spans="1:1" x14ac:dyDescent="0.25">
      <c r="A9844" s="108" t="s">
        <v>5257</v>
      </c>
    </row>
    <row r="9845" spans="1:1" x14ac:dyDescent="0.25">
      <c r="A9845" s="29" t="s">
        <v>5258</v>
      </c>
    </row>
    <row r="9846" spans="1:1" x14ac:dyDescent="0.25">
      <c r="A9846" s="76" t="s">
        <v>5259</v>
      </c>
    </row>
    <row r="9847" spans="1:1" x14ac:dyDescent="0.25">
      <c r="A9847" s="29" t="s">
        <v>5260</v>
      </c>
    </row>
    <row r="9848" spans="1:1" x14ac:dyDescent="0.25">
      <c r="A9848" s="76" t="s">
        <v>5261</v>
      </c>
    </row>
    <row r="9849" spans="1:1" x14ac:dyDescent="0.25">
      <c r="A9849" s="29" t="s">
        <v>5262</v>
      </c>
    </row>
    <row r="9850" spans="1:1" x14ac:dyDescent="0.25">
      <c r="A9850" s="76" t="s">
        <v>5263</v>
      </c>
    </row>
    <row r="9851" spans="1:1" x14ac:dyDescent="0.25">
      <c r="A9851" s="29" t="s">
        <v>5264</v>
      </c>
    </row>
    <row r="9852" spans="1:1" x14ac:dyDescent="0.25">
      <c r="A9852" s="76" t="s">
        <v>5265</v>
      </c>
    </row>
    <row r="9853" spans="1:1" x14ac:dyDescent="0.25">
      <c r="A9853" s="29" t="s">
        <v>5266</v>
      </c>
    </row>
    <row r="9854" spans="1:1" x14ac:dyDescent="0.25">
      <c r="A9854" s="76" t="s">
        <v>5267</v>
      </c>
    </row>
    <row r="9855" spans="1:1" x14ac:dyDescent="0.25">
      <c r="A9855" s="29" t="s">
        <v>5268</v>
      </c>
    </row>
    <row r="9856" spans="1:1" x14ac:dyDescent="0.25">
      <c r="A9856" s="108" t="s">
        <v>5269</v>
      </c>
    </row>
    <row r="9857" spans="1:1" x14ac:dyDescent="0.25">
      <c r="A9857" s="76" t="s">
        <v>5270</v>
      </c>
    </row>
    <row r="9858" spans="1:1" x14ac:dyDescent="0.25">
      <c r="A9858" s="76" t="s">
        <v>5271</v>
      </c>
    </row>
    <row r="9859" spans="1:1" x14ac:dyDescent="0.25">
      <c r="A9859" s="76" t="s">
        <v>5272</v>
      </c>
    </row>
    <row r="9860" spans="1:1" x14ac:dyDescent="0.25">
      <c r="A9860" s="76" t="s">
        <v>5273</v>
      </c>
    </row>
    <row r="9861" spans="1:1" x14ac:dyDescent="0.25">
      <c r="A9861" s="108" t="s">
        <v>5274</v>
      </c>
    </row>
    <row r="9862" spans="1:1" x14ac:dyDescent="0.25">
      <c r="A9862" s="108" t="s">
        <v>5275</v>
      </c>
    </row>
    <row r="9863" spans="1:1" x14ac:dyDescent="0.25">
      <c r="A9863" s="29" t="s">
        <v>5276</v>
      </c>
    </row>
    <row r="9864" spans="1:1" x14ac:dyDescent="0.25">
      <c r="A9864" s="76" t="s">
        <v>5277</v>
      </c>
    </row>
    <row r="9865" spans="1:1" x14ac:dyDescent="0.25">
      <c r="A9865" s="29" t="s">
        <v>5278</v>
      </c>
    </row>
    <row r="9866" spans="1:1" x14ac:dyDescent="0.25">
      <c r="A9866" s="76" t="s">
        <v>5279</v>
      </c>
    </row>
    <row r="9867" spans="1:1" x14ac:dyDescent="0.25">
      <c r="A9867" s="76" t="s">
        <v>5280</v>
      </c>
    </row>
    <row r="9868" spans="1:1" x14ac:dyDescent="0.25">
      <c r="A9868" s="76" t="s">
        <v>5281</v>
      </c>
    </row>
    <row r="9869" spans="1:1" x14ac:dyDescent="0.25">
      <c r="A9869" s="108" t="s">
        <v>5282</v>
      </c>
    </row>
    <row r="9870" spans="1:1" x14ac:dyDescent="0.25">
      <c r="A9870" s="108" t="s">
        <v>5283</v>
      </c>
    </row>
    <row r="9871" spans="1:1" x14ac:dyDescent="0.25">
      <c r="A9871" s="29" t="s">
        <v>5284</v>
      </c>
    </row>
    <row r="9872" spans="1:1" x14ac:dyDescent="0.25">
      <c r="A9872" s="76" t="s">
        <v>5285</v>
      </c>
    </row>
    <row r="9873" spans="1:1" x14ac:dyDescent="0.25">
      <c r="A9873" s="29" t="s">
        <v>5286</v>
      </c>
    </row>
    <row r="9874" spans="1:1" x14ac:dyDescent="0.25">
      <c r="A9874" s="76" t="s">
        <v>5287</v>
      </c>
    </row>
    <row r="9875" spans="1:1" x14ac:dyDescent="0.25">
      <c r="A9875" s="76" t="s">
        <v>5288</v>
      </c>
    </row>
    <row r="9876" spans="1:1" x14ac:dyDescent="0.25">
      <c r="A9876" s="76" t="s">
        <v>5289</v>
      </c>
    </row>
    <row r="9877" spans="1:1" x14ac:dyDescent="0.25">
      <c r="A9877" s="108" t="s">
        <v>5290</v>
      </c>
    </row>
    <row r="9878" spans="1:1" x14ac:dyDescent="0.25">
      <c r="A9878" s="108" t="s">
        <v>5291</v>
      </c>
    </row>
    <row r="9879" spans="1:1" x14ac:dyDescent="0.25">
      <c r="A9879" s="29" t="s">
        <v>5292</v>
      </c>
    </row>
    <row r="9880" spans="1:1" x14ac:dyDescent="0.25">
      <c r="A9880" s="76" t="s">
        <v>5293</v>
      </c>
    </row>
    <row r="9881" spans="1:1" x14ac:dyDescent="0.25">
      <c r="A9881" s="29" t="s">
        <v>5294</v>
      </c>
    </row>
    <row r="9882" spans="1:1" x14ac:dyDescent="0.25">
      <c r="A9882" s="76" t="s">
        <v>5295</v>
      </c>
    </row>
    <row r="9883" spans="1:1" x14ac:dyDescent="0.25">
      <c r="A9883" s="76" t="s">
        <v>5296</v>
      </c>
    </row>
    <row r="9884" spans="1:1" x14ac:dyDescent="0.25">
      <c r="A9884" s="76" t="s">
        <v>5297</v>
      </c>
    </row>
    <row r="9885" spans="1:1" x14ac:dyDescent="0.25">
      <c r="A9885" s="108" t="s">
        <v>5298</v>
      </c>
    </row>
    <row r="9886" spans="1:1" x14ac:dyDescent="0.25">
      <c r="A9886" s="108" t="s">
        <v>5299</v>
      </c>
    </row>
    <row r="9887" spans="1:1" x14ac:dyDescent="0.25">
      <c r="A9887" s="29" t="s">
        <v>5300</v>
      </c>
    </row>
    <row r="9888" spans="1:1" x14ac:dyDescent="0.25">
      <c r="A9888" s="76" t="s">
        <v>5301</v>
      </c>
    </row>
    <row r="9889" spans="1:1" x14ac:dyDescent="0.25">
      <c r="A9889" s="29" t="s">
        <v>5302</v>
      </c>
    </row>
    <row r="9890" spans="1:1" x14ac:dyDescent="0.25">
      <c r="A9890" s="76" t="s">
        <v>5303</v>
      </c>
    </row>
    <row r="9891" spans="1:1" x14ac:dyDescent="0.25">
      <c r="A9891" s="76" t="s">
        <v>5304</v>
      </c>
    </row>
    <row r="9892" spans="1:1" x14ac:dyDescent="0.25">
      <c r="A9892" s="76" t="s">
        <v>5305</v>
      </c>
    </row>
    <row r="9893" spans="1:1" x14ac:dyDescent="0.25">
      <c r="A9893" s="108" t="s">
        <v>5306</v>
      </c>
    </row>
    <row r="9894" spans="1:1" x14ac:dyDescent="0.25">
      <c r="A9894" s="108" t="s">
        <v>5307</v>
      </c>
    </row>
    <row r="9895" spans="1:1" x14ac:dyDescent="0.25">
      <c r="A9895" s="29" t="s">
        <v>5308</v>
      </c>
    </row>
    <row r="9896" spans="1:1" x14ac:dyDescent="0.25">
      <c r="A9896" s="76" t="s">
        <v>5309</v>
      </c>
    </row>
    <row r="9897" spans="1:1" x14ac:dyDescent="0.25">
      <c r="A9897" s="29" t="s">
        <v>5310</v>
      </c>
    </row>
    <row r="9898" spans="1:1" x14ac:dyDescent="0.25">
      <c r="A9898" s="76" t="s">
        <v>5311</v>
      </c>
    </row>
    <row r="9899" spans="1:1" x14ac:dyDescent="0.25">
      <c r="A9899" s="76" t="s">
        <v>5312</v>
      </c>
    </row>
    <row r="9900" spans="1:1" x14ac:dyDescent="0.25">
      <c r="A9900" s="76" t="s">
        <v>5313</v>
      </c>
    </row>
    <row r="9901" spans="1:1" x14ac:dyDescent="0.25">
      <c r="A9901" s="108" t="s">
        <v>5314</v>
      </c>
    </row>
    <row r="9902" spans="1:1" x14ac:dyDescent="0.25">
      <c r="A9902" s="108" t="s">
        <v>5315</v>
      </c>
    </row>
    <row r="9903" spans="1:1" x14ac:dyDescent="0.25">
      <c r="A9903" s="29" t="s">
        <v>5316</v>
      </c>
    </row>
    <row r="9904" spans="1:1" x14ac:dyDescent="0.25">
      <c r="A9904" s="76" t="s">
        <v>5317</v>
      </c>
    </row>
    <row r="9905" spans="1:1" x14ac:dyDescent="0.25">
      <c r="A9905" s="29" t="s">
        <v>5318</v>
      </c>
    </row>
    <row r="9906" spans="1:1" x14ac:dyDescent="0.25">
      <c r="A9906" s="76" t="s">
        <v>5319</v>
      </c>
    </row>
    <row r="9907" spans="1:1" x14ac:dyDescent="0.25">
      <c r="A9907" s="29" t="s">
        <v>5320</v>
      </c>
    </row>
    <row r="9908" spans="1:1" x14ac:dyDescent="0.25">
      <c r="A9908" s="76" t="s">
        <v>5321</v>
      </c>
    </row>
    <row r="9909" spans="1:1" x14ac:dyDescent="0.25">
      <c r="A9909" s="29" t="s">
        <v>5322</v>
      </c>
    </row>
    <row r="9910" spans="1:1" x14ac:dyDescent="0.25">
      <c r="A9910" s="76" t="s">
        <v>5323</v>
      </c>
    </row>
    <row r="9911" spans="1:1" x14ac:dyDescent="0.25">
      <c r="A9911" s="29" t="s">
        <v>5324</v>
      </c>
    </row>
    <row r="9912" spans="1:1" x14ac:dyDescent="0.25">
      <c r="A9912" s="108" t="s">
        <v>5325</v>
      </c>
    </row>
    <row r="9913" spans="1:1" x14ac:dyDescent="0.25">
      <c r="A9913" s="76" t="s">
        <v>5326</v>
      </c>
    </row>
    <row r="9914" spans="1:1" x14ac:dyDescent="0.25">
      <c r="A9914" s="76" t="s">
        <v>5327</v>
      </c>
    </row>
    <row r="9915" spans="1:1" x14ac:dyDescent="0.25">
      <c r="A9915" s="29" t="s">
        <v>5328</v>
      </c>
    </row>
    <row r="9916" spans="1:1" x14ac:dyDescent="0.25">
      <c r="A9916" s="76" t="s">
        <v>5329</v>
      </c>
    </row>
    <row r="9917" spans="1:1" x14ac:dyDescent="0.25">
      <c r="A9917" s="29" t="s">
        <v>5330</v>
      </c>
    </row>
    <row r="9918" spans="1:1" x14ac:dyDescent="0.25">
      <c r="A9918" s="76" t="s">
        <v>5331</v>
      </c>
    </row>
    <row r="9919" spans="1:1" x14ac:dyDescent="0.25">
      <c r="A9919" s="29" t="s">
        <v>5332</v>
      </c>
    </row>
    <row r="9920" spans="1:1" x14ac:dyDescent="0.25">
      <c r="A9920" s="76" t="s">
        <v>5333</v>
      </c>
    </row>
    <row r="9921" spans="1:1" x14ac:dyDescent="0.25">
      <c r="A9921" s="29" t="s">
        <v>5334</v>
      </c>
    </row>
    <row r="9922" spans="1:1" x14ac:dyDescent="0.25">
      <c r="A9922" s="76" t="s">
        <v>5335</v>
      </c>
    </row>
    <row r="9923" spans="1:1" x14ac:dyDescent="0.25">
      <c r="A9923" s="29" t="s">
        <v>5336</v>
      </c>
    </row>
    <row r="9924" spans="1:1" x14ac:dyDescent="0.25">
      <c r="A9924" s="76" t="s">
        <v>5337</v>
      </c>
    </row>
    <row r="9925" spans="1:1" x14ac:dyDescent="0.25">
      <c r="A9925" s="29" t="s">
        <v>5338</v>
      </c>
    </row>
    <row r="9926" spans="1:1" x14ac:dyDescent="0.25">
      <c r="A9926" s="76" t="s">
        <v>5339</v>
      </c>
    </row>
    <row r="9927" spans="1:1" x14ac:dyDescent="0.25">
      <c r="A9927" s="29" t="s">
        <v>5340</v>
      </c>
    </row>
    <row r="9928" spans="1:1" x14ac:dyDescent="0.25">
      <c r="A9928" s="76" t="s">
        <v>5341</v>
      </c>
    </row>
    <row r="9929" spans="1:1" x14ac:dyDescent="0.25">
      <c r="A9929" s="29" t="s">
        <v>5342</v>
      </c>
    </row>
    <row r="9930" spans="1:1" x14ac:dyDescent="0.25">
      <c r="A9930" s="76" t="s">
        <v>5343</v>
      </c>
    </row>
    <row r="9931" spans="1:1" x14ac:dyDescent="0.25">
      <c r="A9931" s="29" t="s">
        <v>5344</v>
      </c>
    </row>
    <row r="9932" spans="1:1" x14ac:dyDescent="0.25">
      <c r="A9932" s="108" t="s">
        <v>5345</v>
      </c>
    </row>
    <row r="9933" spans="1:1" x14ac:dyDescent="0.25">
      <c r="A9933" s="76" t="s">
        <v>5346</v>
      </c>
    </row>
    <row r="9934" spans="1:1" x14ac:dyDescent="0.25">
      <c r="A9934" s="108" t="s">
        <v>5347</v>
      </c>
    </row>
    <row r="9935" spans="1:1" x14ac:dyDescent="0.25">
      <c r="A9935" s="76" t="s">
        <v>5348</v>
      </c>
    </row>
    <row r="9936" spans="1:1" x14ac:dyDescent="0.25">
      <c r="A9936" s="76" t="s">
        <v>5349</v>
      </c>
    </row>
    <row r="9937" spans="1:1" x14ac:dyDescent="0.25">
      <c r="A9937" s="29" t="s">
        <v>5350</v>
      </c>
    </row>
    <row r="9938" spans="1:1" x14ac:dyDescent="0.25">
      <c r="A9938" s="76" t="s">
        <v>5351</v>
      </c>
    </row>
    <row r="9939" spans="1:1" x14ac:dyDescent="0.25">
      <c r="A9939" s="29" t="s">
        <v>5352</v>
      </c>
    </row>
    <row r="9940" spans="1:1" x14ac:dyDescent="0.25">
      <c r="A9940" s="76" t="s">
        <v>5353</v>
      </c>
    </row>
    <row r="9941" spans="1:1" x14ac:dyDescent="0.25">
      <c r="A9941" s="29" t="s">
        <v>5354</v>
      </c>
    </row>
    <row r="9942" spans="1:1" x14ac:dyDescent="0.25">
      <c r="A9942" s="76" t="s">
        <v>5355</v>
      </c>
    </row>
    <row r="9943" spans="1:1" x14ac:dyDescent="0.25">
      <c r="A9943" s="29" t="s">
        <v>5356</v>
      </c>
    </row>
    <row r="9944" spans="1:1" x14ac:dyDescent="0.25">
      <c r="A9944" s="108" t="s">
        <v>5357</v>
      </c>
    </row>
    <row r="9945" spans="1:1" x14ac:dyDescent="0.25">
      <c r="A9945" s="76" t="s">
        <v>5358</v>
      </c>
    </row>
    <row r="9946" spans="1:1" x14ac:dyDescent="0.25">
      <c r="A9946" s="76" t="s">
        <v>5359</v>
      </c>
    </row>
    <row r="9947" spans="1:1" x14ac:dyDescent="0.25">
      <c r="A9947" s="29" t="s">
        <v>5360</v>
      </c>
    </row>
    <row r="9948" spans="1:1" x14ac:dyDescent="0.25">
      <c r="A9948" s="76" t="s">
        <v>5361</v>
      </c>
    </row>
    <row r="9949" spans="1:1" x14ac:dyDescent="0.25">
      <c r="A9949" s="29" t="s">
        <v>5362</v>
      </c>
    </row>
    <row r="9950" spans="1:1" x14ac:dyDescent="0.25">
      <c r="A9950" s="108" t="s">
        <v>5363</v>
      </c>
    </row>
    <row r="9951" spans="1:1" x14ac:dyDescent="0.25">
      <c r="A9951" s="76" t="s">
        <v>5364</v>
      </c>
    </row>
    <row r="9952" spans="1:1" x14ac:dyDescent="0.25">
      <c r="A9952" s="76" t="s">
        <v>5365</v>
      </c>
    </row>
    <row r="9953" spans="1:1" x14ac:dyDescent="0.25">
      <c r="A9953" s="29" t="s">
        <v>5366</v>
      </c>
    </row>
    <row r="9954" spans="1:1" x14ac:dyDescent="0.25">
      <c r="A9954" s="76" t="s">
        <v>5367</v>
      </c>
    </row>
    <row r="9955" spans="1:1" x14ac:dyDescent="0.25">
      <c r="A9955" s="29" t="s">
        <v>5368</v>
      </c>
    </row>
    <row r="9956" spans="1:1" x14ac:dyDescent="0.25">
      <c r="A9956" s="108" t="s">
        <v>5369</v>
      </c>
    </row>
    <row r="9957" spans="1:1" x14ac:dyDescent="0.25">
      <c r="A9957" s="76" t="s">
        <v>5370</v>
      </c>
    </row>
    <row r="9958" spans="1:1" x14ac:dyDescent="0.25">
      <c r="A9958" s="76" t="s">
        <v>5371</v>
      </c>
    </row>
    <row r="9959" spans="1:1" x14ac:dyDescent="0.25">
      <c r="A9959" s="76" t="s">
        <v>5372</v>
      </c>
    </row>
    <row r="9960" spans="1:1" x14ac:dyDescent="0.25">
      <c r="A9960" s="76" t="s">
        <v>5373</v>
      </c>
    </row>
    <row r="9961" spans="1:1" x14ac:dyDescent="0.25">
      <c r="A9961" s="108" t="s">
        <v>5374</v>
      </c>
    </row>
    <row r="9962" spans="1:1" x14ac:dyDescent="0.25">
      <c r="A9962" s="108" t="s">
        <v>5375</v>
      </c>
    </row>
    <row r="9963" spans="1:1" x14ac:dyDescent="0.25">
      <c r="A9963" s="29" t="s">
        <v>5376</v>
      </c>
    </row>
    <row r="9964" spans="1:1" x14ac:dyDescent="0.25">
      <c r="A9964" s="76" t="s">
        <v>5377</v>
      </c>
    </row>
    <row r="9965" spans="1:1" x14ac:dyDescent="0.25">
      <c r="A9965" s="29" t="s">
        <v>5378</v>
      </c>
    </row>
    <row r="9966" spans="1:1" x14ac:dyDescent="0.25">
      <c r="A9966" s="76" t="s">
        <v>5379</v>
      </c>
    </row>
    <row r="9967" spans="1:1" x14ac:dyDescent="0.25">
      <c r="A9967" s="76" t="s">
        <v>5380</v>
      </c>
    </row>
    <row r="9968" spans="1:1" x14ac:dyDescent="0.25">
      <c r="A9968" s="76" t="s">
        <v>5381</v>
      </c>
    </row>
    <row r="9969" spans="1:1" x14ac:dyDescent="0.25">
      <c r="A9969" s="108" t="s">
        <v>5382</v>
      </c>
    </row>
    <row r="9970" spans="1:1" x14ac:dyDescent="0.25">
      <c r="A9970" s="108" t="s">
        <v>5383</v>
      </c>
    </row>
    <row r="9971" spans="1:1" x14ac:dyDescent="0.25">
      <c r="A9971" s="29" t="s">
        <v>5384</v>
      </c>
    </row>
    <row r="9972" spans="1:1" x14ac:dyDescent="0.25">
      <c r="A9972" s="76" t="s">
        <v>5385</v>
      </c>
    </row>
    <row r="9973" spans="1:1" x14ac:dyDescent="0.25">
      <c r="A9973" s="29" t="s">
        <v>5386</v>
      </c>
    </row>
    <row r="9974" spans="1:1" x14ac:dyDescent="0.25">
      <c r="A9974" s="76" t="s">
        <v>5387</v>
      </c>
    </row>
    <row r="9975" spans="1:1" x14ac:dyDescent="0.25">
      <c r="A9975" s="76" t="s">
        <v>5388</v>
      </c>
    </row>
    <row r="9976" spans="1:1" x14ac:dyDescent="0.25">
      <c r="A9976" s="76" t="s">
        <v>5389</v>
      </c>
    </row>
    <row r="9977" spans="1:1" x14ac:dyDescent="0.25">
      <c r="A9977" s="108" t="s">
        <v>5390</v>
      </c>
    </row>
    <row r="9978" spans="1:1" x14ac:dyDescent="0.25">
      <c r="A9978" s="108" t="s">
        <v>5391</v>
      </c>
    </row>
    <row r="9979" spans="1:1" x14ac:dyDescent="0.25">
      <c r="A9979" s="29" t="s">
        <v>5392</v>
      </c>
    </row>
    <row r="9980" spans="1:1" x14ac:dyDescent="0.25">
      <c r="A9980" s="76" t="s">
        <v>5393</v>
      </c>
    </row>
    <row r="9981" spans="1:1" x14ac:dyDescent="0.25">
      <c r="A9981" s="29" t="s">
        <v>5394</v>
      </c>
    </row>
    <row r="9982" spans="1:1" x14ac:dyDescent="0.25">
      <c r="A9982" s="76" t="s">
        <v>5395</v>
      </c>
    </row>
    <row r="9983" spans="1:1" x14ac:dyDescent="0.25">
      <c r="A9983" s="76" t="s">
        <v>5396</v>
      </c>
    </row>
    <row r="9984" spans="1:1" x14ac:dyDescent="0.25">
      <c r="A9984" s="76" t="s">
        <v>5397</v>
      </c>
    </row>
    <row r="9985" spans="1:1" x14ac:dyDescent="0.25">
      <c r="A9985" s="108" t="s">
        <v>5398</v>
      </c>
    </row>
    <row r="9986" spans="1:1" x14ac:dyDescent="0.25">
      <c r="A9986" s="108" t="s">
        <v>5399</v>
      </c>
    </row>
    <row r="9987" spans="1:1" x14ac:dyDescent="0.25">
      <c r="A9987" s="29" t="s">
        <v>5400</v>
      </c>
    </row>
    <row r="9988" spans="1:1" x14ac:dyDescent="0.25">
      <c r="A9988" s="76" t="s">
        <v>5401</v>
      </c>
    </row>
    <row r="9989" spans="1:1" x14ac:dyDescent="0.25">
      <c r="A9989" s="29" t="s">
        <v>5402</v>
      </c>
    </row>
    <row r="9990" spans="1:1" x14ac:dyDescent="0.25">
      <c r="A9990" s="76" t="s">
        <v>5403</v>
      </c>
    </row>
    <row r="9991" spans="1:1" x14ac:dyDescent="0.25">
      <c r="A9991" s="76" t="s">
        <v>5404</v>
      </c>
    </row>
    <row r="9992" spans="1:1" x14ac:dyDescent="0.25">
      <c r="A9992" s="76" t="s">
        <v>5405</v>
      </c>
    </row>
    <row r="9993" spans="1:1" x14ac:dyDescent="0.25">
      <c r="A9993" s="108" t="s">
        <v>5406</v>
      </c>
    </row>
    <row r="9994" spans="1:1" x14ac:dyDescent="0.25">
      <c r="A9994" s="108" t="s">
        <v>5407</v>
      </c>
    </row>
    <row r="9995" spans="1:1" x14ac:dyDescent="0.25">
      <c r="A9995" s="29" t="s">
        <v>5408</v>
      </c>
    </row>
    <row r="9996" spans="1:1" x14ac:dyDescent="0.25">
      <c r="A9996" s="76" t="s">
        <v>5409</v>
      </c>
    </row>
    <row r="9997" spans="1:1" x14ac:dyDescent="0.25">
      <c r="A9997" s="29" t="s">
        <v>5410</v>
      </c>
    </row>
    <row r="9998" spans="1:1" x14ac:dyDescent="0.25">
      <c r="A9998" s="76" t="s">
        <v>5411</v>
      </c>
    </row>
    <row r="9999" spans="1:1" x14ac:dyDescent="0.25">
      <c r="A9999" s="76" t="s">
        <v>5412</v>
      </c>
    </row>
    <row r="10000" spans="1:1" x14ac:dyDescent="0.25">
      <c r="A10000" s="76" t="s">
        <v>5413</v>
      </c>
    </row>
    <row r="10001" spans="1:1" x14ac:dyDescent="0.25">
      <c r="A10001" s="108" t="s">
        <v>5414</v>
      </c>
    </row>
    <row r="10002" spans="1:1" x14ac:dyDescent="0.25">
      <c r="A10002" s="108" t="s">
        <v>5415</v>
      </c>
    </row>
    <row r="10003" spans="1:1" x14ac:dyDescent="0.25">
      <c r="A10003" s="29" t="s">
        <v>5416</v>
      </c>
    </row>
    <row r="10004" spans="1:1" x14ac:dyDescent="0.25">
      <c r="A10004" s="76" t="s">
        <v>5417</v>
      </c>
    </row>
    <row r="10005" spans="1:1" x14ac:dyDescent="0.25">
      <c r="A10005" s="29" t="s">
        <v>5418</v>
      </c>
    </row>
    <row r="10006" spans="1:1" x14ac:dyDescent="0.25">
      <c r="A10006" s="76" t="s">
        <v>5419</v>
      </c>
    </row>
    <row r="10007" spans="1:1" x14ac:dyDescent="0.25">
      <c r="A10007" s="29" t="s">
        <v>5420</v>
      </c>
    </row>
    <row r="10008" spans="1:1" x14ac:dyDescent="0.25">
      <c r="A10008" s="76" t="s">
        <v>5421</v>
      </c>
    </row>
    <row r="10009" spans="1:1" x14ac:dyDescent="0.25">
      <c r="A10009" s="29" t="s">
        <v>5422</v>
      </c>
    </row>
    <row r="10010" spans="1:1" x14ac:dyDescent="0.25">
      <c r="A10010" s="108" t="s">
        <v>5423</v>
      </c>
    </row>
    <row r="10011" spans="1:1" x14ac:dyDescent="0.25">
      <c r="A10011" s="76" t="s">
        <v>5424</v>
      </c>
    </row>
    <row r="10012" spans="1:1" x14ac:dyDescent="0.25">
      <c r="A10012" s="76" t="s">
        <v>5425</v>
      </c>
    </row>
    <row r="10013" spans="1:1" x14ac:dyDescent="0.25">
      <c r="A10013" s="29" t="s">
        <v>5426</v>
      </c>
    </row>
    <row r="10014" spans="1:1" x14ac:dyDescent="0.25">
      <c r="A10014" s="76" t="s">
        <v>5427</v>
      </c>
    </row>
    <row r="10015" spans="1:1" x14ac:dyDescent="0.25">
      <c r="A10015" s="29" t="s">
        <v>5428</v>
      </c>
    </row>
    <row r="10016" spans="1:1" x14ac:dyDescent="0.25">
      <c r="A10016" s="76" t="s">
        <v>5429</v>
      </c>
    </row>
    <row r="10017" spans="1:1" x14ac:dyDescent="0.25">
      <c r="A10017" s="29" t="s">
        <v>5430</v>
      </c>
    </row>
    <row r="10018" spans="1:1" x14ac:dyDescent="0.25">
      <c r="A10018" s="76" t="s">
        <v>5431</v>
      </c>
    </row>
    <row r="10019" spans="1:1" x14ac:dyDescent="0.25">
      <c r="A10019" s="29" t="s">
        <v>5432</v>
      </c>
    </row>
    <row r="10020" spans="1:1" x14ac:dyDescent="0.25">
      <c r="A10020" s="76" t="s">
        <v>5433</v>
      </c>
    </row>
    <row r="10021" spans="1:1" x14ac:dyDescent="0.25">
      <c r="A10021" s="29" t="s">
        <v>5434</v>
      </c>
    </row>
    <row r="10022" spans="1:1" x14ac:dyDescent="0.25">
      <c r="A10022" s="76" t="s">
        <v>5435</v>
      </c>
    </row>
    <row r="10023" spans="1:1" x14ac:dyDescent="0.25">
      <c r="A10023" s="29" t="s">
        <v>5436</v>
      </c>
    </row>
    <row r="10024" spans="1:1" x14ac:dyDescent="0.25">
      <c r="A10024" s="108" t="s">
        <v>5437</v>
      </c>
    </row>
    <row r="10025" spans="1:1" x14ac:dyDescent="0.25">
      <c r="A10025" s="76" t="s">
        <v>5438</v>
      </c>
    </row>
    <row r="10026" spans="1:1" x14ac:dyDescent="0.25">
      <c r="A10026" s="108" t="s">
        <v>5439</v>
      </c>
    </row>
    <row r="10027" spans="1:1" x14ac:dyDescent="0.25">
      <c r="A10027" s="76" t="s">
        <v>5440</v>
      </c>
    </row>
    <row r="10028" spans="1:1" x14ac:dyDescent="0.25">
      <c r="A10028" s="76" t="s">
        <v>5441</v>
      </c>
    </row>
    <row r="10029" spans="1:1" x14ac:dyDescent="0.25">
      <c r="A10029" s="29" t="s">
        <v>5442</v>
      </c>
    </row>
    <row r="10030" spans="1:1" x14ac:dyDescent="0.25">
      <c r="A10030" s="76" t="s">
        <v>5443</v>
      </c>
    </row>
    <row r="10031" spans="1:1" x14ac:dyDescent="0.25">
      <c r="A10031" s="29" t="s">
        <v>5444</v>
      </c>
    </row>
    <row r="10032" spans="1:1" x14ac:dyDescent="0.25">
      <c r="A10032" s="76" t="s">
        <v>5445</v>
      </c>
    </row>
    <row r="10033" spans="1:1" x14ac:dyDescent="0.25">
      <c r="A10033" s="29" t="s">
        <v>5446</v>
      </c>
    </row>
    <row r="10034" spans="1:1" x14ac:dyDescent="0.25">
      <c r="A10034" s="76" t="s">
        <v>5447</v>
      </c>
    </row>
    <row r="10035" spans="1:1" x14ac:dyDescent="0.25">
      <c r="A10035" s="29" t="s">
        <v>5448</v>
      </c>
    </row>
    <row r="10036" spans="1:1" x14ac:dyDescent="0.25">
      <c r="A10036" s="76" t="s">
        <v>5449</v>
      </c>
    </row>
    <row r="10037" spans="1:1" x14ac:dyDescent="0.25">
      <c r="A10037" s="29" t="s">
        <v>5450</v>
      </c>
    </row>
    <row r="10038" spans="1:1" x14ac:dyDescent="0.25">
      <c r="A10038" s="76" t="s">
        <v>5451</v>
      </c>
    </row>
    <row r="10039" spans="1:1" x14ac:dyDescent="0.25">
      <c r="A10039" s="29" t="s">
        <v>5452</v>
      </c>
    </row>
    <row r="10040" spans="1:1" x14ac:dyDescent="0.25">
      <c r="A10040" s="108" t="s">
        <v>5453</v>
      </c>
    </row>
    <row r="10041" spans="1:1" x14ac:dyDescent="0.25">
      <c r="A10041" s="76" t="s">
        <v>5454</v>
      </c>
    </row>
    <row r="10042" spans="1:1" x14ac:dyDescent="0.25">
      <c r="A10042" s="108" t="s">
        <v>5455</v>
      </c>
    </row>
    <row r="10043" spans="1:1" x14ac:dyDescent="0.25">
      <c r="A10043" s="76" t="s">
        <v>5456</v>
      </c>
    </row>
    <row r="10044" spans="1:1" x14ac:dyDescent="0.25">
      <c r="A10044" s="76" t="s">
        <v>5457</v>
      </c>
    </row>
    <row r="10045" spans="1:1" x14ac:dyDescent="0.25">
      <c r="A10045" s="29" t="s">
        <v>5458</v>
      </c>
    </row>
    <row r="10046" spans="1:1" x14ac:dyDescent="0.25">
      <c r="A10046" s="76" t="s">
        <v>5459</v>
      </c>
    </row>
    <row r="10047" spans="1:1" x14ac:dyDescent="0.25">
      <c r="A10047" s="29" t="s">
        <v>5460</v>
      </c>
    </row>
    <row r="10048" spans="1:1" x14ac:dyDescent="0.25">
      <c r="A10048" s="108" t="s">
        <v>5461</v>
      </c>
    </row>
    <row r="10049" spans="1:1" x14ac:dyDescent="0.25">
      <c r="A10049" s="76" t="s">
        <v>5462</v>
      </c>
    </row>
    <row r="10050" spans="1:1" x14ac:dyDescent="0.25">
      <c r="A10050" s="76" t="s">
        <v>5463</v>
      </c>
    </row>
    <row r="10051" spans="1:1" x14ac:dyDescent="0.25">
      <c r="A10051" s="76" t="s">
        <v>5464</v>
      </c>
    </row>
    <row r="10052" spans="1:1" x14ac:dyDescent="0.25">
      <c r="A10052" s="76" t="s">
        <v>5465</v>
      </c>
    </row>
    <row r="10053" spans="1:1" x14ac:dyDescent="0.25">
      <c r="A10053" s="108" t="s">
        <v>5466</v>
      </c>
    </row>
    <row r="10054" spans="1:1" x14ac:dyDescent="0.25">
      <c r="A10054" s="108" t="s">
        <v>5467</v>
      </c>
    </row>
    <row r="10055" spans="1:1" x14ac:dyDescent="0.25">
      <c r="A10055" s="29" t="s">
        <v>5468</v>
      </c>
    </row>
    <row r="10056" spans="1:1" x14ac:dyDescent="0.25">
      <c r="A10056" s="76" t="s">
        <v>5469</v>
      </c>
    </row>
    <row r="10057" spans="1:1" x14ac:dyDescent="0.25">
      <c r="A10057" s="29" t="s">
        <v>5470</v>
      </c>
    </row>
    <row r="10058" spans="1:1" x14ac:dyDescent="0.25">
      <c r="A10058" s="76" t="s">
        <v>5471</v>
      </c>
    </row>
    <row r="10059" spans="1:1" x14ac:dyDescent="0.25">
      <c r="A10059" s="76" t="s">
        <v>5472</v>
      </c>
    </row>
    <row r="10060" spans="1:1" x14ac:dyDescent="0.25">
      <c r="A10060" s="76" t="s">
        <v>5473</v>
      </c>
    </row>
    <row r="10061" spans="1:1" x14ac:dyDescent="0.25">
      <c r="A10061" s="108" t="s">
        <v>5474</v>
      </c>
    </row>
    <row r="10062" spans="1:1" x14ac:dyDescent="0.25">
      <c r="A10062" s="108" t="s">
        <v>5475</v>
      </c>
    </row>
    <row r="10063" spans="1:1" x14ac:dyDescent="0.25">
      <c r="A10063" s="29" t="s">
        <v>5476</v>
      </c>
    </row>
    <row r="10064" spans="1:1" x14ac:dyDescent="0.25">
      <c r="A10064" s="76" t="s">
        <v>5477</v>
      </c>
    </row>
    <row r="10065" spans="1:1" x14ac:dyDescent="0.25">
      <c r="A10065" s="29" t="s">
        <v>5478</v>
      </c>
    </row>
    <row r="10066" spans="1:1" x14ac:dyDescent="0.25">
      <c r="A10066" s="76" t="s">
        <v>5479</v>
      </c>
    </row>
    <row r="10067" spans="1:1" x14ac:dyDescent="0.25">
      <c r="A10067" s="76" t="s">
        <v>5480</v>
      </c>
    </row>
    <row r="10068" spans="1:1" x14ac:dyDescent="0.25">
      <c r="A10068" s="76" t="s">
        <v>5481</v>
      </c>
    </row>
    <row r="10069" spans="1:1" x14ac:dyDescent="0.25">
      <c r="A10069" s="108" t="s">
        <v>5482</v>
      </c>
    </row>
    <row r="10070" spans="1:1" x14ac:dyDescent="0.25">
      <c r="A10070" s="108" t="s">
        <v>5483</v>
      </c>
    </row>
    <row r="10071" spans="1:1" x14ac:dyDescent="0.25">
      <c r="A10071" s="29" t="s">
        <v>5484</v>
      </c>
    </row>
    <row r="10072" spans="1:1" x14ac:dyDescent="0.25">
      <c r="A10072" s="76" t="s">
        <v>5485</v>
      </c>
    </row>
    <row r="10073" spans="1:1" x14ac:dyDescent="0.25">
      <c r="A10073" s="29" t="s">
        <v>5486</v>
      </c>
    </row>
    <row r="10074" spans="1:1" x14ac:dyDescent="0.25">
      <c r="A10074" s="76" t="s">
        <v>5487</v>
      </c>
    </row>
    <row r="10075" spans="1:1" x14ac:dyDescent="0.25">
      <c r="A10075" s="76" t="s">
        <v>5488</v>
      </c>
    </row>
    <row r="10076" spans="1:1" x14ac:dyDescent="0.25">
      <c r="A10076" s="76" t="s">
        <v>5489</v>
      </c>
    </row>
    <row r="10077" spans="1:1" x14ac:dyDescent="0.25">
      <c r="A10077" s="108" t="s">
        <v>5490</v>
      </c>
    </row>
    <row r="10078" spans="1:1" x14ac:dyDescent="0.25">
      <c r="A10078" s="108" t="s">
        <v>5491</v>
      </c>
    </row>
    <row r="10079" spans="1:1" x14ac:dyDescent="0.25">
      <c r="A10079" s="29" t="s">
        <v>5492</v>
      </c>
    </row>
    <row r="10080" spans="1:1" x14ac:dyDescent="0.25">
      <c r="A10080" s="76" t="s">
        <v>5493</v>
      </c>
    </row>
    <row r="10081" spans="1:1" x14ac:dyDescent="0.25">
      <c r="A10081" s="29" t="s">
        <v>5494</v>
      </c>
    </row>
    <row r="10082" spans="1:1" x14ac:dyDescent="0.25">
      <c r="A10082" s="76" t="s">
        <v>5495</v>
      </c>
    </row>
    <row r="10083" spans="1:1" x14ac:dyDescent="0.25">
      <c r="A10083" s="76" t="s">
        <v>5496</v>
      </c>
    </row>
    <row r="10084" spans="1:1" x14ac:dyDescent="0.25">
      <c r="A10084" s="76" t="s">
        <v>5497</v>
      </c>
    </row>
    <row r="10085" spans="1:1" x14ac:dyDescent="0.25">
      <c r="A10085" s="108" t="s">
        <v>5498</v>
      </c>
    </row>
    <row r="10086" spans="1:1" x14ac:dyDescent="0.25">
      <c r="A10086" s="108" t="s">
        <v>5499</v>
      </c>
    </row>
    <row r="10087" spans="1:1" x14ac:dyDescent="0.25">
      <c r="A10087" s="29" t="s">
        <v>5500</v>
      </c>
    </row>
    <row r="10088" spans="1:1" x14ac:dyDescent="0.25">
      <c r="A10088" s="76" t="s">
        <v>5501</v>
      </c>
    </row>
    <row r="10089" spans="1:1" x14ac:dyDescent="0.25">
      <c r="A10089" s="29" t="s">
        <v>5502</v>
      </c>
    </row>
    <row r="10090" spans="1:1" x14ac:dyDescent="0.25">
      <c r="A10090" s="76" t="s">
        <v>5503</v>
      </c>
    </row>
    <row r="10091" spans="1:1" x14ac:dyDescent="0.25">
      <c r="A10091" s="76" t="s">
        <v>5504</v>
      </c>
    </row>
    <row r="10092" spans="1:1" x14ac:dyDescent="0.25">
      <c r="A10092" s="76" t="s">
        <v>5505</v>
      </c>
    </row>
    <row r="10093" spans="1:1" x14ac:dyDescent="0.25">
      <c r="A10093" s="108" t="s">
        <v>5506</v>
      </c>
    </row>
    <row r="10094" spans="1:1" x14ac:dyDescent="0.25">
      <c r="A10094" s="108" t="s">
        <v>5507</v>
      </c>
    </row>
    <row r="10095" spans="1:1" x14ac:dyDescent="0.25">
      <c r="A10095" s="29" t="s">
        <v>5508</v>
      </c>
    </row>
    <row r="10096" spans="1:1" x14ac:dyDescent="0.25">
      <c r="A10096" s="76" t="s">
        <v>5509</v>
      </c>
    </row>
    <row r="10097" spans="1:1" x14ac:dyDescent="0.25">
      <c r="A10097" s="29" t="s">
        <v>5510</v>
      </c>
    </row>
    <row r="10098" spans="1:1" x14ac:dyDescent="0.25">
      <c r="A10098" s="108" t="s">
        <v>5511</v>
      </c>
    </row>
    <row r="10099" spans="1:1" x14ac:dyDescent="0.25">
      <c r="A10099" s="76" t="s">
        <v>5512</v>
      </c>
    </row>
    <row r="10100" spans="1:1" x14ac:dyDescent="0.25">
      <c r="A10100" s="76" t="s">
        <v>5513</v>
      </c>
    </row>
    <row r="10101" spans="1:1" x14ac:dyDescent="0.25">
      <c r="A10101" s="29" t="s">
        <v>5514</v>
      </c>
    </row>
    <row r="10102" spans="1:1" x14ac:dyDescent="0.25">
      <c r="A10102" s="76" t="s">
        <v>5515</v>
      </c>
    </row>
    <row r="10103" spans="1:1" x14ac:dyDescent="0.25">
      <c r="A10103" s="29" t="s">
        <v>5516</v>
      </c>
    </row>
    <row r="10104" spans="1:1" x14ac:dyDescent="0.25">
      <c r="A10104" s="76" t="s">
        <v>5517</v>
      </c>
    </row>
    <row r="10105" spans="1:1" x14ac:dyDescent="0.25">
      <c r="A10105" s="29" t="s">
        <v>5518</v>
      </c>
    </row>
    <row r="10106" spans="1:1" x14ac:dyDescent="0.25">
      <c r="A10106" s="76" t="s">
        <v>5519</v>
      </c>
    </row>
    <row r="10107" spans="1:1" x14ac:dyDescent="0.25">
      <c r="A10107" s="29" t="s">
        <v>5520</v>
      </c>
    </row>
    <row r="10108" spans="1:1" x14ac:dyDescent="0.25">
      <c r="A10108" s="76" t="s">
        <v>5521</v>
      </c>
    </row>
    <row r="10109" spans="1:1" x14ac:dyDescent="0.25">
      <c r="A10109" s="29" t="s">
        <v>5522</v>
      </c>
    </row>
    <row r="10110" spans="1:1" x14ac:dyDescent="0.25">
      <c r="A10110" s="76" t="s">
        <v>5523</v>
      </c>
    </row>
    <row r="10111" spans="1:1" x14ac:dyDescent="0.25">
      <c r="A10111" s="29" t="s">
        <v>5524</v>
      </c>
    </row>
    <row r="10112" spans="1:1" x14ac:dyDescent="0.25">
      <c r="A10112" s="108" t="s">
        <v>5525</v>
      </c>
    </row>
    <row r="10113" spans="1:1" x14ac:dyDescent="0.25">
      <c r="A10113" s="76" t="s">
        <v>5526</v>
      </c>
    </row>
    <row r="10114" spans="1:1" x14ac:dyDescent="0.25">
      <c r="A10114" s="76" t="s">
        <v>5527</v>
      </c>
    </row>
    <row r="10115" spans="1:1" x14ac:dyDescent="0.25">
      <c r="A10115" s="29" t="s">
        <v>5528</v>
      </c>
    </row>
    <row r="10116" spans="1:1" x14ac:dyDescent="0.25">
      <c r="A10116" s="76" t="s">
        <v>5529</v>
      </c>
    </row>
    <row r="10117" spans="1:1" x14ac:dyDescent="0.25">
      <c r="A10117" s="29" t="s">
        <v>5530</v>
      </c>
    </row>
    <row r="10118" spans="1:1" x14ac:dyDescent="0.25">
      <c r="A10118" s="108" t="s">
        <v>5531</v>
      </c>
    </row>
    <row r="10119" spans="1:1" x14ac:dyDescent="0.25">
      <c r="A10119" s="76" t="s">
        <v>5532</v>
      </c>
    </row>
    <row r="10120" spans="1:1" x14ac:dyDescent="0.25">
      <c r="A10120" s="76" t="s">
        <v>5533</v>
      </c>
    </row>
    <row r="10121" spans="1:1" x14ac:dyDescent="0.25">
      <c r="A10121" s="29" t="s">
        <v>5534</v>
      </c>
    </row>
    <row r="10122" spans="1:1" x14ac:dyDescent="0.25">
      <c r="A10122" s="76" t="s">
        <v>5535</v>
      </c>
    </row>
    <row r="10123" spans="1:1" x14ac:dyDescent="0.25">
      <c r="A10123" s="29" t="s">
        <v>5536</v>
      </c>
    </row>
    <row r="10124" spans="1:1" x14ac:dyDescent="0.25">
      <c r="A10124" s="108" t="s">
        <v>5537</v>
      </c>
    </row>
    <row r="10125" spans="1:1" x14ac:dyDescent="0.25">
      <c r="A10125" s="76" t="s">
        <v>5538</v>
      </c>
    </row>
    <row r="10126" spans="1:1" x14ac:dyDescent="0.25">
      <c r="A10126" s="108" t="s">
        <v>5539</v>
      </c>
    </row>
    <row r="10127" spans="1:1" x14ac:dyDescent="0.25">
      <c r="A10127" s="76" t="s">
        <v>5540</v>
      </c>
    </row>
    <row r="10128" spans="1:1" x14ac:dyDescent="0.25">
      <c r="A10128" s="76" t="s">
        <v>5541</v>
      </c>
    </row>
    <row r="10129" spans="1:1" x14ac:dyDescent="0.25">
      <c r="A10129" s="29" t="s">
        <v>5542</v>
      </c>
    </row>
    <row r="10130" spans="1:1" x14ac:dyDescent="0.25">
      <c r="A10130" s="76" t="s">
        <v>5543</v>
      </c>
    </row>
    <row r="10131" spans="1:1" x14ac:dyDescent="0.25">
      <c r="A10131" s="29" t="s">
        <v>5544</v>
      </c>
    </row>
    <row r="10132" spans="1:1" x14ac:dyDescent="0.25">
      <c r="A10132" s="108" t="s">
        <v>5545</v>
      </c>
    </row>
    <row r="10133" spans="1:1" x14ac:dyDescent="0.25">
      <c r="A10133" s="76" t="s">
        <v>5546</v>
      </c>
    </row>
    <row r="10134" spans="1:1" x14ac:dyDescent="0.25">
      <c r="A10134" s="76" t="s">
        <v>5547</v>
      </c>
    </row>
    <row r="10135" spans="1:1" x14ac:dyDescent="0.25">
      <c r="A10135" s="29" t="s">
        <v>5548</v>
      </c>
    </row>
    <row r="10136" spans="1:1" x14ac:dyDescent="0.25">
      <c r="A10136" s="76" t="s">
        <v>5549</v>
      </c>
    </row>
    <row r="10137" spans="1:1" x14ac:dyDescent="0.25">
      <c r="A10137" s="29" t="s">
        <v>5550</v>
      </c>
    </row>
    <row r="10138" spans="1:1" x14ac:dyDescent="0.25">
      <c r="A10138" s="76" t="s">
        <v>5551</v>
      </c>
    </row>
    <row r="10139" spans="1:1" x14ac:dyDescent="0.25">
      <c r="A10139" s="76" t="s">
        <v>5552</v>
      </c>
    </row>
    <row r="10140" spans="1:1" x14ac:dyDescent="0.25">
      <c r="A10140" s="76" t="s">
        <v>5553</v>
      </c>
    </row>
    <row r="10141" spans="1:1" x14ac:dyDescent="0.25">
      <c r="A10141" s="108" t="s">
        <v>5554</v>
      </c>
    </row>
    <row r="10142" spans="1:1" x14ac:dyDescent="0.25">
      <c r="A10142" s="108" t="s">
        <v>5555</v>
      </c>
    </row>
    <row r="10143" spans="1:1" x14ac:dyDescent="0.25">
      <c r="A10143" s="29" t="s">
        <v>5556</v>
      </c>
    </row>
    <row r="10144" spans="1:1" x14ac:dyDescent="0.25">
      <c r="A10144" s="76" t="s">
        <v>5557</v>
      </c>
    </row>
    <row r="10145" spans="1:1" x14ac:dyDescent="0.25">
      <c r="A10145" s="29" t="s">
        <v>5558</v>
      </c>
    </row>
    <row r="10146" spans="1:1" x14ac:dyDescent="0.25">
      <c r="A10146" s="76" t="s">
        <v>5559</v>
      </c>
    </row>
    <row r="10147" spans="1:1" x14ac:dyDescent="0.25">
      <c r="A10147" s="76" t="s">
        <v>5560</v>
      </c>
    </row>
    <row r="10148" spans="1:1" x14ac:dyDescent="0.25">
      <c r="A10148" s="76" t="s">
        <v>5561</v>
      </c>
    </row>
    <row r="10149" spans="1:1" x14ac:dyDescent="0.25">
      <c r="A10149" s="108" t="s">
        <v>5562</v>
      </c>
    </row>
    <row r="10150" spans="1:1" x14ac:dyDescent="0.25">
      <c r="A10150" s="108" t="s">
        <v>5563</v>
      </c>
    </row>
    <row r="10151" spans="1:1" x14ac:dyDescent="0.25">
      <c r="A10151" s="29" t="s">
        <v>5564</v>
      </c>
    </row>
    <row r="10152" spans="1:1" x14ac:dyDescent="0.25">
      <c r="A10152" s="76" t="s">
        <v>5565</v>
      </c>
    </row>
    <row r="10153" spans="1:1" x14ac:dyDescent="0.25">
      <c r="A10153" s="29" t="s">
        <v>5566</v>
      </c>
    </row>
    <row r="10154" spans="1:1" x14ac:dyDescent="0.25">
      <c r="A10154" s="76" t="s">
        <v>5567</v>
      </c>
    </row>
    <row r="10155" spans="1:1" x14ac:dyDescent="0.25">
      <c r="A10155" s="76" t="s">
        <v>5568</v>
      </c>
    </row>
    <row r="10156" spans="1:1" x14ac:dyDescent="0.25">
      <c r="A10156" s="76" t="s">
        <v>5569</v>
      </c>
    </row>
    <row r="10157" spans="1:1" x14ac:dyDescent="0.25">
      <c r="A10157" s="108" t="s">
        <v>5570</v>
      </c>
    </row>
    <row r="10158" spans="1:1" x14ac:dyDescent="0.25">
      <c r="A10158" s="108" t="s">
        <v>5571</v>
      </c>
    </row>
    <row r="10159" spans="1:1" x14ac:dyDescent="0.25">
      <c r="A10159" s="29" t="s">
        <v>5572</v>
      </c>
    </row>
    <row r="10160" spans="1:1" x14ac:dyDescent="0.25">
      <c r="A10160" s="76" t="s">
        <v>5573</v>
      </c>
    </row>
    <row r="10161" spans="1:1" x14ac:dyDescent="0.25">
      <c r="A10161" s="29" t="s">
        <v>5574</v>
      </c>
    </row>
    <row r="10162" spans="1:1" x14ac:dyDescent="0.25">
      <c r="A10162" s="76" t="s">
        <v>5575</v>
      </c>
    </row>
    <row r="10163" spans="1:1" x14ac:dyDescent="0.25">
      <c r="A10163" s="76" t="s">
        <v>5576</v>
      </c>
    </row>
    <row r="10164" spans="1:1" x14ac:dyDescent="0.25">
      <c r="A10164" s="76" t="s">
        <v>5577</v>
      </c>
    </row>
    <row r="10165" spans="1:1" x14ac:dyDescent="0.25">
      <c r="A10165" s="108" t="s">
        <v>5578</v>
      </c>
    </row>
    <row r="10166" spans="1:1" x14ac:dyDescent="0.25">
      <c r="A10166" s="108" t="s">
        <v>5579</v>
      </c>
    </row>
    <row r="10167" spans="1:1" x14ac:dyDescent="0.25">
      <c r="A10167" s="29" t="s">
        <v>5580</v>
      </c>
    </row>
    <row r="10168" spans="1:1" x14ac:dyDescent="0.25">
      <c r="A10168" s="76" t="s">
        <v>5581</v>
      </c>
    </row>
    <row r="10169" spans="1:1" x14ac:dyDescent="0.25">
      <c r="A10169" s="29" t="s">
        <v>5582</v>
      </c>
    </row>
    <row r="10170" spans="1:1" x14ac:dyDescent="0.25">
      <c r="A10170" s="76" t="s">
        <v>5583</v>
      </c>
    </row>
    <row r="10171" spans="1:1" x14ac:dyDescent="0.25">
      <c r="A10171" s="76" t="s">
        <v>5584</v>
      </c>
    </row>
    <row r="10172" spans="1:1" x14ac:dyDescent="0.25">
      <c r="A10172" s="76" t="s">
        <v>5585</v>
      </c>
    </row>
    <row r="10173" spans="1:1" x14ac:dyDescent="0.25">
      <c r="A10173" s="108" t="s">
        <v>5586</v>
      </c>
    </row>
    <row r="10174" spans="1:1" x14ac:dyDescent="0.25">
      <c r="A10174" s="108" t="s">
        <v>5587</v>
      </c>
    </row>
    <row r="10175" spans="1:1" x14ac:dyDescent="0.25">
      <c r="A10175" s="29" t="s">
        <v>5588</v>
      </c>
    </row>
    <row r="10176" spans="1:1" x14ac:dyDescent="0.25">
      <c r="A10176" s="76" t="s">
        <v>5589</v>
      </c>
    </row>
    <row r="10177" spans="1:1" x14ac:dyDescent="0.25">
      <c r="A10177" s="29" t="s">
        <v>5590</v>
      </c>
    </row>
    <row r="10178" spans="1:1" x14ac:dyDescent="0.25">
      <c r="A10178" s="76" t="s">
        <v>5591</v>
      </c>
    </row>
    <row r="10179" spans="1:1" x14ac:dyDescent="0.25">
      <c r="A10179" s="76" t="s">
        <v>5592</v>
      </c>
    </row>
    <row r="10180" spans="1:1" x14ac:dyDescent="0.25">
      <c r="A10180" s="76" t="s">
        <v>5593</v>
      </c>
    </row>
    <row r="10181" spans="1:1" x14ac:dyDescent="0.25">
      <c r="A10181" s="108" t="s">
        <v>5594</v>
      </c>
    </row>
    <row r="10182" spans="1:1" x14ac:dyDescent="0.25">
      <c r="A10182" s="108" t="s">
        <v>5595</v>
      </c>
    </row>
    <row r="10183" spans="1:1" x14ac:dyDescent="0.25">
      <c r="A10183" s="29" t="s">
        <v>5596</v>
      </c>
    </row>
    <row r="10184" spans="1:1" x14ac:dyDescent="0.25">
      <c r="A10184" s="76" t="s">
        <v>5597</v>
      </c>
    </row>
    <row r="10185" spans="1:1" x14ac:dyDescent="0.25">
      <c r="A10185" s="29" t="s">
        <v>5598</v>
      </c>
    </row>
    <row r="10186" spans="1:1" x14ac:dyDescent="0.25">
      <c r="A10186" s="108" t="s">
        <v>5599</v>
      </c>
    </row>
    <row r="10187" spans="1:1" x14ac:dyDescent="0.25">
      <c r="A10187" s="76" t="s">
        <v>5600</v>
      </c>
    </row>
    <row r="10188" spans="1:1" x14ac:dyDescent="0.25">
      <c r="A10188" s="76" t="s">
        <v>5601</v>
      </c>
    </row>
    <row r="10189" spans="1:1" x14ac:dyDescent="0.25">
      <c r="A10189" s="29" t="s">
        <v>5602</v>
      </c>
    </row>
    <row r="10190" spans="1:1" x14ac:dyDescent="0.25">
      <c r="A10190" s="76" t="s">
        <v>5603</v>
      </c>
    </row>
    <row r="10191" spans="1:1" x14ac:dyDescent="0.25">
      <c r="A10191" s="29" t="s">
        <v>5604</v>
      </c>
    </row>
    <row r="10192" spans="1:1" x14ac:dyDescent="0.25">
      <c r="A10192" s="108" t="s">
        <v>5605</v>
      </c>
    </row>
    <row r="10193" spans="1:1" x14ac:dyDescent="0.25">
      <c r="A10193" s="76" t="s">
        <v>5606</v>
      </c>
    </row>
    <row r="10194" spans="1:1" x14ac:dyDescent="0.25">
      <c r="A10194" s="76" t="s">
        <v>5607</v>
      </c>
    </row>
    <row r="10195" spans="1:1" x14ac:dyDescent="0.25">
      <c r="A10195" s="29" t="s">
        <v>5608</v>
      </c>
    </row>
    <row r="10196" spans="1:1" x14ac:dyDescent="0.25">
      <c r="A10196" s="108" t="s">
        <v>5609</v>
      </c>
    </row>
    <row r="10197" spans="1:1" x14ac:dyDescent="0.25">
      <c r="A10197" s="76" t="s">
        <v>5610</v>
      </c>
    </row>
    <row r="10198" spans="1:1" x14ac:dyDescent="0.25">
      <c r="A10198" s="76" t="s">
        <v>5611</v>
      </c>
    </row>
    <row r="10199" spans="1:1" x14ac:dyDescent="0.25">
      <c r="A10199" s="29" t="s">
        <v>5612</v>
      </c>
    </row>
    <row r="10200" spans="1:1" x14ac:dyDescent="0.25">
      <c r="A10200" s="76" t="s">
        <v>5613</v>
      </c>
    </row>
    <row r="10201" spans="1:1" x14ac:dyDescent="0.25">
      <c r="A10201" s="29" t="s">
        <v>5614</v>
      </c>
    </row>
    <row r="10202" spans="1:1" x14ac:dyDescent="0.25">
      <c r="A10202" s="76" t="s">
        <v>5615</v>
      </c>
    </row>
    <row r="10203" spans="1:1" x14ac:dyDescent="0.25">
      <c r="A10203" s="29" t="s">
        <v>5616</v>
      </c>
    </row>
    <row r="10204" spans="1:1" x14ac:dyDescent="0.25">
      <c r="A10204" s="76" t="s">
        <v>5617</v>
      </c>
    </row>
    <row r="10205" spans="1:1" x14ac:dyDescent="0.25">
      <c r="A10205" s="29" t="s">
        <v>5618</v>
      </c>
    </row>
    <row r="10206" spans="1:1" x14ac:dyDescent="0.25">
      <c r="A10206" s="76" t="s">
        <v>5619</v>
      </c>
    </row>
    <row r="10207" spans="1:1" x14ac:dyDescent="0.25">
      <c r="A10207" s="29" t="s">
        <v>5620</v>
      </c>
    </row>
    <row r="10208" spans="1:1" x14ac:dyDescent="0.25">
      <c r="A10208" s="108" t="s">
        <v>5621</v>
      </c>
    </row>
    <row r="10209" spans="1:1" x14ac:dyDescent="0.25">
      <c r="A10209" s="76" t="s">
        <v>5622</v>
      </c>
    </row>
    <row r="10210" spans="1:1" x14ac:dyDescent="0.25">
      <c r="A10210" s="108" t="s">
        <v>5623</v>
      </c>
    </row>
    <row r="10211" spans="1:1" x14ac:dyDescent="0.25">
      <c r="A10211" s="76" t="s">
        <v>5624</v>
      </c>
    </row>
    <row r="10212" spans="1:1" x14ac:dyDescent="0.25">
      <c r="A10212" s="108" t="s">
        <v>5625</v>
      </c>
    </row>
    <row r="10213" spans="1:1" x14ac:dyDescent="0.25">
      <c r="A10213" s="76" t="s">
        <v>5626</v>
      </c>
    </row>
    <row r="10214" spans="1:1" x14ac:dyDescent="0.25">
      <c r="A10214" s="76" t="s">
        <v>5627</v>
      </c>
    </row>
    <row r="10215" spans="1:1" x14ac:dyDescent="0.25">
      <c r="A10215" s="76" t="s">
        <v>5628</v>
      </c>
    </row>
    <row r="10216" spans="1:1" x14ac:dyDescent="0.25">
      <c r="A10216" s="76" t="s">
        <v>5629</v>
      </c>
    </row>
    <row r="10217" spans="1:1" x14ac:dyDescent="0.25">
      <c r="A10217" s="108" t="s">
        <v>5630</v>
      </c>
    </row>
    <row r="10218" spans="1:1" x14ac:dyDescent="0.25">
      <c r="A10218" s="108" t="s">
        <v>5631</v>
      </c>
    </row>
    <row r="10219" spans="1:1" x14ac:dyDescent="0.25">
      <c r="A10219" s="29" t="s">
        <v>5632</v>
      </c>
    </row>
    <row r="10220" spans="1:1" x14ac:dyDescent="0.25">
      <c r="A10220" s="76" t="s">
        <v>5633</v>
      </c>
    </row>
    <row r="10221" spans="1:1" x14ac:dyDescent="0.25">
      <c r="A10221" s="29" t="s">
        <v>5634</v>
      </c>
    </row>
    <row r="10222" spans="1:1" x14ac:dyDescent="0.25">
      <c r="A10222" s="76" t="s">
        <v>5635</v>
      </c>
    </row>
    <row r="10223" spans="1:1" x14ac:dyDescent="0.25">
      <c r="A10223" s="76" t="s">
        <v>5636</v>
      </c>
    </row>
    <row r="10224" spans="1:1" x14ac:dyDescent="0.25">
      <c r="A10224" s="76" t="s">
        <v>5637</v>
      </c>
    </row>
    <row r="10225" spans="1:1" x14ac:dyDescent="0.25">
      <c r="A10225" s="108" t="s">
        <v>5638</v>
      </c>
    </row>
    <row r="10226" spans="1:1" x14ac:dyDescent="0.25">
      <c r="A10226" s="108" t="s">
        <v>5639</v>
      </c>
    </row>
    <row r="10227" spans="1:1" x14ac:dyDescent="0.25">
      <c r="A10227" s="29" t="s">
        <v>5640</v>
      </c>
    </row>
    <row r="10228" spans="1:1" x14ac:dyDescent="0.25">
      <c r="A10228" s="76" t="s">
        <v>5641</v>
      </c>
    </row>
    <row r="10229" spans="1:1" x14ac:dyDescent="0.25">
      <c r="A10229" s="29" t="s">
        <v>5642</v>
      </c>
    </row>
    <row r="10230" spans="1:1" x14ac:dyDescent="0.25">
      <c r="A10230" s="76" t="s">
        <v>5643</v>
      </c>
    </row>
    <row r="10231" spans="1:1" x14ac:dyDescent="0.25">
      <c r="A10231" s="76" t="s">
        <v>5644</v>
      </c>
    </row>
    <row r="10232" spans="1:1" x14ac:dyDescent="0.25">
      <c r="A10232" s="76" t="s">
        <v>5645</v>
      </c>
    </row>
    <row r="10233" spans="1:1" x14ac:dyDescent="0.25">
      <c r="A10233" s="108" t="s">
        <v>5646</v>
      </c>
    </row>
    <row r="10234" spans="1:1" x14ac:dyDescent="0.25">
      <c r="A10234" s="108" t="s">
        <v>5647</v>
      </c>
    </row>
    <row r="10235" spans="1:1" x14ac:dyDescent="0.25">
      <c r="A10235" s="29" t="s">
        <v>5648</v>
      </c>
    </row>
    <row r="10236" spans="1:1" x14ac:dyDescent="0.25">
      <c r="A10236" s="76" t="s">
        <v>5649</v>
      </c>
    </row>
    <row r="10237" spans="1:1" x14ac:dyDescent="0.25">
      <c r="A10237" s="29" t="s">
        <v>5650</v>
      </c>
    </row>
    <row r="10238" spans="1:1" x14ac:dyDescent="0.25">
      <c r="A10238" s="76" t="s">
        <v>5651</v>
      </c>
    </row>
    <row r="10239" spans="1:1" x14ac:dyDescent="0.25">
      <c r="A10239" s="76" t="s">
        <v>5652</v>
      </c>
    </row>
    <row r="10240" spans="1:1" x14ac:dyDescent="0.25">
      <c r="A10240" s="76" t="s">
        <v>5653</v>
      </c>
    </row>
    <row r="10241" spans="1:1" x14ac:dyDescent="0.25">
      <c r="A10241" s="108" t="s">
        <v>5654</v>
      </c>
    </row>
    <row r="10242" spans="1:1" x14ac:dyDescent="0.25">
      <c r="A10242" s="108" t="s">
        <v>5655</v>
      </c>
    </row>
    <row r="10243" spans="1:1" x14ac:dyDescent="0.25">
      <c r="A10243" s="29" t="s">
        <v>5656</v>
      </c>
    </row>
    <row r="10244" spans="1:1" x14ac:dyDescent="0.25">
      <c r="A10244" s="76" t="s">
        <v>5657</v>
      </c>
    </row>
    <row r="10245" spans="1:1" x14ac:dyDescent="0.25">
      <c r="A10245" s="29" t="s">
        <v>5658</v>
      </c>
    </row>
    <row r="10246" spans="1:1" x14ac:dyDescent="0.25">
      <c r="A10246" s="76" t="s">
        <v>5659</v>
      </c>
    </row>
    <row r="10247" spans="1:1" x14ac:dyDescent="0.25">
      <c r="A10247" s="76" t="s">
        <v>5660</v>
      </c>
    </row>
    <row r="10248" spans="1:1" x14ac:dyDescent="0.25">
      <c r="A10248" s="76" t="s">
        <v>5661</v>
      </c>
    </row>
    <row r="10249" spans="1:1" x14ac:dyDescent="0.25">
      <c r="A10249" s="108" t="s">
        <v>5662</v>
      </c>
    </row>
    <row r="10250" spans="1:1" x14ac:dyDescent="0.25">
      <c r="A10250" s="108" t="s">
        <v>5663</v>
      </c>
    </row>
    <row r="10251" spans="1:1" x14ac:dyDescent="0.25">
      <c r="A10251" s="29" t="s">
        <v>5664</v>
      </c>
    </row>
    <row r="10252" spans="1:1" x14ac:dyDescent="0.25">
      <c r="A10252" s="76" t="s">
        <v>5665</v>
      </c>
    </row>
    <row r="10253" spans="1:1" x14ac:dyDescent="0.25">
      <c r="A10253" s="29" t="s">
        <v>5666</v>
      </c>
    </row>
    <row r="10254" spans="1:1" x14ac:dyDescent="0.25">
      <c r="A10254" s="76" t="s">
        <v>5667</v>
      </c>
    </row>
    <row r="10255" spans="1:1" x14ac:dyDescent="0.25">
      <c r="A10255" s="76" t="s">
        <v>5668</v>
      </c>
    </row>
    <row r="10256" spans="1:1" x14ac:dyDescent="0.25">
      <c r="A10256" s="76" t="s">
        <v>5669</v>
      </c>
    </row>
    <row r="10257" spans="1:1" x14ac:dyDescent="0.25">
      <c r="A10257" s="108" t="s">
        <v>5670</v>
      </c>
    </row>
    <row r="10258" spans="1:1" x14ac:dyDescent="0.25">
      <c r="A10258" s="108" t="s">
        <v>5671</v>
      </c>
    </row>
    <row r="10259" spans="1:1" x14ac:dyDescent="0.25">
      <c r="A10259" s="29" t="s">
        <v>5672</v>
      </c>
    </row>
    <row r="10260" spans="1:1" x14ac:dyDescent="0.25">
      <c r="A10260" s="76" t="s">
        <v>5673</v>
      </c>
    </row>
    <row r="10261" spans="1:1" x14ac:dyDescent="0.25">
      <c r="A10261" s="29" t="s">
        <v>5674</v>
      </c>
    </row>
    <row r="10262" spans="1:1" x14ac:dyDescent="0.25">
      <c r="A10262" s="76" t="s">
        <v>5675</v>
      </c>
    </row>
    <row r="10263" spans="1:1" x14ac:dyDescent="0.25">
      <c r="A10263" s="29" t="s">
        <v>5676</v>
      </c>
    </row>
    <row r="10264" spans="1:1" x14ac:dyDescent="0.25">
      <c r="A10264" s="76" t="s">
        <v>5677</v>
      </c>
    </row>
    <row r="10265" spans="1:1" x14ac:dyDescent="0.25">
      <c r="A10265" s="29" t="s">
        <v>5678</v>
      </c>
    </row>
    <row r="10266" spans="1:1" x14ac:dyDescent="0.25">
      <c r="A10266" s="76" t="s">
        <v>5679</v>
      </c>
    </row>
    <row r="10267" spans="1:1" x14ac:dyDescent="0.25">
      <c r="A10267" s="29" t="s">
        <v>5680</v>
      </c>
    </row>
    <row r="10268" spans="1:1" x14ac:dyDescent="0.25">
      <c r="A10268" s="76" t="s">
        <v>5681</v>
      </c>
    </row>
    <row r="10269" spans="1:1" x14ac:dyDescent="0.25">
      <c r="A10269" s="29" t="s">
        <v>5682</v>
      </c>
    </row>
    <row r="10270" spans="1:1" x14ac:dyDescent="0.25">
      <c r="A10270" s="108" t="s">
        <v>5683</v>
      </c>
    </row>
    <row r="10271" spans="1:1" x14ac:dyDescent="0.25">
      <c r="A10271" s="76" t="s">
        <v>5684</v>
      </c>
    </row>
    <row r="10272" spans="1:1" x14ac:dyDescent="0.25">
      <c r="A10272" s="76" t="s">
        <v>5685</v>
      </c>
    </row>
    <row r="10273" spans="1:1" x14ac:dyDescent="0.25">
      <c r="A10273" s="29" t="s">
        <v>5686</v>
      </c>
    </row>
    <row r="10274" spans="1:1" x14ac:dyDescent="0.25">
      <c r="A10274" s="76" t="s">
        <v>5687</v>
      </c>
    </row>
    <row r="10275" spans="1:1" x14ac:dyDescent="0.25">
      <c r="A10275" s="29" t="s">
        <v>5688</v>
      </c>
    </row>
    <row r="10276" spans="1:1" x14ac:dyDescent="0.25">
      <c r="A10276" s="76" t="s">
        <v>5689</v>
      </c>
    </row>
    <row r="10277" spans="1:1" x14ac:dyDescent="0.25">
      <c r="A10277" s="29" t="s">
        <v>5690</v>
      </c>
    </row>
    <row r="10278" spans="1:1" x14ac:dyDescent="0.25">
      <c r="A10278" s="76" t="s">
        <v>5691</v>
      </c>
    </row>
    <row r="10279" spans="1:1" x14ac:dyDescent="0.25">
      <c r="A10279" s="29" t="s">
        <v>5692</v>
      </c>
    </row>
    <row r="10280" spans="1:1" x14ac:dyDescent="0.25">
      <c r="A10280" s="76" t="s">
        <v>5693</v>
      </c>
    </row>
    <row r="10281" spans="1:1" x14ac:dyDescent="0.25">
      <c r="A10281" s="29" t="s">
        <v>5694</v>
      </c>
    </row>
    <row r="10282" spans="1:1" x14ac:dyDescent="0.25">
      <c r="A10282" s="76" t="s">
        <v>5695</v>
      </c>
    </row>
    <row r="10283" spans="1:1" x14ac:dyDescent="0.25">
      <c r="A10283" s="29" t="s">
        <v>5696</v>
      </c>
    </row>
    <row r="10284" spans="1:1" x14ac:dyDescent="0.25">
      <c r="A10284" s="76" t="s">
        <v>5697</v>
      </c>
    </row>
    <row r="10285" spans="1:1" x14ac:dyDescent="0.25">
      <c r="A10285" s="29" t="s">
        <v>5698</v>
      </c>
    </row>
    <row r="10286" spans="1:1" x14ac:dyDescent="0.25">
      <c r="A10286" s="76" t="s">
        <v>5699</v>
      </c>
    </row>
    <row r="10287" spans="1:1" x14ac:dyDescent="0.25">
      <c r="A10287" s="29" t="s">
        <v>5700</v>
      </c>
    </row>
    <row r="10288" spans="1:1" x14ac:dyDescent="0.25">
      <c r="A10288" s="76" t="s">
        <v>5701</v>
      </c>
    </row>
    <row r="10289" spans="1:1" x14ac:dyDescent="0.25">
      <c r="A10289" s="29" t="s">
        <v>5702</v>
      </c>
    </row>
    <row r="10290" spans="1:1" x14ac:dyDescent="0.25">
      <c r="A10290" s="76" t="s">
        <v>5703</v>
      </c>
    </row>
    <row r="10291" spans="1:1" x14ac:dyDescent="0.25">
      <c r="A10291" s="29" t="s">
        <v>5704</v>
      </c>
    </row>
    <row r="10292" spans="1:1" x14ac:dyDescent="0.25">
      <c r="A10292" s="76" t="s">
        <v>5705</v>
      </c>
    </row>
    <row r="10293" spans="1:1" x14ac:dyDescent="0.25">
      <c r="A10293" s="29" t="s">
        <v>5706</v>
      </c>
    </row>
    <row r="10294" spans="1:1" x14ac:dyDescent="0.25">
      <c r="A10294" s="76" t="s">
        <v>5707</v>
      </c>
    </row>
    <row r="10295" spans="1:1" x14ac:dyDescent="0.25">
      <c r="A10295" s="29" t="s">
        <v>5708</v>
      </c>
    </row>
    <row r="10296" spans="1:1" x14ac:dyDescent="0.25">
      <c r="A10296" s="76" t="s">
        <v>5709</v>
      </c>
    </row>
    <row r="10297" spans="1:1" x14ac:dyDescent="0.25">
      <c r="A10297" s="29" t="s">
        <v>5710</v>
      </c>
    </row>
    <row r="10298" spans="1:1" x14ac:dyDescent="0.25">
      <c r="A10298" s="76" t="s">
        <v>5711</v>
      </c>
    </row>
    <row r="10299" spans="1:1" x14ac:dyDescent="0.25">
      <c r="A10299" s="29" t="s">
        <v>5712</v>
      </c>
    </row>
    <row r="10300" spans="1:1" x14ac:dyDescent="0.25">
      <c r="A10300" s="76" t="s">
        <v>5713</v>
      </c>
    </row>
    <row r="10301" spans="1:1" x14ac:dyDescent="0.25">
      <c r="A10301" s="29" t="s">
        <v>5714</v>
      </c>
    </row>
    <row r="10302" spans="1:1" x14ac:dyDescent="0.25">
      <c r="A10302" s="76" t="s">
        <v>5715</v>
      </c>
    </row>
    <row r="10303" spans="1:1" x14ac:dyDescent="0.25">
      <c r="A10303" s="29" t="s">
        <v>5716</v>
      </c>
    </row>
    <row r="10304" spans="1:1" x14ac:dyDescent="0.25">
      <c r="A10304" s="76" t="s">
        <v>5717</v>
      </c>
    </row>
    <row r="10305" spans="1:1" x14ac:dyDescent="0.25">
      <c r="A10305" s="29" t="s">
        <v>5718</v>
      </c>
    </row>
    <row r="10306" spans="1:1" x14ac:dyDescent="0.25">
      <c r="A10306" s="76" t="s">
        <v>5719</v>
      </c>
    </row>
    <row r="10307" spans="1:1" x14ac:dyDescent="0.25">
      <c r="A10307" s="29" t="s">
        <v>5720</v>
      </c>
    </row>
    <row r="10308" spans="1:1" x14ac:dyDescent="0.25">
      <c r="A10308" s="76" t="s">
        <v>5721</v>
      </c>
    </row>
    <row r="10309" spans="1:1" x14ac:dyDescent="0.25">
      <c r="A10309" s="29" t="s">
        <v>5722</v>
      </c>
    </row>
    <row r="10310" spans="1:1" x14ac:dyDescent="0.25">
      <c r="A10310" s="76" t="s">
        <v>5723</v>
      </c>
    </row>
    <row r="10311" spans="1:1" x14ac:dyDescent="0.25">
      <c r="A10311" s="29" t="s">
        <v>5724</v>
      </c>
    </row>
    <row r="10312" spans="1:1" x14ac:dyDescent="0.25">
      <c r="A10312" s="108" t="s">
        <v>5725</v>
      </c>
    </row>
    <row r="10313" spans="1:1" x14ac:dyDescent="0.25">
      <c r="A10313" s="76" t="s">
        <v>5726</v>
      </c>
    </row>
    <row r="10314" spans="1:1" x14ac:dyDescent="0.25">
      <c r="A10314" s="76" t="s">
        <v>5727</v>
      </c>
    </row>
    <row r="10315" spans="1:1" x14ac:dyDescent="0.25">
      <c r="A10315" s="29" t="s">
        <v>5728</v>
      </c>
    </row>
    <row r="10316" spans="1:1" x14ac:dyDescent="0.25">
      <c r="A10316" s="76" t="s">
        <v>5729</v>
      </c>
    </row>
    <row r="10317" spans="1:1" x14ac:dyDescent="0.25">
      <c r="A10317" s="29" t="s">
        <v>5730</v>
      </c>
    </row>
    <row r="10318" spans="1:1" x14ac:dyDescent="0.25">
      <c r="A10318" s="76" t="s">
        <v>5731</v>
      </c>
    </row>
    <row r="10319" spans="1:1" x14ac:dyDescent="0.25">
      <c r="A10319" s="29" t="s">
        <v>5732</v>
      </c>
    </row>
    <row r="10320" spans="1:1" x14ac:dyDescent="0.25">
      <c r="A10320" s="76" t="s">
        <v>5733</v>
      </c>
    </row>
    <row r="10321" spans="1:1" x14ac:dyDescent="0.25">
      <c r="A10321" s="29" t="s">
        <v>5734</v>
      </c>
    </row>
    <row r="10322" spans="1:1" x14ac:dyDescent="0.25">
      <c r="A10322" s="108" t="s">
        <v>5735</v>
      </c>
    </row>
    <row r="10323" spans="1:1" x14ac:dyDescent="0.25">
      <c r="A10323" s="76" t="s">
        <v>5736</v>
      </c>
    </row>
    <row r="10324" spans="1:1" x14ac:dyDescent="0.25">
      <c r="A10324" s="76" t="s">
        <v>5737</v>
      </c>
    </row>
    <row r="10325" spans="1:1" x14ac:dyDescent="0.25">
      <c r="A10325" s="29" t="s">
        <v>5738</v>
      </c>
    </row>
    <row r="10326" spans="1:1" x14ac:dyDescent="0.25">
      <c r="A10326" s="76" t="s">
        <v>5739</v>
      </c>
    </row>
    <row r="10327" spans="1:1" x14ac:dyDescent="0.25">
      <c r="A10327" s="29" t="s">
        <v>5740</v>
      </c>
    </row>
    <row r="10328" spans="1:1" x14ac:dyDescent="0.25">
      <c r="A10328" s="76" t="s">
        <v>5741</v>
      </c>
    </row>
    <row r="10329" spans="1:1" x14ac:dyDescent="0.25">
      <c r="A10329" s="29" t="s">
        <v>5742</v>
      </c>
    </row>
    <row r="10330" spans="1:1" x14ac:dyDescent="0.25">
      <c r="A10330" s="76" t="s">
        <v>5743</v>
      </c>
    </row>
    <row r="10331" spans="1:1" x14ac:dyDescent="0.25">
      <c r="A10331" s="29" t="s">
        <v>5744</v>
      </c>
    </row>
    <row r="10332" spans="1:1" x14ac:dyDescent="0.25">
      <c r="A10332" s="76" t="s">
        <v>5745</v>
      </c>
    </row>
    <row r="10333" spans="1:1" x14ac:dyDescent="0.25">
      <c r="A10333" s="29" t="s">
        <v>5746</v>
      </c>
    </row>
    <row r="10334" spans="1:1" x14ac:dyDescent="0.25">
      <c r="A10334" s="76" t="s">
        <v>5747</v>
      </c>
    </row>
    <row r="10335" spans="1:1" x14ac:dyDescent="0.25">
      <c r="A10335" s="29" t="s">
        <v>5748</v>
      </c>
    </row>
    <row r="10336" spans="1:1" x14ac:dyDescent="0.25">
      <c r="A10336" s="76" t="s">
        <v>5749</v>
      </c>
    </row>
    <row r="10337" spans="1:1" x14ac:dyDescent="0.25">
      <c r="A10337" s="29" t="s">
        <v>5750</v>
      </c>
    </row>
    <row r="10338" spans="1:1" x14ac:dyDescent="0.25">
      <c r="A10338" s="76" t="s">
        <v>5751</v>
      </c>
    </row>
    <row r="10339" spans="1:1" x14ac:dyDescent="0.25">
      <c r="A10339" s="29" t="s">
        <v>5752</v>
      </c>
    </row>
    <row r="10340" spans="1:1" x14ac:dyDescent="0.25">
      <c r="A10340" s="108" t="s">
        <v>5753</v>
      </c>
    </row>
    <row r="10341" spans="1:1" x14ac:dyDescent="0.25">
      <c r="A10341" s="76" t="s">
        <v>5754</v>
      </c>
    </row>
    <row r="10342" spans="1:1" x14ac:dyDescent="0.25">
      <c r="A10342" s="108" t="s">
        <v>5755</v>
      </c>
    </row>
    <row r="10343" spans="1:1" x14ac:dyDescent="0.25">
      <c r="A10343" s="76" t="s">
        <v>5756</v>
      </c>
    </row>
    <row r="10344" spans="1:1" x14ac:dyDescent="0.25">
      <c r="A10344" s="76" t="s">
        <v>5757</v>
      </c>
    </row>
    <row r="10345" spans="1:1" x14ac:dyDescent="0.25">
      <c r="A10345" s="29" t="s">
        <v>5758</v>
      </c>
    </row>
    <row r="10346" spans="1:1" x14ac:dyDescent="0.25">
      <c r="A10346" s="76" t="s">
        <v>5759</v>
      </c>
    </row>
    <row r="10347" spans="1:1" x14ac:dyDescent="0.25">
      <c r="A10347" s="29" t="s">
        <v>5760</v>
      </c>
    </row>
    <row r="10348" spans="1:1" x14ac:dyDescent="0.25">
      <c r="A10348" s="76" t="s">
        <v>5761</v>
      </c>
    </row>
    <row r="10349" spans="1:1" x14ac:dyDescent="0.25">
      <c r="A10349" s="76" t="s">
        <v>5762</v>
      </c>
    </row>
    <row r="10350" spans="1:1" x14ac:dyDescent="0.25">
      <c r="A10350" s="76" t="s">
        <v>5763</v>
      </c>
    </row>
    <row r="10351" spans="1:1" x14ac:dyDescent="0.25">
      <c r="A10351" s="76" t="s">
        <v>5764</v>
      </c>
    </row>
    <row r="10352" spans="1:1" x14ac:dyDescent="0.25">
      <c r="A10352" s="108" t="s">
        <v>5765</v>
      </c>
    </row>
    <row r="10353" spans="1:1" x14ac:dyDescent="0.25">
      <c r="A10353" s="108" t="s">
        <v>5766</v>
      </c>
    </row>
    <row r="10354" spans="1:1" x14ac:dyDescent="0.25">
      <c r="A10354" s="29" t="s">
        <v>5767</v>
      </c>
    </row>
    <row r="10355" spans="1:1" x14ac:dyDescent="0.25">
      <c r="A10355" s="76" t="s">
        <v>5768</v>
      </c>
    </row>
    <row r="10356" spans="1:1" x14ac:dyDescent="0.25">
      <c r="A10356" s="29" t="s">
        <v>5769</v>
      </c>
    </row>
    <row r="10357" spans="1:1" x14ac:dyDescent="0.25">
      <c r="A10357" s="76" t="s">
        <v>5770</v>
      </c>
    </row>
    <row r="10358" spans="1:1" x14ac:dyDescent="0.25">
      <c r="A10358" s="29" t="s">
        <v>5771</v>
      </c>
    </row>
    <row r="10359" spans="1:1" x14ac:dyDescent="0.25">
      <c r="A10359" s="76" t="s">
        <v>5772</v>
      </c>
    </row>
    <row r="10360" spans="1:1" x14ac:dyDescent="0.25">
      <c r="A10360" s="29" t="s">
        <v>5773</v>
      </c>
    </row>
    <row r="10361" spans="1:1" x14ac:dyDescent="0.25">
      <c r="A10361" s="76" t="s">
        <v>5774</v>
      </c>
    </row>
    <row r="10362" spans="1:1" x14ac:dyDescent="0.25">
      <c r="A10362" s="29" t="s">
        <v>5775</v>
      </c>
    </row>
    <row r="10363" spans="1:1" x14ac:dyDescent="0.25">
      <c r="A10363" s="76" t="s">
        <v>5776</v>
      </c>
    </row>
    <row r="10364" spans="1:1" x14ac:dyDescent="0.25">
      <c r="A10364" s="29" t="s">
        <v>5777</v>
      </c>
    </row>
    <row r="10365" spans="1:1" x14ac:dyDescent="0.25">
      <c r="A10365" s="76" t="s">
        <v>5778</v>
      </c>
    </row>
    <row r="10366" spans="1:1" x14ac:dyDescent="0.25">
      <c r="A10366" s="29" t="s">
        <v>5779</v>
      </c>
    </row>
    <row r="10367" spans="1:1" x14ac:dyDescent="0.25">
      <c r="A10367" s="76" t="s">
        <v>5780</v>
      </c>
    </row>
    <row r="10368" spans="1:1" x14ac:dyDescent="0.25">
      <c r="A10368" s="29" t="s">
        <v>5781</v>
      </c>
    </row>
    <row r="10369" spans="1:1" x14ac:dyDescent="0.25">
      <c r="A10369" s="76" t="s">
        <v>5782</v>
      </c>
    </row>
    <row r="10370" spans="1:1" x14ac:dyDescent="0.25">
      <c r="A10370" s="29" t="s">
        <v>5783</v>
      </c>
    </row>
    <row r="10371" spans="1:1" x14ac:dyDescent="0.25">
      <c r="A10371" s="108" t="s">
        <v>5784</v>
      </c>
    </row>
    <row r="10372" spans="1:1" x14ac:dyDescent="0.25">
      <c r="A10372" s="76" t="s">
        <v>5785</v>
      </c>
    </row>
    <row r="10373" spans="1:1" x14ac:dyDescent="0.25">
      <c r="A10373" s="76" t="s">
        <v>5786</v>
      </c>
    </row>
    <row r="10374" spans="1:1" x14ac:dyDescent="0.25">
      <c r="A10374" s="76" t="s">
        <v>5787</v>
      </c>
    </row>
    <row r="10375" spans="1:1" x14ac:dyDescent="0.25">
      <c r="A10375" s="76" t="s">
        <v>5788</v>
      </c>
    </row>
    <row r="10376" spans="1:1" x14ac:dyDescent="0.25">
      <c r="A10376" s="108" t="s">
        <v>5789</v>
      </c>
    </row>
    <row r="10377" spans="1:1" x14ac:dyDescent="0.25">
      <c r="A10377" s="108" t="s">
        <v>5790</v>
      </c>
    </row>
    <row r="10378" spans="1:1" x14ac:dyDescent="0.25">
      <c r="A10378" s="29" t="s">
        <v>5791</v>
      </c>
    </row>
    <row r="10379" spans="1:1" x14ac:dyDescent="0.25">
      <c r="A10379" s="76" t="s">
        <v>5792</v>
      </c>
    </row>
    <row r="10380" spans="1:1" x14ac:dyDescent="0.25">
      <c r="A10380" s="29" t="s">
        <v>5793</v>
      </c>
    </row>
    <row r="10381" spans="1:1" x14ac:dyDescent="0.25">
      <c r="A10381" s="76" t="s">
        <v>5794</v>
      </c>
    </row>
    <row r="10382" spans="1:1" x14ac:dyDescent="0.25">
      <c r="A10382" s="76" t="s">
        <v>5795</v>
      </c>
    </row>
    <row r="10383" spans="1:1" x14ac:dyDescent="0.25">
      <c r="A10383" s="76" t="s">
        <v>5796</v>
      </c>
    </row>
    <row r="10384" spans="1:1" x14ac:dyDescent="0.25">
      <c r="A10384" s="108" t="s">
        <v>5797</v>
      </c>
    </row>
    <row r="10385" spans="1:1" x14ac:dyDescent="0.25">
      <c r="A10385" s="108" t="s">
        <v>5798</v>
      </c>
    </row>
    <row r="10386" spans="1:1" x14ac:dyDescent="0.25">
      <c r="A10386" s="29" t="s">
        <v>5799</v>
      </c>
    </row>
    <row r="10387" spans="1:1" x14ac:dyDescent="0.25">
      <c r="A10387" s="76" t="s">
        <v>5800</v>
      </c>
    </row>
    <row r="10388" spans="1:1" x14ac:dyDescent="0.25">
      <c r="A10388" s="29" t="s">
        <v>5801</v>
      </c>
    </row>
    <row r="10389" spans="1:1" x14ac:dyDescent="0.25">
      <c r="A10389" s="76" t="s">
        <v>5802</v>
      </c>
    </row>
    <row r="10390" spans="1:1" x14ac:dyDescent="0.25">
      <c r="A10390" s="76" t="s">
        <v>5803</v>
      </c>
    </row>
    <row r="10391" spans="1:1" x14ac:dyDescent="0.25">
      <c r="A10391" s="76" t="s">
        <v>5804</v>
      </c>
    </row>
    <row r="10392" spans="1:1" x14ac:dyDescent="0.25">
      <c r="A10392" s="108" t="s">
        <v>5805</v>
      </c>
    </row>
    <row r="10393" spans="1:1" x14ac:dyDescent="0.25">
      <c r="A10393" s="108" t="s">
        <v>5806</v>
      </c>
    </row>
    <row r="10394" spans="1:1" x14ac:dyDescent="0.25">
      <c r="A10394" s="29" t="s">
        <v>5807</v>
      </c>
    </row>
    <row r="10395" spans="1:1" x14ac:dyDescent="0.25">
      <c r="A10395" s="76" t="s">
        <v>5808</v>
      </c>
    </row>
    <row r="10396" spans="1:1" x14ac:dyDescent="0.25">
      <c r="A10396" s="29" t="s">
        <v>5809</v>
      </c>
    </row>
    <row r="10397" spans="1:1" x14ac:dyDescent="0.25">
      <c r="A10397" s="76" t="s">
        <v>5810</v>
      </c>
    </row>
    <row r="10398" spans="1:1" x14ac:dyDescent="0.25">
      <c r="A10398" s="76" t="s">
        <v>5811</v>
      </c>
    </row>
    <row r="10399" spans="1:1" x14ac:dyDescent="0.25">
      <c r="A10399" s="76" t="s">
        <v>5812</v>
      </c>
    </row>
    <row r="10400" spans="1:1" x14ac:dyDescent="0.25">
      <c r="A10400" s="108" t="s">
        <v>5813</v>
      </c>
    </row>
    <row r="10401" spans="1:1" x14ac:dyDescent="0.25">
      <c r="A10401" s="108" t="s">
        <v>5814</v>
      </c>
    </row>
    <row r="10402" spans="1:1" x14ac:dyDescent="0.25">
      <c r="A10402" s="29" t="s">
        <v>5815</v>
      </c>
    </row>
    <row r="10403" spans="1:1" x14ac:dyDescent="0.25">
      <c r="A10403" s="76" t="s">
        <v>5816</v>
      </c>
    </row>
    <row r="10404" spans="1:1" x14ac:dyDescent="0.25">
      <c r="A10404" s="29" t="s">
        <v>5817</v>
      </c>
    </row>
    <row r="10405" spans="1:1" x14ac:dyDescent="0.25">
      <c r="A10405" s="76" t="s">
        <v>5818</v>
      </c>
    </row>
    <row r="10406" spans="1:1" x14ac:dyDescent="0.25">
      <c r="A10406" s="76" t="s">
        <v>5819</v>
      </c>
    </row>
    <row r="10407" spans="1:1" x14ac:dyDescent="0.25">
      <c r="A10407" s="76" t="s">
        <v>5820</v>
      </c>
    </row>
    <row r="10408" spans="1:1" x14ac:dyDescent="0.25">
      <c r="A10408" s="108" t="s">
        <v>5821</v>
      </c>
    </row>
    <row r="10409" spans="1:1" x14ac:dyDescent="0.25">
      <c r="A10409" s="108" t="s">
        <v>5822</v>
      </c>
    </row>
    <row r="10410" spans="1:1" x14ac:dyDescent="0.25">
      <c r="A10410" s="29" t="s">
        <v>5823</v>
      </c>
    </row>
    <row r="10411" spans="1:1" x14ac:dyDescent="0.25">
      <c r="A10411" s="76" t="s">
        <v>5824</v>
      </c>
    </row>
    <row r="10412" spans="1:1" x14ac:dyDescent="0.25">
      <c r="A10412" s="29" t="s">
        <v>5825</v>
      </c>
    </row>
    <row r="10413" spans="1:1" x14ac:dyDescent="0.25">
      <c r="A10413" s="76" t="s">
        <v>5826</v>
      </c>
    </row>
    <row r="10414" spans="1:1" x14ac:dyDescent="0.25">
      <c r="A10414" s="76" t="s">
        <v>5827</v>
      </c>
    </row>
    <row r="10415" spans="1:1" x14ac:dyDescent="0.25">
      <c r="A10415" s="76" t="s">
        <v>5828</v>
      </c>
    </row>
    <row r="10416" spans="1:1" x14ac:dyDescent="0.25">
      <c r="A10416" s="108" t="s">
        <v>5829</v>
      </c>
    </row>
    <row r="10417" spans="1:1" x14ac:dyDescent="0.25">
      <c r="A10417" s="108" t="s">
        <v>5830</v>
      </c>
    </row>
    <row r="10418" spans="1:1" x14ac:dyDescent="0.25">
      <c r="A10418" s="29" t="s">
        <v>5831</v>
      </c>
    </row>
    <row r="10419" spans="1:1" x14ac:dyDescent="0.25">
      <c r="A10419" s="76" t="s">
        <v>5832</v>
      </c>
    </row>
    <row r="10420" spans="1:1" x14ac:dyDescent="0.25">
      <c r="A10420" s="29" t="s">
        <v>5833</v>
      </c>
    </row>
    <row r="10421" spans="1:1" x14ac:dyDescent="0.25">
      <c r="A10421" s="76" t="s">
        <v>5834</v>
      </c>
    </row>
    <row r="10422" spans="1:1" x14ac:dyDescent="0.25">
      <c r="A10422" s="29" t="s">
        <v>5835</v>
      </c>
    </row>
    <row r="10423" spans="1:1" x14ac:dyDescent="0.25">
      <c r="A10423" s="76" t="s">
        <v>5836</v>
      </c>
    </row>
    <row r="10424" spans="1:1" x14ac:dyDescent="0.25">
      <c r="A10424" s="29" t="s">
        <v>5837</v>
      </c>
    </row>
    <row r="10425" spans="1:1" x14ac:dyDescent="0.25">
      <c r="A10425" s="76" t="s">
        <v>5838</v>
      </c>
    </row>
    <row r="10426" spans="1:1" x14ac:dyDescent="0.25">
      <c r="A10426" s="29" t="s">
        <v>5839</v>
      </c>
    </row>
    <row r="10427" spans="1:1" x14ac:dyDescent="0.25">
      <c r="A10427" s="108" t="s">
        <v>5840</v>
      </c>
    </row>
    <row r="10428" spans="1:1" x14ac:dyDescent="0.25">
      <c r="A10428" s="76" t="s">
        <v>5841</v>
      </c>
    </row>
    <row r="10429" spans="1:1" x14ac:dyDescent="0.25">
      <c r="A10429" s="76" t="s">
        <v>5842</v>
      </c>
    </row>
    <row r="10430" spans="1:1" x14ac:dyDescent="0.25">
      <c r="A10430" s="29" t="s">
        <v>5843</v>
      </c>
    </row>
    <row r="10431" spans="1:1" x14ac:dyDescent="0.25">
      <c r="A10431" s="76" t="s">
        <v>5844</v>
      </c>
    </row>
    <row r="10432" spans="1:1" x14ac:dyDescent="0.25">
      <c r="A10432" s="29" t="s">
        <v>5845</v>
      </c>
    </row>
    <row r="10433" spans="1:1" x14ac:dyDescent="0.25">
      <c r="A10433" s="76" t="s">
        <v>5846</v>
      </c>
    </row>
    <row r="10434" spans="1:1" x14ac:dyDescent="0.25">
      <c r="A10434" s="29" t="s">
        <v>5847</v>
      </c>
    </row>
    <row r="10435" spans="1:1" x14ac:dyDescent="0.25">
      <c r="A10435" s="76" t="s">
        <v>5848</v>
      </c>
    </row>
    <row r="10436" spans="1:1" x14ac:dyDescent="0.25">
      <c r="A10436" s="29" t="s">
        <v>5849</v>
      </c>
    </row>
    <row r="10437" spans="1:1" x14ac:dyDescent="0.25">
      <c r="A10437" s="76" t="s">
        <v>5850</v>
      </c>
    </row>
    <row r="10438" spans="1:1" x14ac:dyDescent="0.25">
      <c r="A10438" s="29" t="s">
        <v>5851</v>
      </c>
    </row>
    <row r="10439" spans="1:1" x14ac:dyDescent="0.25">
      <c r="A10439" s="76" t="s">
        <v>5852</v>
      </c>
    </row>
    <row r="10440" spans="1:1" x14ac:dyDescent="0.25">
      <c r="A10440" s="29" t="s">
        <v>5853</v>
      </c>
    </row>
    <row r="10441" spans="1:1" x14ac:dyDescent="0.25">
      <c r="A10441" s="76" t="s">
        <v>5854</v>
      </c>
    </row>
    <row r="10442" spans="1:1" x14ac:dyDescent="0.25">
      <c r="A10442" s="29" t="s">
        <v>5855</v>
      </c>
    </row>
    <row r="10443" spans="1:1" x14ac:dyDescent="0.25">
      <c r="A10443" s="76" t="s">
        <v>5856</v>
      </c>
    </row>
    <row r="10444" spans="1:1" x14ac:dyDescent="0.25">
      <c r="A10444" s="29" t="s">
        <v>5857</v>
      </c>
    </row>
    <row r="10445" spans="1:1" x14ac:dyDescent="0.25">
      <c r="A10445" s="76" t="s">
        <v>5858</v>
      </c>
    </row>
    <row r="10446" spans="1:1" x14ac:dyDescent="0.25">
      <c r="A10446" s="29" t="s">
        <v>5859</v>
      </c>
    </row>
    <row r="10447" spans="1:1" x14ac:dyDescent="0.25">
      <c r="A10447" s="76" t="s">
        <v>5860</v>
      </c>
    </row>
    <row r="10448" spans="1:1" x14ac:dyDescent="0.25">
      <c r="A10448" s="29" t="s">
        <v>5861</v>
      </c>
    </row>
    <row r="10449" spans="1:1" x14ac:dyDescent="0.25">
      <c r="A10449" s="108" t="s">
        <v>5862</v>
      </c>
    </row>
    <row r="10450" spans="1:1" x14ac:dyDescent="0.25">
      <c r="A10450" s="76" t="s">
        <v>5863</v>
      </c>
    </row>
    <row r="10451" spans="1:1" x14ac:dyDescent="0.25">
      <c r="A10451" s="76" t="s">
        <v>5864</v>
      </c>
    </row>
    <row r="10452" spans="1:1" x14ac:dyDescent="0.25">
      <c r="A10452" s="29" t="s">
        <v>5865</v>
      </c>
    </row>
    <row r="10453" spans="1:1" x14ac:dyDescent="0.25">
      <c r="A10453" s="76" t="s">
        <v>5866</v>
      </c>
    </row>
    <row r="10454" spans="1:1" x14ac:dyDescent="0.25">
      <c r="A10454" s="29" t="s">
        <v>5867</v>
      </c>
    </row>
    <row r="10455" spans="1:1" x14ac:dyDescent="0.25">
      <c r="A10455" s="76" t="s">
        <v>5868</v>
      </c>
    </row>
    <row r="10456" spans="1:1" x14ac:dyDescent="0.25">
      <c r="A10456" s="29" t="s">
        <v>5869</v>
      </c>
    </row>
    <row r="10457" spans="1:1" x14ac:dyDescent="0.25">
      <c r="A10457" s="76" t="s">
        <v>5870</v>
      </c>
    </row>
    <row r="10458" spans="1:1" x14ac:dyDescent="0.25">
      <c r="A10458" s="29" t="s">
        <v>5871</v>
      </c>
    </row>
    <row r="10459" spans="1:1" x14ac:dyDescent="0.25">
      <c r="A10459" s="76" t="s">
        <v>5872</v>
      </c>
    </row>
    <row r="10460" spans="1:1" x14ac:dyDescent="0.25">
      <c r="A10460" s="29" t="s">
        <v>5873</v>
      </c>
    </row>
    <row r="10461" spans="1:1" x14ac:dyDescent="0.25">
      <c r="A10461" s="76" t="s">
        <v>5874</v>
      </c>
    </row>
    <row r="10462" spans="1:1" x14ac:dyDescent="0.25">
      <c r="A10462" s="29" t="s">
        <v>5875</v>
      </c>
    </row>
    <row r="10463" spans="1:1" x14ac:dyDescent="0.25">
      <c r="A10463" s="108" t="s">
        <v>5876</v>
      </c>
    </row>
    <row r="10464" spans="1:1" x14ac:dyDescent="0.25">
      <c r="A10464" s="76" t="s">
        <v>5877</v>
      </c>
    </row>
    <row r="10465" spans="1:1" x14ac:dyDescent="0.25">
      <c r="A10465" s="76" t="s">
        <v>5878</v>
      </c>
    </row>
    <row r="10466" spans="1:1" x14ac:dyDescent="0.25">
      <c r="A10466" s="29" t="s">
        <v>5879</v>
      </c>
    </row>
    <row r="10467" spans="1:1" x14ac:dyDescent="0.25">
      <c r="A10467" s="76" t="s">
        <v>5880</v>
      </c>
    </row>
    <row r="10468" spans="1:1" x14ac:dyDescent="0.25">
      <c r="A10468" s="29" t="s">
        <v>5881</v>
      </c>
    </row>
    <row r="10469" spans="1:1" x14ac:dyDescent="0.25">
      <c r="A10469" s="76" t="s">
        <v>5882</v>
      </c>
    </row>
    <row r="10470" spans="1:1" x14ac:dyDescent="0.25">
      <c r="A10470" s="29" t="s">
        <v>5883</v>
      </c>
    </row>
    <row r="10471" spans="1:1" x14ac:dyDescent="0.25">
      <c r="A10471" s="76" t="s">
        <v>5884</v>
      </c>
    </row>
    <row r="10472" spans="1:1" x14ac:dyDescent="0.25">
      <c r="A10472" s="29" t="s">
        <v>5885</v>
      </c>
    </row>
    <row r="10473" spans="1:1" x14ac:dyDescent="0.25">
      <c r="A10473" s="76" t="s">
        <v>5886</v>
      </c>
    </row>
    <row r="10474" spans="1:1" x14ac:dyDescent="0.25">
      <c r="A10474" s="29" t="s">
        <v>5887</v>
      </c>
    </row>
    <row r="10475" spans="1:1" x14ac:dyDescent="0.25">
      <c r="A10475" s="76" t="s">
        <v>5888</v>
      </c>
    </row>
    <row r="10476" spans="1:1" x14ac:dyDescent="0.25">
      <c r="A10476" s="29" t="s">
        <v>5889</v>
      </c>
    </row>
    <row r="10477" spans="1:1" x14ac:dyDescent="0.25">
      <c r="A10477" s="76" t="s">
        <v>5890</v>
      </c>
    </row>
    <row r="10478" spans="1:1" x14ac:dyDescent="0.25">
      <c r="A10478" s="29" t="s">
        <v>5891</v>
      </c>
    </row>
    <row r="10479" spans="1:1" x14ac:dyDescent="0.25">
      <c r="A10479" s="76" t="s">
        <v>5892</v>
      </c>
    </row>
    <row r="10480" spans="1:1" x14ac:dyDescent="0.25">
      <c r="A10480" s="29" t="s">
        <v>5893</v>
      </c>
    </row>
    <row r="10481" spans="1:1" x14ac:dyDescent="0.25">
      <c r="A10481" s="76" t="s">
        <v>5894</v>
      </c>
    </row>
    <row r="10482" spans="1:1" x14ac:dyDescent="0.25">
      <c r="A10482" s="29" t="s">
        <v>5895</v>
      </c>
    </row>
    <row r="10483" spans="1:1" x14ac:dyDescent="0.25">
      <c r="A10483" s="76" t="s">
        <v>5896</v>
      </c>
    </row>
    <row r="10484" spans="1:1" x14ac:dyDescent="0.25">
      <c r="A10484" s="29" t="s">
        <v>5897</v>
      </c>
    </row>
    <row r="10485" spans="1:1" x14ac:dyDescent="0.25">
      <c r="A10485" s="76" t="s">
        <v>5898</v>
      </c>
    </row>
    <row r="10486" spans="1:1" x14ac:dyDescent="0.25">
      <c r="A10486" s="29" t="s">
        <v>5899</v>
      </c>
    </row>
    <row r="10487" spans="1:1" x14ac:dyDescent="0.25">
      <c r="A10487" s="76" t="s">
        <v>5900</v>
      </c>
    </row>
    <row r="10488" spans="1:1" x14ac:dyDescent="0.25">
      <c r="A10488" s="29" t="s">
        <v>5901</v>
      </c>
    </row>
    <row r="10489" spans="1:1" x14ac:dyDescent="0.25">
      <c r="A10489" s="76" t="s">
        <v>5902</v>
      </c>
    </row>
    <row r="10490" spans="1:1" x14ac:dyDescent="0.25">
      <c r="A10490" s="29" t="s">
        <v>5903</v>
      </c>
    </row>
    <row r="10491" spans="1:1" x14ac:dyDescent="0.25">
      <c r="A10491" s="76" t="s">
        <v>5904</v>
      </c>
    </row>
    <row r="10492" spans="1:1" x14ac:dyDescent="0.25">
      <c r="A10492" s="29" t="s">
        <v>5905</v>
      </c>
    </row>
    <row r="10493" spans="1:1" x14ac:dyDescent="0.25">
      <c r="A10493" s="76" t="s">
        <v>5906</v>
      </c>
    </row>
    <row r="10494" spans="1:1" x14ac:dyDescent="0.25">
      <c r="A10494" s="29" t="s">
        <v>5907</v>
      </c>
    </row>
    <row r="10495" spans="1:1" x14ac:dyDescent="0.25">
      <c r="A10495" s="76" t="s">
        <v>5908</v>
      </c>
    </row>
    <row r="10496" spans="1:1" x14ac:dyDescent="0.25">
      <c r="A10496" s="29" t="s">
        <v>5909</v>
      </c>
    </row>
    <row r="10497" spans="1:1" x14ac:dyDescent="0.25">
      <c r="A10497" s="76" t="s">
        <v>5910</v>
      </c>
    </row>
    <row r="10498" spans="1:1" x14ac:dyDescent="0.25">
      <c r="A10498" s="29" t="s">
        <v>5911</v>
      </c>
    </row>
    <row r="10499" spans="1:1" x14ac:dyDescent="0.25">
      <c r="A10499" s="76" t="s">
        <v>5912</v>
      </c>
    </row>
    <row r="10500" spans="1:1" x14ac:dyDescent="0.25">
      <c r="A10500" s="29" t="s">
        <v>5913</v>
      </c>
    </row>
    <row r="10501" spans="1:1" x14ac:dyDescent="0.25">
      <c r="A10501" s="108" t="s">
        <v>5914</v>
      </c>
    </row>
    <row r="10502" spans="1:1" x14ac:dyDescent="0.25">
      <c r="A10502" s="76" t="s">
        <v>5915</v>
      </c>
    </row>
    <row r="10503" spans="1:1" x14ac:dyDescent="0.25">
      <c r="A10503" s="76" t="s">
        <v>5916</v>
      </c>
    </row>
    <row r="10504" spans="1:1" x14ac:dyDescent="0.25">
      <c r="A10504" s="29" t="s">
        <v>5917</v>
      </c>
    </row>
    <row r="10505" spans="1:1" x14ac:dyDescent="0.25">
      <c r="A10505" s="76" t="s">
        <v>5918</v>
      </c>
    </row>
    <row r="10506" spans="1:1" x14ac:dyDescent="0.25">
      <c r="A10506" s="29" t="s">
        <v>5919</v>
      </c>
    </row>
    <row r="10507" spans="1:1" x14ac:dyDescent="0.25">
      <c r="A10507" s="76" t="s">
        <v>5920</v>
      </c>
    </row>
    <row r="10508" spans="1:1" x14ac:dyDescent="0.25">
      <c r="A10508" s="29" t="s">
        <v>5921</v>
      </c>
    </row>
    <row r="10509" spans="1:1" x14ac:dyDescent="0.25">
      <c r="A10509" s="76" t="s">
        <v>5922</v>
      </c>
    </row>
    <row r="10510" spans="1:1" x14ac:dyDescent="0.25">
      <c r="A10510" s="29" t="s">
        <v>5923</v>
      </c>
    </row>
    <row r="10511" spans="1:1" x14ac:dyDescent="0.25">
      <c r="A10511" s="108" t="s">
        <v>5924</v>
      </c>
    </row>
    <row r="10512" spans="1:1" x14ac:dyDescent="0.25">
      <c r="A10512" s="76" t="s">
        <v>5925</v>
      </c>
    </row>
    <row r="10513" spans="1:1" x14ac:dyDescent="0.25">
      <c r="A10513" s="76" t="s">
        <v>5926</v>
      </c>
    </row>
    <row r="10514" spans="1:1" x14ac:dyDescent="0.25">
      <c r="A10514" s="29" t="s">
        <v>5927</v>
      </c>
    </row>
    <row r="10515" spans="1:1" x14ac:dyDescent="0.25">
      <c r="A10515" s="76" t="s">
        <v>5928</v>
      </c>
    </row>
    <row r="10516" spans="1:1" x14ac:dyDescent="0.25">
      <c r="A10516" s="29" t="s">
        <v>5929</v>
      </c>
    </row>
    <row r="10517" spans="1:1" x14ac:dyDescent="0.25">
      <c r="A10517" s="108" t="s">
        <v>5930</v>
      </c>
    </row>
    <row r="10518" spans="1:1" x14ac:dyDescent="0.25">
      <c r="A10518" s="76" t="s">
        <v>5931</v>
      </c>
    </row>
    <row r="10519" spans="1:1" x14ac:dyDescent="0.25">
      <c r="A10519" s="76" t="s">
        <v>5932</v>
      </c>
    </row>
    <row r="10520" spans="1:1" x14ac:dyDescent="0.25">
      <c r="A10520" s="76" t="s">
        <v>5933</v>
      </c>
    </row>
    <row r="10521" spans="1:1" x14ac:dyDescent="0.25">
      <c r="A10521" s="76" t="s">
        <v>5934</v>
      </c>
    </row>
    <row r="10522" spans="1:1" x14ac:dyDescent="0.25">
      <c r="A10522" s="108" t="s">
        <v>5935</v>
      </c>
    </row>
    <row r="10523" spans="1:1" x14ac:dyDescent="0.25">
      <c r="A10523" s="108" t="s">
        <v>5936</v>
      </c>
    </row>
    <row r="10524" spans="1:1" x14ac:dyDescent="0.25">
      <c r="A10524" s="29" t="s">
        <v>5937</v>
      </c>
    </row>
    <row r="10525" spans="1:1" x14ac:dyDescent="0.25">
      <c r="A10525" s="76" t="s">
        <v>5938</v>
      </c>
    </row>
    <row r="10526" spans="1:1" x14ac:dyDescent="0.25">
      <c r="A10526" s="29" t="s">
        <v>5939</v>
      </c>
    </row>
    <row r="10527" spans="1:1" x14ac:dyDescent="0.25">
      <c r="A10527" s="76" t="s">
        <v>5940</v>
      </c>
    </row>
    <row r="10528" spans="1:1" x14ac:dyDescent="0.25">
      <c r="A10528" s="76" t="s">
        <v>5941</v>
      </c>
    </row>
    <row r="10529" spans="1:1" x14ac:dyDescent="0.25">
      <c r="A10529" s="76" t="s">
        <v>5942</v>
      </c>
    </row>
    <row r="10530" spans="1:1" x14ac:dyDescent="0.25">
      <c r="A10530" s="108" t="s">
        <v>5943</v>
      </c>
    </row>
    <row r="10531" spans="1:1" x14ac:dyDescent="0.25">
      <c r="A10531" s="108" t="s">
        <v>5944</v>
      </c>
    </row>
    <row r="10532" spans="1:1" x14ac:dyDescent="0.25">
      <c r="A10532" s="29" t="s">
        <v>5945</v>
      </c>
    </row>
    <row r="10533" spans="1:1" x14ac:dyDescent="0.25">
      <c r="A10533" s="76" t="s">
        <v>5946</v>
      </c>
    </row>
    <row r="10534" spans="1:1" x14ac:dyDescent="0.25">
      <c r="A10534" s="29" t="s">
        <v>5947</v>
      </c>
    </row>
    <row r="10535" spans="1:1" x14ac:dyDescent="0.25">
      <c r="A10535" s="76" t="s">
        <v>5948</v>
      </c>
    </row>
    <row r="10536" spans="1:1" x14ac:dyDescent="0.25">
      <c r="A10536" s="76" t="s">
        <v>5949</v>
      </c>
    </row>
    <row r="10537" spans="1:1" x14ac:dyDescent="0.25">
      <c r="A10537" s="76" t="s">
        <v>5950</v>
      </c>
    </row>
    <row r="10538" spans="1:1" x14ac:dyDescent="0.25">
      <c r="A10538" s="108" t="s">
        <v>5951</v>
      </c>
    </row>
    <row r="10539" spans="1:1" x14ac:dyDescent="0.25">
      <c r="A10539" s="108" t="s">
        <v>5952</v>
      </c>
    </row>
    <row r="10540" spans="1:1" x14ac:dyDescent="0.25">
      <c r="A10540" s="29" t="s">
        <v>5953</v>
      </c>
    </row>
    <row r="10541" spans="1:1" x14ac:dyDescent="0.25">
      <c r="A10541" s="76" t="s">
        <v>5954</v>
      </c>
    </row>
    <row r="10542" spans="1:1" x14ac:dyDescent="0.25">
      <c r="A10542" s="29" t="s">
        <v>5955</v>
      </c>
    </row>
    <row r="10543" spans="1:1" x14ac:dyDescent="0.25">
      <c r="A10543" s="76" t="s">
        <v>5956</v>
      </c>
    </row>
    <row r="10544" spans="1:1" x14ac:dyDescent="0.25">
      <c r="A10544" s="76" t="s">
        <v>5957</v>
      </c>
    </row>
    <row r="10545" spans="1:1" x14ac:dyDescent="0.25">
      <c r="A10545" s="76" t="s">
        <v>5958</v>
      </c>
    </row>
    <row r="10546" spans="1:1" x14ac:dyDescent="0.25">
      <c r="A10546" s="108" t="s">
        <v>5959</v>
      </c>
    </row>
    <row r="10547" spans="1:1" x14ac:dyDescent="0.25">
      <c r="A10547" s="108" t="s">
        <v>5960</v>
      </c>
    </row>
    <row r="10548" spans="1:1" x14ac:dyDescent="0.25">
      <c r="A10548" s="29" t="s">
        <v>5961</v>
      </c>
    </row>
    <row r="10549" spans="1:1" x14ac:dyDescent="0.25">
      <c r="A10549" s="76" t="s">
        <v>5962</v>
      </c>
    </row>
    <row r="10550" spans="1:1" x14ac:dyDescent="0.25">
      <c r="A10550" s="29" t="s">
        <v>5963</v>
      </c>
    </row>
    <row r="10551" spans="1:1" x14ac:dyDescent="0.25">
      <c r="A10551" s="108" t="s">
        <v>5964</v>
      </c>
    </row>
    <row r="10552" spans="1:1" x14ac:dyDescent="0.25">
      <c r="A10552" s="76" t="s">
        <v>5965</v>
      </c>
    </row>
    <row r="10553" spans="1:1" x14ac:dyDescent="0.25">
      <c r="A10553" s="108" t="s">
        <v>5966</v>
      </c>
    </row>
    <row r="10554" spans="1:1" x14ac:dyDescent="0.25">
      <c r="A10554" s="76" t="s">
        <v>5967</v>
      </c>
    </row>
    <row r="10555" spans="1:1" x14ac:dyDescent="0.25">
      <c r="A10555" s="76" t="s">
        <v>5968</v>
      </c>
    </row>
    <row r="10556" spans="1:1" x14ac:dyDescent="0.25">
      <c r="A10556" s="29" t="s">
        <v>5969</v>
      </c>
    </row>
    <row r="10557" spans="1:1" x14ac:dyDescent="0.25">
      <c r="A10557" s="76" t="s">
        <v>5970</v>
      </c>
    </row>
    <row r="10558" spans="1:1" x14ac:dyDescent="0.25">
      <c r="A10558" s="29" t="s">
        <v>5971</v>
      </c>
    </row>
    <row r="10559" spans="1:1" x14ac:dyDescent="0.25">
      <c r="A10559" s="76" t="s">
        <v>5972</v>
      </c>
    </row>
    <row r="10560" spans="1:1" x14ac:dyDescent="0.25">
      <c r="A10560" s="29" t="s">
        <v>5973</v>
      </c>
    </row>
    <row r="10561" spans="1:1" x14ac:dyDescent="0.25">
      <c r="A10561" s="76" t="s">
        <v>5974</v>
      </c>
    </row>
    <row r="10562" spans="1:1" x14ac:dyDescent="0.25">
      <c r="A10562" s="29" t="s">
        <v>5975</v>
      </c>
    </row>
    <row r="10563" spans="1:1" x14ac:dyDescent="0.25">
      <c r="A10563" s="108" t="s">
        <v>5976</v>
      </c>
    </row>
    <row r="10564" spans="1:1" x14ac:dyDescent="0.25">
      <c r="A10564" s="76" t="s">
        <v>5977</v>
      </c>
    </row>
    <row r="10565" spans="1:1" x14ac:dyDescent="0.25">
      <c r="A10565" s="76" t="s">
        <v>5978</v>
      </c>
    </row>
    <row r="10566" spans="1:1" x14ac:dyDescent="0.25">
      <c r="A10566" s="29" t="s">
        <v>5979</v>
      </c>
    </row>
    <row r="10567" spans="1:1" x14ac:dyDescent="0.25">
      <c r="A10567" s="76" t="s">
        <v>5980</v>
      </c>
    </row>
    <row r="10568" spans="1:1" x14ac:dyDescent="0.25">
      <c r="A10568" s="29" t="s">
        <v>5981</v>
      </c>
    </row>
    <row r="10569" spans="1:1" x14ac:dyDescent="0.25">
      <c r="A10569" s="108" t="s">
        <v>5982</v>
      </c>
    </row>
    <row r="10570" spans="1:1" x14ac:dyDescent="0.25">
      <c r="A10570" s="76" t="s">
        <v>5983</v>
      </c>
    </row>
    <row r="10571" spans="1:1" x14ac:dyDescent="0.25">
      <c r="A10571" s="76" t="s">
        <v>5984</v>
      </c>
    </row>
    <row r="10572" spans="1:1" x14ac:dyDescent="0.25">
      <c r="A10572" s="29" t="s">
        <v>5985</v>
      </c>
    </row>
    <row r="10573" spans="1:1" x14ac:dyDescent="0.25">
      <c r="A10573" s="76" t="s">
        <v>5986</v>
      </c>
    </row>
    <row r="10574" spans="1:1" x14ac:dyDescent="0.25">
      <c r="A10574" s="29" t="s">
        <v>5987</v>
      </c>
    </row>
    <row r="10575" spans="1:1" x14ac:dyDescent="0.25">
      <c r="A10575" s="108" t="s">
        <v>5988</v>
      </c>
    </row>
    <row r="10576" spans="1:1" x14ac:dyDescent="0.25">
      <c r="A10576" s="76" t="s">
        <v>5989</v>
      </c>
    </row>
    <row r="10577" spans="1:1" x14ac:dyDescent="0.25">
      <c r="A10577" s="108" t="s">
        <v>5990</v>
      </c>
    </row>
    <row r="10578" spans="1:1" x14ac:dyDescent="0.25">
      <c r="A10578" s="76" t="s">
        <v>5991</v>
      </c>
    </row>
    <row r="10579" spans="1:1" x14ac:dyDescent="0.25">
      <c r="A10579" s="76" t="s">
        <v>5992</v>
      </c>
    </row>
    <row r="10580" spans="1:1" x14ac:dyDescent="0.25">
      <c r="A10580" s="29" t="s">
        <v>5993</v>
      </c>
    </row>
    <row r="10581" spans="1:1" x14ac:dyDescent="0.25">
      <c r="A10581" s="76" t="s">
        <v>5994</v>
      </c>
    </row>
    <row r="10582" spans="1:1" x14ac:dyDescent="0.25">
      <c r="A10582" s="29" t="s">
        <v>5995</v>
      </c>
    </row>
    <row r="10583" spans="1:1" x14ac:dyDescent="0.25">
      <c r="A10583" s="76" t="s">
        <v>5996</v>
      </c>
    </row>
    <row r="10584" spans="1:1" x14ac:dyDescent="0.25">
      <c r="A10584" s="29" t="s">
        <v>5997</v>
      </c>
    </row>
    <row r="10585" spans="1:1" x14ac:dyDescent="0.25">
      <c r="A10585" s="76" t="s">
        <v>5998</v>
      </c>
    </row>
    <row r="10586" spans="1:1" x14ac:dyDescent="0.25">
      <c r="A10586" s="29" t="s">
        <v>5999</v>
      </c>
    </row>
    <row r="10587" spans="1:1" x14ac:dyDescent="0.25">
      <c r="A10587" s="76" t="s">
        <v>6000</v>
      </c>
    </row>
    <row r="10588" spans="1:1" x14ac:dyDescent="0.25">
      <c r="A10588" s="76" t="s">
        <v>6001</v>
      </c>
    </row>
    <row r="10589" spans="1:1" x14ac:dyDescent="0.25">
      <c r="A10589" s="76" t="s">
        <v>6002</v>
      </c>
    </row>
    <row r="10590" spans="1:1" x14ac:dyDescent="0.25">
      <c r="A10590" s="108" t="s">
        <v>6003</v>
      </c>
    </row>
    <row r="10591" spans="1:1" x14ac:dyDescent="0.25">
      <c r="A10591" s="108" t="s">
        <v>6004</v>
      </c>
    </row>
    <row r="10592" spans="1:1" x14ac:dyDescent="0.25">
      <c r="A10592" s="29" t="s">
        <v>6005</v>
      </c>
    </row>
    <row r="10593" spans="1:1" x14ac:dyDescent="0.25">
      <c r="A10593" s="76" t="s">
        <v>6006</v>
      </c>
    </row>
    <row r="10594" spans="1:1" x14ac:dyDescent="0.25">
      <c r="A10594" s="29" t="s">
        <v>6007</v>
      </c>
    </row>
    <row r="10595" spans="1:1" x14ac:dyDescent="0.25">
      <c r="A10595" s="76" t="s">
        <v>6008</v>
      </c>
    </row>
    <row r="10596" spans="1:1" x14ac:dyDescent="0.25">
      <c r="A10596" s="76" t="s">
        <v>6009</v>
      </c>
    </row>
    <row r="10597" spans="1:1" x14ac:dyDescent="0.25">
      <c r="A10597" s="76" t="s">
        <v>6010</v>
      </c>
    </row>
    <row r="10598" spans="1:1" x14ac:dyDescent="0.25">
      <c r="A10598" s="108" t="s">
        <v>6011</v>
      </c>
    </row>
    <row r="10599" spans="1:1" x14ac:dyDescent="0.25">
      <c r="A10599" s="108" t="s">
        <v>6012</v>
      </c>
    </row>
    <row r="10600" spans="1:1" x14ac:dyDescent="0.25">
      <c r="A10600" s="29" t="s">
        <v>6013</v>
      </c>
    </row>
    <row r="10601" spans="1:1" x14ac:dyDescent="0.25">
      <c r="A10601" s="76" t="s">
        <v>6014</v>
      </c>
    </row>
    <row r="10602" spans="1:1" x14ac:dyDescent="0.25">
      <c r="A10602" s="29" t="s">
        <v>6015</v>
      </c>
    </row>
    <row r="10603" spans="1:1" x14ac:dyDescent="0.25">
      <c r="A10603" s="76" t="s">
        <v>6016</v>
      </c>
    </row>
    <row r="10604" spans="1:1" x14ac:dyDescent="0.25">
      <c r="A10604" s="76" t="s">
        <v>6017</v>
      </c>
    </row>
    <row r="10605" spans="1:1" x14ac:dyDescent="0.25">
      <c r="A10605" s="76" t="s">
        <v>6018</v>
      </c>
    </row>
    <row r="10606" spans="1:1" x14ac:dyDescent="0.25">
      <c r="A10606" s="108" t="s">
        <v>6019</v>
      </c>
    </row>
    <row r="10607" spans="1:1" x14ac:dyDescent="0.25">
      <c r="A10607" s="108" t="s">
        <v>6020</v>
      </c>
    </row>
    <row r="10608" spans="1:1" x14ac:dyDescent="0.25">
      <c r="A10608" s="29" t="s">
        <v>6021</v>
      </c>
    </row>
    <row r="10609" spans="1:1" x14ac:dyDescent="0.25">
      <c r="A10609" s="76" t="s">
        <v>6022</v>
      </c>
    </row>
    <row r="10610" spans="1:1" x14ac:dyDescent="0.25">
      <c r="A10610" s="29" t="s">
        <v>6023</v>
      </c>
    </row>
    <row r="10611" spans="1:1" x14ac:dyDescent="0.25">
      <c r="A10611" s="76" t="s">
        <v>6024</v>
      </c>
    </row>
    <row r="10612" spans="1:1" x14ac:dyDescent="0.25">
      <c r="A10612" s="76" t="s">
        <v>6025</v>
      </c>
    </row>
    <row r="10613" spans="1:1" x14ac:dyDescent="0.25">
      <c r="A10613" s="76" t="s">
        <v>6026</v>
      </c>
    </row>
    <row r="10614" spans="1:1" x14ac:dyDescent="0.25">
      <c r="A10614" s="108" t="s">
        <v>6027</v>
      </c>
    </row>
    <row r="10615" spans="1:1" x14ac:dyDescent="0.25">
      <c r="A10615" s="108" t="s">
        <v>6028</v>
      </c>
    </row>
    <row r="10616" spans="1:1" x14ac:dyDescent="0.25">
      <c r="A10616" s="29" t="s">
        <v>6029</v>
      </c>
    </row>
    <row r="10617" spans="1:1" x14ac:dyDescent="0.25">
      <c r="A10617" s="76" t="s">
        <v>6030</v>
      </c>
    </row>
    <row r="10618" spans="1:1" x14ac:dyDescent="0.25">
      <c r="A10618" s="29" t="s">
        <v>6031</v>
      </c>
    </row>
    <row r="10619" spans="1:1" x14ac:dyDescent="0.25">
      <c r="A10619" s="76" t="s">
        <v>6032</v>
      </c>
    </row>
    <row r="10620" spans="1:1" x14ac:dyDescent="0.25">
      <c r="A10620" s="76" t="s">
        <v>6033</v>
      </c>
    </row>
    <row r="10621" spans="1:1" x14ac:dyDescent="0.25">
      <c r="A10621" s="76" t="s">
        <v>6034</v>
      </c>
    </row>
    <row r="10622" spans="1:1" x14ac:dyDescent="0.25">
      <c r="A10622" s="108" t="s">
        <v>6035</v>
      </c>
    </row>
    <row r="10623" spans="1:1" x14ac:dyDescent="0.25">
      <c r="A10623" s="108" t="s">
        <v>6036</v>
      </c>
    </row>
    <row r="10624" spans="1:1" x14ac:dyDescent="0.25">
      <c r="A10624" s="29" t="s">
        <v>6037</v>
      </c>
    </row>
    <row r="10625" spans="1:1" x14ac:dyDescent="0.25">
      <c r="A10625" s="76" t="s">
        <v>6038</v>
      </c>
    </row>
    <row r="10626" spans="1:1" x14ac:dyDescent="0.25">
      <c r="A10626" s="29" t="s">
        <v>6039</v>
      </c>
    </row>
    <row r="10627" spans="1:1" x14ac:dyDescent="0.25">
      <c r="A10627" s="76" t="s">
        <v>6040</v>
      </c>
    </row>
    <row r="10628" spans="1:1" x14ac:dyDescent="0.25">
      <c r="A10628" s="76" t="s">
        <v>6041</v>
      </c>
    </row>
    <row r="10629" spans="1:1" x14ac:dyDescent="0.25">
      <c r="A10629" s="76" t="s">
        <v>6042</v>
      </c>
    </row>
    <row r="10630" spans="1:1" x14ac:dyDescent="0.25">
      <c r="A10630" s="108" t="s">
        <v>6043</v>
      </c>
    </row>
    <row r="10631" spans="1:1" x14ac:dyDescent="0.25">
      <c r="A10631" s="108" t="s">
        <v>6044</v>
      </c>
    </row>
    <row r="10632" spans="1:1" x14ac:dyDescent="0.25">
      <c r="A10632" s="29" t="s">
        <v>6045</v>
      </c>
    </row>
    <row r="10633" spans="1:1" x14ac:dyDescent="0.25">
      <c r="A10633" s="76" t="s">
        <v>6046</v>
      </c>
    </row>
    <row r="10634" spans="1:1" x14ac:dyDescent="0.25">
      <c r="A10634" s="29" t="s">
        <v>6047</v>
      </c>
    </row>
    <row r="10635" spans="1:1" x14ac:dyDescent="0.25">
      <c r="A10635" s="108" t="s">
        <v>6048</v>
      </c>
    </row>
    <row r="10636" spans="1:1" x14ac:dyDescent="0.25">
      <c r="A10636" s="76" t="s">
        <v>6049</v>
      </c>
    </row>
    <row r="10637" spans="1:1" x14ac:dyDescent="0.25">
      <c r="A10637" s="76" t="s">
        <v>6050</v>
      </c>
    </row>
    <row r="10638" spans="1:1" x14ac:dyDescent="0.25">
      <c r="A10638" s="29" t="s">
        <v>6051</v>
      </c>
    </row>
    <row r="10639" spans="1:1" x14ac:dyDescent="0.25">
      <c r="A10639" s="76" t="s">
        <v>6052</v>
      </c>
    </row>
    <row r="10640" spans="1:1" x14ac:dyDescent="0.25">
      <c r="A10640" s="29" t="s">
        <v>6053</v>
      </c>
    </row>
    <row r="10641" spans="1:1" x14ac:dyDescent="0.25">
      <c r="A10641" s="76" t="s">
        <v>6054</v>
      </c>
    </row>
    <row r="10642" spans="1:1" x14ac:dyDescent="0.25">
      <c r="A10642" s="29" t="s">
        <v>6055</v>
      </c>
    </row>
    <row r="10643" spans="1:1" x14ac:dyDescent="0.25">
      <c r="A10643" s="76" t="s">
        <v>6056</v>
      </c>
    </row>
    <row r="10644" spans="1:1" x14ac:dyDescent="0.25">
      <c r="A10644" s="29" t="s">
        <v>6057</v>
      </c>
    </row>
    <row r="10645" spans="1:1" x14ac:dyDescent="0.25">
      <c r="A10645" s="76" t="s">
        <v>6058</v>
      </c>
    </row>
    <row r="10646" spans="1:1" x14ac:dyDescent="0.25">
      <c r="A10646" s="29" t="s">
        <v>6059</v>
      </c>
    </row>
    <row r="10647" spans="1:1" x14ac:dyDescent="0.25">
      <c r="A10647" s="76" t="s">
        <v>6060</v>
      </c>
    </row>
    <row r="10648" spans="1:1" x14ac:dyDescent="0.25">
      <c r="A10648" s="29" t="s">
        <v>6061</v>
      </c>
    </row>
    <row r="10649" spans="1:1" x14ac:dyDescent="0.25">
      <c r="A10649" s="76" t="s">
        <v>6062</v>
      </c>
    </row>
    <row r="10650" spans="1:1" x14ac:dyDescent="0.25">
      <c r="A10650" s="29" t="s">
        <v>6063</v>
      </c>
    </row>
    <row r="10651" spans="1:1" x14ac:dyDescent="0.25">
      <c r="A10651" s="76" t="s">
        <v>6064</v>
      </c>
    </row>
    <row r="10652" spans="1:1" x14ac:dyDescent="0.25">
      <c r="A10652" s="29" t="s">
        <v>6065</v>
      </c>
    </row>
    <row r="10653" spans="1:1" x14ac:dyDescent="0.25">
      <c r="A10653" s="108" t="s">
        <v>6066</v>
      </c>
    </row>
    <row r="10654" spans="1:1" x14ac:dyDescent="0.25">
      <c r="A10654" s="76" t="s">
        <v>6067</v>
      </c>
    </row>
    <row r="10655" spans="1:1" x14ac:dyDescent="0.25">
      <c r="A10655" s="76" t="s">
        <v>6068</v>
      </c>
    </row>
    <row r="10656" spans="1:1" x14ac:dyDescent="0.25">
      <c r="A10656" s="29" t="s">
        <v>6069</v>
      </c>
    </row>
    <row r="10657" spans="1:1" x14ac:dyDescent="0.25">
      <c r="A10657" s="76" t="s">
        <v>6070</v>
      </c>
    </row>
    <row r="10658" spans="1:1" x14ac:dyDescent="0.25">
      <c r="A10658" s="29" t="s">
        <v>6071</v>
      </c>
    </row>
    <row r="10659" spans="1:1" x14ac:dyDescent="0.25">
      <c r="A10659" s="76" t="s">
        <v>6072</v>
      </c>
    </row>
    <row r="10660" spans="1:1" x14ac:dyDescent="0.25">
      <c r="A10660" s="29" t="s">
        <v>6073</v>
      </c>
    </row>
    <row r="10661" spans="1:1" x14ac:dyDescent="0.25">
      <c r="A10661" s="76" t="s">
        <v>6074</v>
      </c>
    </row>
    <row r="10662" spans="1:1" x14ac:dyDescent="0.25">
      <c r="A10662" s="29" t="s">
        <v>6075</v>
      </c>
    </row>
    <row r="10663" spans="1:1" x14ac:dyDescent="0.25">
      <c r="A10663" s="76" t="s">
        <v>6076</v>
      </c>
    </row>
    <row r="10664" spans="1:1" x14ac:dyDescent="0.25">
      <c r="A10664" s="29" t="s">
        <v>6077</v>
      </c>
    </row>
    <row r="10665" spans="1:1" x14ac:dyDescent="0.25">
      <c r="A10665" s="76" t="s">
        <v>6078</v>
      </c>
    </row>
    <row r="10666" spans="1:1" x14ac:dyDescent="0.25">
      <c r="A10666" s="29" t="s">
        <v>6079</v>
      </c>
    </row>
    <row r="10667" spans="1:1" x14ac:dyDescent="0.25">
      <c r="A10667" s="76" t="s">
        <v>6080</v>
      </c>
    </row>
    <row r="10668" spans="1:1" x14ac:dyDescent="0.25">
      <c r="A10668" s="29" t="s">
        <v>6081</v>
      </c>
    </row>
    <row r="10669" spans="1:1" x14ac:dyDescent="0.25">
      <c r="A10669" s="108" t="s">
        <v>6082</v>
      </c>
    </row>
    <row r="10670" spans="1:1" x14ac:dyDescent="0.25">
      <c r="A10670" s="76" t="s">
        <v>6083</v>
      </c>
    </row>
    <row r="10671" spans="1:1" x14ac:dyDescent="0.25">
      <c r="A10671" s="76" t="s">
        <v>6084</v>
      </c>
    </row>
    <row r="10672" spans="1:1" x14ac:dyDescent="0.25">
      <c r="A10672" s="29" t="s">
        <v>6085</v>
      </c>
    </row>
    <row r="10673" spans="1:1" x14ac:dyDescent="0.25">
      <c r="A10673" s="76" t="s">
        <v>6086</v>
      </c>
    </row>
    <row r="10674" spans="1:1" x14ac:dyDescent="0.25">
      <c r="A10674" s="29" t="s">
        <v>6087</v>
      </c>
    </row>
    <row r="10675" spans="1:1" x14ac:dyDescent="0.25">
      <c r="A10675" s="76" t="s">
        <v>6088</v>
      </c>
    </row>
    <row r="10676" spans="1:1" x14ac:dyDescent="0.25">
      <c r="A10676" s="29" t="s">
        <v>6089</v>
      </c>
    </row>
    <row r="10677" spans="1:1" x14ac:dyDescent="0.25">
      <c r="A10677" s="76" t="s">
        <v>6090</v>
      </c>
    </row>
    <row r="10678" spans="1:1" x14ac:dyDescent="0.25">
      <c r="A10678" s="29" t="s">
        <v>6091</v>
      </c>
    </row>
    <row r="10679" spans="1:1" x14ac:dyDescent="0.25">
      <c r="A10679" s="76" t="s">
        <v>6092</v>
      </c>
    </row>
    <row r="10680" spans="1:1" x14ac:dyDescent="0.25">
      <c r="A10680" s="29" t="s">
        <v>6093</v>
      </c>
    </row>
    <row r="10681" spans="1:1" x14ac:dyDescent="0.25">
      <c r="A10681" s="76" t="s">
        <v>6094</v>
      </c>
    </row>
    <row r="10682" spans="1:1" x14ac:dyDescent="0.25">
      <c r="A10682" s="29" t="s">
        <v>6095</v>
      </c>
    </row>
    <row r="10683" spans="1:1" x14ac:dyDescent="0.25">
      <c r="A10683" s="76" t="s">
        <v>6096</v>
      </c>
    </row>
    <row r="10684" spans="1:1" x14ac:dyDescent="0.25">
      <c r="A10684" s="29" t="s">
        <v>6097</v>
      </c>
    </row>
    <row r="10685" spans="1:1" x14ac:dyDescent="0.25">
      <c r="A10685" s="76" t="s">
        <v>6098</v>
      </c>
    </row>
    <row r="10686" spans="1:1" x14ac:dyDescent="0.25">
      <c r="A10686" s="29" t="s">
        <v>6099</v>
      </c>
    </row>
    <row r="10687" spans="1:1" x14ac:dyDescent="0.25">
      <c r="A10687" s="76" t="s">
        <v>6100</v>
      </c>
    </row>
    <row r="10688" spans="1:1" x14ac:dyDescent="0.25">
      <c r="A10688" s="29" t="s">
        <v>6101</v>
      </c>
    </row>
    <row r="10689" spans="1:1" x14ac:dyDescent="0.25">
      <c r="A10689" s="76" t="s">
        <v>6102</v>
      </c>
    </row>
    <row r="10690" spans="1:1" x14ac:dyDescent="0.25">
      <c r="A10690" s="29" t="s">
        <v>6103</v>
      </c>
    </row>
    <row r="10691" spans="1:1" x14ac:dyDescent="0.25">
      <c r="A10691" s="76" t="s">
        <v>6104</v>
      </c>
    </row>
    <row r="10692" spans="1:1" x14ac:dyDescent="0.25">
      <c r="A10692" s="29" t="s">
        <v>6105</v>
      </c>
    </row>
    <row r="10693" spans="1:1" x14ac:dyDescent="0.25">
      <c r="A10693" s="76" t="s">
        <v>6106</v>
      </c>
    </row>
    <row r="10694" spans="1:1" x14ac:dyDescent="0.25">
      <c r="A10694" s="29" t="s">
        <v>6107</v>
      </c>
    </row>
    <row r="10695" spans="1:1" x14ac:dyDescent="0.25">
      <c r="A10695" s="76" t="s">
        <v>6108</v>
      </c>
    </row>
    <row r="10696" spans="1:1" x14ac:dyDescent="0.25">
      <c r="A10696" s="29" t="s">
        <v>6109</v>
      </c>
    </row>
    <row r="10697" spans="1:1" x14ac:dyDescent="0.25">
      <c r="A10697" s="108" t="s">
        <v>6110</v>
      </c>
    </row>
    <row r="10698" spans="1:1" x14ac:dyDescent="0.25">
      <c r="A10698" s="76" t="s">
        <v>6111</v>
      </c>
    </row>
    <row r="10699" spans="1:1" x14ac:dyDescent="0.25">
      <c r="A10699" s="76" t="s">
        <v>6112</v>
      </c>
    </row>
    <row r="10700" spans="1:1" x14ac:dyDescent="0.25">
      <c r="A10700" s="29" t="s">
        <v>6113</v>
      </c>
    </row>
    <row r="10701" spans="1:1" x14ac:dyDescent="0.25">
      <c r="A10701" s="76" t="s">
        <v>6114</v>
      </c>
    </row>
    <row r="10702" spans="1:1" x14ac:dyDescent="0.25">
      <c r="A10702" s="29" t="s">
        <v>6115</v>
      </c>
    </row>
    <row r="10703" spans="1:1" x14ac:dyDescent="0.25">
      <c r="A10703" s="76" t="s">
        <v>6116</v>
      </c>
    </row>
    <row r="10704" spans="1:1" x14ac:dyDescent="0.25">
      <c r="A10704" s="29" t="s">
        <v>6117</v>
      </c>
    </row>
    <row r="10705" spans="1:1" x14ac:dyDescent="0.25">
      <c r="A10705" s="76" t="s">
        <v>6118</v>
      </c>
    </row>
    <row r="10706" spans="1:1" x14ac:dyDescent="0.25">
      <c r="A10706" s="29" t="s">
        <v>6119</v>
      </c>
    </row>
    <row r="10707" spans="1:1" x14ac:dyDescent="0.25">
      <c r="A10707" s="76" t="s">
        <v>6120</v>
      </c>
    </row>
    <row r="10708" spans="1:1" x14ac:dyDescent="0.25">
      <c r="A10708" s="29" t="s">
        <v>6121</v>
      </c>
    </row>
    <row r="10709" spans="1:1" x14ac:dyDescent="0.25">
      <c r="A10709" s="108" t="s">
        <v>6122</v>
      </c>
    </row>
    <row r="10710" spans="1:1" x14ac:dyDescent="0.25">
      <c r="A10710" s="76" t="s">
        <v>6123</v>
      </c>
    </row>
    <row r="10711" spans="1:1" x14ac:dyDescent="0.25">
      <c r="A10711" s="76" t="s">
        <v>6124</v>
      </c>
    </row>
    <row r="10712" spans="1:1" x14ac:dyDescent="0.25">
      <c r="A10712" s="29" t="s">
        <v>6125</v>
      </c>
    </row>
    <row r="10713" spans="1:1" x14ac:dyDescent="0.25">
      <c r="A10713" s="76" t="s">
        <v>6126</v>
      </c>
    </row>
    <row r="10714" spans="1:1" x14ac:dyDescent="0.25">
      <c r="A10714" s="29" t="s">
        <v>6127</v>
      </c>
    </row>
    <row r="10715" spans="1:1" x14ac:dyDescent="0.25">
      <c r="A10715" s="76" t="s">
        <v>6128</v>
      </c>
    </row>
    <row r="10716" spans="1:1" x14ac:dyDescent="0.25">
      <c r="A10716" s="29" t="s">
        <v>6129</v>
      </c>
    </row>
    <row r="10717" spans="1:1" x14ac:dyDescent="0.25">
      <c r="A10717" s="76" t="s">
        <v>6130</v>
      </c>
    </row>
    <row r="10718" spans="1:1" x14ac:dyDescent="0.25">
      <c r="A10718" s="29" t="s">
        <v>6131</v>
      </c>
    </row>
    <row r="10719" spans="1:1" x14ac:dyDescent="0.25">
      <c r="A10719" s="76" t="s">
        <v>6132</v>
      </c>
    </row>
    <row r="10720" spans="1:1" x14ac:dyDescent="0.25">
      <c r="A10720" s="29" t="s">
        <v>6133</v>
      </c>
    </row>
    <row r="10721" spans="1:1" x14ac:dyDescent="0.25">
      <c r="A10721" s="76" t="s">
        <v>6134</v>
      </c>
    </row>
    <row r="10722" spans="1:1" x14ac:dyDescent="0.25">
      <c r="A10722" s="29" t="s">
        <v>6135</v>
      </c>
    </row>
    <row r="10723" spans="1:1" x14ac:dyDescent="0.25">
      <c r="A10723" s="108" t="s">
        <v>6136</v>
      </c>
    </row>
    <row r="10724" spans="1:1" x14ac:dyDescent="0.25">
      <c r="A10724" s="76" t="s">
        <v>6137</v>
      </c>
    </row>
    <row r="10725" spans="1:1" x14ac:dyDescent="0.25">
      <c r="A10725" s="76" t="s">
        <v>6138</v>
      </c>
    </row>
    <row r="10726" spans="1:1" x14ac:dyDescent="0.25">
      <c r="A10726" s="29" t="s">
        <v>6139</v>
      </c>
    </row>
    <row r="10727" spans="1:1" x14ac:dyDescent="0.25">
      <c r="A10727" s="76" t="s">
        <v>6140</v>
      </c>
    </row>
    <row r="10728" spans="1:1" x14ac:dyDescent="0.25">
      <c r="A10728" s="29" t="s">
        <v>6141</v>
      </c>
    </row>
    <row r="10729" spans="1:1" x14ac:dyDescent="0.25">
      <c r="A10729" s="76" t="s">
        <v>6142</v>
      </c>
    </row>
    <row r="10730" spans="1:1" x14ac:dyDescent="0.25">
      <c r="A10730" s="29" t="s">
        <v>6143</v>
      </c>
    </row>
    <row r="10731" spans="1:1" x14ac:dyDescent="0.25">
      <c r="A10731" s="76" t="s">
        <v>6144</v>
      </c>
    </row>
    <row r="10732" spans="1:1" x14ac:dyDescent="0.25">
      <c r="A10732" s="29" t="s">
        <v>6145</v>
      </c>
    </row>
    <row r="10733" spans="1:1" x14ac:dyDescent="0.25">
      <c r="A10733" s="76" t="s">
        <v>6146</v>
      </c>
    </row>
    <row r="10734" spans="1:1" x14ac:dyDescent="0.25">
      <c r="A10734" s="76" t="s">
        <v>6147</v>
      </c>
    </row>
    <row r="10735" spans="1:1" x14ac:dyDescent="0.25">
      <c r="A10735" s="76" t="s">
        <v>6148</v>
      </c>
    </row>
    <row r="10736" spans="1:1" x14ac:dyDescent="0.25">
      <c r="A10736" s="108" t="s">
        <v>6149</v>
      </c>
    </row>
    <row r="10737" spans="1:1" x14ac:dyDescent="0.25">
      <c r="A10737" s="108" t="s">
        <v>6150</v>
      </c>
    </row>
    <row r="10738" spans="1:1" x14ac:dyDescent="0.25">
      <c r="A10738" s="29" t="s">
        <v>6151</v>
      </c>
    </row>
    <row r="10739" spans="1:1" x14ac:dyDescent="0.25">
      <c r="A10739" s="76" t="s">
        <v>6152</v>
      </c>
    </row>
    <row r="10740" spans="1:1" x14ac:dyDescent="0.25">
      <c r="A10740" s="29" t="s">
        <v>6153</v>
      </c>
    </row>
    <row r="10741" spans="1:1" x14ac:dyDescent="0.25">
      <c r="A10741" s="76" t="s">
        <v>6154</v>
      </c>
    </row>
    <row r="10742" spans="1:1" x14ac:dyDescent="0.25">
      <c r="A10742" s="76" t="s">
        <v>6155</v>
      </c>
    </row>
    <row r="10743" spans="1:1" x14ac:dyDescent="0.25">
      <c r="A10743" s="76" t="s">
        <v>6156</v>
      </c>
    </row>
    <row r="10744" spans="1:1" x14ac:dyDescent="0.25">
      <c r="A10744" s="108" t="s">
        <v>6157</v>
      </c>
    </row>
    <row r="10745" spans="1:1" x14ac:dyDescent="0.25">
      <c r="A10745" s="108" t="s">
        <v>6158</v>
      </c>
    </row>
    <row r="10746" spans="1:1" x14ac:dyDescent="0.25">
      <c r="A10746" s="29" t="s">
        <v>6159</v>
      </c>
    </row>
    <row r="10747" spans="1:1" x14ac:dyDescent="0.25">
      <c r="A10747" s="76" t="s">
        <v>6160</v>
      </c>
    </row>
    <row r="10748" spans="1:1" x14ac:dyDescent="0.25">
      <c r="A10748" s="29" t="s">
        <v>6161</v>
      </c>
    </row>
    <row r="10749" spans="1:1" x14ac:dyDescent="0.25">
      <c r="A10749" s="76" t="s">
        <v>6162</v>
      </c>
    </row>
    <row r="10750" spans="1:1" x14ac:dyDescent="0.25">
      <c r="A10750" s="76" t="s">
        <v>6163</v>
      </c>
    </row>
    <row r="10751" spans="1:1" x14ac:dyDescent="0.25">
      <c r="A10751" s="76" t="s">
        <v>6164</v>
      </c>
    </row>
    <row r="10752" spans="1:1" x14ac:dyDescent="0.25">
      <c r="A10752" s="108" t="s">
        <v>6165</v>
      </c>
    </row>
    <row r="10753" spans="1:1" x14ac:dyDescent="0.25">
      <c r="A10753" s="108" t="s">
        <v>6166</v>
      </c>
    </row>
    <row r="10754" spans="1:1" x14ac:dyDescent="0.25">
      <c r="A10754" s="29" t="s">
        <v>6167</v>
      </c>
    </row>
    <row r="10755" spans="1:1" x14ac:dyDescent="0.25">
      <c r="A10755" s="76" t="s">
        <v>6168</v>
      </c>
    </row>
    <row r="10756" spans="1:1" x14ac:dyDescent="0.25">
      <c r="A10756" s="29" t="s">
        <v>6169</v>
      </c>
    </row>
    <row r="10757" spans="1:1" x14ac:dyDescent="0.25">
      <c r="A10757" s="76" t="s">
        <v>6170</v>
      </c>
    </row>
    <row r="10758" spans="1:1" x14ac:dyDescent="0.25">
      <c r="A10758" s="76" t="s">
        <v>6171</v>
      </c>
    </row>
    <row r="10759" spans="1:1" x14ac:dyDescent="0.25">
      <c r="A10759" s="76" t="s">
        <v>6172</v>
      </c>
    </row>
    <row r="10760" spans="1:1" x14ac:dyDescent="0.25">
      <c r="A10760" s="108" t="s">
        <v>6173</v>
      </c>
    </row>
    <row r="10761" spans="1:1" x14ac:dyDescent="0.25">
      <c r="A10761" s="108" t="s">
        <v>6174</v>
      </c>
    </row>
    <row r="10762" spans="1:1" x14ac:dyDescent="0.25">
      <c r="A10762" s="29" t="s">
        <v>6175</v>
      </c>
    </row>
    <row r="10763" spans="1:1" x14ac:dyDescent="0.25">
      <c r="A10763" s="76" t="s">
        <v>6176</v>
      </c>
    </row>
    <row r="10764" spans="1:1" x14ac:dyDescent="0.25">
      <c r="A10764" s="29" t="s">
        <v>6177</v>
      </c>
    </row>
    <row r="10765" spans="1:1" x14ac:dyDescent="0.25">
      <c r="A10765" s="76" t="s">
        <v>6178</v>
      </c>
    </row>
    <row r="10766" spans="1:1" x14ac:dyDescent="0.25">
      <c r="A10766" s="76" t="s">
        <v>6179</v>
      </c>
    </row>
    <row r="10767" spans="1:1" x14ac:dyDescent="0.25">
      <c r="A10767" s="76" t="s">
        <v>6180</v>
      </c>
    </row>
    <row r="10768" spans="1:1" x14ac:dyDescent="0.25">
      <c r="A10768" s="108" t="s">
        <v>6181</v>
      </c>
    </row>
    <row r="10769" spans="1:1" x14ac:dyDescent="0.25">
      <c r="A10769" s="108" t="s">
        <v>6182</v>
      </c>
    </row>
    <row r="10770" spans="1:1" x14ac:dyDescent="0.25">
      <c r="A10770" s="29" t="s">
        <v>6183</v>
      </c>
    </row>
    <row r="10771" spans="1:1" x14ac:dyDescent="0.25">
      <c r="A10771" s="76" t="s">
        <v>6184</v>
      </c>
    </row>
    <row r="10772" spans="1:1" x14ac:dyDescent="0.25">
      <c r="A10772" s="29" t="s">
        <v>6185</v>
      </c>
    </row>
    <row r="10773" spans="1:1" x14ac:dyDescent="0.25">
      <c r="A10773" s="76" t="s">
        <v>6186</v>
      </c>
    </row>
    <row r="10774" spans="1:1" x14ac:dyDescent="0.25">
      <c r="A10774" s="76" t="s">
        <v>6187</v>
      </c>
    </row>
    <row r="10775" spans="1:1" x14ac:dyDescent="0.25">
      <c r="A10775" s="76" t="s">
        <v>6188</v>
      </c>
    </row>
    <row r="10776" spans="1:1" x14ac:dyDescent="0.25">
      <c r="A10776" s="108" t="s">
        <v>6189</v>
      </c>
    </row>
    <row r="10777" spans="1:1" x14ac:dyDescent="0.25">
      <c r="A10777" s="108" t="s">
        <v>6190</v>
      </c>
    </row>
    <row r="10778" spans="1:1" x14ac:dyDescent="0.25">
      <c r="A10778" s="29" t="s">
        <v>6191</v>
      </c>
    </row>
    <row r="10779" spans="1:1" x14ac:dyDescent="0.25">
      <c r="A10779" s="76" t="s">
        <v>6192</v>
      </c>
    </row>
    <row r="10780" spans="1:1" x14ac:dyDescent="0.25">
      <c r="A10780" s="29" t="s">
        <v>6193</v>
      </c>
    </row>
    <row r="10781" spans="1:1" x14ac:dyDescent="0.25">
      <c r="A10781" s="76" t="s">
        <v>6194</v>
      </c>
    </row>
    <row r="10782" spans="1:1" x14ac:dyDescent="0.25">
      <c r="A10782" s="29" t="s">
        <v>6195</v>
      </c>
    </row>
    <row r="10783" spans="1:1" x14ac:dyDescent="0.25">
      <c r="A10783" s="108" t="s">
        <v>6196</v>
      </c>
    </row>
    <row r="10784" spans="1:1" x14ac:dyDescent="0.25">
      <c r="A10784" s="76" t="s">
        <v>6197</v>
      </c>
    </row>
    <row r="10785" spans="1:1" x14ac:dyDescent="0.25">
      <c r="A10785" s="76" t="s">
        <v>6198</v>
      </c>
    </row>
    <row r="10786" spans="1:1" x14ac:dyDescent="0.25">
      <c r="A10786" s="29" t="s">
        <v>6199</v>
      </c>
    </row>
    <row r="10787" spans="1:1" x14ac:dyDescent="0.25">
      <c r="A10787" s="76" t="s">
        <v>6200</v>
      </c>
    </row>
    <row r="10788" spans="1:1" x14ac:dyDescent="0.25">
      <c r="A10788" s="29" t="s">
        <v>6201</v>
      </c>
    </row>
    <row r="10789" spans="1:1" x14ac:dyDescent="0.25">
      <c r="A10789" s="108" t="s">
        <v>6202</v>
      </c>
    </row>
    <row r="10790" spans="1:1" x14ac:dyDescent="0.25">
      <c r="A10790" s="76" t="s">
        <v>6203</v>
      </c>
    </row>
    <row r="10791" spans="1:1" x14ac:dyDescent="0.25">
      <c r="A10791" s="76" t="s">
        <v>6204</v>
      </c>
    </row>
    <row r="10792" spans="1:1" x14ac:dyDescent="0.25">
      <c r="A10792" s="29" t="s">
        <v>6205</v>
      </c>
    </row>
    <row r="10793" spans="1:1" x14ac:dyDescent="0.25">
      <c r="A10793" s="76" t="s">
        <v>6206</v>
      </c>
    </row>
    <row r="10794" spans="1:1" x14ac:dyDescent="0.25">
      <c r="A10794" s="29" t="s">
        <v>6207</v>
      </c>
    </row>
    <row r="10795" spans="1:1" x14ac:dyDescent="0.25">
      <c r="A10795" s="76" t="s">
        <v>6208</v>
      </c>
    </row>
    <row r="10796" spans="1:1" x14ac:dyDescent="0.25">
      <c r="A10796" s="29" t="s">
        <v>6209</v>
      </c>
    </row>
    <row r="10797" spans="1:1" x14ac:dyDescent="0.25">
      <c r="A10797" s="76" t="s">
        <v>6210</v>
      </c>
    </row>
    <row r="10798" spans="1:1" x14ac:dyDescent="0.25">
      <c r="A10798" s="29" t="s">
        <v>6211</v>
      </c>
    </row>
    <row r="10799" spans="1:1" x14ac:dyDescent="0.25">
      <c r="A10799" s="76" t="s">
        <v>6212</v>
      </c>
    </row>
    <row r="10800" spans="1:1" x14ac:dyDescent="0.25">
      <c r="A10800" s="29" t="s">
        <v>6213</v>
      </c>
    </row>
    <row r="10801" spans="1:1" x14ac:dyDescent="0.25">
      <c r="A10801" s="76" t="s">
        <v>6214</v>
      </c>
    </row>
    <row r="10802" spans="1:1" x14ac:dyDescent="0.25">
      <c r="A10802" s="29" t="s">
        <v>6215</v>
      </c>
    </row>
    <row r="10803" spans="1:1" x14ac:dyDescent="0.25">
      <c r="A10803" s="76" t="s">
        <v>6216</v>
      </c>
    </row>
    <row r="10804" spans="1:1" x14ac:dyDescent="0.25">
      <c r="A10804" s="29" t="s">
        <v>6217</v>
      </c>
    </row>
    <row r="10805" spans="1:1" x14ac:dyDescent="0.25">
      <c r="A10805" s="76" t="s">
        <v>6218</v>
      </c>
    </row>
    <row r="10806" spans="1:1" x14ac:dyDescent="0.25">
      <c r="A10806" s="29" t="s">
        <v>6219</v>
      </c>
    </row>
    <row r="10807" spans="1:1" x14ac:dyDescent="0.25">
      <c r="A10807" s="76" t="s">
        <v>6220</v>
      </c>
    </row>
    <row r="10808" spans="1:1" x14ac:dyDescent="0.25">
      <c r="A10808" s="29" t="s">
        <v>6221</v>
      </c>
    </row>
    <row r="10809" spans="1:1" x14ac:dyDescent="0.25">
      <c r="A10809" s="76" t="s">
        <v>6222</v>
      </c>
    </row>
    <row r="10810" spans="1:1" x14ac:dyDescent="0.25">
      <c r="A10810" s="29" t="s">
        <v>6223</v>
      </c>
    </row>
    <row r="10811" spans="1:1" x14ac:dyDescent="0.25">
      <c r="A10811" s="76" t="s">
        <v>6224</v>
      </c>
    </row>
    <row r="10812" spans="1:1" x14ac:dyDescent="0.25">
      <c r="A10812" s="29" t="s">
        <v>6225</v>
      </c>
    </row>
    <row r="10813" spans="1:1" x14ac:dyDescent="0.25">
      <c r="A10813" s="76" t="s">
        <v>6226</v>
      </c>
    </row>
    <row r="10814" spans="1:1" x14ac:dyDescent="0.25">
      <c r="A10814" s="29" t="s">
        <v>6227</v>
      </c>
    </row>
    <row r="10815" spans="1:1" x14ac:dyDescent="0.25">
      <c r="A10815" s="108" t="s">
        <v>6228</v>
      </c>
    </row>
    <row r="10816" spans="1:1" x14ac:dyDescent="0.25">
      <c r="A10816" s="76" t="s">
        <v>6229</v>
      </c>
    </row>
    <row r="10817" spans="1:1" x14ac:dyDescent="0.25">
      <c r="A10817" s="76" t="s">
        <v>6230</v>
      </c>
    </row>
    <row r="10818" spans="1:1" x14ac:dyDescent="0.25">
      <c r="A10818" s="29" t="s">
        <v>6231</v>
      </c>
    </row>
    <row r="10819" spans="1:1" x14ac:dyDescent="0.25">
      <c r="A10819" s="76" t="s">
        <v>6232</v>
      </c>
    </row>
    <row r="10820" spans="1:1" x14ac:dyDescent="0.25">
      <c r="A10820" s="29" t="s">
        <v>6233</v>
      </c>
    </row>
    <row r="10821" spans="1:1" x14ac:dyDescent="0.25">
      <c r="A10821" s="76" t="s">
        <v>6234</v>
      </c>
    </row>
    <row r="10822" spans="1:1" x14ac:dyDescent="0.25">
      <c r="A10822" s="76" t="s">
        <v>6235</v>
      </c>
    </row>
    <row r="10823" spans="1:1" x14ac:dyDescent="0.25">
      <c r="A10823" s="76" t="s">
        <v>6236</v>
      </c>
    </row>
    <row r="10824" spans="1:1" x14ac:dyDescent="0.25">
      <c r="A10824" s="76" t="s">
        <v>6237</v>
      </c>
    </row>
    <row r="10825" spans="1:1" x14ac:dyDescent="0.25">
      <c r="A10825" s="108" t="s">
        <v>6238</v>
      </c>
    </row>
    <row r="10826" spans="1:1" x14ac:dyDescent="0.25">
      <c r="A10826" s="108" t="s">
        <v>6239</v>
      </c>
    </row>
    <row r="10827" spans="1:1" x14ac:dyDescent="0.25">
      <c r="A10827" s="29" t="s">
        <v>6240</v>
      </c>
    </row>
    <row r="10828" spans="1:1" x14ac:dyDescent="0.25">
      <c r="A10828" s="76" t="s">
        <v>6241</v>
      </c>
    </row>
    <row r="10829" spans="1:1" x14ac:dyDescent="0.25">
      <c r="A10829" s="29" t="s">
        <v>6242</v>
      </c>
    </row>
    <row r="10830" spans="1:1" x14ac:dyDescent="0.25">
      <c r="A10830" s="76" t="s">
        <v>6243</v>
      </c>
    </row>
    <row r="10831" spans="1:1" x14ac:dyDescent="0.25">
      <c r="A10831" s="29" t="s">
        <v>6244</v>
      </c>
    </row>
    <row r="10832" spans="1:1" x14ac:dyDescent="0.25">
      <c r="A10832" s="76" t="s">
        <v>6245</v>
      </c>
    </row>
    <row r="10833" spans="1:1" x14ac:dyDescent="0.25">
      <c r="A10833" s="29" t="s">
        <v>6246</v>
      </c>
    </row>
    <row r="10834" spans="1:1" x14ac:dyDescent="0.25">
      <c r="A10834" s="76" t="s">
        <v>6247</v>
      </c>
    </row>
    <row r="10835" spans="1:1" x14ac:dyDescent="0.25">
      <c r="A10835" s="29" t="s">
        <v>6248</v>
      </c>
    </row>
    <row r="10836" spans="1:1" x14ac:dyDescent="0.25">
      <c r="A10836" s="76" t="s">
        <v>6249</v>
      </c>
    </row>
    <row r="10837" spans="1:1" x14ac:dyDescent="0.25">
      <c r="A10837" s="29" t="s">
        <v>6250</v>
      </c>
    </row>
    <row r="10838" spans="1:1" x14ac:dyDescent="0.25">
      <c r="A10838" s="76" t="s">
        <v>6251</v>
      </c>
    </row>
    <row r="10839" spans="1:1" x14ac:dyDescent="0.25">
      <c r="A10839" s="29" t="s">
        <v>6252</v>
      </c>
    </row>
    <row r="10840" spans="1:1" x14ac:dyDescent="0.25">
      <c r="A10840" s="76" t="s">
        <v>6253</v>
      </c>
    </row>
    <row r="10841" spans="1:1" x14ac:dyDescent="0.25">
      <c r="A10841" s="29" t="s">
        <v>6254</v>
      </c>
    </row>
    <row r="10842" spans="1:1" x14ac:dyDescent="0.25">
      <c r="A10842" s="76" t="s">
        <v>6255</v>
      </c>
    </row>
    <row r="10843" spans="1:1" x14ac:dyDescent="0.25">
      <c r="A10843" s="29" t="s">
        <v>6256</v>
      </c>
    </row>
    <row r="10844" spans="1:1" x14ac:dyDescent="0.25">
      <c r="A10844" s="76" t="s">
        <v>6257</v>
      </c>
    </row>
    <row r="10845" spans="1:1" x14ac:dyDescent="0.25">
      <c r="A10845" s="29" t="s">
        <v>6258</v>
      </c>
    </row>
    <row r="10846" spans="1:1" x14ac:dyDescent="0.25">
      <c r="A10846" s="76" t="s">
        <v>6259</v>
      </c>
    </row>
    <row r="10847" spans="1:1" x14ac:dyDescent="0.25">
      <c r="A10847" s="29" t="s">
        <v>6260</v>
      </c>
    </row>
    <row r="10848" spans="1:1" x14ac:dyDescent="0.25">
      <c r="A10848" s="76" t="s">
        <v>6261</v>
      </c>
    </row>
    <row r="10849" spans="1:1" x14ac:dyDescent="0.25">
      <c r="A10849" s="29" t="s">
        <v>6262</v>
      </c>
    </row>
    <row r="10850" spans="1:1" x14ac:dyDescent="0.25">
      <c r="A10850" s="108" t="s">
        <v>6263</v>
      </c>
    </row>
    <row r="10851" spans="1:1" x14ac:dyDescent="0.25">
      <c r="A10851" s="76" t="s">
        <v>6264</v>
      </c>
    </row>
    <row r="10852" spans="1:1" x14ac:dyDescent="0.25">
      <c r="A10852" s="76" t="s">
        <v>6265</v>
      </c>
    </row>
    <row r="10853" spans="1:1" x14ac:dyDescent="0.25">
      <c r="A10853" s="29" t="s">
        <v>6266</v>
      </c>
    </row>
    <row r="10854" spans="1:1" x14ac:dyDescent="0.25">
      <c r="A10854" s="76" t="s">
        <v>6267</v>
      </c>
    </row>
    <row r="10855" spans="1:1" x14ac:dyDescent="0.25">
      <c r="A10855" s="29" t="s">
        <v>6268</v>
      </c>
    </row>
    <row r="10856" spans="1:1" x14ac:dyDescent="0.25">
      <c r="A10856" s="76" t="s">
        <v>6269</v>
      </c>
    </row>
    <row r="10857" spans="1:1" x14ac:dyDescent="0.25">
      <c r="A10857" s="29" t="s">
        <v>6270</v>
      </c>
    </row>
    <row r="10858" spans="1:1" x14ac:dyDescent="0.25">
      <c r="A10858" s="76" t="s">
        <v>6271</v>
      </c>
    </row>
    <row r="10859" spans="1:1" x14ac:dyDescent="0.25">
      <c r="A10859" s="29" t="s">
        <v>6272</v>
      </c>
    </row>
    <row r="10860" spans="1:1" x14ac:dyDescent="0.25">
      <c r="A10860" s="76" t="s">
        <v>6273</v>
      </c>
    </row>
    <row r="10861" spans="1:1" x14ac:dyDescent="0.25">
      <c r="A10861" s="29" t="s">
        <v>6274</v>
      </c>
    </row>
    <row r="10862" spans="1:1" x14ac:dyDescent="0.25">
      <c r="A10862" s="76" t="s">
        <v>6275</v>
      </c>
    </row>
    <row r="10863" spans="1:1" x14ac:dyDescent="0.25">
      <c r="A10863" s="29" t="s">
        <v>6276</v>
      </c>
    </row>
    <row r="10864" spans="1:1" x14ac:dyDescent="0.25">
      <c r="A10864" s="76" t="s">
        <v>6277</v>
      </c>
    </row>
    <row r="10865" spans="1:1" x14ac:dyDescent="0.25">
      <c r="A10865" s="29" t="s">
        <v>6278</v>
      </c>
    </row>
    <row r="10866" spans="1:1" x14ac:dyDescent="0.25">
      <c r="A10866" s="76" t="s">
        <v>6279</v>
      </c>
    </row>
    <row r="10867" spans="1:1" x14ac:dyDescent="0.25">
      <c r="A10867" s="29" t="s">
        <v>6280</v>
      </c>
    </row>
    <row r="10868" spans="1:1" x14ac:dyDescent="0.25">
      <c r="A10868" s="76" t="s">
        <v>6281</v>
      </c>
    </row>
    <row r="10869" spans="1:1" x14ac:dyDescent="0.25">
      <c r="A10869" s="29" t="s">
        <v>6282</v>
      </c>
    </row>
    <row r="10870" spans="1:1" x14ac:dyDescent="0.25">
      <c r="A10870" s="76" t="s">
        <v>6283</v>
      </c>
    </row>
    <row r="10871" spans="1:1" x14ac:dyDescent="0.25">
      <c r="A10871" s="29" t="s">
        <v>6284</v>
      </c>
    </row>
    <row r="10872" spans="1:1" x14ac:dyDescent="0.25">
      <c r="A10872" s="108" t="s">
        <v>6285</v>
      </c>
    </row>
    <row r="10873" spans="1:1" x14ac:dyDescent="0.25">
      <c r="A10873" s="76" t="s">
        <v>6286</v>
      </c>
    </row>
    <row r="10874" spans="1:1" x14ac:dyDescent="0.25">
      <c r="A10874" s="76" t="s">
        <v>6287</v>
      </c>
    </row>
    <row r="10875" spans="1:1" x14ac:dyDescent="0.25">
      <c r="A10875" s="29" t="s">
        <v>6288</v>
      </c>
    </row>
    <row r="10876" spans="1:1" x14ac:dyDescent="0.25">
      <c r="A10876" s="76" t="s">
        <v>6289</v>
      </c>
    </row>
    <row r="10877" spans="1:1" x14ac:dyDescent="0.25">
      <c r="A10877" s="29" t="s">
        <v>6290</v>
      </c>
    </row>
    <row r="10878" spans="1:1" x14ac:dyDescent="0.25">
      <c r="A10878" s="76" t="s">
        <v>6291</v>
      </c>
    </row>
    <row r="10879" spans="1:1" x14ac:dyDescent="0.25">
      <c r="A10879" s="29" t="s">
        <v>6292</v>
      </c>
    </row>
    <row r="10880" spans="1:1" x14ac:dyDescent="0.25">
      <c r="A10880" s="76" t="s">
        <v>6293</v>
      </c>
    </row>
    <row r="10881" spans="1:1" x14ac:dyDescent="0.25">
      <c r="A10881" s="29" t="s">
        <v>6294</v>
      </c>
    </row>
    <row r="10882" spans="1:1" x14ac:dyDescent="0.25">
      <c r="A10882" s="76" t="s">
        <v>6295</v>
      </c>
    </row>
    <row r="10883" spans="1:1" x14ac:dyDescent="0.25">
      <c r="A10883" s="29" t="s">
        <v>6296</v>
      </c>
    </row>
    <row r="10884" spans="1:1" x14ac:dyDescent="0.25">
      <c r="A10884" s="76" t="s">
        <v>6297</v>
      </c>
    </row>
    <row r="10885" spans="1:1" x14ac:dyDescent="0.25">
      <c r="A10885" s="29" t="s">
        <v>6298</v>
      </c>
    </row>
    <row r="10886" spans="1:1" x14ac:dyDescent="0.25">
      <c r="A10886" s="76" t="s">
        <v>6299</v>
      </c>
    </row>
    <row r="10887" spans="1:1" x14ac:dyDescent="0.25">
      <c r="A10887" s="29" t="s">
        <v>6300</v>
      </c>
    </row>
    <row r="10888" spans="1:1" x14ac:dyDescent="0.25">
      <c r="A10888" s="76" t="s">
        <v>6301</v>
      </c>
    </row>
    <row r="10889" spans="1:1" x14ac:dyDescent="0.25">
      <c r="A10889" s="29" t="s">
        <v>6302</v>
      </c>
    </row>
    <row r="10890" spans="1:1" x14ac:dyDescent="0.25">
      <c r="A10890" s="108" t="s">
        <v>6303</v>
      </c>
    </row>
    <row r="10891" spans="1:1" x14ac:dyDescent="0.25">
      <c r="A10891" s="76" t="s">
        <v>6304</v>
      </c>
    </row>
    <row r="10892" spans="1:1" x14ac:dyDescent="0.25">
      <c r="A10892" s="76" t="s">
        <v>6305</v>
      </c>
    </row>
    <row r="10893" spans="1:1" x14ac:dyDescent="0.25">
      <c r="A10893" s="76" t="s">
        <v>6306</v>
      </c>
    </row>
    <row r="10894" spans="1:1" x14ac:dyDescent="0.25">
      <c r="A10894" s="76" t="s">
        <v>6307</v>
      </c>
    </row>
    <row r="10895" spans="1:1" x14ac:dyDescent="0.25">
      <c r="A10895" s="108" t="s">
        <v>6308</v>
      </c>
    </row>
    <row r="10896" spans="1:1" x14ac:dyDescent="0.25">
      <c r="A10896" s="108" t="s">
        <v>6309</v>
      </c>
    </row>
    <row r="10897" spans="1:1" x14ac:dyDescent="0.25">
      <c r="A10897" s="29" t="s">
        <v>6310</v>
      </c>
    </row>
    <row r="10898" spans="1:1" x14ac:dyDescent="0.25">
      <c r="A10898" s="76" t="s">
        <v>6311</v>
      </c>
    </row>
    <row r="10899" spans="1:1" x14ac:dyDescent="0.25">
      <c r="A10899" s="29" t="s">
        <v>6312</v>
      </c>
    </row>
    <row r="10900" spans="1:1" x14ac:dyDescent="0.25">
      <c r="A10900" s="76" t="s">
        <v>6313</v>
      </c>
    </row>
    <row r="10901" spans="1:1" x14ac:dyDescent="0.25">
      <c r="A10901" s="76" t="s">
        <v>6314</v>
      </c>
    </row>
    <row r="10902" spans="1:1" x14ac:dyDescent="0.25">
      <c r="A10902" s="76" t="s">
        <v>6315</v>
      </c>
    </row>
    <row r="10903" spans="1:1" x14ac:dyDescent="0.25">
      <c r="A10903" s="108" t="s">
        <v>6316</v>
      </c>
    </row>
    <row r="10904" spans="1:1" x14ac:dyDescent="0.25">
      <c r="A10904" s="108" t="s">
        <v>6317</v>
      </c>
    </row>
    <row r="10905" spans="1:1" x14ac:dyDescent="0.25">
      <c r="A10905" s="29" t="s">
        <v>6318</v>
      </c>
    </row>
    <row r="10906" spans="1:1" x14ac:dyDescent="0.25">
      <c r="A10906" s="76" t="s">
        <v>6319</v>
      </c>
    </row>
    <row r="10907" spans="1:1" x14ac:dyDescent="0.25">
      <c r="A10907" s="29" t="s">
        <v>6320</v>
      </c>
    </row>
    <row r="10908" spans="1:1" x14ac:dyDescent="0.25">
      <c r="A10908" s="76" t="s">
        <v>6321</v>
      </c>
    </row>
    <row r="10909" spans="1:1" x14ac:dyDescent="0.25">
      <c r="A10909" s="76" t="s">
        <v>6322</v>
      </c>
    </row>
    <row r="10910" spans="1:1" x14ac:dyDescent="0.25">
      <c r="A10910" s="76" t="s">
        <v>6323</v>
      </c>
    </row>
    <row r="10911" spans="1:1" x14ac:dyDescent="0.25">
      <c r="A10911" s="108" t="s">
        <v>6324</v>
      </c>
    </row>
    <row r="10912" spans="1:1" x14ac:dyDescent="0.25">
      <c r="A10912" s="108" t="s">
        <v>6325</v>
      </c>
    </row>
    <row r="10913" spans="1:1" x14ac:dyDescent="0.25">
      <c r="A10913" s="29" t="s">
        <v>6326</v>
      </c>
    </row>
    <row r="10914" spans="1:1" x14ac:dyDescent="0.25">
      <c r="A10914" s="76" t="s">
        <v>6327</v>
      </c>
    </row>
    <row r="10915" spans="1:1" x14ac:dyDescent="0.25">
      <c r="A10915" s="29" t="s">
        <v>6328</v>
      </c>
    </row>
    <row r="10916" spans="1:1" x14ac:dyDescent="0.25">
      <c r="A10916" s="76" t="s">
        <v>6329</v>
      </c>
    </row>
    <row r="10917" spans="1:1" x14ac:dyDescent="0.25">
      <c r="A10917" s="76" t="s">
        <v>6330</v>
      </c>
    </row>
    <row r="10918" spans="1:1" x14ac:dyDescent="0.25">
      <c r="A10918" s="76" t="s">
        <v>6331</v>
      </c>
    </row>
    <row r="10919" spans="1:1" x14ac:dyDescent="0.25">
      <c r="A10919" s="108" t="s">
        <v>6332</v>
      </c>
    </row>
    <row r="10920" spans="1:1" x14ac:dyDescent="0.25">
      <c r="A10920" s="108" t="s">
        <v>6333</v>
      </c>
    </row>
    <row r="10921" spans="1:1" x14ac:dyDescent="0.25">
      <c r="A10921" s="29" t="s">
        <v>6334</v>
      </c>
    </row>
    <row r="10922" spans="1:1" x14ac:dyDescent="0.25">
      <c r="A10922" s="76" t="s">
        <v>6335</v>
      </c>
    </row>
    <row r="10923" spans="1:1" x14ac:dyDescent="0.25">
      <c r="A10923" s="29" t="s">
        <v>6336</v>
      </c>
    </row>
    <row r="10924" spans="1:1" x14ac:dyDescent="0.25">
      <c r="A10924" s="76" t="s">
        <v>6337</v>
      </c>
    </row>
    <row r="10925" spans="1:1" x14ac:dyDescent="0.25">
      <c r="A10925" s="76" t="s">
        <v>6338</v>
      </c>
    </row>
    <row r="10926" spans="1:1" x14ac:dyDescent="0.25">
      <c r="A10926" s="76" t="s">
        <v>6339</v>
      </c>
    </row>
    <row r="10927" spans="1:1" x14ac:dyDescent="0.25">
      <c r="A10927" s="108" t="s">
        <v>6340</v>
      </c>
    </row>
    <row r="10928" spans="1:1" x14ac:dyDescent="0.25">
      <c r="A10928" s="108" t="s">
        <v>6341</v>
      </c>
    </row>
    <row r="10929" spans="1:1" x14ac:dyDescent="0.25">
      <c r="A10929" s="29" t="s">
        <v>6342</v>
      </c>
    </row>
    <row r="10930" spans="1:1" x14ac:dyDescent="0.25">
      <c r="A10930" s="76" t="s">
        <v>6343</v>
      </c>
    </row>
    <row r="10931" spans="1:1" x14ac:dyDescent="0.25">
      <c r="A10931" s="29" t="s">
        <v>6344</v>
      </c>
    </row>
    <row r="10932" spans="1:1" x14ac:dyDescent="0.25">
      <c r="A10932" s="76" t="s">
        <v>6345</v>
      </c>
    </row>
    <row r="10933" spans="1:1" x14ac:dyDescent="0.25">
      <c r="A10933" s="76" t="s">
        <v>6346</v>
      </c>
    </row>
    <row r="10934" spans="1:1" x14ac:dyDescent="0.25">
      <c r="A10934" s="76" t="s">
        <v>6347</v>
      </c>
    </row>
    <row r="10935" spans="1:1" x14ac:dyDescent="0.25">
      <c r="A10935" s="108" t="s">
        <v>6348</v>
      </c>
    </row>
    <row r="10936" spans="1:1" x14ac:dyDescent="0.25">
      <c r="A10936" s="108" t="s">
        <v>6349</v>
      </c>
    </row>
    <row r="10937" spans="1:1" x14ac:dyDescent="0.25">
      <c r="A10937" s="29" t="s">
        <v>6350</v>
      </c>
    </row>
    <row r="10938" spans="1:1" x14ac:dyDescent="0.25">
      <c r="A10938" s="76" t="s">
        <v>6351</v>
      </c>
    </row>
    <row r="10939" spans="1:1" x14ac:dyDescent="0.25">
      <c r="A10939" s="29" t="s">
        <v>6352</v>
      </c>
    </row>
    <row r="10940" spans="1:1" x14ac:dyDescent="0.25">
      <c r="A10940" s="76" t="s">
        <v>6353</v>
      </c>
    </row>
    <row r="10941" spans="1:1" x14ac:dyDescent="0.25">
      <c r="A10941" s="29" t="s">
        <v>6354</v>
      </c>
    </row>
    <row r="10942" spans="1:1" x14ac:dyDescent="0.25">
      <c r="A10942" s="76" t="s">
        <v>6355</v>
      </c>
    </row>
    <row r="10943" spans="1:1" x14ac:dyDescent="0.25">
      <c r="A10943" s="29" t="s">
        <v>6356</v>
      </c>
    </row>
    <row r="10944" spans="1:1" x14ac:dyDescent="0.25">
      <c r="A10944" s="76" t="s">
        <v>6357</v>
      </c>
    </row>
    <row r="10945" spans="1:1" x14ac:dyDescent="0.25">
      <c r="A10945" s="29" t="s">
        <v>6358</v>
      </c>
    </row>
    <row r="10946" spans="1:1" x14ac:dyDescent="0.25">
      <c r="A10946" s="76" t="s">
        <v>6359</v>
      </c>
    </row>
    <row r="10947" spans="1:1" x14ac:dyDescent="0.25">
      <c r="A10947" s="29" t="s">
        <v>6360</v>
      </c>
    </row>
    <row r="10948" spans="1:1" x14ac:dyDescent="0.25">
      <c r="A10948" s="76" t="s">
        <v>6361</v>
      </c>
    </row>
    <row r="10949" spans="1:1" x14ac:dyDescent="0.25">
      <c r="A10949" s="76" t="s">
        <v>6362</v>
      </c>
    </row>
    <row r="10950" spans="1:1" x14ac:dyDescent="0.25">
      <c r="A10950" s="76" t="s">
        <v>6363</v>
      </c>
    </row>
    <row r="10951" spans="1:1" x14ac:dyDescent="0.25">
      <c r="A10951" s="76" t="s">
        <v>6364</v>
      </c>
    </row>
    <row r="10952" spans="1:1" x14ac:dyDescent="0.25">
      <c r="A10952" s="108" t="s">
        <v>6365</v>
      </c>
    </row>
    <row r="10953" spans="1:1" x14ac:dyDescent="0.25">
      <c r="A10953" s="108" t="s">
        <v>6366</v>
      </c>
    </row>
    <row r="10954" spans="1:1" x14ac:dyDescent="0.25">
      <c r="A10954" s="29" t="s">
        <v>6367</v>
      </c>
    </row>
    <row r="10955" spans="1:1" x14ac:dyDescent="0.25">
      <c r="A10955" s="76" t="s">
        <v>6368</v>
      </c>
    </row>
    <row r="10956" spans="1:1" x14ac:dyDescent="0.25">
      <c r="A10956" s="29" t="s">
        <v>6369</v>
      </c>
    </row>
    <row r="10957" spans="1:1" x14ac:dyDescent="0.25">
      <c r="A10957" s="108" t="s">
        <v>6370</v>
      </c>
    </row>
    <row r="10958" spans="1:1" x14ac:dyDescent="0.25">
      <c r="A10958" s="76" t="s">
        <v>6371</v>
      </c>
    </row>
    <row r="10959" spans="1:1" x14ac:dyDescent="0.25">
      <c r="A10959" s="76" t="s">
        <v>6372</v>
      </c>
    </row>
    <row r="10960" spans="1:1" x14ac:dyDescent="0.25">
      <c r="A10960" s="29" t="s">
        <v>6373</v>
      </c>
    </row>
    <row r="10961" spans="1:1" x14ac:dyDescent="0.25">
      <c r="A10961" s="76" t="s">
        <v>6374</v>
      </c>
    </row>
    <row r="10962" spans="1:1" x14ac:dyDescent="0.25">
      <c r="A10962" s="29" t="s">
        <v>6375</v>
      </c>
    </row>
    <row r="10963" spans="1:1" x14ac:dyDescent="0.25">
      <c r="A10963" s="108" t="s">
        <v>6376</v>
      </c>
    </row>
    <row r="10964" spans="1:1" x14ac:dyDescent="0.25">
      <c r="A10964" s="76" t="s">
        <v>6377</v>
      </c>
    </row>
    <row r="10965" spans="1:1" x14ac:dyDescent="0.25">
      <c r="A10965" s="108" t="s">
        <v>6378</v>
      </c>
    </row>
    <row r="10966" spans="1:1" x14ac:dyDescent="0.25">
      <c r="A10966" s="76" t="s">
        <v>6379</v>
      </c>
    </row>
    <row r="10967" spans="1:1" x14ac:dyDescent="0.25">
      <c r="A10967" s="76" t="s">
        <v>6380</v>
      </c>
    </row>
    <row r="10968" spans="1:1" x14ac:dyDescent="0.25">
      <c r="A10968" s="29" t="s">
        <v>6381</v>
      </c>
    </row>
    <row r="10969" spans="1:1" x14ac:dyDescent="0.25">
      <c r="A10969" s="76" t="s">
        <v>6382</v>
      </c>
    </row>
    <row r="10970" spans="1:1" x14ac:dyDescent="0.25">
      <c r="A10970" s="29" t="s">
        <v>6383</v>
      </c>
    </row>
    <row r="10971" spans="1:1" x14ac:dyDescent="0.25">
      <c r="A10971" s="76" t="s">
        <v>6384</v>
      </c>
    </row>
    <row r="10972" spans="1:1" x14ac:dyDescent="0.25">
      <c r="A10972" s="29" t="s">
        <v>6385</v>
      </c>
    </row>
    <row r="10973" spans="1:1" x14ac:dyDescent="0.25">
      <c r="A10973" s="76" t="s">
        <v>6386</v>
      </c>
    </row>
    <row r="10974" spans="1:1" x14ac:dyDescent="0.25">
      <c r="A10974" s="29" t="s">
        <v>6387</v>
      </c>
    </row>
    <row r="10975" spans="1:1" x14ac:dyDescent="0.25">
      <c r="A10975" s="76" t="s">
        <v>6388</v>
      </c>
    </row>
    <row r="10976" spans="1:1" x14ac:dyDescent="0.25">
      <c r="A10976" s="29" t="s">
        <v>6389</v>
      </c>
    </row>
    <row r="10977" spans="1:1" x14ac:dyDescent="0.25">
      <c r="A10977" s="76" t="s">
        <v>6390</v>
      </c>
    </row>
    <row r="10978" spans="1:1" x14ac:dyDescent="0.25">
      <c r="A10978" s="29" t="s">
        <v>6391</v>
      </c>
    </row>
    <row r="10979" spans="1:1" x14ac:dyDescent="0.25">
      <c r="A10979" s="76" t="s">
        <v>6392</v>
      </c>
    </row>
    <row r="10980" spans="1:1" x14ac:dyDescent="0.25">
      <c r="A10980" s="29" t="s">
        <v>6393</v>
      </c>
    </row>
    <row r="10981" spans="1:1" x14ac:dyDescent="0.25">
      <c r="A10981" s="76" t="s">
        <v>6394</v>
      </c>
    </row>
    <row r="10982" spans="1:1" x14ac:dyDescent="0.25">
      <c r="A10982" s="29" t="s">
        <v>6395</v>
      </c>
    </row>
    <row r="10983" spans="1:1" x14ac:dyDescent="0.25">
      <c r="A10983" s="108" t="s">
        <v>6396</v>
      </c>
    </row>
    <row r="10984" spans="1:1" x14ac:dyDescent="0.25">
      <c r="A10984" s="76" t="s">
        <v>6397</v>
      </c>
    </row>
    <row r="10985" spans="1:1" x14ac:dyDescent="0.25">
      <c r="A10985" s="108" t="s">
        <v>6398</v>
      </c>
    </row>
    <row r="10986" spans="1:1" x14ac:dyDescent="0.25">
      <c r="A10986" s="76" t="s">
        <v>6399</v>
      </c>
    </row>
    <row r="10987" spans="1:1" x14ac:dyDescent="0.25">
      <c r="A10987" s="76" t="s">
        <v>6400</v>
      </c>
    </row>
    <row r="10988" spans="1:1" x14ac:dyDescent="0.25">
      <c r="A10988" s="29" t="s">
        <v>6401</v>
      </c>
    </row>
    <row r="10989" spans="1:1" x14ac:dyDescent="0.25">
      <c r="A10989" s="76" t="s">
        <v>6402</v>
      </c>
    </row>
    <row r="10990" spans="1:1" x14ac:dyDescent="0.25">
      <c r="A10990" s="29" t="s">
        <v>6403</v>
      </c>
    </row>
    <row r="10991" spans="1:1" x14ac:dyDescent="0.25">
      <c r="A10991" s="76" t="s">
        <v>6404</v>
      </c>
    </row>
    <row r="10992" spans="1:1" x14ac:dyDescent="0.25">
      <c r="A10992" s="29" t="s">
        <v>6405</v>
      </c>
    </row>
    <row r="10993" spans="1:1" x14ac:dyDescent="0.25">
      <c r="A10993" s="76" t="s">
        <v>6406</v>
      </c>
    </row>
    <row r="10994" spans="1:1" x14ac:dyDescent="0.25">
      <c r="A10994" s="29" t="s">
        <v>6407</v>
      </c>
    </row>
    <row r="10995" spans="1:1" x14ac:dyDescent="0.25">
      <c r="A10995" s="76" t="s">
        <v>6408</v>
      </c>
    </row>
    <row r="10996" spans="1:1" x14ac:dyDescent="0.25">
      <c r="A10996" s="29" t="s">
        <v>6409</v>
      </c>
    </row>
    <row r="10997" spans="1:1" x14ac:dyDescent="0.25">
      <c r="A10997" s="76" t="s">
        <v>6410</v>
      </c>
    </row>
    <row r="10998" spans="1:1" x14ac:dyDescent="0.25">
      <c r="A10998" s="29" t="s">
        <v>6411</v>
      </c>
    </row>
    <row r="10999" spans="1:1" x14ac:dyDescent="0.25">
      <c r="A10999" s="76" t="s">
        <v>6412</v>
      </c>
    </row>
    <row r="11000" spans="1:1" x14ac:dyDescent="0.25">
      <c r="A11000" s="29" t="s">
        <v>6413</v>
      </c>
    </row>
    <row r="11001" spans="1:1" x14ac:dyDescent="0.25">
      <c r="A11001" s="76" t="s">
        <v>6414</v>
      </c>
    </row>
    <row r="11002" spans="1:1" x14ac:dyDescent="0.25">
      <c r="A11002" s="29" t="s">
        <v>6415</v>
      </c>
    </row>
    <row r="11003" spans="1:1" x14ac:dyDescent="0.25">
      <c r="A11003" s="76" t="s">
        <v>6416</v>
      </c>
    </row>
    <row r="11004" spans="1:1" x14ac:dyDescent="0.25">
      <c r="A11004" s="29" t="s">
        <v>6417</v>
      </c>
    </row>
    <row r="11005" spans="1:1" x14ac:dyDescent="0.25">
      <c r="A11005" s="76" t="s">
        <v>6418</v>
      </c>
    </row>
    <row r="11006" spans="1:1" x14ac:dyDescent="0.25">
      <c r="A11006" s="29" t="s">
        <v>6419</v>
      </c>
    </row>
    <row r="11007" spans="1:1" x14ac:dyDescent="0.25">
      <c r="A11007" s="76" t="s">
        <v>6420</v>
      </c>
    </row>
    <row r="11008" spans="1:1" x14ac:dyDescent="0.25">
      <c r="A11008" s="29" t="s">
        <v>6421</v>
      </c>
    </row>
    <row r="11009" spans="1:1" x14ac:dyDescent="0.25">
      <c r="A11009" s="76" t="s">
        <v>6422</v>
      </c>
    </row>
    <row r="11010" spans="1:1" x14ac:dyDescent="0.25">
      <c r="A11010" s="29" t="s">
        <v>6423</v>
      </c>
    </row>
    <row r="11011" spans="1:1" x14ac:dyDescent="0.25">
      <c r="A11011" s="76" t="s">
        <v>6424</v>
      </c>
    </row>
    <row r="11012" spans="1:1" x14ac:dyDescent="0.25">
      <c r="A11012" s="29" t="s">
        <v>6425</v>
      </c>
    </row>
    <row r="11013" spans="1:1" x14ac:dyDescent="0.25">
      <c r="A11013" s="76" t="s">
        <v>6426</v>
      </c>
    </row>
    <row r="11014" spans="1:1" x14ac:dyDescent="0.25">
      <c r="A11014" s="29" t="s">
        <v>6427</v>
      </c>
    </row>
    <row r="11015" spans="1:1" x14ac:dyDescent="0.25">
      <c r="A11015" s="108" t="s">
        <v>6428</v>
      </c>
    </row>
    <row r="11016" spans="1:1" x14ac:dyDescent="0.25">
      <c r="A11016" s="76" t="s">
        <v>6429</v>
      </c>
    </row>
    <row r="11017" spans="1:1" x14ac:dyDescent="0.25">
      <c r="A11017" s="76" t="s">
        <v>6430</v>
      </c>
    </row>
    <row r="11018" spans="1:1" x14ac:dyDescent="0.25">
      <c r="A11018" s="76" t="s">
        <v>6431</v>
      </c>
    </row>
    <row r="11019" spans="1:1" x14ac:dyDescent="0.25">
      <c r="A11019" s="76" t="s">
        <v>6432</v>
      </c>
    </row>
    <row r="11020" spans="1:1" x14ac:dyDescent="0.25">
      <c r="A11020" s="108" t="s">
        <v>6433</v>
      </c>
    </row>
    <row r="11021" spans="1:1" x14ac:dyDescent="0.25">
      <c r="A11021" s="108" t="s">
        <v>6434</v>
      </c>
    </row>
    <row r="11022" spans="1:1" x14ac:dyDescent="0.25">
      <c r="A11022" s="29" t="s">
        <v>6435</v>
      </c>
    </row>
    <row r="11023" spans="1:1" x14ac:dyDescent="0.25">
      <c r="A11023" s="76" t="s">
        <v>6436</v>
      </c>
    </row>
    <row r="11024" spans="1:1" x14ac:dyDescent="0.25">
      <c r="A11024" s="29" t="s">
        <v>6437</v>
      </c>
    </row>
    <row r="11025" spans="1:1" x14ac:dyDescent="0.25">
      <c r="A11025" s="76" t="s">
        <v>6438</v>
      </c>
    </row>
    <row r="11026" spans="1:1" x14ac:dyDescent="0.25">
      <c r="A11026" s="76" t="s">
        <v>6439</v>
      </c>
    </row>
    <row r="11027" spans="1:1" x14ac:dyDescent="0.25">
      <c r="A11027" s="76" t="s">
        <v>6440</v>
      </c>
    </row>
    <row r="11028" spans="1:1" x14ac:dyDescent="0.25">
      <c r="A11028" s="108" t="s">
        <v>6441</v>
      </c>
    </row>
    <row r="11029" spans="1:1" x14ac:dyDescent="0.25">
      <c r="A11029" s="108" t="s">
        <v>6442</v>
      </c>
    </row>
    <row r="11030" spans="1:1" x14ac:dyDescent="0.25">
      <c r="A11030" s="29" t="s">
        <v>6443</v>
      </c>
    </row>
    <row r="11031" spans="1:1" x14ac:dyDescent="0.25">
      <c r="A11031" s="76" t="s">
        <v>6444</v>
      </c>
    </row>
    <row r="11032" spans="1:1" x14ac:dyDescent="0.25">
      <c r="A11032" s="29" t="s">
        <v>6445</v>
      </c>
    </row>
    <row r="11033" spans="1:1" x14ac:dyDescent="0.25">
      <c r="A11033" s="76" t="s">
        <v>6446</v>
      </c>
    </row>
    <row r="11034" spans="1:1" x14ac:dyDescent="0.25">
      <c r="A11034" s="76" t="s">
        <v>6447</v>
      </c>
    </row>
    <row r="11035" spans="1:1" x14ac:dyDescent="0.25">
      <c r="A11035" s="76" t="s">
        <v>6448</v>
      </c>
    </row>
    <row r="11036" spans="1:1" x14ac:dyDescent="0.25">
      <c r="A11036" s="108" t="s">
        <v>6449</v>
      </c>
    </row>
    <row r="11037" spans="1:1" x14ac:dyDescent="0.25">
      <c r="A11037" s="108" t="s">
        <v>6450</v>
      </c>
    </row>
    <row r="11038" spans="1:1" x14ac:dyDescent="0.25">
      <c r="A11038" s="29" t="s">
        <v>6451</v>
      </c>
    </row>
    <row r="11039" spans="1:1" x14ac:dyDescent="0.25">
      <c r="A11039" s="76" t="s">
        <v>6452</v>
      </c>
    </row>
    <row r="11040" spans="1:1" x14ac:dyDescent="0.25">
      <c r="A11040" s="29" t="s">
        <v>6453</v>
      </c>
    </row>
    <row r="11041" spans="1:1" x14ac:dyDescent="0.25">
      <c r="A11041" s="76" t="s">
        <v>6454</v>
      </c>
    </row>
    <row r="11042" spans="1:1" x14ac:dyDescent="0.25">
      <c r="A11042" s="76" t="s">
        <v>6455</v>
      </c>
    </row>
    <row r="11043" spans="1:1" x14ac:dyDescent="0.25">
      <c r="A11043" s="76" t="s">
        <v>6456</v>
      </c>
    </row>
    <row r="11044" spans="1:1" x14ac:dyDescent="0.25">
      <c r="A11044" s="108" t="s">
        <v>6457</v>
      </c>
    </row>
    <row r="11045" spans="1:1" x14ac:dyDescent="0.25">
      <c r="A11045" s="108" t="s">
        <v>6458</v>
      </c>
    </row>
    <row r="11046" spans="1:1" x14ac:dyDescent="0.25">
      <c r="A11046" s="29" t="s">
        <v>6459</v>
      </c>
    </row>
    <row r="11047" spans="1:1" x14ac:dyDescent="0.25">
      <c r="A11047" s="76" t="s">
        <v>6460</v>
      </c>
    </row>
    <row r="11048" spans="1:1" x14ac:dyDescent="0.25">
      <c r="A11048" s="29" t="s">
        <v>6461</v>
      </c>
    </row>
    <row r="11049" spans="1:1" x14ac:dyDescent="0.25">
      <c r="A11049" s="76" t="s">
        <v>6462</v>
      </c>
    </row>
    <row r="11050" spans="1:1" x14ac:dyDescent="0.25">
      <c r="A11050" s="76" t="s">
        <v>6463</v>
      </c>
    </row>
    <row r="11051" spans="1:1" x14ac:dyDescent="0.25">
      <c r="A11051" s="76" t="s">
        <v>6464</v>
      </c>
    </row>
    <row r="11052" spans="1:1" x14ac:dyDescent="0.25">
      <c r="A11052" s="108" t="s">
        <v>6465</v>
      </c>
    </row>
    <row r="11053" spans="1:1" x14ac:dyDescent="0.25">
      <c r="A11053" s="108" t="s">
        <v>6466</v>
      </c>
    </row>
    <row r="11054" spans="1:1" x14ac:dyDescent="0.25">
      <c r="A11054" s="29" t="s">
        <v>6467</v>
      </c>
    </row>
    <row r="11055" spans="1:1" x14ac:dyDescent="0.25">
      <c r="A11055" s="76" t="s">
        <v>6468</v>
      </c>
    </row>
    <row r="11056" spans="1:1" x14ac:dyDescent="0.25">
      <c r="A11056" s="29" t="s">
        <v>6469</v>
      </c>
    </row>
    <row r="11057" spans="1:1" x14ac:dyDescent="0.25">
      <c r="A11057" s="76" t="s">
        <v>6470</v>
      </c>
    </row>
    <row r="11058" spans="1:1" x14ac:dyDescent="0.25">
      <c r="A11058" s="76" t="s">
        <v>6471</v>
      </c>
    </row>
    <row r="11059" spans="1:1" x14ac:dyDescent="0.25">
      <c r="A11059" s="76" t="s">
        <v>6472</v>
      </c>
    </row>
    <row r="11060" spans="1:1" x14ac:dyDescent="0.25">
      <c r="A11060" s="108" t="s">
        <v>6473</v>
      </c>
    </row>
    <row r="11061" spans="1:1" x14ac:dyDescent="0.25">
      <c r="A11061" s="108" t="s">
        <v>6474</v>
      </c>
    </row>
    <row r="11062" spans="1:1" x14ac:dyDescent="0.25">
      <c r="A11062" s="29" t="s">
        <v>6475</v>
      </c>
    </row>
    <row r="11063" spans="1:1" x14ac:dyDescent="0.25">
      <c r="A11063" s="76" t="s">
        <v>6476</v>
      </c>
    </row>
    <row r="11064" spans="1:1" x14ac:dyDescent="0.25">
      <c r="A11064" s="29" t="s">
        <v>6477</v>
      </c>
    </row>
    <row r="11065" spans="1:1" x14ac:dyDescent="0.25">
      <c r="A11065" s="76" t="s">
        <v>6478</v>
      </c>
    </row>
    <row r="11066" spans="1:1" x14ac:dyDescent="0.25">
      <c r="A11066" s="29" t="s">
        <v>6479</v>
      </c>
    </row>
    <row r="11067" spans="1:1" x14ac:dyDescent="0.25">
      <c r="A11067" s="108" t="s">
        <v>6480</v>
      </c>
    </row>
    <row r="11068" spans="1:1" x14ac:dyDescent="0.25">
      <c r="A11068" s="76" t="s">
        <v>6481</v>
      </c>
    </row>
    <row r="11069" spans="1:1" x14ac:dyDescent="0.25">
      <c r="A11069" s="76" t="s">
        <v>6482</v>
      </c>
    </row>
    <row r="11070" spans="1:1" x14ac:dyDescent="0.25">
      <c r="A11070" s="29" t="s">
        <v>6483</v>
      </c>
    </row>
    <row r="11071" spans="1:1" x14ac:dyDescent="0.25">
      <c r="A11071" s="76" t="s">
        <v>6484</v>
      </c>
    </row>
    <row r="11072" spans="1:1" x14ac:dyDescent="0.25">
      <c r="A11072" s="29" t="s">
        <v>6485</v>
      </c>
    </row>
    <row r="11073" spans="1:1" x14ac:dyDescent="0.25">
      <c r="A11073" s="76" t="s">
        <v>6486</v>
      </c>
    </row>
    <row r="11074" spans="1:1" x14ac:dyDescent="0.25">
      <c r="A11074" s="29" t="s">
        <v>6487</v>
      </c>
    </row>
    <row r="11075" spans="1:1" x14ac:dyDescent="0.25">
      <c r="A11075" s="76" t="s">
        <v>6488</v>
      </c>
    </row>
    <row r="11076" spans="1:1" x14ac:dyDescent="0.25">
      <c r="A11076" s="29" t="s">
        <v>6489</v>
      </c>
    </row>
    <row r="11077" spans="1:1" x14ac:dyDescent="0.25">
      <c r="A11077" s="76" t="s">
        <v>6490</v>
      </c>
    </row>
    <row r="11078" spans="1:1" x14ac:dyDescent="0.25">
      <c r="A11078" s="29" t="s">
        <v>6491</v>
      </c>
    </row>
    <row r="11079" spans="1:1" x14ac:dyDescent="0.25">
      <c r="A11079" s="108" t="s">
        <v>6492</v>
      </c>
    </row>
    <row r="11080" spans="1:1" x14ac:dyDescent="0.25">
      <c r="A11080" s="76" t="s">
        <v>6493</v>
      </c>
    </row>
    <row r="11081" spans="1:1" x14ac:dyDescent="0.25">
      <c r="A11081" s="108" t="s">
        <v>6494</v>
      </c>
    </row>
    <row r="11082" spans="1:1" x14ac:dyDescent="0.25">
      <c r="A11082" s="76" t="s">
        <v>6495</v>
      </c>
    </row>
    <row r="11083" spans="1:1" x14ac:dyDescent="0.25">
      <c r="A11083" s="76" t="s">
        <v>6496</v>
      </c>
    </row>
    <row r="11084" spans="1:1" x14ac:dyDescent="0.25">
      <c r="A11084" s="29" t="s">
        <v>6497</v>
      </c>
    </row>
    <row r="11085" spans="1:1" x14ac:dyDescent="0.25">
      <c r="A11085" s="76" t="s">
        <v>6498</v>
      </c>
    </row>
    <row r="11086" spans="1:1" x14ac:dyDescent="0.25">
      <c r="A11086" s="29" t="s">
        <v>6499</v>
      </c>
    </row>
    <row r="11087" spans="1:1" x14ac:dyDescent="0.25">
      <c r="A11087" s="76" t="s">
        <v>6500</v>
      </c>
    </row>
    <row r="11088" spans="1:1" x14ac:dyDescent="0.25">
      <c r="A11088" s="29" t="s">
        <v>6501</v>
      </c>
    </row>
    <row r="11089" spans="1:1" x14ac:dyDescent="0.25">
      <c r="A11089" s="76" t="s">
        <v>6502</v>
      </c>
    </row>
    <row r="11090" spans="1:1" x14ac:dyDescent="0.25">
      <c r="A11090" s="29" t="s">
        <v>6503</v>
      </c>
    </row>
    <row r="11091" spans="1:1" x14ac:dyDescent="0.25">
      <c r="A11091" s="76" t="s">
        <v>6504</v>
      </c>
    </row>
    <row r="11092" spans="1:1" x14ac:dyDescent="0.25">
      <c r="A11092" s="29" t="s">
        <v>6505</v>
      </c>
    </row>
    <row r="11093" spans="1:1" x14ac:dyDescent="0.25">
      <c r="A11093" s="108" t="s">
        <v>6506</v>
      </c>
    </row>
    <row r="11094" spans="1:1" x14ac:dyDescent="0.25">
      <c r="A11094" s="76" t="s">
        <v>6507</v>
      </c>
    </row>
    <row r="11095" spans="1:1" x14ac:dyDescent="0.25">
      <c r="A11095" s="76" t="s">
        <v>6508</v>
      </c>
    </row>
    <row r="11096" spans="1:1" x14ac:dyDescent="0.25">
      <c r="A11096" s="29" t="s">
        <v>6509</v>
      </c>
    </row>
    <row r="11097" spans="1:1" x14ac:dyDescent="0.25">
      <c r="A11097" s="76" t="s">
        <v>6510</v>
      </c>
    </row>
    <row r="11098" spans="1:1" x14ac:dyDescent="0.25">
      <c r="A11098" s="29" t="s">
        <v>6511</v>
      </c>
    </row>
    <row r="11099" spans="1:1" x14ac:dyDescent="0.25">
      <c r="A11099" s="76" t="s">
        <v>6512</v>
      </c>
    </row>
    <row r="11100" spans="1:1" x14ac:dyDescent="0.25">
      <c r="A11100" s="29" t="s">
        <v>6513</v>
      </c>
    </row>
    <row r="11101" spans="1:1" x14ac:dyDescent="0.25">
      <c r="A11101" s="76" t="s">
        <v>6514</v>
      </c>
    </row>
    <row r="11102" spans="1:1" x14ac:dyDescent="0.25">
      <c r="A11102" s="76" t="s">
        <v>6515</v>
      </c>
    </row>
    <row r="11103" spans="1:1" x14ac:dyDescent="0.25">
      <c r="A11103" s="76" t="s">
        <v>6516</v>
      </c>
    </row>
    <row r="11104" spans="1:1" x14ac:dyDescent="0.25">
      <c r="A11104" s="76" t="s">
        <v>6517</v>
      </c>
    </row>
    <row r="11105" spans="1:1" x14ac:dyDescent="0.25">
      <c r="A11105" s="108" t="s">
        <v>6518</v>
      </c>
    </row>
    <row r="11106" spans="1:1" x14ac:dyDescent="0.25">
      <c r="A11106" s="108" t="s">
        <v>6519</v>
      </c>
    </row>
    <row r="11107" spans="1:1" x14ac:dyDescent="0.25">
      <c r="A11107" s="29" t="s">
        <v>6520</v>
      </c>
    </row>
    <row r="11108" spans="1:1" x14ac:dyDescent="0.25">
      <c r="A11108" s="76" t="s">
        <v>6521</v>
      </c>
    </row>
    <row r="11109" spans="1:1" x14ac:dyDescent="0.25">
      <c r="A11109" s="29" t="s">
        <v>6522</v>
      </c>
    </row>
    <row r="11110" spans="1:1" x14ac:dyDescent="0.25">
      <c r="A11110" s="76" t="s">
        <v>6523</v>
      </c>
    </row>
    <row r="11111" spans="1:1" x14ac:dyDescent="0.25">
      <c r="A11111" s="29" t="s">
        <v>6524</v>
      </c>
    </row>
    <row r="11112" spans="1:1" x14ac:dyDescent="0.25">
      <c r="A11112" s="76" t="s">
        <v>6525</v>
      </c>
    </row>
    <row r="11113" spans="1:1" x14ac:dyDescent="0.25">
      <c r="A11113" s="29" t="s">
        <v>6526</v>
      </c>
    </row>
    <row r="11114" spans="1:1" x14ac:dyDescent="0.25">
      <c r="A11114" s="76" t="s">
        <v>6527</v>
      </c>
    </row>
    <row r="11115" spans="1:1" x14ac:dyDescent="0.25">
      <c r="A11115" s="29" t="s">
        <v>6528</v>
      </c>
    </row>
    <row r="11116" spans="1:1" x14ac:dyDescent="0.25">
      <c r="A11116" s="108" t="s">
        <v>6529</v>
      </c>
    </row>
    <row r="11117" spans="1:1" x14ac:dyDescent="0.25">
      <c r="A11117" s="76" t="s">
        <v>6530</v>
      </c>
    </row>
    <row r="11118" spans="1:1" x14ac:dyDescent="0.25">
      <c r="A11118" s="76" t="s">
        <v>6531</v>
      </c>
    </row>
    <row r="11119" spans="1:1" x14ac:dyDescent="0.25">
      <c r="A11119" s="29" t="s">
        <v>6532</v>
      </c>
    </row>
    <row r="11120" spans="1:1" x14ac:dyDescent="0.25">
      <c r="A11120" s="76" t="s">
        <v>6533</v>
      </c>
    </row>
    <row r="11121" spans="1:1" x14ac:dyDescent="0.25">
      <c r="A11121" s="29" t="s">
        <v>6534</v>
      </c>
    </row>
    <row r="11122" spans="1:1" x14ac:dyDescent="0.25">
      <c r="A11122" s="76" t="s">
        <v>6535</v>
      </c>
    </row>
    <row r="11123" spans="1:1" x14ac:dyDescent="0.25">
      <c r="A11123" s="29" t="s">
        <v>6536</v>
      </c>
    </row>
    <row r="11124" spans="1:1" x14ac:dyDescent="0.25">
      <c r="A11124" s="76" t="s">
        <v>6537</v>
      </c>
    </row>
    <row r="11125" spans="1:1" x14ac:dyDescent="0.25">
      <c r="A11125" s="29" t="s">
        <v>6538</v>
      </c>
    </row>
    <row r="11126" spans="1:1" x14ac:dyDescent="0.25">
      <c r="A11126" s="76" t="s">
        <v>6539</v>
      </c>
    </row>
    <row r="11127" spans="1:1" x14ac:dyDescent="0.25">
      <c r="A11127" s="29" t="s">
        <v>6540</v>
      </c>
    </row>
    <row r="11128" spans="1:1" x14ac:dyDescent="0.25">
      <c r="A11128" s="108" t="s">
        <v>6541</v>
      </c>
    </row>
    <row r="11129" spans="1:1" x14ac:dyDescent="0.25">
      <c r="A11129" s="76" t="s">
        <v>6542</v>
      </c>
    </row>
    <row r="11130" spans="1:1" x14ac:dyDescent="0.25">
      <c r="A11130" s="76" t="s">
        <v>6543</v>
      </c>
    </row>
    <row r="11131" spans="1:1" x14ac:dyDescent="0.25">
      <c r="A11131" s="29" t="s">
        <v>6544</v>
      </c>
    </row>
    <row r="11132" spans="1:1" x14ac:dyDescent="0.25">
      <c r="A11132" s="76" t="s">
        <v>6545</v>
      </c>
    </row>
    <row r="11133" spans="1:1" x14ac:dyDescent="0.25">
      <c r="A11133" s="29" t="s">
        <v>6546</v>
      </c>
    </row>
    <row r="11134" spans="1:1" x14ac:dyDescent="0.25">
      <c r="A11134" s="76" t="s">
        <v>6547</v>
      </c>
    </row>
    <row r="11135" spans="1:1" x14ac:dyDescent="0.25">
      <c r="A11135" s="29" t="s">
        <v>6548</v>
      </c>
    </row>
    <row r="11136" spans="1:1" x14ac:dyDescent="0.25">
      <c r="A11136" s="76" t="s">
        <v>6549</v>
      </c>
    </row>
    <row r="11137" spans="1:1" x14ac:dyDescent="0.25">
      <c r="A11137" s="29" t="s">
        <v>6550</v>
      </c>
    </row>
    <row r="11138" spans="1:1" x14ac:dyDescent="0.25">
      <c r="A11138" s="76" t="s">
        <v>6551</v>
      </c>
    </row>
    <row r="11139" spans="1:1" x14ac:dyDescent="0.25">
      <c r="A11139" s="76" t="s">
        <v>6552</v>
      </c>
    </row>
    <row r="11140" spans="1:1" x14ac:dyDescent="0.25">
      <c r="A11140" s="76" t="s">
        <v>6553</v>
      </c>
    </row>
    <row r="11141" spans="1:1" x14ac:dyDescent="0.25">
      <c r="A11141" s="108" t="s">
        <v>6554</v>
      </c>
    </row>
    <row r="11142" spans="1:1" x14ac:dyDescent="0.25">
      <c r="A11142" s="108" t="s">
        <v>6555</v>
      </c>
    </row>
    <row r="11143" spans="1:1" x14ac:dyDescent="0.25">
      <c r="A11143" s="29" t="s">
        <v>6556</v>
      </c>
    </row>
    <row r="11144" spans="1:1" x14ac:dyDescent="0.25">
      <c r="A11144" s="76" t="s">
        <v>6557</v>
      </c>
    </row>
    <row r="11145" spans="1:1" x14ac:dyDescent="0.25">
      <c r="A11145" s="29" t="s">
        <v>6558</v>
      </c>
    </row>
    <row r="11146" spans="1:1" x14ac:dyDescent="0.25">
      <c r="A11146" s="76" t="s">
        <v>6559</v>
      </c>
    </row>
    <row r="11147" spans="1:1" x14ac:dyDescent="0.25">
      <c r="A11147" s="76" t="s">
        <v>6560</v>
      </c>
    </row>
    <row r="11148" spans="1:1" x14ac:dyDescent="0.25">
      <c r="A11148" s="76" t="s">
        <v>6561</v>
      </c>
    </row>
    <row r="11149" spans="1:1" x14ac:dyDescent="0.25">
      <c r="A11149" s="108" t="s">
        <v>6562</v>
      </c>
    </row>
    <row r="11150" spans="1:1" x14ac:dyDescent="0.25">
      <c r="A11150" s="108" t="s">
        <v>6563</v>
      </c>
    </row>
    <row r="11151" spans="1:1" x14ac:dyDescent="0.25">
      <c r="A11151" s="29" t="s">
        <v>6564</v>
      </c>
    </row>
    <row r="11152" spans="1:1" x14ac:dyDescent="0.25">
      <c r="A11152" s="76" t="s">
        <v>6565</v>
      </c>
    </row>
    <row r="11153" spans="1:1" x14ac:dyDescent="0.25">
      <c r="A11153" s="29" t="s">
        <v>6566</v>
      </c>
    </row>
    <row r="11154" spans="1:1" x14ac:dyDescent="0.25">
      <c r="A11154" s="76" t="s">
        <v>6567</v>
      </c>
    </row>
    <row r="11155" spans="1:1" x14ac:dyDescent="0.25">
      <c r="A11155" s="76" t="s">
        <v>6568</v>
      </c>
    </row>
    <row r="11156" spans="1:1" x14ac:dyDescent="0.25">
      <c r="A11156" s="76" t="s">
        <v>6569</v>
      </c>
    </row>
    <row r="11157" spans="1:1" x14ac:dyDescent="0.25">
      <c r="A11157" s="108" t="s">
        <v>6570</v>
      </c>
    </row>
    <row r="11158" spans="1:1" x14ac:dyDescent="0.25">
      <c r="A11158" s="108" t="s">
        <v>6571</v>
      </c>
    </row>
    <row r="11159" spans="1:1" x14ac:dyDescent="0.25">
      <c r="A11159" s="29" t="s">
        <v>6572</v>
      </c>
    </row>
    <row r="11160" spans="1:1" x14ac:dyDescent="0.25">
      <c r="A11160" s="76" t="s">
        <v>6573</v>
      </c>
    </row>
    <row r="11161" spans="1:1" x14ac:dyDescent="0.25">
      <c r="A11161" s="29" t="s">
        <v>6574</v>
      </c>
    </row>
    <row r="11162" spans="1:1" x14ac:dyDescent="0.25">
      <c r="A11162" s="76" t="s">
        <v>6575</v>
      </c>
    </row>
    <row r="11163" spans="1:1" x14ac:dyDescent="0.25">
      <c r="A11163" s="76" t="s">
        <v>6576</v>
      </c>
    </row>
    <row r="11164" spans="1:1" x14ac:dyDescent="0.25">
      <c r="A11164" s="76" t="s">
        <v>6577</v>
      </c>
    </row>
    <row r="11165" spans="1:1" x14ac:dyDescent="0.25">
      <c r="A11165" s="108" t="s">
        <v>6578</v>
      </c>
    </row>
    <row r="11166" spans="1:1" x14ac:dyDescent="0.25">
      <c r="A11166" s="108" t="s">
        <v>6579</v>
      </c>
    </row>
    <row r="11167" spans="1:1" x14ac:dyDescent="0.25">
      <c r="A11167" s="29" t="s">
        <v>6580</v>
      </c>
    </row>
    <row r="11168" spans="1:1" x14ac:dyDescent="0.25">
      <c r="A11168" s="76" t="s">
        <v>6581</v>
      </c>
    </row>
    <row r="11169" spans="1:1" x14ac:dyDescent="0.25">
      <c r="A11169" s="29" t="s">
        <v>6582</v>
      </c>
    </row>
    <row r="11170" spans="1:1" x14ac:dyDescent="0.25">
      <c r="A11170" s="76" t="s">
        <v>6583</v>
      </c>
    </row>
    <row r="11171" spans="1:1" x14ac:dyDescent="0.25">
      <c r="A11171" s="76" t="s">
        <v>6584</v>
      </c>
    </row>
    <row r="11172" spans="1:1" x14ac:dyDescent="0.25">
      <c r="A11172" s="76" t="s">
        <v>6585</v>
      </c>
    </row>
    <row r="11173" spans="1:1" x14ac:dyDescent="0.25">
      <c r="A11173" s="108" t="s">
        <v>6586</v>
      </c>
    </row>
    <row r="11174" spans="1:1" x14ac:dyDescent="0.25">
      <c r="A11174" s="108" t="s">
        <v>6587</v>
      </c>
    </row>
    <row r="11175" spans="1:1" x14ac:dyDescent="0.25">
      <c r="A11175" s="29" t="s">
        <v>6588</v>
      </c>
    </row>
    <row r="11176" spans="1:1" x14ac:dyDescent="0.25">
      <c r="A11176" s="76" t="s">
        <v>6589</v>
      </c>
    </row>
    <row r="11177" spans="1:1" x14ac:dyDescent="0.25">
      <c r="A11177" s="29" t="s">
        <v>6590</v>
      </c>
    </row>
    <row r="11178" spans="1:1" x14ac:dyDescent="0.25">
      <c r="A11178" s="76" t="s">
        <v>6591</v>
      </c>
    </row>
    <row r="11179" spans="1:1" x14ac:dyDescent="0.25">
      <c r="A11179" s="76" t="s">
        <v>6592</v>
      </c>
    </row>
    <row r="11180" spans="1:1" x14ac:dyDescent="0.25">
      <c r="A11180" s="76" t="s">
        <v>6593</v>
      </c>
    </row>
    <row r="11181" spans="1:1" x14ac:dyDescent="0.25">
      <c r="A11181" s="108" t="s">
        <v>6594</v>
      </c>
    </row>
    <row r="11182" spans="1:1" x14ac:dyDescent="0.25">
      <c r="A11182" s="108" t="s">
        <v>6595</v>
      </c>
    </row>
    <row r="11183" spans="1:1" x14ac:dyDescent="0.25">
      <c r="A11183" s="29" t="s">
        <v>6596</v>
      </c>
    </row>
    <row r="11184" spans="1:1" x14ac:dyDescent="0.25">
      <c r="A11184" s="76" t="s">
        <v>6597</v>
      </c>
    </row>
    <row r="11185" spans="1:1" x14ac:dyDescent="0.25">
      <c r="A11185" s="29" t="s">
        <v>6598</v>
      </c>
    </row>
    <row r="11186" spans="1:1" x14ac:dyDescent="0.25">
      <c r="A11186" s="76" t="s">
        <v>6599</v>
      </c>
    </row>
    <row r="11187" spans="1:1" x14ac:dyDescent="0.25">
      <c r="A11187" s="29" t="s">
        <v>6600</v>
      </c>
    </row>
    <row r="11188" spans="1:1" x14ac:dyDescent="0.25">
      <c r="A11188" s="76" t="s">
        <v>6601</v>
      </c>
    </row>
    <row r="11189" spans="1:1" x14ac:dyDescent="0.25">
      <c r="A11189" s="29" t="s">
        <v>6602</v>
      </c>
    </row>
    <row r="11190" spans="1:1" x14ac:dyDescent="0.25">
      <c r="A11190" s="108" t="s">
        <v>6603</v>
      </c>
    </row>
    <row r="11191" spans="1:1" x14ac:dyDescent="0.25">
      <c r="A11191" s="76" t="s">
        <v>6604</v>
      </c>
    </row>
    <row r="11192" spans="1:1" x14ac:dyDescent="0.25">
      <c r="A11192" s="76" t="s">
        <v>6605</v>
      </c>
    </row>
    <row r="11193" spans="1:1" x14ac:dyDescent="0.25">
      <c r="A11193" s="29" t="s">
        <v>6606</v>
      </c>
    </row>
    <row r="11194" spans="1:1" x14ac:dyDescent="0.25">
      <c r="A11194" s="76" t="s">
        <v>6607</v>
      </c>
    </row>
    <row r="11195" spans="1:1" x14ac:dyDescent="0.25">
      <c r="A11195" s="29" t="s">
        <v>6608</v>
      </c>
    </row>
    <row r="11196" spans="1:1" x14ac:dyDescent="0.25">
      <c r="A11196" s="76" t="s">
        <v>6609</v>
      </c>
    </row>
    <row r="11197" spans="1:1" x14ac:dyDescent="0.25">
      <c r="A11197" s="29" t="s">
        <v>6610</v>
      </c>
    </row>
    <row r="11198" spans="1:1" x14ac:dyDescent="0.25">
      <c r="A11198" s="76" t="s">
        <v>6611</v>
      </c>
    </row>
    <row r="11199" spans="1:1" x14ac:dyDescent="0.25">
      <c r="A11199" s="29" t="s">
        <v>6612</v>
      </c>
    </row>
    <row r="11200" spans="1:1" x14ac:dyDescent="0.25">
      <c r="A11200" s="76" t="s">
        <v>6613</v>
      </c>
    </row>
    <row r="11201" spans="1:1" x14ac:dyDescent="0.25">
      <c r="A11201" s="29" t="s">
        <v>6614</v>
      </c>
    </row>
    <row r="11202" spans="1:1" x14ac:dyDescent="0.25">
      <c r="A11202" s="76" t="s">
        <v>6615</v>
      </c>
    </row>
    <row r="11203" spans="1:1" x14ac:dyDescent="0.25">
      <c r="A11203" s="29" t="s">
        <v>6616</v>
      </c>
    </row>
    <row r="11204" spans="1:1" x14ac:dyDescent="0.25">
      <c r="A11204" s="108" t="s">
        <v>6617</v>
      </c>
    </row>
    <row r="11205" spans="1:1" x14ac:dyDescent="0.25">
      <c r="A11205" s="76" t="s">
        <v>6618</v>
      </c>
    </row>
    <row r="11206" spans="1:1" x14ac:dyDescent="0.25">
      <c r="A11206" s="76" t="s">
        <v>6619</v>
      </c>
    </row>
    <row r="11207" spans="1:1" x14ac:dyDescent="0.25">
      <c r="A11207" s="29" t="s">
        <v>6620</v>
      </c>
    </row>
    <row r="11208" spans="1:1" x14ac:dyDescent="0.25">
      <c r="A11208" s="76" t="s">
        <v>6621</v>
      </c>
    </row>
    <row r="11209" spans="1:1" x14ac:dyDescent="0.25">
      <c r="A11209" s="29" t="s">
        <v>6622</v>
      </c>
    </row>
    <row r="11210" spans="1:1" x14ac:dyDescent="0.25">
      <c r="A11210" s="108" t="s">
        <v>6623</v>
      </c>
    </row>
    <row r="11211" spans="1:1" x14ac:dyDescent="0.25">
      <c r="A11211" s="76" t="s">
        <v>6624</v>
      </c>
    </row>
    <row r="11212" spans="1:1" x14ac:dyDescent="0.25">
      <c r="A11212" s="76" t="s">
        <v>6625</v>
      </c>
    </row>
    <row r="11213" spans="1:1" x14ac:dyDescent="0.25">
      <c r="A11213" s="29" t="s">
        <v>6626</v>
      </c>
    </row>
    <row r="11214" spans="1:1" x14ac:dyDescent="0.25">
      <c r="A11214" s="76" t="s">
        <v>6627</v>
      </c>
    </row>
    <row r="11215" spans="1:1" x14ac:dyDescent="0.25">
      <c r="A11215" s="29" t="s">
        <v>6628</v>
      </c>
    </row>
    <row r="11216" spans="1:1" x14ac:dyDescent="0.25">
      <c r="A11216" s="76" t="s">
        <v>6629</v>
      </c>
    </row>
    <row r="11217" spans="1:1" x14ac:dyDescent="0.25">
      <c r="A11217" s="29" t="s">
        <v>6630</v>
      </c>
    </row>
    <row r="11218" spans="1:1" x14ac:dyDescent="0.25">
      <c r="A11218" s="76" t="s">
        <v>6631</v>
      </c>
    </row>
    <row r="11219" spans="1:1" x14ac:dyDescent="0.25">
      <c r="A11219" s="29" t="s">
        <v>6632</v>
      </c>
    </row>
    <row r="11220" spans="1:1" x14ac:dyDescent="0.25">
      <c r="A11220" s="108" t="s">
        <v>6633</v>
      </c>
    </row>
    <row r="11221" spans="1:1" x14ac:dyDescent="0.25">
      <c r="A11221" s="76" t="s">
        <v>6634</v>
      </c>
    </row>
    <row r="11222" spans="1:1" x14ac:dyDescent="0.25">
      <c r="A11222" s="108" t="s">
        <v>6635</v>
      </c>
    </row>
    <row r="11223" spans="1:1" x14ac:dyDescent="0.25">
      <c r="A11223" s="76" t="s">
        <v>6636</v>
      </c>
    </row>
    <row r="11224" spans="1:1" x14ac:dyDescent="0.25">
      <c r="A11224" s="76" t="s">
        <v>6637</v>
      </c>
    </row>
    <row r="11225" spans="1:1" x14ac:dyDescent="0.25">
      <c r="A11225" s="29" t="s">
        <v>6638</v>
      </c>
    </row>
    <row r="11226" spans="1:1" x14ac:dyDescent="0.25">
      <c r="A11226" s="76" t="s">
        <v>6639</v>
      </c>
    </row>
    <row r="11227" spans="1:1" x14ac:dyDescent="0.25">
      <c r="A11227" s="29" t="s">
        <v>6640</v>
      </c>
    </row>
    <row r="11228" spans="1:1" x14ac:dyDescent="0.25">
      <c r="A11228" s="76" t="s">
        <v>6641</v>
      </c>
    </row>
    <row r="11229" spans="1:1" x14ac:dyDescent="0.25">
      <c r="A11229" s="29" t="s">
        <v>6642</v>
      </c>
    </row>
    <row r="11230" spans="1:1" x14ac:dyDescent="0.25">
      <c r="A11230" s="76" t="s">
        <v>6643</v>
      </c>
    </row>
    <row r="11231" spans="1:1" x14ac:dyDescent="0.25">
      <c r="A11231" s="29" t="s">
        <v>6644</v>
      </c>
    </row>
    <row r="11232" spans="1:1" x14ac:dyDescent="0.25">
      <c r="A11232" s="76" t="s">
        <v>6645</v>
      </c>
    </row>
    <row r="11233" spans="1:1" x14ac:dyDescent="0.25">
      <c r="A11233" s="29" t="s">
        <v>6646</v>
      </c>
    </row>
    <row r="11234" spans="1:1" x14ac:dyDescent="0.25">
      <c r="A11234" s="76" t="s">
        <v>6647</v>
      </c>
    </row>
    <row r="11235" spans="1:1" x14ac:dyDescent="0.25">
      <c r="A11235" s="29" t="s">
        <v>6648</v>
      </c>
    </row>
    <row r="11236" spans="1:1" x14ac:dyDescent="0.25">
      <c r="A11236" s="76" t="s">
        <v>6649</v>
      </c>
    </row>
    <row r="11237" spans="1:1" x14ac:dyDescent="0.25">
      <c r="A11237" s="29" t="s">
        <v>6650</v>
      </c>
    </row>
    <row r="11238" spans="1:1" x14ac:dyDescent="0.25">
      <c r="A11238" s="76" t="s">
        <v>6651</v>
      </c>
    </row>
    <row r="11239" spans="1:1" x14ac:dyDescent="0.25">
      <c r="A11239" s="29" t="s">
        <v>6652</v>
      </c>
    </row>
    <row r="11240" spans="1:1" x14ac:dyDescent="0.25">
      <c r="A11240" s="76" t="s">
        <v>6653</v>
      </c>
    </row>
    <row r="11241" spans="1:1" x14ac:dyDescent="0.25">
      <c r="A11241" s="76" t="s">
        <v>6654</v>
      </c>
    </row>
    <row r="11242" spans="1:1" x14ac:dyDescent="0.25">
      <c r="A11242" s="76" t="s">
        <v>6655</v>
      </c>
    </row>
    <row r="11243" spans="1:1" x14ac:dyDescent="0.25">
      <c r="A11243" s="76" t="s">
        <v>6656</v>
      </c>
    </row>
    <row r="11244" spans="1:1" x14ac:dyDescent="0.25">
      <c r="A11244" s="108" t="s">
        <v>6657</v>
      </c>
    </row>
    <row r="11245" spans="1:1" x14ac:dyDescent="0.25">
      <c r="A11245" s="108" t="s">
        <v>6658</v>
      </c>
    </row>
    <row r="11246" spans="1:1" x14ac:dyDescent="0.25">
      <c r="A11246" s="29" t="s">
        <v>6659</v>
      </c>
    </row>
    <row r="11247" spans="1:1" x14ac:dyDescent="0.25">
      <c r="A11247" s="76" t="s">
        <v>6660</v>
      </c>
    </row>
    <row r="11248" spans="1:1" x14ac:dyDescent="0.25">
      <c r="A11248" s="29" t="s">
        <v>6661</v>
      </c>
    </row>
    <row r="11249" spans="1:1" x14ac:dyDescent="0.25">
      <c r="A11249" s="76" t="s">
        <v>6662</v>
      </c>
    </row>
    <row r="11250" spans="1:1" x14ac:dyDescent="0.25">
      <c r="A11250" s="29" t="s">
        <v>6663</v>
      </c>
    </row>
    <row r="11251" spans="1:1" x14ac:dyDescent="0.25">
      <c r="A11251" s="76" t="s">
        <v>6664</v>
      </c>
    </row>
    <row r="11252" spans="1:1" x14ac:dyDescent="0.25">
      <c r="A11252" s="29" t="s">
        <v>6665</v>
      </c>
    </row>
    <row r="11253" spans="1:1" x14ac:dyDescent="0.25">
      <c r="A11253" s="108" t="s">
        <v>6666</v>
      </c>
    </row>
    <row r="11254" spans="1:1" x14ac:dyDescent="0.25">
      <c r="A11254" s="76" t="s">
        <v>6667</v>
      </c>
    </row>
    <row r="11255" spans="1:1" x14ac:dyDescent="0.25">
      <c r="A11255" s="76" t="s">
        <v>6668</v>
      </c>
    </row>
    <row r="11256" spans="1:1" x14ac:dyDescent="0.25">
      <c r="A11256" s="76" t="s">
        <v>6669</v>
      </c>
    </row>
    <row r="11257" spans="1:1" x14ac:dyDescent="0.25">
      <c r="A11257" s="76" t="s">
        <v>6670</v>
      </c>
    </row>
    <row r="11258" spans="1:1" x14ac:dyDescent="0.25">
      <c r="A11258" s="108" t="s">
        <v>6671</v>
      </c>
    </row>
    <row r="11259" spans="1:1" x14ac:dyDescent="0.25">
      <c r="A11259" s="108" t="s">
        <v>6672</v>
      </c>
    </row>
    <row r="11260" spans="1:1" x14ac:dyDescent="0.25">
      <c r="A11260" s="29" t="s">
        <v>6673</v>
      </c>
    </row>
    <row r="11261" spans="1:1" x14ac:dyDescent="0.25">
      <c r="A11261" s="76" t="s">
        <v>6674</v>
      </c>
    </row>
    <row r="11262" spans="1:1" x14ac:dyDescent="0.25">
      <c r="A11262" s="29" t="s">
        <v>6675</v>
      </c>
    </row>
    <row r="11263" spans="1:1" x14ac:dyDescent="0.25">
      <c r="A11263" s="76" t="s">
        <v>6676</v>
      </c>
    </row>
    <row r="11264" spans="1:1" x14ac:dyDescent="0.25">
      <c r="A11264" s="76" t="s">
        <v>6677</v>
      </c>
    </row>
    <row r="11265" spans="1:1" x14ac:dyDescent="0.25">
      <c r="A11265" s="76" t="s">
        <v>6678</v>
      </c>
    </row>
    <row r="11266" spans="1:1" x14ac:dyDescent="0.25">
      <c r="A11266" s="108" t="s">
        <v>6679</v>
      </c>
    </row>
    <row r="11267" spans="1:1" x14ac:dyDescent="0.25">
      <c r="A11267" s="108" t="s">
        <v>6680</v>
      </c>
    </row>
    <row r="11268" spans="1:1" x14ac:dyDescent="0.25">
      <c r="A11268" s="29" t="s">
        <v>6681</v>
      </c>
    </row>
    <row r="11269" spans="1:1" x14ac:dyDescent="0.25">
      <c r="A11269" s="76" t="s">
        <v>6682</v>
      </c>
    </row>
    <row r="11270" spans="1:1" x14ac:dyDescent="0.25">
      <c r="A11270" s="29" t="s">
        <v>6683</v>
      </c>
    </row>
    <row r="11271" spans="1:1" x14ac:dyDescent="0.25">
      <c r="A11271" s="76" t="s">
        <v>6684</v>
      </c>
    </row>
    <row r="11272" spans="1:1" x14ac:dyDescent="0.25">
      <c r="A11272" s="76" t="s">
        <v>6685</v>
      </c>
    </row>
    <row r="11273" spans="1:1" x14ac:dyDescent="0.25">
      <c r="A11273" s="76" t="s">
        <v>6686</v>
      </c>
    </row>
    <row r="11274" spans="1:1" x14ac:dyDescent="0.25">
      <c r="A11274" s="108" t="s">
        <v>6687</v>
      </c>
    </row>
    <row r="11275" spans="1:1" x14ac:dyDescent="0.25">
      <c r="A11275" s="108" t="s">
        <v>6688</v>
      </c>
    </row>
    <row r="11276" spans="1:1" x14ac:dyDescent="0.25">
      <c r="A11276" s="29" t="s">
        <v>6689</v>
      </c>
    </row>
    <row r="11277" spans="1:1" x14ac:dyDescent="0.25">
      <c r="A11277" s="76" t="s">
        <v>6690</v>
      </c>
    </row>
    <row r="11278" spans="1:1" x14ac:dyDescent="0.25">
      <c r="A11278" s="29" t="s">
        <v>6691</v>
      </c>
    </row>
    <row r="11279" spans="1:1" x14ac:dyDescent="0.25">
      <c r="A11279" s="76" t="s">
        <v>6692</v>
      </c>
    </row>
    <row r="11280" spans="1:1" x14ac:dyDescent="0.25">
      <c r="A11280" s="76" t="s">
        <v>6693</v>
      </c>
    </row>
    <row r="11281" spans="1:1" x14ac:dyDescent="0.25">
      <c r="A11281" s="76" t="s">
        <v>6694</v>
      </c>
    </row>
    <row r="11282" spans="1:1" x14ac:dyDescent="0.25">
      <c r="A11282" s="108" t="s">
        <v>6695</v>
      </c>
    </row>
    <row r="11283" spans="1:1" x14ac:dyDescent="0.25">
      <c r="A11283" s="108" t="s">
        <v>6696</v>
      </c>
    </row>
    <row r="11284" spans="1:1" x14ac:dyDescent="0.25">
      <c r="A11284" s="29" t="s">
        <v>6697</v>
      </c>
    </row>
    <row r="11285" spans="1:1" x14ac:dyDescent="0.25">
      <c r="A11285" s="76" t="s">
        <v>6698</v>
      </c>
    </row>
    <row r="11286" spans="1:1" x14ac:dyDescent="0.25">
      <c r="A11286" s="29" t="s">
        <v>6699</v>
      </c>
    </row>
    <row r="11287" spans="1:1" x14ac:dyDescent="0.25">
      <c r="A11287" s="76" t="s">
        <v>6700</v>
      </c>
    </row>
    <row r="11288" spans="1:1" x14ac:dyDescent="0.25">
      <c r="A11288" s="76" t="s">
        <v>6701</v>
      </c>
    </row>
    <row r="11289" spans="1:1" x14ac:dyDescent="0.25">
      <c r="A11289" s="76" t="s">
        <v>6702</v>
      </c>
    </row>
    <row r="11290" spans="1:1" x14ac:dyDescent="0.25">
      <c r="A11290" s="108" t="s">
        <v>6703</v>
      </c>
    </row>
    <row r="11291" spans="1:1" x14ac:dyDescent="0.25">
      <c r="A11291" s="108" t="s">
        <v>6704</v>
      </c>
    </row>
    <row r="11292" spans="1:1" x14ac:dyDescent="0.25">
      <c r="A11292" s="29" t="s">
        <v>6705</v>
      </c>
    </row>
    <row r="11293" spans="1:1" x14ac:dyDescent="0.25">
      <c r="A11293" s="76" t="s">
        <v>6706</v>
      </c>
    </row>
    <row r="11294" spans="1:1" x14ac:dyDescent="0.25">
      <c r="A11294" s="29" t="s">
        <v>6707</v>
      </c>
    </row>
    <row r="11295" spans="1:1" x14ac:dyDescent="0.25">
      <c r="A11295" s="76" t="s">
        <v>6708</v>
      </c>
    </row>
    <row r="11296" spans="1:1" x14ac:dyDescent="0.25">
      <c r="A11296" s="76" t="s">
        <v>6709</v>
      </c>
    </row>
    <row r="11297" spans="1:1" x14ac:dyDescent="0.25">
      <c r="A11297" s="76" t="s">
        <v>6710</v>
      </c>
    </row>
    <row r="11298" spans="1:1" x14ac:dyDescent="0.25">
      <c r="A11298" s="108" t="s">
        <v>6711</v>
      </c>
    </row>
    <row r="11299" spans="1:1" x14ac:dyDescent="0.25">
      <c r="A11299" s="108" t="s">
        <v>6712</v>
      </c>
    </row>
    <row r="11300" spans="1:1" x14ac:dyDescent="0.25">
      <c r="A11300" s="29" t="s">
        <v>6713</v>
      </c>
    </row>
    <row r="11301" spans="1:1" x14ac:dyDescent="0.25">
      <c r="A11301" s="76" t="s">
        <v>6714</v>
      </c>
    </row>
    <row r="11302" spans="1:1" x14ac:dyDescent="0.25">
      <c r="A11302" s="29" t="s">
        <v>6715</v>
      </c>
    </row>
    <row r="11303" spans="1:1" x14ac:dyDescent="0.25">
      <c r="A11303" s="76" t="s">
        <v>6716</v>
      </c>
    </row>
    <row r="11304" spans="1:1" x14ac:dyDescent="0.25">
      <c r="A11304" s="29" t="s">
        <v>6717</v>
      </c>
    </row>
    <row r="11305" spans="1:1" x14ac:dyDescent="0.25">
      <c r="A11305" s="76" t="s">
        <v>6718</v>
      </c>
    </row>
    <row r="11306" spans="1:1" x14ac:dyDescent="0.25">
      <c r="A11306" s="29" t="s">
        <v>6719</v>
      </c>
    </row>
    <row r="11307" spans="1:1" x14ac:dyDescent="0.25">
      <c r="A11307" s="76" t="s">
        <v>6720</v>
      </c>
    </row>
    <row r="11308" spans="1:1" x14ac:dyDescent="0.25">
      <c r="A11308" s="29" t="s">
        <v>6721</v>
      </c>
    </row>
    <row r="11309" spans="1:1" x14ac:dyDescent="0.25">
      <c r="A11309" s="76" t="s">
        <v>6722</v>
      </c>
    </row>
    <row r="11310" spans="1:1" x14ac:dyDescent="0.25">
      <c r="A11310" s="29" t="s">
        <v>6723</v>
      </c>
    </row>
    <row r="11311" spans="1:1" x14ac:dyDescent="0.25">
      <c r="A11311" s="108" t="s">
        <v>6724</v>
      </c>
    </row>
    <row r="11312" spans="1:1" x14ac:dyDescent="0.25">
      <c r="A11312" s="76" t="s">
        <v>6725</v>
      </c>
    </row>
    <row r="11313" spans="1:1" x14ac:dyDescent="0.25">
      <c r="A11313" s="76" t="s">
        <v>6726</v>
      </c>
    </row>
    <row r="11314" spans="1:1" x14ac:dyDescent="0.25">
      <c r="A11314" s="29" t="s">
        <v>6727</v>
      </c>
    </row>
    <row r="11315" spans="1:1" x14ac:dyDescent="0.25">
      <c r="A11315" s="76" t="s">
        <v>6728</v>
      </c>
    </row>
    <row r="11316" spans="1:1" x14ac:dyDescent="0.25">
      <c r="A11316" s="29" t="s">
        <v>6729</v>
      </c>
    </row>
    <row r="11317" spans="1:1" x14ac:dyDescent="0.25">
      <c r="A11317" s="76" t="s">
        <v>6730</v>
      </c>
    </row>
    <row r="11318" spans="1:1" x14ac:dyDescent="0.25">
      <c r="A11318" s="29" t="s">
        <v>6731</v>
      </c>
    </row>
    <row r="11319" spans="1:1" x14ac:dyDescent="0.25">
      <c r="A11319" s="76" t="s">
        <v>6732</v>
      </c>
    </row>
    <row r="11320" spans="1:1" x14ac:dyDescent="0.25">
      <c r="A11320" s="29" t="s">
        <v>6733</v>
      </c>
    </row>
    <row r="11321" spans="1:1" x14ac:dyDescent="0.25">
      <c r="A11321" s="76" t="s">
        <v>6734</v>
      </c>
    </row>
    <row r="11322" spans="1:1" x14ac:dyDescent="0.25">
      <c r="A11322" s="29" t="s">
        <v>6735</v>
      </c>
    </row>
    <row r="11323" spans="1:1" x14ac:dyDescent="0.25">
      <c r="A11323" s="76" t="s">
        <v>6736</v>
      </c>
    </row>
    <row r="11324" spans="1:1" x14ac:dyDescent="0.25">
      <c r="A11324" s="29" t="s">
        <v>6737</v>
      </c>
    </row>
    <row r="11325" spans="1:1" x14ac:dyDescent="0.25">
      <c r="A11325" s="76" t="s">
        <v>6738</v>
      </c>
    </row>
    <row r="11326" spans="1:1" x14ac:dyDescent="0.25">
      <c r="A11326" s="29" t="s">
        <v>6739</v>
      </c>
    </row>
    <row r="11327" spans="1:1" x14ac:dyDescent="0.25">
      <c r="A11327" s="108" t="s">
        <v>6740</v>
      </c>
    </row>
    <row r="11328" spans="1:1" x14ac:dyDescent="0.25">
      <c r="A11328" s="76" t="s">
        <v>6741</v>
      </c>
    </row>
    <row r="11329" spans="1:1" x14ac:dyDescent="0.25">
      <c r="A11329" s="76" t="s">
        <v>6742</v>
      </c>
    </row>
    <row r="11330" spans="1:1" x14ac:dyDescent="0.25">
      <c r="A11330" s="29" t="s">
        <v>6743</v>
      </c>
    </row>
    <row r="11331" spans="1:1" x14ac:dyDescent="0.25">
      <c r="A11331" s="108" t="s">
        <v>6744</v>
      </c>
    </row>
    <row r="11332" spans="1:1" x14ac:dyDescent="0.25">
      <c r="A11332" s="76" t="s">
        <v>6745</v>
      </c>
    </row>
    <row r="11333" spans="1:1" x14ac:dyDescent="0.25">
      <c r="A11333" s="76" t="s">
        <v>6746</v>
      </c>
    </row>
    <row r="11334" spans="1:1" x14ac:dyDescent="0.25">
      <c r="A11334" s="29" t="s">
        <v>6747</v>
      </c>
    </row>
    <row r="11335" spans="1:1" x14ac:dyDescent="0.25">
      <c r="A11335" s="76" t="s">
        <v>6748</v>
      </c>
    </row>
    <row r="11336" spans="1:1" x14ac:dyDescent="0.25">
      <c r="A11336" s="29" t="s">
        <v>6749</v>
      </c>
    </row>
    <row r="11337" spans="1:1" x14ac:dyDescent="0.25">
      <c r="A11337" s="108" t="s">
        <v>6750</v>
      </c>
    </row>
    <row r="11338" spans="1:1" x14ac:dyDescent="0.25">
      <c r="A11338" s="76" t="s">
        <v>6751</v>
      </c>
    </row>
    <row r="11339" spans="1:1" x14ac:dyDescent="0.25">
      <c r="A11339" s="76" t="s">
        <v>6752</v>
      </c>
    </row>
    <row r="11340" spans="1:1" x14ac:dyDescent="0.25">
      <c r="A11340" s="29" t="s">
        <v>6753</v>
      </c>
    </row>
    <row r="11341" spans="1:1" x14ac:dyDescent="0.25">
      <c r="A11341" s="76" t="s">
        <v>6754</v>
      </c>
    </row>
    <row r="11342" spans="1:1" x14ac:dyDescent="0.25">
      <c r="A11342" s="29" t="s">
        <v>6755</v>
      </c>
    </row>
    <row r="11343" spans="1:1" x14ac:dyDescent="0.25">
      <c r="A11343" s="76" t="s">
        <v>6756</v>
      </c>
    </row>
    <row r="11344" spans="1:1" x14ac:dyDescent="0.25">
      <c r="A11344" s="29" t="s">
        <v>6757</v>
      </c>
    </row>
    <row r="11345" spans="1:1" x14ac:dyDescent="0.25">
      <c r="A11345" s="76" t="s">
        <v>6758</v>
      </c>
    </row>
    <row r="11346" spans="1:1" x14ac:dyDescent="0.25">
      <c r="A11346" s="29" t="s">
        <v>6759</v>
      </c>
    </row>
    <row r="11347" spans="1:1" x14ac:dyDescent="0.25">
      <c r="A11347" s="76" t="s">
        <v>6760</v>
      </c>
    </row>
    <row r="11348" spans="1:1" x14ac:dyDescent="0.25">
      <c r="A11348" s="29" t="s">
        <v>6761</v>
      </c>
    </row>
    <row r="11349" spans="1:1" x14ac:dyDescent="0.25">
      <c r="A11349" s="76" t="s">
        <v>6762</v>
      </c>
    </row>
    <row r="11350" spans="1:1" x14ac:dyDescent="0.25">
      <c r="A11350" s="29" t="s">
        <v>6763</v>
      </c>
    </row>
    <row r="11351" spans="1:1" x14ac:dyDescent="0.25">
      <c r="A11351" s="76" t="s">
        <v>6764</v>
      </c>
    </row>
    <row r="11352" spans="1:1" x14ac:dyDescent="0.25">
      <c r="A11352" s="29" t="s">
        <v>6765</v>
      </c>
    </row>
    <row r="11353" spans="1:1" x14ac:dyDescent="0.25">
      <c r="A11353" s="76" t="s">
        <v>6766</v>
      </c>
    </row>
    <row r="11354" spans="1:1" x14ac:dyDescent="0.25">
      <c r="A11354" s="29" t="s">
        <v>6767</v>
      </c>
    </row>
    <row r="11355" spans="1:1" x14ac:dyDescent="0.25">
      <c r="A11355" s="76" t="s">
        <v>6768</v>
      </c>
    </row>
    <row r="11356" spans="1:1" x14ac:dyDescent="0.25">
      <c r="A11356" s="29" t="s">
        <v>6769</v>
      </c>
    </row>
    <row r="11357" spans="1:1" x14ac:dyDescent="0.25">
      <c r="A11357" s="76" t="s">
        <v>6770</v>
      </c>
    </row>
    <row r="11358" spans="1:1" x14ac:dyDescent="0.25">
      <c r="A11358" s="29" t="s">
        <v>6771</v>
      </c>
    </row>
    <row r="11359" spans="1:1" x14ac:dyDescent="0.25">
      <c r="A11359" s="76" t="s">
        <v>6772</v>
      </c>
    </row>
    <row r="11360" spans="1:1" x14ac:dyDescent="0.25">
      <c r="A11360" s="29" t="s">
        <v>6773</v>
      </c>
    </row>
    <row r="11361" spans="1:1" x14ac:dyDescent="0.25">
      <c r="A11361" s="76" t="s">
        <v>6774</v>
      </c>
    </row>
    <row r="11362" spans="1:1" x14ac:dyDescent="0.25">
      <c r="A11362" s="29" t="s">
        <v>6775</v>
      </c>
    </row>
    <row r="11363" spans="1:1" x14ac:dyDescent="0.25">
      <c r="A11363" s="76" t="s">
        <v>6776</v>
      </c>
    </row>
    <row r="11364" spans="1:1" x14ac:dyDescent="0.25">
      <c r="A11364" s="29" t="s">
        <v>6777</v>
      </c>
    </row>
    <row r="11365" spans="1:1" x14ac:dyDescent="0.25">
      <c r="A11365" s="108" t="s">
        <v>6778</v>
      </c>
    </row>
    <row r="11366" spans="1:1" x14ac:dyDescent="0.25">
      <c r="A11366" s="76" t="s">
        <v>6779</v>
      </c>
    </row>
    <row r="11367" spans="1:1" x14ac:dyDescent="0.25">
      <c r="A11367" s="76" t="s">
        <v>6780</v>
      </c>
    </row>
    <row r="11368" spans="1:1" x14ac:dyDescent="0.25">
      <c r="A11368" s="29" t="s">
        <v>6781</v>
      </c>
    </row>
    <row r="11369" spans="1:1" x14ac:dyDescent="0.25">
      <c r="A11369" s="76" t="s">
        <v>6782</v>
      </c>
    </row>
    <row r="11370" spans="1:1" x14ac:dyDescent="0.25">
      <c r="A11370" s="29" t="s">
        <v>6783</v>
      </c>
    </row>
    <row r="11371" spans="1:1" x14ac:dyDescent="0.25">
      <c r="A11371" s="76" t="s">
        <v>6784</v>
      </c>
    </row>
    <row r="11372" spans="1:1" x14ac:dyDescent="0.25">
      <c r="A11372" s="29" t="s">
        <v>6785</v>
      </c>
    </row>
    <row r="11373" spans="1:1" x14ac:dyDescent="0.25">
      <c r="A11373" s="76" t="s">
        <v>6786</v>
      </c>
    </row>
    <row r="11374" spans="1:1" x14ac:dyDescent="0.25">
      <c r="A11374" s="29" t="s">
        <v>6787</v>
      </c>
    </row>
    <row r="11375" spans="1:1" x14ac:dyDescent="0.25">
      <c r="A11375" s="76" t="s">
        <v>6788</v>
      </c>
    </row>
    <row r="11376" spans="1:1" x14ac:dyDescent="0.25">
      <c r="A11376" s="29" t="s">
        <v>6789</v>
      </c>
    </row>
    <row r="11377" spans="1:1" x14ac:dyDescent="0.25">
      <c r="A11377" s="76" t="s">
        <v>6790</v>
      </c>
    </row>
    <row r="11378" spans="1:1" x14ac:dyDescent="0.25">
      <c r="A11378" s="29" t="s">
        <v>6791</v>
      </c>
    </row>
    <row r="11379" spans="1:1" x14ac:dyDescent="0.25">
      <c r="A11379" s="76" t="s">
        <v>6792</v>
      </c>
    </row>
    <row r="11380" spans="1:1" x14ac:dyDescent="0.25">
      <c r="A11380" s="29" t="s">
        <v>6793</v>
      </c>
    </row>
    <row r="11381" spans="1:1" x14ac:dyDescent="0.25">
      <c r="A11381" s="76" t="s">
        <v>6794</v>
      </c>
    </row>
    <row r="11382" spans="1:1" x14ac:dyDescent="0.25">
      <c r="A11382" s="29" t="s">
        <v>6795</v>
      </c>
    </row>
    <row r="11383" spans="1:1" x14ac:dyDescent="0.25">
      <c r="A11383" s="76" t="s">
        <v>6796</v>
      </c>
    </row>
    <row r="11384" spans="1:1" x14ac:dyDescent="0.25">
      <c r="A11384" s="29" t="s">
        <v>6797</v>
      </c>
    </row>
    <row r="11385" spans="1:1" x14ac:dyDescent="0.25">
      <c r="A11385" s="76" t="s">
        <v>6798</v>
      </c>
    </row>
    <row r="11386" spans="1:1" x14ac:dyDescent="0.25">
      <c r="A11386" s="29" t="s">
        <v>6799</v>
      </c>
    </row>
    <row r="11387" spans="1:1" x14ac:dyDescent="0.25">
      <c r="A11387" s="76" t="s">
        <v>6800</v>
      </c>
    </row>
    <row r="11388" spans="1:1" x14ac:dyDescent="0.25">
      <c r="A11388" s="29" t="s">
        <v>6801</v>
      </c>
    </row>
    <row r="11389" spans="1:1" x14ac:dyDescent="0.25">
      <c r="A11389" s="76" t="s">
        <v>6802</v>
      </c>
    </row>
    <row r="11390" spans="1:1" x14ac:dyDescent="0.25">
      <c r="A11390" s="29" t="s">
        <v>6803</v>
      </c>
    </row>
    <row r="11391" spans="1:1" x14ac:dyDescent="0.25">
      <c r="A11391" s="76" t="s">
        <v>6804</v>
      </c>
    </row>
    <row r="11392" spans="1:1" x14ac:dyDescent="0.25">
      <c r="A11392" s="29" t="s">
        <v>6805</v>
      </c>
    </row>
    <row r="11393" spans="1:1" x14ac:dyDescent="0.25">
      <c r="A11393" s="76" t="s">
        <v>6806</v>
      </c>
    </row>
    <row r="11394" spans="1:1" x14ac:dyDescent="0.25">
      <c r="A11394" s="29" t="s">
        <v>6807</v>
      </c>
    </row>
    <row r="11395" spans="1:1" x14ac:dyDescent="0.25">
      <c r="A11395" s="76" t="s">
        <v>6808</v>
      </c>
    </row>
    <row r="11396" spans="1:1" x14ac:dyDescent="0.25">
      <c r="A11396" s="29" t="s">
        <v>6809</v>
      </c>
    </row>
    <row r="11397" spans="1:1" x14ac:dyDescent="0.25">
      <c r="A11397" s="76" t="s">
        <v>6810</v>
      </c>
    </row>
    <row r="11398" spans="1:1" x14ac:dyDescent="0.25">
      <c r="A11398" s="29" t="s">
        <v>6811</v>
      </c>
    </row>
    <row r="11399" spans="1:1" x14ac:dyDescent="0.25">
      <c r="A11399" s="76" t="s">
        <v>6812</v>
      </c>
    </row>
    <row r="11400" spans="1:1" x14ac:dyDescent="0.25">
      <c r="A11400" s="29" t="s">
        <v>6813</v>
      </c>
    </row>
    <row r="11401" spans="1:1" x14ac:dyDescent="0.25">
      <c r="A11401" s="108" t="s">
        <v>6814</v>
      </c>
    </row>
    <row r="11402" spans="1:1" x14ac:dyDescent="0.25">
      <c r="A11402" s="76" t="s">
        <v>6815</v>
      </c>
    </row>
    <row r="11403" spans="1:1" x14ac:dyDescent="0.25">
      <c r="A11403" s="76" t="s">
        <v>6816</v>
      </c>
    </row>
    <row r="11404" spans="1:1" x14ac:dyDescent="0.25">
      <c r="A11404" s="29" t="s">
        <v>6817</v>
      </c>
    </row>
    <row r="11405" spans="1:1" x14ac:dyDescent="0.25">
      <c r="A11405" s="76" t="s">
        <v>6818</v>
      </c>
    </row>
    <row r="11406" spans="1:1" x14ac:dyDescent="0.25">
      <c r="A11406" s="29" t="s">
        <v>6819</v>
      </c>
    </row>
    <row r="11407" spans="1:1" x14ac:dyDescent="0.25">
      <c r="A11407" s="76" t="s">
        <v>6820</v>
      </c>
    </row>
    <row r="11408" spans="1:1" x14ac:dyDescent="0.25">
      <c r="A11408" s="76" t="s">
        <v>6821</v>
      </c>
    </row>
    <row r="11409" spans="1:1" x14ac:dyDescent="0.25">
      <c r="A11409" s="76" t="s">
        <v>6822</v>
      </c>
    </row>
    <row r="11410" spans="1:1" x14ac:dyDescent="0.25">
      <c r="A11410" s="108" t="s">
        <v>6823</v>
      </c>
    </row>
    <row r="11411" spans="1:1" x14ac:dyDescent="0.25">
      <c r="A11411" s="108" t="s">
        <v>6824</v>
      </c>
    </row>
    <row r="11412" spans="1:1" x14ac:dyDescent="0.25">
      <c r="A11412" s="29" t="s">
        <v>6825</v>
      </c>
    </row>
    <row r="11413" spans="1:1" x14ac:dyDescent="0.25">
      <c r="A11413" s="76" t="s">
        <v>6826</v>
      </c>
    </row>
    <row r="11414" spans="1:1" x14ac:dyDescent="0.25">
      <c r="A11414" s="29" t="s">
        <v>6827</v>
      </c>
    </row>
    <row r="11415" spans="1:1" x14ac:dyDescent="0.25">
      <c r="A11415" s="76" t="s">
        <v>6828</v>
      </c>
    </row>
    <row r="11416" spans="1:1" x14ac:dyDescent="0.25">
      <c r="A11416" s="76" t="s">
        <v>6829</v>
      </c>
    </row>
    <row r="11417" spans="1:1" x14ac:dyDescent="0.25">
      <c r="A11417" s="76" t="s">
        <v>6830</v>
      </c>
    </row>
    <row r="11418" spans="1:1" x14ac:dyDescent="0.25">
      <c r="A11418" s="108" t="s">
        <v>6831</v>
      </c>
    </row>
    <row r="11419" spans="1:1" x14ac:dyDescent="0.25">
      <c r="A11419" s="108" t="s">
        <v>6832</v>
      </c>
    </row>
    <row r="11420" spans="1:1" x14ac:dyDescent="0.25">
      <c r="A11420" s="29" t="s">
        <v>6833</v>
      </c>
    </row>
    <row r="11421" spans="1:1" x14ac:dyDescent="0.25">
      <c r="A11421" s="76" t="s">
        <v>6834</v>
      </c>
    </row>
    <row r="11422" spans="1:1" x14ac:dyDescent="0.25">
      <c r="A11422" s="29" t="s">
        <v>6835</v>
      </c>
    </row>
    <row r="11423" spans="1:1" x14ac:dyDescent="0.25">
      <c r="A11423" s="76" t="s">
        <v>6836</v>
      </c>
    </row>
    <row r="11424" spans="1:1" x14ac:dyDescent="0.25">
      <c r="A11424" s="76" t="s">
        <v>6837</v>
      </c>
    </row>
    <row r="11425" spans="1:1" x14ac:dyDescent="0.25">
      <c r="A11425" s="76" t="s">
        <v>6838</v>
      </c>
    </row>
    <row r="11426" spans="1:1" x14ac:dyDescent="0.25">
      <c r="A11426" s="108" t="s">
        <v>6839</v>
      </c>
    </row>
    <row r="11427" spans="1:1" x14ac:dyDescent="0.25">
      <c r="A11427" s="108" t="s">
        <v>6840</v>
      </c>
    </row>
    <row r="11428" spans="1:1" x14ac:dyDescent="0.25">
      <c r="A11428" s="29" t="s">
        <v>6841</v>
      </c>
    </row>
    <row r="11429" spans="1:1" x14ac:dyDescent="0.25">
      <c r="A11429" s="76" t="s">
        <v>6842</v>
      </c>
    </row>
    <row r="11430" spans="1:1" x14ac:dyDescent="0.25">
      <c r="A11430" s="29" t="s">
        <v>6843</v>
      </c>
    </row>
    <row r="11431" spans="1:1" x14ac:dyDescent="0.25">
      <c r="A11431" s="76" t="s">
        <v>6844</v>
      </c>
    </row>
    <row r="11432" spans="1:1" x14ac:dyDescent="0.25">
      <c r="A11432" s="76" t="s">
        <v>6845</v>
      </c>
    </row>
    <row r="11433" spans="1:1" x14ac:dyDescent="0.25">
      <c r="A11433" s="76" t="s">
        <v>6846</v>
      </c>
    </row>
    <row r="11434" spans="1:1" x14ac:dyDescent="0.25">
      <c r="A11434" s="108" t="s">
        <v>6847</v>
      </c>
    </row>
    <row r="11435" spans="1:1" x14ac:dyDescent="0.25">
      <c r="A11435" s="108" t="s">
        <v>6848</v>
      </c>
    </row>
    <row r="11436" spans="1:1" x14ac:dyDescent="0.25">
      <c r="A11436" s="29" t="s">
        <v>6849</v>
      </c>
    </row>
    <row r="11437" spans="1:1" x14ac:dyDescent="0.25">
      <c r="A11437" s="76" t="s">
        <v>6850</v>
      </c>
    </row>
    <row r="11438" spans="1:1" x14ac:dyDescent="0.25">
      <c r="A11438" s="29" t="s">
        <v>6851</v>
      </c>
    </row>
    <row r="11439" spans="1:1" x14ac:dyDescent="0.25">
      <c r="A11439" s="76" t="s">
        <v>6852</v>
      </c>
    </row>
    <row r="11440" spans="1:1" x14ac:dyDescent="0.25">
      <c r="A11440" s="76" t="s">
        <v>6853</v>
      </c>
    </row>
    <row r="11441" spans="1:1" x14ac:dyDescent="0.25">
      <c r="A11441" s="76" t="s">
        <v>6854</v>
      </c>
    </row>
    <row r="11442" spans="1:1" x14ac:dyDescent="0.25">
      <c r="A11442" s="108" t="s">
        <v>6855</v>
      </c>
    </row>
    <row r="11443" spans="1:1" x14ac:dyDescent="0.25">
      <c r="A11443" s="108" t="s">
        <v>6856</v>
      </c>
    </row>
    <row r="11444" spans="1:1" x14ac:dyDescent="0.25">
      <c r="A11444" s="29" t="s">
        <v>6857</v>
      </c>
    </row>
    <row r="11445" spans="1:1" x14ac:dyDescent="0.25">
      <c r="A11445" s="76" t="s">
        <v>6858</v>
      </c>
    </row>
    <row r="11446" spans="1:1" x14ac:dyDescent="0.25">
      <c r="A11446" s="29" t="s">
        <v>6859</v>
      </c>
    </row>
    <row r="11447" spans="1:1" x14ac:dyDescent="0.25">
      <c r="A11447" s="76" t="s">
        <v>6860</v>
      </c>
    </row>
    <row r="11448" spans="1:1" x14ac:dyDescent="0.25">
      <c r="A11448" s="76" t="s">
        <v>6861</v>
      </c>
    </row>
    <row r="11449" spans="1:1" x14ac:dyDescent="0.25">
      <c r="A11449" s="76" t="s">
        <v>6862</v>
      </c>
    </row>
    <row r="11450" spans="1:1" x14ac:dyDescent="0.25">
      <c r="A11450" s="108" t="s">
        <v>6863</v>
      </c>
    </row>
    <row r="11451" spans="1:1" x14ac:dyDescent="0.25">
      <c r="A11451" s="108" t="s">
        <v>6864</v>
      </c>
    </row>
    <row r="11452" spans="1:1" x14ac:dyDescent="0.25">
      <c r="A11452" s="29" t="s">
        <v>6865</v>
      </c>
    </row>
    <row r="11453" spans="1:1" x14ac:dyDescent="0.25">
      <c r="A11453" s="76" t="s">
        <v>6866</v>
      </c>
    </row>
    <row r="11454" spans="1:1" x14ac:dyDescent="0.25">
      <c r="A11454" s="29" t="s">
        <v>6867</v>
      </c>
    </row>
    <row r="11455" spans="1:1" x14ac:dyDescent="0.25">
      <c r="A11455" s="108" t="s">
        <v>6868</v>
      </c>
    </row>
    <row r="11456" spans="1:1" x14ac:dyDescent="0.25">
      <c r="A11456" s="76" t="s">
        <v>6869</v>
      </c>
    </row>
    <row r="11457" spans="1:1" x14ac:dyDescent="0.25">
      <c r="A11457" s="76" t="s">
        <v>6870</v>
      </c>
    </row>
    <row r="11458" spans="1:1" x14ac:dyDescent="0.25">
      <c r="A11458" s="76" t="s">
        <v>6871</v>
      </c>
    </row>
    <row r="11459" spans="1:1" x14ac:dyDescent="0.25">
      <c r="A11459" s="76" t="s">
        <v>6872</v>
      </c>
    </row>
    <row r="11460" spans="1:1" x14ac:dyDescent="0.25">
      <c r="A11460" s="108" t="s">
        <v>6873</v>
      </c>
    </row>
    <row r="11461" spans="1:1" x14ac:dyDescent="0.25">
      <c r="A11461" s="108" t="s">
        <v>6874</v>
      </c>
    </row>
    <row r="11462" spans="1:1" x14ac:dyDescent="0.25">
      <c r="A11462" s="29" t="s">
        <v>6875</v>
      </c>
    </row>
    <row r="11463" spans="1:1" x14ac:dyDescent="0.25">
      <c r="A11463" s="76" t="s">
        <v>6876</v>
      </c>
    </row>
    <row r="11464" spans="1:1" x14ac:dyDescent="0.25">
      <c r="A11464" s="29" t="s">
        <v>6877</v>
      </c>
    </row>
    <row r="11465" spans="1:1" x14ac:dyDescent="0.25">
      <c r="A11465" s="108" t="s">
        <v>6878</v>
      </c>
    </row>
    <row r="11466" spans="1:1" x14ac:dyDescent="0.25">
      <c r="A11466" s="76" t="s">
        <v>6879</v>
      </c>
    </row>
    <row r="11467" spans="1:1" x14ac:dyDescent="0.25">
      <c r="A11467" s="76" t="s">
        <v>6880</v>
      </c>
    </row>
    <row r="11468" spans="1:1" x14ac:dyDescent="0.25">
      <c r="A11468" s="29" t="s">
        <v>6881</v>
      </c>
    </row>
    <row r="11469" spans="1:1" x14ac:dyDescent="0.25">
      <c r="A11469" s="76" t="s">
        <v>6882</v>
      </c>
    </row>
    <row r="11470" spans="1:1" x14ac:dyDescent="0.25">
      <c r="A11470" s="29" t="s">
        <v>6883</v>
      </c>
    </row>
    <row r="11471" spans="1:1" x14ac:dyDescent="0.25">
      <c r="A11471" s="76" t="s">
        <v>6884</v>
      </c>
    </row>
    <row r="11472" spans="1:1" x14ac:dyDescent="0.25">
      <c r="A11472" s="29" t="s">
        <v>6885</v>
      </c>
    </row>
    <row r="11473" spans="1:1" x14ac:dyDescent="0.25">
      <c r="A11473" s="76" t="s">
        <v>6886</v>
      </c>
    </row>
    <row r="11474" spans="1:1" x14ac:dyDescent="0.25">
      <c r="A11474" s="29" t="s">
        <v>6887</v>
      </c>
    </row>
    <row r="11475" spans="1:1" x14ac:dyDescent="0.25">
      <c r="A11475" s="108" t="s">
        <v>6888</v>
      </c>
    </row>
    <row r="11476" spans="1:1" x14ac:dyDescent="0.25">
      <c r="A11476" s="76" t="s">
        <v>6889</v>
      </c>
    </row>
    <row r="11477" spans="1:1" x14ac:dyDescent="0.25">
      <c r="A11477" s="76" t="s">
        <v>6890</v>
      </c>
    </row>
    <row r="11478" spans="1:1" x14ac:dyDescent="0.25">
      <c r="A11478" s="29" t="s">
        <v>6891</v>
      </c>
    </row>
    <row r="11479" spans="1:1" x14ac:dyDescent="0.25">
      <c r="A11479" s="76" t="s">
        <v>6892</v>
      </c>
    </row>
    <row r="11480" spans="1:1" x14ac:dyDescent="0.25">
      <c r="A11480" s="29" t="s">
        <v>6893</v>
      </c>
    </row>
    <row r="11481" spans="1:1" x14ac:dyDescent="0.25">
      <c r="A11481" s="76" t="s">
        <v>6894</v>
      </c>
    </row>
    <row r="11482" spans="1:1" x14ac:dyDescent="0.25">
      <c r="A11482" s="29" t="s">
        <v>6895</v>
      </c>
    </row>
    <row r="11483" spans="1:1" x14ac:dyDescent="0.25">
      <c r="A11483" s="76" t="s">
        <v>6896</v>
      </c>
    </row>
    <row r="11484" spans="1:1" x14ac:dyDescent="0.25">
      <c r="A11484" s="29" t="s">
        <v>6897</v>
      </c>
    </row>
    <row r="11485" spans="1:1" x14ac:dyDescent="0.25">
      <c r="A11485" s="76" t="s">
        <v>6898</v>
      </c>
    </row>
    <row r="11486" spans="1:1" x14ac:dyDescent="0.25">
      <c r="A11486" s="29" t="s">
        <v>6899</v>
      </c>
    </row>
    <row r="11487" spans="1:1" x14ac:dyDescent="0.25">
      <c r="A11487" s="108" t="s">
        <v>6900</v>
      </c>
    </row>
    <row r="11488" spans="1:1" x14ac:dyDescent="0.25">
      <c r="A11488" s="76" t="s">
        <v>6901</v>
      </c>
    </row>
    <row r="11489" spans="1:1" x14ac:dyDescent="0.25">
      <c r="A11489" s="76" t="s">
        <v>6902</v>
      </c>
    </row>
    <row r="11490" spans="1:1" x14ac:dyDescent="0.25">
      <c r="A11490" s="29" t="s">
        <v>6903</v>
      </c>
    </row>
    <row r="11491" spans="1:1" x14ac:dyDescent="0.25">
      <c r="A11491" s="76" t="s">
        <v>6904</v>
      </c>
    </row>
    <row r="11492" spans="1:1" x14ac:dyDescent="0.25">
      <c r="A11492" s="29" t="s">
        <v>6905</v>
      </c>
    </row>
    <row r="11493" spans="1:1" x14ac:dyDescent="0.25">
      <c r="A11493" s="76" t="s">
        <v>6906</v>
      </c>
    </row>
    <row r="11494" spans="1:1" x14ac:dyDescent="0.25">
      <c r="A11494" s="29" t="s">
        <v>6907</v>
      </c>
    </row>
    <row r="11495" spans="1:1" x14ac:dyDescent="0.25">
      <c r="A11495" s="108" t="s">
        <v>6908</v>
      </c>
    </row>
    <row r="11496" spans="1:1" x14ac:dyDescent="0.25">
      <c r="A11496" s="76" t="s">
        <v>6909</v>
      </c>
    </row>
    <row r="11497" spans="1:1" x14ac:dyDescent="0.25">
      <c r="A11497" s="76" t="s">
        <v>6910</v>
      </c>
    </row>
    <row r="11498" spans="1:1" x14ac:dyDescent="0.25">
      <c r="A11498" s="29" t="s">
        <v>6911</v>
      </c>
    </row>
    <row r="11499" spans="1:1" x14ac:dyDescent="0.25">
      <c r="A11499" s="76" t="s">
        <v>6912</v>
      </c>
    </row>
    <row r="11500" spans="1:1" x14ac:dyDescent="0.25">
      <c r="A11500" s="29" t="s">
        <v>6913</v>
      </c>
    </row>
    <row r="11501" spans="1:1" x14ac:dyDescent="0.25">
      <c r="A11501" s="76" t="s">
        <v>6914</v>
      </c>
    </row>
    <row r="11502" spans="1:1" x14ac:dyDescent="0.25">
      <c r="A11502" s="29" t="s">
        <v>6915</v>
      </c>
    </row>
    <row r="11503" spans="1:1" x14ac:dyDescent="0.25">
      <c r="A11503" s="76" t="s">
        <v>6916</v>
      </c>
    </row>
    <row r="11504" spans="1:1" x14ac:dyDescent="0.25">
      <c r="A11504" s="29" t="s">
        <v>6917</v>
      </c>
    </row>
    <row r="11505" spans="1:1" x14ac:dyDescent="0.25">
      <c r="A11505" s="76" t="s">
        <v>6918</v>
      </c>
    </row>
    <row r="11506" spans="1:1" x14ac:dyDescent="0.25">
      <c r="A11506" s="29" t="s">
        <v>6919</v>
      </c>
    </row>
    <row r="11507" spans="1:1" x14ac:dyDescent="0.25">
      <c r="A11507" s="76" t="s">
        <v>6920</v>
      </c>
    </row>
    <row r="11508" spans="1:1" x14ac:dyDescent="0.25">
      <c r="A11508" s="29" t="s">
        <v>6921</v>
      </c>
    </row>
    <row r="11509" spans="1:1" x14ac:dyDescent="0.25">
      <c r="A11509" s="108" t="s">
        <v>6922</v>
      </c>
    </row>
    <row r="11510" spans="1:1" x14ac:dyDescent="0.25">
      <c r="A11510" s="76" t="s">
        <v>6923</v>
      </c>
    </row>
    <row r="11511" spans="1:1" x14ac:dyDescent="0.25">
      <c r="A11511" s="76" t="s">
        <v>6924</v>
      </c>
    </row>
    <row r="11512" spans="1:1" x14ac:dyDescent="0.25">
      <c r="A11512" s="76" t="s">
        <v>6925</v>
      </c>
    </row>
    <row r="11513" spans="1:1" x14ac:dyDescent="0.25">
      <c r="A11513" s="76" t="s">
        <v>6926</v>
      </c>
    </row>
    <row r="11514" spans="1:1" x14ac:dyDescent="0.25">
      <c r="A11514" s="108" t="s">
        <v>6927</v>
      </c>
    </row>
    <row r="11515" spans="1:1" x14ac:dyDescent="0.25">
      <c r="A11515" s="108" t="s">
        <v>6928</v>
      </c>
    </row>
    <row r="11516" spans="1:1" x14ac:dyDescent="0.25">
      <c r="A11516" s="29" t="s">
        <v>6929</v>
      </c>
    </row>
    <row r="11517" spans="1:1" x14ac:dyDescent="0.25">
      <c r="A11517" s="76" t="s">
        <v>6930</v>
      </c>
    </row>
    <row r="11518" spans="1:1" x14ac:dyDescent="0.25">
      <c r="A11518" s="29" t="s">
        <v>6931</v>
      </c>
    </row>
    <row r="11519" spans="1:1" x14ac:dyDescent="0.25">
      <c r="A11519" s="76" t="s">
        <v>6932</v>
      </c>
    </row>
    <row r="11520" spans="1:1" x14ac:dyDescent="0.25">
      <c r="A11520" s="76" t="s">
        <v>6933</v>
      </c>
    </row>
    <row r="11521" spans="1:1" x14ac:dyDescent="0.25">
      <c r="A11521" s="76" t="s">
        <v>6934</v>
      </c>
    </row>
    <row r="11522" spans="1:1" x14ac:dyDescent="0.25">
      <c r="A11522" s="108" t="s">
        <v>6935</v>
      </c>
    </row>
    <row r="11523" spans="1:1" x14ac:dyDescent="0.25">
      <c r="A11523" s="108" t="s">
        <v>6936</v>
      </c>
    </row>
    <row r="11524" spans="1:1" x14ac:dyDescent="0.25">
      <c r="A11524" s="29" t="s">
        <v>6937</v>
      </c>
    </row>
    <row r="11525" spans="1:1" x14ac:dyDescent="0.25">
      <c r="A11525" s="76" t="s">
        <v>6938</v>
      </c>
    </row>
    <row r="11526" spans="1:1" x14ac:dyDescent="0.25">
      <c r="A11526" s="29" t="s">
        <v>6939</v>
      </c>
    </row>
    <row r="11527" spans="1:1" x14ac:dyDescent="0.25">
      <c r="A11527" s="76" t="s">
        <v>6940</v>
      </c>
    </row>
    <row r="11528" spans="1:1" x14ac:dyDescent="0.25">
      <c r="A11528" s="76" t="s">
        <v>6941</v>
      </c>
    </row>
    <row r="11529" spans="1:1" x14ac:dyDescent="0.25">
      <c r="A11529" s="76" t="s">
        <v>6942</v>
      </c>
    </row>
    <row r="11530" spans="1:1" x14ac:dyDescent="0.25">
      <c r="A11530" s="108" t="s">
        <v>6943</v>
      </c>
    </row>
    <row r="11531" spans="1:1" x14ac:dyDescent="0.25">
      <c r="A11531" s="108" t="s">
        <v>6944</v>
      </c>
    </row>
    <row r="11532" spans="1:1" x14ac:dyDescent="0.25">
      <c r="A11532" s="29" t="s">
        <v>6945</v>
      </c>
    </row>
    <row r="11533" spans="1:1" x14ac:dyDescent="0.25">
      <c r="A11533" s="76" t="s">
        <v>6946</v>
      </c>
    </row>
    <row r="11534" spans="1:1" x14ac:dyDescent="0.25">
      <c r="A11534" s="29" t="s">
        <v>6947</v>
      </c>
    </row>
    <row r="11535" spans="1:1" x14ac:dyDescent="0.25">
      <c r="A11535" s="76" t="s">
        <v>6948</v>
      </c>
    </row>
    <row r="11536" spans="1:1" x14ac:dyDescent="0.25">
      <c r="A11536" s="76" t="s">
        <v>6949</v>
      </c>
    </row>
    <row r="11537" spans="1:1" x14ac:dyDescent="0.25">
      <c r="A11537" s="76" t="s">
        <v>6950</v>
      </c>
    </row>
    <row r="11538" spans="1:1" x14ac:dyDescent="0.25">
      <c r="A11538" s="108" t="s">
        <v>6951</v>
      </c>
    </row>
    <row r="11539" spans="1:1" x14ac:dyDescent="0.25">
      <c r="A11539" s="108" t="s">
        <v>6952</v>
      </c>
    </row>
    <row r="11540" spans="1:1" x14ac:dyDescent="0.25">
      <c r="A11540" s="29" t="s">
        <v>6953</v>
      </c>
    </row>
    <row r="11541" spans="1:1" x14ac:dyDescent="0.25">
      <c r="A11541" s="76" t="s">
        <v>6954</v>
      </c>
    </row>
    <row r="11542" spans="1:1" x14ac:dyDescent="0.25">
      <c r="A11542" s="29" t="s">
        <v>6955</v>
      </c>
    </row>
    <row r="11543" spans="1:1" x14ac:dyDescent="0.25">
      <c r="A11543" s="76" t="s">
        <v>6956</v>
      </c>
    </row>
    <row r="11544" spans="1:1" x14ac:dyDescent="0.25">
      <c r="A11544" s="29" t="s">
        <v>6957</v>
      </c>
    </row>
    <row r="11545" spans="1:1" x14ac:dyDescent="0.25">
      <c r="A11545" s="76" t="s">
        <v>6958</v>
      </c>
    </row>
    <row r="11546" spans="1:1" x14ac:dyDescent="0.25">
      <c r="A11546" s="29" t="s">
        <v>6959</v>
      </c>
    </row>
    <row r="11547" spans="1:1" x14ac:dyDescent="0.25">
      <c r="A11547" s="76" t="s">
        <v>6960</v>
      </c>
    </row>
    <row r="11548" spans="1:1" x14ac:dyDescent="0.25">
      <c r="A11548" s="29" t="s">
        <v>6961</v>
      </c>
    </row>
    <row r="11549" spans="1:1" x14ac:dyDescent="0.25">
      <c r="A11549" s="76" t="s">
        <v>6962</v>
      </c>
    </row>
    <row r="11550" spans="1:1" x14ac:dyDescent="0.25">
      <c r="A11550" s="29" t="s">
        <v>6963</v>
      </c>
    </row>
    <row r="11551" spans="1:1" x14ac:dyDescent="0.25">
      <c r="A11551" s="108" t="s">
        <v>6964</v>
      </c>
    </row>
    <row r="11552" spans="1:1" x14ac:dyDescent="0.25">
      <c r="A11552" s="76" t="s">
        <v>6965</v>
      </c>
    </row>
    <row r="11553" spans="1:1" x14ac:dyDescent="0.25">
      <c r="A11553" s="76" t="s">
        <v>6966</v>
      </c>
    </row>
    <row r="11554" spans="1:1" x14ac:dyDescent="0.25">
      <c r="A11554" s="29" t="s">
        <v>6967</v>
      </c>
    </row>
    <row r="11555" spans="1:1" x14ac:dyDescent="0.25">
      <c r="A11555" s="76" t="s">
        <v>6968</v>
      </c>
    </row>
    <row r="11556" spans="1:1" x14ac:dyDescent="0.25">
      <c r="A11556" s="29" t="s">
        <v>6969</v>
      </c>
    </row>
    <row r="11557" spans="1:1" x14ac:dyDescent="0.25">
      <c r="A11557" s="76" t="s">
        <v>6970</v>
      </c>
    </row>
    <row r="11558" spans="1:1" x14ac:dyDescent="0.25">
      <c r="A11558" s="29" t="s">
        <v>6971</v>
      </c>
    </row>
    <row r="11559" spans="1:1" x14ac:dyDescent="0.25">
      <c r="A11559" s="76" t="s">
        <v>6972</v>
      </c>
    </row>
    <row r="11560" spans="1:1" x14ac:dyDescent="0.25">
      <c r="A11560" s="29" t="s">
        <v>6973</v>
      </c>
    </row>
    <row r="11561" spans="1:1" x14ac:dyDescent="0.25">
      <c r="A11561" s="76" t="s">
        <v>6974</v>
      </c>
    </row>
    <row r="11562" spans="1:1" x14ac:dyDescent="0.25">
      <c r="A11562" s="29" t="s">
        <v>6975</v>
      </c>
    </row>
    <row r="11563" spans="1:1" x14ac:dyDescent="0.25">
      <c r="A11563" s="76" t="s">
        <v>6976</v>
      </c>
    </row>
    <row r="11564" spans="1:1" x14ac:dyDescent="0.25">
      <c r="A11564" s="29" t="s">
        <v>6977</v>
      </c>
    </row>
    <row r="11565" spans="1:1" x14ac:dyDescent="0.25">
      <c r="A11565" s="76" t="s">
        <v>6978</v>
      </c>
    </row>
    <row r="11566" spans="1:1" x14ac:dyDescent="0.25">
      <c r="A11566" s="29" t="s">
        <v>6979</v>
      </c>
    </row>
    <row r="11567" spans="1:1" x14ac:dyDescent="0.25">
      <c r="A11567" s="76" t="s">
        <v>6980</v>
      </c>
    </row>
    <row r="11568" spans="1:1" x14ac:dyDescent="0.25">
      <c r="A11568" s="29" t="s">
        <v>6981</v>
      </c>
    </row>
    <row r="11569" spans="1:1" x14ac:dyDescent="0.25">
      <c r="A11569" s="76" t="s">
        <v>6982</v>
      </c>
    </row>
    <row r="11570" spans="1:1" x14ac:dyDescent="0.25">
      <c r="A11570" s="29" t="s">
        <v>6983</v>
      </c>
    </row>
    <row r="11571" spans="1:1" x14ac:dyDescent="0.25">
      <c r="A11571" s="76" t="s">
        <v>6984</v>
      </c>
    </row>
    <row r="11572" spans="1:1" x14ac:dyDescent="0.25">
      <c r="A11572" s="29" t="s">
        <v>6985</v>
      </c>
    </row>
    <row r="11573" spans="1:1" x14ac:dyDescent="0.25">
      <c r="A11573" s="76" t="s">
        <v>6986</v>
      </c>
    </row>
    <row r="11574" spans="1:1" x14ac:dyDescent="0.25">
      <c r="A11574" s="29" t="s">
        <v>6987</v>
      </c>
    </row>
    <row r="11575" spans="1:1" x14ac:dyDescent="0.25">
      <c r="A11575" s="76" t="s">
        <v>6988</v>
      </c>
    </row>
    <row r="11576" spans="1:1" x14ac:dyDescent="0.25">
      <c r="A11576" s="29" t="s">
        <v>6989</v>
      </c>
    </row>
    <row r="11577" spans="1:1" x14ac:dyDescent="0.25">
      <c r="A11577" s="76" t="s">
        <v>6990</v>
      </c>
    </row>
    <row r="11578" spans="1:1" x14ac:dyDescent="0.25">
      <c r="A11578" s="29" t="s">
        <v>6991</v>
      </c>
    </row>
    <row r="11579" spans="1:1" x14ac:dyDescent="0.25">
      <c r="A11579" s="76" t="s">
        <v>6992</v>
      </c>
    </row>
    <row r="11580" spans="1:1" x14ac:dyDescent="0.25">
      <c r="A11580" s="29" t="s">
        <v>6993</v>
      </c>
    </row>
    <row r="11581" spans="1:1" x14ac:dyDescent="0.25">
      <c r="A11581" s="76" t="s">
        <v>6994</v>
      </c>
    </row>
    <row r="11582" spans="1:1" x14ac:dyDescent="0.25">
      <c r="A11582" s="29" t="s">
        <v>6995</v>
      </c>
    </row>
    <row r="11583" spans="1:1" x14ac:dyDescent="0.25">
      <c r="A11583" s="76" t="s">
        <v>6996</v>
      </c>
    </row>
    <row r="11584" spans="1:1" x14ac:dyDescent="0.25">
      <c r="A11584" s="29" t="s">
        <v>6997</v>
      </c>
    </row>
    <row r="11585" spans="1:1" x14ac:dyDescent="0.25">
      <c r="A11585" s="76" t="s">
        <v>6998</v>
      </c>
    </row>
    <row r="11586" spans="1:1" x14ac:dyDescent="0.25">
      <c r="A11586" s="29" t="s">
        <v>6999</v>
      </c>
    </row>
    <row r="11587" spans="1:1" x14ac:dyDescent="0.25">
      <c r="A11587" s="76" t="s">
        <v>7000</v>
      </c>
    </row>
    <row r="11588" spans="1:1" x14ac:dyDescent="0.25">
      <c r="A11588" s="29" t="s">
        <v>7001</v>
      </c>
    </row>
    <row r="11589" spans="1:1" x14ac:dyDescent="0.25">
      <c r="A11589" s="76" t="s">
        <v>7002</v>
      </c>
    </row>
    <row r="11590" spans="1:1" x14ac:dyDescent="0.25">
      <c r="A11590" s="29" t="s">
        <v>7003</v>
      </c>
    </row>
    <row r="11591" spans="1:1" x14ac:dyDescent="0.25">
      <c r="A11591" s="76" t="s">
        <v>7004</v>
      </c>
    </row>
    <row r="11592" spans="1:1" x14ac:dyDescent="0.25">
      <c r="A11592" s="29" t="s">
        <v>7005</v>
      </c>
    </row>
    <row r="11593" spans="1:1" x14ac:dyDescent="0.25">
      <c r="A11593" s="76" t="s">
        <v>7006</v>
      </c>
    </row>
    <row r="11594" spans="1:1" x14ac:dyDescent="0.25">
      <c r="A11594" s="29" t="s">
        <v>7007</v>
      </c>
    </row>
    <row r="11595" spans="1:1" x14ac:dyDescent="0.25">
      <c r="A11595" s="76" t="s">
        <v>7008</v>
      </c>
    </row>
    <row r="11596" spans="1:1" x14ac:dyDescent="0.25">
      <c r="A11596" s="29" t="s">
        <v>7009</v>
      </c>
    </row>
    <row r="11597" spans="1:1" x14ac:dyDescent="0.25">
      <c r="A11597" s="108" t="s">
        <v>7010</v>
      </c>
    </row>
    <row r="11598" spans="1:1" x14ac:dyDescent="0.25">
      <c r="A11598" s="76" t="s">
        <v>7011</v>
      </c>
    </row>
    <row r="11599" spans="1:1" x14ac:dyDescent="0.25">
      <c r="A11599" s="108" t="s">
        <v>7012</v>
      </c>
    </row>
    <row r="11600" spans="1:1" x14ac:dyDescent="0.25">
      <c r="A11600" s="76" t="s">
        <v>7013</v>
      </c>
    </row>
    <row r="11601" spans="1:1" x14ac:dyDescent="0.25">
      <c r="A11601" s="108" t="s">
        <v>7014</v>
      </c>
    </row>
    <row r="11602" spans="1:1" x14ac:dyDescent="0.25">
      <c r="A11602" s="76" t="s">
        <v>7015</v>
      </c>
    </row>
    <row r="11603" spans="1:1" x14ac:dyDescent="0.25">
      <c r="A11603" s="76" t="s">
        <v>7016</v>
      </c>
    </row>
    <row r="11604" spans="1:1" x14ac:dyDescent="0.25">
      <c r="A11604" s="29" t="s">
        <v>7017</v>
      </c>
    </row>
    <row r="11605" spans="1:1" x14ac:dyDescent="0.25">
      <c r="A11605" s="76" t="s">
        <v>7018</v>
      </c>
    </row>
    <row r="11606" spans="1:1" x14ac:dyDescent="0.25">
      <c r="A11606" s="29" t="s">
        <v>7019</v>
      </c>
    </row>
    <row r="11607" spans="1:1" x14ac:dyDescent="0.25">
      <c r="A11607" s="108" t="s">
        <v>7020</v>
      </c>
    </row>
    <row r="11608" spans="1:1" x14ac:dyDescent="0.25">
      <c r="A11608" s="76" t="s">
        <v>7021</v>
      </c>
    </row>
    <row r="11609" spans="1:1" x14ac:dyDescent="0.25">
      <c r="A11609" s="76" t="s">
        <v>7022</v>
      </c>
    </row>
    <row r="11610" spans="1:1" x14ac:dyDescent="0.25">
      <c r="A11610" s="29" t="s">
        <v>7023</v>
      </c>
    </row>
    <row r="11611" spans="1:1" x14ac:dyDescent="0.25">
      <c r="A11611" s="76" t="s">
        <v>7024</v>
      </c>
    </row>
    <row r="11612" spans="1:1" x14ac:dyDescent="0.25">
      <c r="A11612" s="29" t="s">
        <v>7025</v>
      </c>
    </row>
    <row r="11613" spans="1:1" x14ac:dyDescent="0.25">
      <c r="A11613" s="76" t="s">
        <v>7026</v>
      </c>
    </row>
    <row r="11614" spans="1:1" x14ac:dyDescent="0.25">
      <c r="A11614" s="29" t="s">
        <v>7027</v>
      </c>
    </row>
    <row r="11615" spans="1:1" x14ac:dyDescent="0.25">
      <c r="A11615" s="76" t="s">
        <v>7028</v>
      </c>
    </row>
    <row r="11616" spans="1:1" x14ac:dyDescent="0.25">
      <c r="A11616" s="29" t="s">
        <v>7029</v>
      </c>
    </row>
    <row r="11617" spans="1:1" x14ac:dyDescent="0.25">
      <c r="A11617" s="76" t="s">
        <v>7030</v>
      </c>
    </row>
    <row r="11618" spans="1:1" x14ac:dyDescent="0.25">
      <c r="A11618" s="29" t="s">
        <v>7031</v>
      </c>
    </row>
    <row r="11619" spans="1:1" x14ac:dyDescent="0.25">
      <c r="A11619" s="76" t="s">
        <v>7032</v>
      </c>
    </row>
    <row r="11620" spans="1:1" x14ac:dyDescent="0.25">
      <c r="A11620" s="29" t="s">
        <v>7033</v>
      </c>
    </row>
    <row r="11621" spans="1:1" x14ac:dyDescent="0.25">
      <c r="A11621" s="76" t="s">
        <v>7034</v>
      </c>
    </row>
    <row r="11622" spans="1:1" x14ac:dyDescent="0.25">
      <c r="A11622" s="29" t="s">
        <v>7035</v>
      </c>
    </row>
    <row r="11623" spans="1:1" x14ac:dyDescent="0.25">
      <c r="A11623" s="108" t="s">
        <v>7036</v>
      </c>
    </row>
    <row r="11624" spans="1:1" x14ac:dyDescent="0.25">
      <c r="A11624" s="76" t="s">
        <v>7037</v>
      </c>
    </row>
    <row r="11625" spans="1:1" x14ac:dyDescent="0.25">
      <c r="A11625" s="76" t="s">
        <v>7038</v>
      </c>
    </row>
    <row r="11626" spans="1:1" x14ac:dyDescent="0.25">
      <c r="A11626" s="29" t="s">
        <v>7039</v>
      </c>
    </row>
    <row r="11627" spans="1:1" x14ac:dyDescent="0.25">
      <c r="A11627" s="76" t="s">
        <v>7040</v>
      </c>
    </row>
    <row r="11628" spans="1:1" x14ac:dyDescent="0.25">
      <c r="A11628" s="76" t="s">
        <v>7041</v>
      </c>
    </row>
    <row r="11629" spans="1:1" x14ac:dyDescent="0.25">
      <c r="A11629" s="76" t="s">
        <v>7042</v>
      </c>
    </row>
    <row r="11630" spans="1:1" x14ac:dyDescent="0.25">
      <c r="A11630" s="108" t="s">
        <v>7043</v>
      </c>
    </row>
    <row r="11631" spans="1:1" x14ac:dyDescent="0.25">
      <c r="A11631" s="108" t="s">
        <v>7044</v>
      </c>
    </row>
    <row r="11632" spans="1:1" x14ac:dyDescent="0.25">
      <c r="A11632" s="29" t="s">
        <v>7045</v>
      </c>
    </row>
    <row r="11633" spans="1:1" x14ac:dyDescent="0.25">
      <c r="A11633" s="76" t="s">
        <v>7046</v>
      </c>
    </row>
    <row r="11634" spans="1:1" x14ac:dyDescent="0.25">
      <c r="A11634" s="29" t="s">
        <v>7047</v>
      </c>
    </row>
    <row r="11635" spans="1:1" x14ac:dyDescent="0.25">
      <c r="A11635" s="76" t="s">
        <v>7048</v>
      </c>
    </row>
    <row r="11636" spans="1:1" x14ac:dyDescent="0.25">
      <c r="A11636" s="76" t="s">
        <v>7049</v>
      </c>
    </row>
    <row r="11637" spans="1:1" x14ac:dyDescent="0.25">
      <c r="A11637" s="76" t="s">
        <v>7050</v>
      </c>
    </row>
    <row r="11638" spans="1:1" x14ac:dyDescent="0.25">
      <c r="A11638" s="108" t="s">
        <v>7051</v>
      </c>
    </row>
    <row r="11639" spans="1:1" x14ac:dyDescent="0.25">
      <c r="A11639" s="108" t="s">
        <v>7052</v>
      </c>
    </row>
    <row r="11640" spans="1:1" x14ac:dyDescent="0.25">
      <c r="A11640" s="29" t="s">
        <v>7053</v>
      </c>
    </row>
    <row r="11641" spans="1:1" x14ac:dyDescent="0.25">
      <c r="A11641" s="76" t="s">
        <v>7054</v>
      </c>
    </row>
    <row r="11642" spans="1:1" x14ac:dyDescent="0.25">
      <c r="A11642" s="29" t="s">
        <v>7055</v>
      </c>
    </row>
    <row r="11643" spans="1:1" x14ac:dyDescent="0.25">
      <c r="A11643" s="76" t="s">
        <v>7056</v>
      </c>
    </row>
    <row r="11644" spans="1:1" x14ac:dyDescent="0.25">
      <c r="A11644" s="76" t="s">
        <v>7057</v>
      </c>
    </row>
    <row r="11645" spans="1:1" x14ac:dyDescent="0.25">
      <c r="A11645" s="76" t="s">
        <v>7058</v>
      </c>
    </row>
    <row r="11646" spans="1:1" x14ac:dyDescent="0.25">
      <c r="A11646" s="108" t="s">
        <v>7059</v>
      </c>
    </row>
    <row r="11647" spans="1:1" x14ac:dyDescent="0.25">
      <c r="A11647" s="108" t="s">
        <v>7060</v>
      </c>
    </row>
    <row r="11648" spans="1:1" x14ac:dyDescent="0.25">
      <c r="A11648" s="29" t="s">
        <v>7061</v>
      </c>
    </row>
    <row r="11649" spans="1:1" x14ac:dyDescent="0.25">
      <c r="A11649" s="76" t="s">
        <v>7062</v>
      </c>
    </row>
    <row r="11650" spans="1:1" x14ac:dyDescent="0.25">
      <c r="A11650" s="29" t="s">
        <v>7063</v>
      </c>
    </row>
    <row r="11651" spans="1:1" x14ac:dyDescent="0.25">
      <c r="A11651" s="76" t="s">
        <v>7064</v>
      </c>
    </row>
    <row r="11652" spans="1:1" x14ac:dyDescent="0.25">
      <c r="A11652" s="76" t="s">
        <v>7065</v>
      </c>
    </row>
    <row r="11653" spans="1:1" x14ac:dyDescent="0.25">
      <c r="A11653" s="76" t="s">
        <v>7066</v>
      </c>
    </row>
    <row r="11654" spans="1:1" x14ac:dyDescent="0.25">
      <c r="A11654" s="108" t="s">
        <v>7067</v>
      </c>
    </row>
    <row r="11655" spans="1:1" x14ac:dyDescent="0.25">
      <c r="A11655" s="108" t="s">
        <v>7068</v>
      </c>
    </row>
    <row r="11656" spans="1:1" x14ac:dyDescent="0.25">
      <c r="A11656" s="29" t="s">
        <v>7069</v>
      </c>
    </row>
    <row r="11657" spans="1:1" x14ac:dyDescent="0.25">
      <c r="A11657" s="76" t="s">
        <v>7070</v>
      </c>
    </row>
    <row r="11658" spans="1:1" x14ac:dyDescent="0.25">
      <c r="A11658" s="29" t="s">
        <v>7071</v>
      </c>
    </row>
    <row r="11659" spans="1:1" x14ac:dyDescent="0.25">
      <c r="A11659" s="76" t="s">
        <v>7072</v>
      </c>
    </row>
    <row r="11660" spans="1:1" x14ac:dyDescent="0.25">
      <c r="A11660" s="76" t="s">
        <v>7073</v>
      </c>
    </row>
    <row r="11661" spans="1:1" x14ac:dyDescent="0.25">
      <c r="A11661" s="76" t="s">
        <v>7074</v>
      </c>
    </row>
    <row r="11662" spans="1:1" x14ac:dyDescent="0.25">
      <c r="A11662" s="108" t="s">
        <v>7075</v>
      </c>
    </row>
    <row r="11663" spans="1:1" x14ac:dyDescent="0.25">
      <c r="A11663" s="108" t="s">
        <v>7076</v>
      </c>
    </row>
    <row r="11664" spans="1:1" x14ac:dyDescent="0.25">
      <c r="A11664" s="29" t="s">
        <v>7077</v>
      </c>
    </row>
    <row r="11665" spans="1:1" x14ac:dyDescent="0.25">
      <c r="A11665" s="76" t="s">
        <v>7078</v>
      </c>
    </row>
    <row r="11666" spans="1:1" x14ac:dyDescent="0.25">
      <c r="A11666" s="29" t="s">
        <v>7079</v>
      </c>
    </row>
    <row r="11667" spans="1:1" x14ac:dyDescent="0.25">
      <c r="A11667" s="76" t="s">
        <v>7080</v>
      </c>
    </row>
    <row r="11668" spans="1:1" x14ac:dyDescent="0.25">
      <c r="A11668" s="76" t="s">
        <v>7081</v>
      </c>
    </row>
    <row r="11669" spans="1:1" x14ac:dyDescent="0.25">
      <c r="A11669" s="76" t="s">
        <v>7082</v>
      </c>
    </row>
    <row r="11670" spans="1:1" x14ac:dyDescent="0.25">
      <c r="A11670" s="108" t="s">
        <v>7083</v>
      </c>
    </row>
    <row r="11671" spans="1:1" x14ac:dyDescent="0.25">
      <c r="A11671" s="108" t="s">
        <v>7084</v>
      </c>
    </row>
    <row r="11672" spans="1:1" x14ac:dyDescent="0.25">
      <c r="A11672" s="29" t="s">
        <v>7085</v>
      </c>
    </row>
    <row r="11673" spans="1:1" x14ac:dyDescent="0.25">
      <c r="A11673" s="76" t="s">
        <v>7086</v>
      </c>
    </row>
    <row r="11674" spans="1:1" x14ac:dyDescent="0.25">
      <c r="A11674" s="29" t="s">
        <v>7087</v>
      </c>
    </row>
    <row r="11675" spans="1:1" x14ac:dyDescent="0.25">
      <c r="A11675" s="108" t="s">
        <v>7088</v>
      </c>
    </row>
    <row r="11676" spans="1:1" x14ac:dyDescent="0.25">
      <c r="A11676" s="76" t="s">
        <v>7089</v>
      </c>
    </row>
    <row r="11677" spans="1:1" x14ac:dyDescent="0.25">
      <c r="A11677" s="76" t="s">
        <v>7090</v>
      </c>
    </row>
    <row r="11678" spans="1:1" x14ac:dyDescent="0.25">
      <c r="A11678" s="29" t="s">
        <v>7091</v>
      </c>
    </row>
    <row r="11679" spans="1:1" x14ac:dyDescent="0.25">
      <c r="A11679" s="76" t="s">
        <v>7092</v>
      </c>
    </row>
    <row r="11680" spans="1:1" x14ac:dyDescent="0.25">
      <c r="A11680" s="29" t="s">
        <v>7093</v>
      </c>
    </row>
    <row r="11681" spans="1:1" x14ac:dyDescent="0.25">
      <c r="A11681" s="108" t="s">
        <v>7094</v>
      </c>
    </row>
    <row r="11682" spans="1:1" x14ac:dyDescent="0.25">
      <c r="A11682" s="76" t="s">
        <v>7095</v>
      </c>
    </row>
    <row r="11683" spans="1:1" x14ac:dyDescent="0.25">
      <c r="A11683" s="76" t="s">
        <v>7096</v>
      </c>
    </row>
    <row r="11684" spans="1:1" x14ac:dyDescent="0.25">
      <c r="A11684" s="29" t="s">
        <v>7097</v>
      </c>
    </row>
    <row r="11685" spans="1:1" x14ac:dyDescent="0.25">
      <c r="A11685" s="76" t="s">
        <v>7098</v>
      </c>
    </row>
    <row r="11686" spans="1:1" x14ac:dyDescent="0.25">
      <c r="A11686" s="29" t="s">
        <v>7099</v>
      </c>
    </row>
    <row r="11687" spans="1:1" x14ac:dyDescent="0.25">
      <c r="A11687" s="108" t="s">
        <v>7100</v>
      </c>
    </row>
    <row r="11688" spans="1:1" x14ac:dyDescent="0.25">
      <c r="A11688" s="76" t="s">
        <v>7101</v>
      </c>
    </row>
    <row r="11689" spans="1:1" x14ac:dyDescent="0.25">
      <c r="A11689" s="108" t="s">
        <v>7102</v>
      </c>
    </row>
    <row r="11690" spans="1:1" x14ac:dyDescent="0.25">
      <c r="A11690" s="76" t="s">
        <v>7103</v>
      </c>
    </row>
    <row r="11691" spans="1:1" x14ac:dyDescent="0.25">
      <c r="A11691" s="108" t="s">
        <v>7104</v>
      </c>
    </row>
    <row r="11692" spans="1:1" x14ac:dyDescent="0.25">
      <c r="A11692" s="76" t="s">
        <v>7105</v>
      </c>
    </row>
    <row r="11693" spans="1:1" x14ac:dyDescent="0.25">
      <c r="A11693" s="76" t="s">
        <v>7106</v>
      </c>
    </row>
    <row r="11694" spans="1:1" x14ac:dyDescent="0.25">
      <c r="A11694" s="29" t="s">
        <v>7107</v>
      </c>
    </row>
    <row r="11695" spans="1:1" x14ac:dyDescent="0.25">
      <c r="A11695" s="76" t="s">
        <v>7108</v>
      </c>
    </row>
    <row r="11696" spans="1:1" x14ac:dyDescent="0.25">
      <c r="A11696" s="29" t="s">
        <v>7109</v>
      </c>
    </row>
    <row r="11697" spans="1:1" x14ac:dyDescent="0.25">
      <c r="A11697" s="76" t="s">
        <v>7110</v>
      </c>
    </row>
    <row r="11698" spans="1:1" x14ac:dyDescent="0.25">
      <c r="A11698" s="29" t="s">
        <v>7111</v>
      </c>
    </row>
    <row r="11699" spans="1:1" x14ac:dyDescent="0.25">
      <c r="A11699" s="76" t="s">
        <v>7112</v>
      </c>
    </row>
    <row r="11700" spans="1:1" x14ac:dyDescent="0.25">
      <c r="A11700" s="29" t="s">
        <v>7113</v>
      </c>
    </row>
    <row r="11701" spans="1:1" x14ac:dyDescent="0.25">
      <c r="A11701" s="108" t="s">
        <v>7114</v>
      </c>
    </row>
    <row r="11702" spans="1:1" x14ac:dyDescent="0.25">
      <c r="A11702" s="76" t="s">
        <v>7115</v>
      </c>
    </row>
    <row r="11703" spans="1:1" x14ac:dyDescent="0.25">
      <c r="A11703" s="76" t="s">
        <v>7116</v>
      </c>
    </row>
    <row r="11704" spans="1:1" x14ac:dyDescent="0.25">
      <c r="A11704" s="76" t="s">
        <v>7117</v>
      </c>
    </row>
    <row r="11705" spans="1:1" x14ac:dyDescent="0.25">
      <c r="A11705" s="76" t="s">
        <v>7118</v>
      </c>
    </row>
    <row r="11706" spans="1:1" x14ac:dyDescent="0.25">
      <c r="A11706" s="108" t="s">
        <v>7119</v>
      </c>
    </row>
    <row r="11707" spans="1:1" x14ac:dyDescent="0.25">
      <c r="A11707" s="108" t="s">
        <v>7120</v>
      </c>
    </row>
    <row r="11708" spans="1:1" x14ac:dyDescent="0.25">
      <c r="A11708" s="29" t="s">
        <v>7121</v>
      </c>
    </row>
    <row r="11709" spans="1:1" x14ac:dyDescent="0.25">
      <c r="A11709" s="76" t="s">
        <v>7122</v>
      </c>
    </row>
    <row r="11710" spans="1:1" x14ac:dyDescent="0.25">
      <c r="A11710" s="29" t="s">
        <v>7123</v>
      </c>
    </row>
    <row r="11711" spans="1:1" x14ac:dyDescent="0.25">
      <c r="A11711" s="76" t="s">
        <v>7124</v>
      </c>
    </row>
    <row r="11712" spans="1:1" x14ac:dyDescent="0.25">
      <c r="A11712" s="76" t="s">
        <v>7125</v>
      </c>
    </row>
    <row r="11713" spans="1:1" x14ac:dyDescent="0.25">
      <c r="A11713" s="76" t="s">
        <v>7126</v>
      </c>
    </row>
    <row r="11714" spans="1:1" x14ac:dyDescent="0.25">
      <c r="A11714" s="108" t="s">
        <v>7127</v>
      </c>
    </row>
    <row r="11715" spans="1:1" x14ac:dyDescent="0.25">
      <c r="A11715" s="108" t="s">
        <v>7128</v>
      </c>
    </row>
    <row r="11716" spans="1:1" x14ac:dyDescent="0.25">
      <c r="A11716" s="29" t="s">
        <v>7129</v>
      </c>
    </row>
    <row r="11717" spans="1:1" x14ac:dyDescent="0.25">
      <c r="A11717" s="76" t="s">
        <v>7130</v>
      </c>
    </row>
    <row r="11718" spans="1:1" x14ac:dyDescent="0.25">
      <c r="A11718" s="29" t="s">
        <v>7131</v>
      </c>
    </row>
    <row r="11719" spans="1:1" x14ac:dyDescent="0.25">
      <c r="A11719" s="76" t="s">
        <v>7132</v>
      </c>
    </row>
    <row r="11720" spans="1:1" x14ac:dyDescent="0.25">
      <c r="A11720" s="76" t="s">
        <v>7133</v>
      </c>
    </row>
    <row r="11721" spans="1:1" x14ac:dyDescent="0.25">
      <c r="A11721" s="76" t="s">
        <v>7134</v>
      </c>
    </row>
    <row r="11722" spans="1:1" x14ac:dyDescent="0.25">
      <c r="A11722" s="108" t="s">
        <v>7135</v>
      </c>
    </row>
    <row r="11723" spans="1:1" x14ac:dyDescent="0.25">
      <c r="A11723" s="108" t="s">
        <v>7136</v>
      </c>
    </row>
    <row r="11724" spans="1:1" x14ac:dyDescent="0.25">
      <c r="A11724" s="29" t="s">
        <v>7137</v>
      </c>
    </row>
    <row r="11725" spans="1:1" x14ac:dyDescent="0.25">
      <c r="A11725" s="76" t="s">
        <v>7138</v>
      </c>
    </row>
    <row r="11726" spans="1:1" x14ac:dyDescent="0.25">
      <c r="A11726" s="29" t="s">
        <v>7139</v>
      </c>
    </row>
    <row r="11727" spans="1:1" x14ac:dyDescent="0.25">
      <c r="A11727" s="76" t="s">
        <v>7140</v>
      </c>
    </row>
    <row r="11728" spans="1:1" x14ac:dyDescent="0.25">
      <c r="A11728" s="76" t="s">
        <v>7141</v>
      </c>
    </row>
    <row r="11729" spans="1:1" x14ac:dyDescent="0.25">
      <c r="A11729" s="76" t="s">
        <v>7142</v>
      </c>
    </row>
    <row r="11730" spans="1:1" x14ac:dyDescent="0.25">
      <c r="A11730" s="108" t="s">
        <v>7143</v>
      </c>
    </row>
    <row r="11731" spans="1:1" x14ac:dyDescent="0.25">
      <c r="A11731" s="108" t="s">
        <v>7144</v>
      </c>
    </row>
    <row r="11732" spans="1:1" x14ac:dyDescent="0.25">
      <c r="A11732" s="29" t="s">
        <v>7145</v>
      </c>
    </row>
    <row r="11733" spans="1:1" x14ac:dyDescent="0.25">
      <c r="A11733" s="76" t="s">
        <v>7146</v>
      </c>
    </row>
    <row r="11734" spans="1:1" x14ac:dyDescent="0.25">
      <c r="A11734" s="29" t="s">
        <v>7147</v>
      </c>
    </row>
    <row r="11735" spans="1:1" x14ac:dyDescent="0.25">
      <c r="A11735" s="76" t="s">
        <v>7148</v>
      </c>
    </row>
    <row r="11736" spans="1:1" x14ac:dyDescent="0.25">
      <c r="A11736" s="76" t="s">
        <v>7149</v>
      </c>
    </row>
    <row r="11737" spans="1:1" x14ac:dyDescent="0.25">
      <c r="A11737" s="76" t="s">
        <v>7150</v>
      </c>
    </row>
    <row r="11738" spans="1:1" x14ac:dyDescent="0.25">
      <c r="A11738" s="108" t="s">
        <v>7151</v>
      </c>
    </row>
    <row r="11739" spans="1:1" x14ac:dyDescent="0.25">
      <c r="A11739" s="108" t="s">
        <v>7152</v>
      </c>
    </row>
    <row r="11740" spans="1:1" x14ac:dyDescent="0.25">
      <c r="A11740" s="29" t="s">
        <v>7153</v>
      </c>
    </row>
    <row r="11741" spans="1:1" x14ac:dyDescent="0.25">
      <c r="A11741" s="76" t="s">
        <v>7154</v>
      </c>
    </row>
    <row r="11742" spans="1:1" x14ac:dyDescent="0.25">
      <c r="A11742" s="29" t="s">
        <v>7155</v>
      </c>
    </row>
    <row r="11743" spans="1:1" x14ac:dyDescent="0.25">
      <c r="A11743" s="76" t="s">
        <v>7156</v>
      </c>
    </row>
    <row r="11744" spans="1:1" x14ac:dyDescent="0.25">
      <c r="A11744" s="76" t="s">
        <v>7157</v>
      </c>
    </row>
    <row r="11745" spans="1:1" x14ac:dyDescent="0.25">
      <c r="A11745" s="76" t="s">
        <v>7158</v>
      </c>
    </row>
    <row r="11746" spans="1:1" x14ac:dyDescent="0.25">
      <c r="A11746" s="108" t="s">
        <v>7159</v>
      </c>
    </row>
    <row r="11747" spans="1:1" x14ac:dyDescent="0.25">
      <c r="A11747" s="108" t="s">
        <v>7160</v>
      </c>
    </row>
    <row r="11748" spans="1:1" x14ac:dyDescent="0.25">
      <c r="A11748" s="29" t="s">
        <v>7161</v>
      </c>
    </row>
    <row r="11749" spans="1:1" x14ac:dyDescent="0.25">
      <c r="A11749" s="76" t="s">
        <v>7162</v>
      </c>
    </row>
    <row r="11750" spans="1:1" x14ac:dyDescent="0.25">
      <c r="A11750" s="29" t="s">
        <v>7163</v>
      </c>
    </row>
    <row r="11751" spans="1:1" x14ac:dyDescent="0.25">
      <c r="A11751" s="108" t="s">
        <v>7164</v>
      </c>
    </row>
    <row r="11752" spans="1:1" x14ac:dyDescent="0.25">
      <c r="A11752" s="76" t="s">
        <v>7165</v>
      </c>
    </row>
    <row r="11753" spans="1:1" x14ac:dyDescent="0.25">
      <c r="A11753" s="76" t="s">
        <v>7166</v>
      </c>
    </row>
    <row r="11754" spans="1:1" x14ac:dyDescent="0.25">
      <c r="A11754" s="29" t="s">
        <v>7167</v>
      </c>
    </row>
    <row r="11755" spans="1:1" x14ac:dyDescent="0.25">
      <c r="A11755" s="76" t="s">
        <v>7168</v>
      </c>
    </row>
    <row r="11756" spans="1:1" x14ac:dyDescent="0.25">
      <c r="A11756" s="29" t="s">
        <v>7169</v>
      </c>
    </row>
    <row r="11757" spans="1:1" x14ac:dyDescent="0.25">
      <c r="A11757" s="76" t="s">
        <v>7170</v>
      </c>
    </row>
    <row r="11758" spans="1:1" x14ac:dyDescent="0.25">
      <c r="A11758" s="29" t="s">
        <v>7171</v>
      </c>
    </row>
    <row r="11759" spans="1:1" x14ac:dyDescent="0.25">
      <c r="A11759" s="76" t="s">
        <v>7172</v>
      </c>
    </row>
    <row r="11760" spans="1:1" x14ac:dyDescent="0.25">
      <c r="A11760" s="29" t="s">
        <v>7173</v>
      </c>
    </row>
    <row r="11761" spans="1:1" x14ac:dyDescent="0.25">
      <c r="A11761" s="76" t="s">
        <v>7174</v>
      </c>
    </row>
    <row r="11762" spans="1:1" x14ac:dyDescent="0.25">
      <c r="A11762" s="29" t="s">
        <v>7175</v>
      </c>
    </row>
    <row r="11763" spans="1:1" x14ac:dyDescent="0.25">
      <c r="A11763" s="76" t="s">
        <v>7176</v>
      </c>
    </row>
    <row r="11764" spans="1:1" x14ac:dyDescent="0.25">
      <c r="A11764" s="29" t="s">
        <v>7177</v>
      </c>
    </row>
    <row r="11765" spans="1:1" x14ac:dyDescent="0.25">
      <c r="A11765" s="76" t="s">
        <v>7178</v>
      </c>
    </row>
    <row r="11766" spans="1:1" x14ac:dyDescent="0.25">
      <c r="A11766" s="29" t="s">
        <v>7179</v>
      </c>
    </row>
    <row r="11767" spans="1:1" x14ac:dyDescent="0.25">
      <c r="A11767" s="76" t="s">
        <v>7180</v>
      </c>
    </row>
    <row r="11768" spans="1:1" x14ac:dyDescent="0.25">
      <c r="A11768" s="29" t="s">
        <v>7181</v>
      </c>
    </row>
    <row r="11769" spans="1:1" x14ac:dyDescent="0.25">
      <c r="A11769" s="76" t="s">
        <v>7182</v>
      </c>
    </row>
    <row r="11770" spans="1:1" x14ac:dyDescent="0.25">
      <c r="A11770" s="29" t="s">
        <v>7183</v>
      </c>
    </row>
    <row r="11771" spans="1:1" x14ac:dyDescent="0.25">
      <c r="A11771" s="76" t="s">
        <v>7184</v>
      </c>
    </row>
    <row r="11772" spans="1:1" x14ac:dyDescent="0.25">
      <c r="A11772" s="29" t="s">
        <v>7185</v>
      </c>
    </row>
    <row r="11773" spans="1:1" x14ac:dyDescent="0.25">
      <c r="A11773" s="76" t="s">
        <v>7186</v>
      </c>
    </row>
    <row r="11774" spans="1:1" x14ac:dyDescent="0.25">
      <c r="A11774" s="29" t="s">
        <v>7187</v>
      </c>
    </row>
    <row r="11775" spans="1:1" x14ac:dyDescent="0.25">
      <c r="A11775" s="76" t="s">
        <v>7188</v>
      </c>
    </row>
    <row r="11776" spans="1:1" x14ac:dyDescent="0.25">
      <c r="A11776" s="29" t="s">
        <v>7189</v>
      </c>
    </row>
    <row r="11777" spans="1:1" x14ac:dyDescent="0.25">
      <c r="A11777" s="76" t="s">
        <v>7190</v>
      </c>
    </row>
    <row r="11778" spans="1:1" x14ac:dyDescent="0.25">
      <c r="A11778" s="29" t="s">
        <v>7191</v>
      </c>
    </row>
    <row r="11779" spans="1:1" x14ac:dyDescent="0.25">
      <c r="A11779" s="76" t="s">
        <v>7192</v>
      </c>
    </row>
    <row r="11780" spans="1:1" x14ac:dyDescent="0.25">
      <c r="A11780" s="29" t="s">
        <v>7193</v>
      </c>
    </row>
    <row r="11781" spans="1:1" x14ac:dyDescent="0.25">
      <c r="A11781" s="76" t="s">
        <v>7194</v>
      </c>
    </row>
    <row r="11782" spans="1:1" x14ac:dyDescent="0.25">
      <c r="A11782" s="29" t="s">
        <v>7195</v>
      </c>
    </row>
    <row r="11783" spans="1:1" x14ac:dyDescent="0.25">
      <c r="A11783" s="108" t="s">
        <v>7196</v>
      </c>
    </row>
    <row r="11784" spans="1:1" x14ac:dyDescent="0.25">
      <c r="A11784" s="76" t="s">
        <v>7197</v>
      </c>
    </row>
    <row r="11785" spans="1:1" x14ac:dyDescent="0.25">
      <c r="A11785" s="76" t="s">
        <v>7198</v>
      </c>
    </row>
    <row r="11786" spans="1:1" x14ac:dyDescent="0.25">
      <c r="A11786" s="29" t="s">
        <v>7199</v>
      </c>
    </row>
    <row r="11787" spans="1:1" x14ac:dyDescent="0.25">
      <c r="A11787" s="76" t="s">
        <v>7200</v>
      </c>
    </row>
    <row r="11788" spans="1:1" x14ac:dyDescent="0.25">
      <c r="A11788" s="29" t="s">
        <v>7201</v>
      </c>
    </row>
    <row r="11789" spans="1:1" x14ac:dyDescent="0.25">
      <c r="A11789" s="76" t="s">
        <v>7202</v>
      </c>
    </row>
    <row r="11790" spans="1:1" x14ac:dyDescent="0.25">
      <c r="A11790" s="29" t="s">
        <v>7203</v>
      </c>
    </row>
    <row r="11791" spans="1:1" x14ac:dyDescent="0.25">
      <c r="A11791" s="76" t="s">
        <v>7204</v>
      </c>
    </row>
    <row r="11792" spans="1:1" x14ac:dyDescent="0.25">
      <c r="A11792" s="29" t="s">
        <v>7205</v>
      </c>
    </row>
    <row r="11793" spans="1:1" x14ac:dyDescent="0.25">
      <c r="A11793" s="76" t="s">
        <v>7206</v>
      </c>
    </row>
    <row r="11794" spans="1:1" x14ac:dyDescent="0.25">
      <c r="A11794" s="29" t="s">
        <v>7207</v>
      </c>
    </row>
    <row r="11795" spans="1:1" x14ac:dyDescent="0.25">
      <c r="A11795" s="76" t="s">
        <v>7208</v>
      </c>
    </row>
    <row r="11796" spans="1:1" x14ac:dyDescent="0.25">
      <c r="A11796" s="29" t="s">
        <v>7209</v>
      </c>
    </row>
    <row r="11797" spans="1:1" x14ac:dyDescent="0.25">
      <c r="A11797" s="76" t="s">
        <v>7210</v>
      </c>
    </row>
    <row r="11798" spans="1:1" x14ac:dyDescent="0.25">
      <c r="A11798" s="29" t="s">
        <v>7211</v>
      </c>
    </row>
    <row r="11799" spans="1:1" x14ac:dyDescent="0.25">
      <c r="A11799" s="108" t="s">
        <v>7212</v>
      </c>
    </row>
    <row r="11800" spans="1:1" x14ac:dyDescent="0.25">
      <c r="A11800" s="76" t="s">
        <v>7213</v>
      </c>
    </row>
    <row r="11801" spans="1:1" x14ac:dyDescent="0.25">
      <c r="A11801" s="76" t="s">
        <v>7214</v>
      </c>
    </row>
    <row r="11802" spans="1:1" x14ac:dyDescent="0.25">
      <c r="A11802" s="29" t="s">
        <v>7215</v>
      </c>
    </row>
    <row r="11803" spans="1:1" x14ac:dyDescent="0.25">
      <c r="A11803" s="76" t="s">
        <v>7216</v>
      </c>
    </row>
    <row r="11804" spans="1:1" x14ac:dyDescent="0.25">
      <c r="A11804" s="29" t="s">
        <v>7217</v>
      </c>
    </row>
    <row r="11805" spans="1:1" x14ac:dyDescent="0.25">
      <c r="A11805" s="76" t="s">
        <v>7218</v>
      </c>
    </row>
    <row r="11806" spans="1:1" x14ac:dyDescent="0.25">
      <c r="A11806" s="29" t="s">
        <v>7219</v>
      </c>
    </row>
    <row r="11807" spans="1:1" x14ac:dyDescent="0.25">
      <c r="A11807" s="76" t="s">
        <v>7220</v>
      </c>
    </row>
    <row r="11808" spans="1:1" x14ac:dyDescent="0.25">
      <c r="A11808" s="29" t="s">
        <v>7221</v>
      </c>
    </row>
    <row r="11809" spans="1:1" x14ac:dyDescent="0.25">
      <c r="A11809" s="76" t="s">
        <v>7222</v>
      </c>
    </row>
    <row r="11810" spans="1:1" x14ac:dyDescent="0.25">
      <c r="A11810" s="29" t="s">
        <v>7223</v>
      </c>
    </row>
    <row r="11811" spans="1:1" x14ac:dyDescent="0.25">
      <c r="A11811" s="76" t="s">
        <v>7224</v>
      </c>
    </row>
    <row r="11812" spans="1:1" x14ac:dyDescent="0.25">
      <c r="A11812" s="29" t="s">
        <v>7225</v>
      </c>
    </row>
    <row r="11813" spans="1:1" x14ac:dyDescent="0.25">
      <c r="A11813" s="76" t="s">
        <v>7226</v>
      </c>
    </row>
    <row r="11814" spans="1:1" x14ac:dyDescent="0.25">
      <c r="A11814" s="29" t="s">
        <v>7227</v>
      </c>
    </row>
    <row r="11815" spans="1:1" x14ac:dyDescent="0.25">
      <c r="A11815" s="76" t="s">
        <v>7228</v>
      </c>
    </row>
    <row r="11816" spans="1:1" x14ac:dyDescent="0.25">
      <c r="A11816" s="29" t="s">
        <v>7229</v>
      </c>
    </row>
    <row r="11817" spans="1:1" x14ac:dyDescent="0.25">
      <c r="A11817" s="76" t="s">
        <v>7230</v>
      </c>
    </row>
    <row r="11818" spans="1:1" x14ac:dyDescent="0.25">
      <c r="A11818" s="29" t="s">
        <v>7231</v>
      </c>
    </row>
    <row r="11819" spans="1:1" x14ac:dyDescent="0.25">
      <c r="A11819" s="76" t="s">
        <v>7232</v>
      </c>
    </row>
    <row r="11820" spans="1:1" x14ac:dyDescent="0.25">
      <c r="A11820" s="29" t="s">
        <v>7233</v>
      </c>
    </row>
    <row r="11821" spans="1:1" x14ac:dyDescent="0.25">
      <c r="A11821" s="108" t="s">
        <v>7234</v>
      </c>
    </row>
    <row r="11822" spans="1:1" x14ac:dyDescent="0.25">
      <c r="A11822" s="76" t="s">
        <v>7235</v>
      </c>
    </row>
    <row r="11823" spans="1:1" x14ac:dyDescent="0.25">
      <c r="A11823" s="76" t="s">
        <v>7236</v>
      </c>
    </row>
    <row r="11824" spans="1:1" x14ac:dyDescent="0.25">
      <c r="A11824" s="29" t="s">
        <v>7237</v>
      </c>
    </row>
    <row r="11825" spans="1:1" x14ac:dyDescent="0.25">
      <c r="A11825" s="76" t="s">
        <v>7238</v>
      </c>
    </row>
    <row r="11826" spans="1:1" x14ac:dyDescent="0.25">
      <c r="A11826" s="29" t="s">
        <v>7239</v>
      </c>
    </row>
    <row r="11827" spans="1:1" x14ac:dyDescent="0.25">
      <c r="A11827" s="76" t="s">
        <v>7240</v>
      </c>
    </row>
    <row r="11828" spans="1:1" x14ac:dyDescent="0.25">
      <c r="A11828" s="29" t="s">
        <v>7241</v>
      </c>
    </row>
    <row r="11829" spans="1:1" x14ac:dyDescent="0.25">
      <c r="A11829" s="76" t="s">
        <v>7242</v>
      </c>
    </row>
    <row r="11830" spans="1:1" x14ac:dyDescent="0.25">
      <c r="A11830" s="29" t="s">
        <v>7243</v>
      </c>
    </row>
    <row r="11831" spans="1:1" x14ac:dyDescent="0.25">
      <c r="A11831" s="76" t="s">
        <v>7244</v>
      </c>
    </row>
    <row r="11832" spans="1:1" x14ac:dyDescent="0.25">
      <c r="A11832" s="29" t="s">
        <v>7245</v>
      </c>
    </row>
    <row r="11833" spans="1:1" x14ac:dyDescent="0.25">
      <c r="A11833" s="76" t="s">
        <v>7246</v>
      </c>
    </row>
    <row r="11834" spans="1:1" x14ac:dyDescent="0.25">
      <c r="A11834" s="29" t="s">
        <v>7247</v>
      </c>
    </row>
    <row r="11835" spans="1:1" x14ac:dyDescent="0.25">
      <c r="A11835" s="108" t="s">
        <v>7248</v>
      </c>
    </row>
    <row r="11836" spans="1:1" x14ac:dyDescent="0.25">
      <c r="A11836" s="76" t="s">
        <v>7249</v>
      </c>
    </row>
    <row r="11837" spans="1:1" x14ac:dyDescent="0.25">
      <c r="A11837" s="76" t="s">
        <v>7250</v>
      </c>
    </row>
    <row r="11838" spans="1:1" x14ac:dyDescent="0.25">
      <c r="A11838" s="29" t="s">
        <v>7251</v>
      </c>
    </row>
    <row r="11839" spans="1:1" x14ac:dyDescent="0.25">
      <c r="A11839" s="76" t="s">
        <v>7252</v>
      </c>
    </row>
    <row r="11840" spans="1:1" x14ac:dyDescent="0.25">
      <c r="A11840" s="29" t="s">
        <v>7253</v>
      </c>
    </row>
    <row r="11841" spans="1:1" x14ac:dyDescent="0.25">
      <c r="A11841" s="76" t="s">
        <v>7254</v>
      </c>
    </row>
    <row r="11842" spans="1:1" x14ac:dyDescent="0.25">
      <c r="A11842" s="29" t="s">
        <v>7255</v>
      </c>
    </row>
    <row r="11843" spans="1:1" x14ac:dyDescent="0.25">
      <c r="A11843" s="76" t="s">
        <v>7256</v>
      </c>
    </row>
    <row r="11844" spans="1:1" x14ac:dyDescent="0.25">
      <c r="A11844" s="29" t="s">
        <v>7257</v>
      </c>
    </row>
    <row r="11845" spans="1:1" x14ac:dyDescent="0.25">
      <c r="A11845" s="76" t="s">
        <v>7258</v>
      </c>
    </row>
    <row r="11846" spans="1:1" x14ac:dyDescent="0.25">
      <c r="A11846" s="29" t="s">
        <v>7259</v>
      </c>
    </row>
    <row r="11847" spans="1:1" x14ac:dyDescent="0.25">
      <c r="A11847" s="76" t="s">
        <v>7260</v>
      </c>
    </row>
    <row r="11848" spans="1:1" x14ac:dyDescent="0.25">
      <c r="A11848" s="29" t="s">
        <v>7261</v>
      </c>
    </row>
    <row r="11849" spans="1:1" x14ac:dyDescent="0.25">
      <c r="A11849" s="76" t="s">
        <v>7262</v>
      </c>
    </row>
    <row r="11850" spans="1:1" x14ac:dyDescent="0.25">
      <c r="A11850" s="29" t="s">
        <v>7263</v>
      </c>
    </row>
    <row r="11851" spans="1:1" x14ac:dyDescent="0.25">
      <c r="A11851" s="76" t="s">
        <v>7264</v>
      </c>
    </row>
    <row r="11852" spans="1:1" x14ac:dyDescent="0.25">
      <c r="A11852" s="29" t="s">
        <v>7265</v>
      </c>
    </row>
    <row r="11853" spans="1:1" x14ac:dyDescent="0.25">
      <c r="A11853" s="108" t="s">
        <v>7266</v>
      </c>
    </row>
    <row r="11854" spans="1:1" x14ac:dyDescent="0.25">
      <c r="A11854" s="76" t="s">
        <v>7267</v>
      </c>
    </row>
    <row r="11855" spans="1:1" x14ac:dyDescent="0.25">
      <c r="A11855" s="76" t="s">
        <v>7268</v>
      </c>
    </row>
    <row r="11856" spans="1:1" x14ac:dyDescent="0.25">
      <c r="A11856" s="29" t="s">
        <v>7269</v>
      </c>
    </row>
    <row r="11857" spans="1:1" x14ac:dyDescent="0.25">
      <c r="A11857" s="76" t="s">
        <v>7270</v>
      </c>
    </row>
    <row r="11858" spans="1:1" x14ac:dyDescent="0.25">
      <c r="A11858" s="29" t="s">
        <v>7271</v>
      </c>
    </row>
    <row r="11859" spans="1:1" x14ac:dyDescent="0.25">
      <c r="A11859" s="76" t="s">
        <v>7272</v>
      </c>
    </row>
    <row r="11860" spans="1:1" x14ac:dyDescent="0.25">
      <c r="A11860" s="76" t="s">
        <v>7273</v>
      </c>
    </row>
    <row r="11861" spans="1:1" x14ac:dyDescent="0.25">
      <c r="A11861" s="76" t="s">
        <v>7274</v>
      </c>
    </row>
    <row r="11862" spans="1:1" x14ac:dyDescent="0.25">
      <c r="A11862" s="108" t="s">
        <v>7275</v>
      </c>
    </row>
    <row r="11863" spans="1:1" x14ac:dyDescent="0.25">
      <c r="A11863" s="108" t="s">
        <v>7276</v>
      </c>
    </row>
    <row r="11864" spans="1:1" x14ac:dyDescent="0.25">
      <c r="A11864" s="29" t="s">
        <v>7277</v>
      </c>
    </row>
    <row r="11865" spans="1:1" x14ac:dyDescent="0.25">
      <c r="A11865" s="76" t="s">
        <v>7278</v>
      </c>
    </row>
    <row r="11866" spans="1:1" x14ac:dyDescent="0.25">
      <c r="A11866" s="29" t="s">
        <v>7279</v>
      </c>
    </row>
    <row r="11867" spans="1:1" x14ac:dyDescent="0.25">
      <c r="A11867" s="76" t="s">
        <v>7280</v>
      </c>
    </row>
    <row r="11868" spans="1:1" x14ac:dyDescent="0.25">
      <c r="A11868" s="76" t="s">
        <v>7281</v>
      </c>
    </row>
    <row r="11869" spans="1:1" x14ac:dyDescent="0.25">
      <c r="A11869" s="76" t="s">
        <v>7282</v>
      </c>
    </row>
    <row r="11870" spans="1:1" x14ac:dyDescent="0.25">
      <c r="A11870" s="108" t="s">
        <v>7283</v>
      </c>
    </row>
    <row r="11871" spans="1:1" x14ac:dyDescent="0.25">
      <c r="A11871" s="108" t="s">
        <v>7284</v>
      </c>
    </row>
    <row r="11872" spans="1:1" x14ac:dyDescent="0.25">
      <c r="A11872" s="29" t="s">
        <v>7285</v>
      </c>
    </row>
    <row r="11873" spans="1:1" x14ac:dyDescent="0.25">
      <c r="A11873" s="76" t="s">
        <v>7286</v>
      </c>
    </row>
    <row r="11874" spans="1:1" x14ac:dyDescent="0.25">
      <c r="A11874" s="29" t="s">
        <v>7287</v>
      </c>
    </row>
    <row r="11875" spans="1:1" x14ac:dyDescent="0.25">
      <c r="A11875" s="76" t="s">
        <v>7288</v>
      </c>
    </row>
    <row r="11876" spans="1:1" x14ac:dyDescent="0.25">
      <c r="A11876" s="76" t="s">
        <v>7289</v>
      </c>
    </row>
    <row r="11877" spans="1:1" x14ac:dyDescent="0.25">
      <c r="A11877" s="76" t="s">
        <v>7290</v>
      </c>
    </row>
    <row r="11878" spans="1:1" x14ac:dyDescent="0.25">
      <c r="A11878" s="108" t="s">
        <v>7291</v>
      </c>
    </row>
    <row r="11879" spans="1:1" x14ac:dyDescent="0.25">
      <c r="A11879" s="108" t="s">
        <v>7292</v>
      </c>
    </row>
    <row r="11880" spans="1:1" x14ac:dyDescent="0.25">
      <c r="A11880" s="29" t="s">
        <v>7293</v>
      </c>
    </row>
    <row r="11881" spans="1:1" x14ac:dyDescent="0.25">
      <c r="A11881" s="76" t="s">
        <v>7294</v>
      </c>
    </row>
    <row r="11882" spans="1:1" x14ac:dyDescent="0.25">
      <c r="A11882" s="29" t="s">
        <v>7295</v>
      </c>
    </row>
    <row r="11883" spans="1:1" x14ac:dyDescent="0.25">
      <c r="A11883" s="76" t="s">
        <v>7296</v>
      </c>
    </row>
    <row r="11884" spans="1:1" x14ac:dyDescent="0.25">
      <c r="A11884" s="76" t="s">
        <v>7297</v>
      </c>
    </row>
    <row r="11885" spans="1:1" x14ac:dyDescent="0.25">
      <c r="A11885" s="76" t="s">
        <v>7298</v>
      </c>
    </row>
    <row r="11886" spans="1:1" x14ac:dyDescent="0.25">
      <c r="A11886" s="108" t="s">
        <v>7299</v>
      </c>
    </row>
    <row r="11887" spans="1:1" x14ac:dyDescent="0.25">
      <c r="A11887" s="108" t="s">
        <v>7300</v>
      </c>
    </row>
    <row r="11888" spans="1:1" x14ac:dyDescent="0.25">
      <c r="A11888" s="29" t="s">
        <v>7301</v>
      </c>
    </row>
    <row r="11889" spans="1:1" x14ac:dyDescent="0.25">
      <c r="A11889" s="76" t="s">
        <v>7302</v>
      </c>
    </row>
    <row r="11890" spans="1:1" x14ac:dyDescent="0.25">
      <c r="A11890" s="29" t="s">
        <v>7303</v>
      </c>
    </row>
    <row r="11891" spans="1:1" x14ac:dyDescent="0.25">
      <c r="A11891" s="76" t="s">
        <v>7304</v>
      </c>
    </row>
    <row r="11892" spans="1:1" x14ac:dyDescent="0.25">
      <c r="A11892" s="76" t="s">
        <v>7305</v>
      </c>
    </row>
    <row r="11893" spans="1:1" x14ac:dyDescent="0.25">
      <c r="A11893" s="76" t="s">
        <v>7306</v>
      </c>
    </row>
    <row r="11894" spans="1:1" x14ac:dyDescent="0.25">
      <c r="A11894" s="108" t="s">
        <v>7307</v>
      </c>
    </row>
    <row r="11895" spans="1:1" x14ac:dyDescent="0.25">
      <c r="A11895" s="108" t="s">
        <v>7308</v>
      </c>
    </row>
    <row r="11896" spans="1:1" x14ac:dyDescent="0.25">
      <c r="A11896" s="29" t="s">
        <v>7309</v>
      </c>
    </row>
    <row r="11897" spans="1:1" x14ac:dyDescent="0.25">
      <c r="A11897" s="76" t="s">
        <v>7310</v>
      </c>
    </row>
    <row r="11898" spans="1:1" x14ac:dyDescent="0.25">
      <c r="A11898" s="29" t="s">
        <v>7311</v>
      </c>
    </row>
    <row r="11899" spans="1:1" x14ac:dyDescent="0.25">
      <c r="A11899" s="76" t="s">
        <v>7312</v>
      </c>
    </row>
    <row r="11900" spans="1:1" x14ac:dyDescent="0.25">
      <c r="A11900" s="76" t="s">
        <v>7313</v>
      </c>
    </row>
    <row r="11901" spans="1:1" x14ac:dyDescent="0.25">
      <c r="A11901" s="76" t="s">
        <v>7314</v>
      </c>
    </row>
    <row r="11902" spans="1:1" x14ac:dyDescent="0.25">
      <c r="A11902" s="108" t="s">
        <v>7315</v>
      </c>
    </row>
    <row r="11903" spans="1:1" x14ac:dyDescent="0.25">
      <c r="A11903" s="108" t="s">
        <v>7316</v>
      </c>
    </row>
    <row r="11904" spans="1:1" x14ac:dyDescent="0.25">
      <c r="A11904" s="29" t="s">
        <v>7317</v>
      </c>
    </row>
    <row r="11905" spans="1:1" x14ac:dyDescent="0.25">
      <c r="A11905" s="76" t="s">
        <v>7318</v>
      </c>
    </row>
    <row r="11906" spans="1:1" x14ac:dyDescent="0.25">
      <c r="A11906" s="29" t="s">
        <v>7319</v>
      </c>
    </row>
    <row r="11907" spans="1:1" x14ac:dyDescent="0.25">
      <c r="A11907" s="76" t="s">
        <v>7320</v>
      </c>
    </row>
    <row r="11908" spans="1:1" x14ac:dyDescent="0.25">
      <c r="A11908" s="29" t="s">
        <v>7321</v>
      </c>
    </row>
    <row r="11909" spans="1:1" x14ac:dyDescent="0.25">
      <c r="A11909" s="76" t="s">
        <v>7322</v>
      </c>
    </row>
    <row r="11910" spans="1:1" x14ac:dyDescent="0.25">
      <c r="A11910" s="29" t="s">
        <v>7323</v>
      </c>
    </row>
    <row r="11911" spans="1:1" x14ac:dyDescent="0.25">
      <c r="A11911" s="76" t="s">
        <v>7324</v>
      </c>
    </row>
    <row r="11912" spans="1:1" x14ac:dyDescent="0.25">
      <c r="A11912" s="29" t="s">
        <v>7325</v>
      </c>
    </row>
    <row r="11913" spans="1:1" x14ac:dyDescent="0.25">
      <c r="A11913" s="76" t="s">
        <v>7326</v>
      </c>
    </row>
    <row r="11914" spans="1:1" x14ac:dyDescent="0.25">
      <c r="A11914" s="29" t="s">
        <v>7327</v>
      </c>
    </row>
    <row r="11915" spans="1:1" x14ac:dyDescent="0.25">
      <c r="A11915" s="108" t="s">
        <v>7328</v>
      </c>
    </row>
    <row r="11916" spans="1:1" x14ac:dyDescent="0.25">
      <c r="A11916" s="76" t="s">
        <v>7329</v>
      </c>
    </row>
    <row r="11917" spans="1:1" x14ac:dyDescent="0.25">
      <c r="A11917" s="76" t="s">
        <v>7330</v>
      </c>
    </row>
    <row r="11918" spans="1:1" x14ac:dyDescent="0.25">
      <c r="A11918" s="29" t="s">
        <v>7331</v>
      </c>
    </row>
    <row r="11919" spans="1:1" x14ac:dyDescent="0.25">
      <c r="A11919" s="76" t="s">
        <v>7332</v>
      </c>
    </row>
    <row r="11920" spans="1:1" x14ac:dyDescent="0.25">
      <c r="A11920" s="29" t="s">
        <v>7333</v>
      </c>
    </row>
    <row r="11921" spans="1:1" x14ac:dyDescent="0.25">
      <c r="A11921" s="76" t="s">
        <v>7334</v>
      </c>
    </row>
    <row r="11922" spans="1:1" x14ac:dyDescent="0.25">
      <c r="A11922" s="29" t="s">
        <v>7335</v>
      </c>
    </row>
    <row r="11923" spans="1:1" x14ac:dyDescent="0.25">
      <c r="A11923" s="76" t="s">
        <v>7336</v>
      </c>
    </row>
    <row r="11924" spans="1:1" x14ac:dyDescent="0.25">
      <c r="A11924" s="29" t="s">
        <v>7337</v>
      </c>
    </row>
    <row r="11925" spans="1:1" x14ac:dyDescent="0.25">
      <c r="A11925" s="108" t="s">
        <v>7338</v>
      </c>
    </row>
    <row r="11926" spans="1:1" x14ac:dyDescent="0.25">
      <c r="A11926" s="76" t="s">
        <v>7339</v>
      </c>
    </row>
    <row r="11927" spans="1:1" x14ac:dyDescent="0.25">
      <c r="A11927" s="76" t="s">
        <v>7340</v>
      </c>
    </row>
    <row r="11928" spans="1:1" x14ac:dyDescent="0.25">
      <c r="A11928" s="29" t="s">
        <v>7341</v>
      </c>
    </row>
    <row r="11929" spans="1:1" x14ac:dyDescent="0.25">
      <c r="A11929" s="76" t="s">
        <v>7342</v>
      </c>
    </row>
    <row r="11930" spans="1:1" x14ac:dyDescent="0.25">
      <c r="A11930" s="29" t="s">
        <v>7343</v>
      </c>
    </row>
    <row r="11931" spans="1:1" x14ac:dyDescent="0.25">
      <c r="A11931" s="76" t="s">
        <v>7344</v>
      </c>
    </row>
    <row r="11932" spans="1:1" x14ac:dyDescent="0.25">
      <c r="A11932" s="29" t="s">
        <v>7345</v>
      </c>
    </row>
    <row r="11933" spans="1:1" x14ac:dyDescent="0.25">
      <c r="A11933" s="76" t="s">
        <v>7346</v>
      </c>
    </row>
    <row r="11934" spans="1:1" x14ac:dyDescent="0.25">
      <c r="A11934" s="29" t="s">
        <v>7347</v>
      </c>
    </row>
    <row r="11935" spans="1:1" x14ac:dyDescent="0.25">
      <c r="A11935" s="108" t="s">
        <v>7348</v>
      </c>
    </row>
    <row r="11936" spans="1:1" x14ac:dyDescent="0.25">
      <c r="A11936" s="76" t="s">
        <v>7349</v>
      </c>
    </row>
    <row r="11937" spans="1:1" x14ac:dyDescent="0.25">
      <c r="A11937" s="76" t="s">
        <v>7350</v>
      </c>
    </row>
    <row r="11938" spans="1:1" x14ac:dyDescent="0.25">
      <c r="A11938" s="29" t="s">
        <v>7351</v>
      </c>
    </row>
    <row r="11939" spans="1:1" x14ac:dyDescent="0.25">
      <c r="A11939" s="76" t="s">
        <v>7352</v>
      </c>
    </row>
    <row r="11940" spans="1:1" x14ac:dyDescent="0.25">
      <c r="A11940" s="29" t="s">
        <v>7353</v>
      </c>
    </row>
    <row r="11941" spans="1:1" x14ac:dyDescent="0.25">
      <c r="A11941" s="76" t="s">
        <v>7354</v>
      </c>
    </row>
    <row r="11942" spans="1:1" x14ac:dyDescent="0.25">
      <c r="A11942" s="29" t="s">
        <v>7355</v>
      </c>
    </row>
    <row r="11943" spans="1:1" x14ac:dyDescent="0.25">
      <c r="A11943" s="76" t="s">
        <v>7356</v>
      </c>
    </row>
    <row r="11944" spans="1:1" x14ac:dyDescent="0.25">
      <c r="A11944" s="29" t="s">
        <v>7357</v>
      </c>
    </row>
    <row r="11945" spans="1:1" x14ac:dyDescent="0.25">
      <c r="A11945" s="76" t="s">
        <v>7358</v>
      </c>
    </row>
    <row r="11946" spans="1:1" x14ac:dyDescent="0.25">
      <c r="A11946" s="29" t="s">
        <v>7359</v>
      </c>
    </row>
    <row r="11947" spans="1:1" x14ac:dyDescent="0.25">
      <c r="A11947" s="76" t="s">
        <v>7360</v>
      </c>
    </row>
    <row r="11948" spans="1:1" x14ac:dyDescent="0.25">
      <c r="A11948" s="29" t="s">
        <v>7361</v>
      </c>
    </row>
    <row r="11949" spans="1:1" x14ac:dyDescent="0.25">
      <c r="A11949" s="108" t="s">
        <v>7362</v>
      </c>
    </row>
    <row r="11950" spans="1:1" x14ac:dyDescent="0.25">
      <c r="A11950" s="76" t="s">
        <v>7363</v>
      </c>
    </row>
    <row r="11951" spans="1:1" x14ac:dyDescent="0.25">
      <c r="A11951" s="76" t="s">
        <v>7364</v>
      </c>
    </row>
    <row r="11952" spans="1:1" x14ac:dyDescent="0.25">
      <c r="A11952" s="29" t="s">
        <v>7365</v>
      </c>
    </row>
    <row r="11953" spans="1:1" x14ac:dyDescent="0.25">
      <c r="A11953" s="76" t="s">
        <v>7366</v>
      </c>
    </row>
    <row r="11954" spans="1:1" x14ac:dyDescent="0.25">
      <c r="A11954" s="29" t="s">
        <v>7367</v>
      </c>
    </row>
    <row r="11955" spans="1:1" x14ac:dyDescent="0.25">
      <c r="A11955" s="76" t="s">
        <v>7368</v>
      </c>
    </row>
    <row r="11956" spans="1:1" x14ac:dyDescent="0.25">
      <c r="A11956" s="29" t="s">
        <v>7369</v>
      </c>
    </row>
    <row r="11957" spans="1:1" x14ac:dyDescent="0.25">
      <c r="A11957" s="76" t="s">
        <v>7370</v>
      </c>
    </row>
    <row r="11958" spans="1:1" x14ac:dyDescent="0.25">
      <c r="A11958" s="29" t="s">
        <v>7371</v>
      </c>
    </row>
    <row r="11959" spans="1:1" x14ac:dyDescent="0.25">
      <c r="A11959" s="76" t="s">
        <v>7372</v>
      </c>
    </row>
    <row r="11960" spans="1:1" x14ac:dyDescent="0.25">
      <c r="A11960" s="29" t="s">
        <v>7373</v>
      </c>
    </row>
    <row r="11961" spans="1:1" x14ac:dyDescent="0.25">
      <c r="A11961" s="108" t="s">
        <v>7374</v>
      </c>
    </row>
    <row r="11962" spans="1:1" x14ac:dyDescent="0.25">
      <c r="A11962" s="76" t="s">
        <v>7375</v>
      </c>
    </row>
    <row r="11963" spans="1:1" x14ac:dyDescent="0.25">
      <c r="A11963" s="76" t="s">
        <v>7376</v>
      </c>
    </row>
    <row r="11964" spans="1:1" x14ac:dyDescent="0.25">
      <c r="A11964" s="29" t="s">
        <v>7377</v>
      </c>
    </row>
    <row r="11965" spans="1:1" x14ac:dyDescent="0.25">
      <c r="A11965" s="76" t="s">
        <v>7378</v>
      </c>
    </row>
    <row r="11966" spans="1:1" x14ac:dyDescent="0.25">
      <c r="A11966" s="29" t="s">
        <v>7379</v>
      </c>
    </row>
    <row r="11967" spans="1:1" x14ac:dyDescent="0.25">
      <c r="A11967" s="76" t="s">
        <v>7380</v>
      </c>
    </row>
    <row r="11968" spans="1:1" x14ac:dyDescent="0.25">
      <c r="A11968" s="29" t="s">
        <v>7381</v>
      </c>
    </row>
    <row r="11969" spans="1:1" x14ac:dyDescent="0.25">
      <c r="A11969" s="108" t="s">
        <v>7382</v>
      </c>
    </row>
    <row r="11970" spans="1:1" x14ac:dyDescent="0.25">
      <c r="A11970" s="76" t="s">
        <v>7383</v>
      </c>
    </row>
    <row r="11971" spans="1:1" x14ac:dyDescent="0.25">
      <c r="A11971" s="76" t="s">
        <v>7384</v>
      </c>
    </row>
    <row r="11972" spans="1:1" x14ac:dyDescent="0.25">
      <c r="A11972" s="29" t="s">
        <v>7385</v>
      </c>
    </row>
    <row r="11973" spans="1:1" x14ac:dyDescent="0.25">
      <c r="A11973" s="76" t="s">
        <v>7386</v>
      </c>
    </row>
    <row r="11974" spans="1:1" x14ac:dyDescent="0.25">
      <c r="A11974" s="29" t="s">
        <v>7387</v>
      </c>
    </row>
    <row r="11975" spans="1:1" x14ac:dyDescent="0.25">
      <c r="A11975" s="76" t="s">
        <v>7388</v>
      </c>
    </row>
    <row r="11976" spans="1:1" x14ac:dyDescent="0.25">
      <c r="A11976" s="29" t="s">
        <v>7389</v>
      </c>
    </row>
    <row r="11977" spans="1:1" x14ac:dyDescent="0.25">
      <c r="A11977" s="76" t="s">
        <v>7390</v>
      </c>
    </row>
    <row r="11978" spans="1:1" x14ac:dyDescent="0.25">
      <c r="A11978" s="76" t="s">
        <v>7391</v>
      </c>
    </row>
    <row r="11979" spans="1:1" x14ac:dyDescent="0.25">
      <c r="A11979" s="76" t="s">
        <v>7392</v>
      </c>
    </row>
    <row r="11980" spans="1:1" x14ac:dyDescent="0.25">
      <c r="A11980" s="108" t="s">
        <v>7393</v>
      </c>
    </row>
    <row r="11981" spans="1:1" x14ac:dyDescent="0.25">
      <c r="A11981" s="108" t="s">
        <v>7394</v>
      </c>
    </row>
    <row r="11982" spans="1:1" x14ac:dyDescent="0.25">
      <c r="A11982" s="29" t="s">
        <v>7395</v>
      </c>
    </row>
    <row r="11983" spans="1:1" x14ac:dyDescent="0.25">
      <c r="A11983" s="76" t="s">
        <v>7396</v>
      </c>
    </row>
    <row r="11984" spans="1:1" x14ac:dyDescent="0.25">
      <c r="A11984" s="29" t="s">
        <v>7397</v>
      </c>
    </row>
    <row r="11985" spans="1:1" x14ac:dyDescent="0.25">
      <c r="A11985" s="76" t="s">
        <v>7398</v>
      </c>
    </row>
    <row r="11986" spans="1:1" x14ac:dyDescent="0.25">
      <c r="A11986" s="76" t="s">
        <v>7399</v>
      </c>
    </row>
    <row r="11987" spans="1:1" x14ac:dyDescent="0.25">
      <c r="A11987" s="76" t="s">
        <v>7400</v>
      </c>
    </row>
    <row r="11988" spans="1:1" x14ac:dyDescent="0.25">
      <c r="A11988" s="108" t="s">
        <v>7401</v>
      </c>
    </row>
    <row r="11989" spans="1:1" x14ac:dyDescent="0.25">
      <c r="A11989" s="108" t="s">
        <v>7402</v>
      </c>
    </row>
    <row r="11990" spans="1:1" x14ac:dyDescent="0.25">
      <c r="A11990" s="29" t="s">
        <v>7403</v>
      </c>
    </row>
    <row r="11991" spans="1:1" x14ac:dyDescent="0.25">
      <c r="A11991" s="76" t="s">
        <v>7404</v>
      </c>
    </row>
    <row r="11992" spans="1:1" x14ac:dyDescent="0.25">
      <c r="A11992" s="29" t="s">
        <v>7405</v>
      </c>
    </row>
    <row r="11993" spans="1:1" x14ac:dyDescent="0.25">
      <c r="A11993" s="76" t="s">
        <v>7406</v>
      </c>
    </row>
    <row r="11994" spans="1:1" x14ac:dyDescent="0.25">
      <c r="A11994" s="76" t="s">
        <v>7407</v>
      </c>
    </row>
    <row r="11995" spans="1:1" x14ac:dyDescent="0.25">
      <c r="A11995" s="76" t="s">
        <v>7408</v>
      </c>
    </row>
    <row r="11996" spans="1:1" x14ac:dyDescent="0.25">
      <c r="A11996" s="108" t="s">
        <v>7409</v>
      </c>
    </row>
    <row r="11997" spans="1:1" x14ac:dyDescent="0.25">
      <c r="A11997" s="108" t="s">
        <v>7410</v>
      </c>
    </row>
    <row r="11998" spans="1:1" x14ac:dyDescent="0.25">
      <c r="A11998" s="29" t="s">
        <v>7411</v>
      </c>
    </row>
    <row r="11999" spans="1:1" x14ac:dyDescent="0.25">
      <c r="A11999" s="76" t="s">
        <v>7412</v>
      </c>
    </row>
    <row r="12000" spans="1:1" x14ac:dyDescent="0.25">
      <c r="A12000" s="29" t="s">
        <v>7413</v>
      </c>
    </row>
    <row r="12001" spans="1:1" x14ac:dyDescent="0.25">
      <c r="A12001" s="76" t="s">
        <v>7414</v>
      </c>
    </row>
    <row r="12002" spans="1:1" x14ac:dyDescent="0.25">
      <c r="A12002" s="76" t="s">
        <v>7415</v>
      </c>
    </row>
    <row r="12003" spans="1:1" x14ac:dyDescent="0.25">
      <c r="A12003" s="76" t="s">
        <v>7416</v>
      </c>
    </row>
    <row r="12004" spans="1:1" x14ac:dyDescent="0.25">
      <c r="A12004" s="108" t="s">
        <v>7417</v>
      </c>
    </row>
    <row r="12005" spans="1:1" x14ac:dyDescent="0.25">
      <c r="A12005" s="108" t="s">
        <v>7418</v>
      </c>
    </row>
    <row r="12006" spans="1:1" x14ac:dyDescent="0.25">
      <c r="A12006" s="29" t="s">
        <v>7419</v>
      </c>
    </row>
    <row r="12007" spans="1:1" x14ac:dyDescent="0.25">
      <c r="A12007" s="76" t="s">
        <v>7420</v>
      </c>
    </row>
    <row r="12008" spans="1:1" x14ac:dyDescent="0.25">
      <c r="A12008" s="29" t="s">
        <v>7421</v>
      </c>
    </row>
    <row r="12009" spans="1:1" x14ac:dyDescent="0.25">
      <c r="A12009" s="76" t="s">
        <v>7422</v>
      </c>
    </row>
    <row r="12010" spans="1:1" x14ac:dyDescent="0.25">
      <c r="A12010" s="76" t="s">
        <v>7423</v>
      </c>
    </row>
    <row r="12011" spans="1:1" x14ac:dyDescent="0.25">
      <c r="A12011" s="76" t="s">
        <v>7424</v>
      </c>
    </row>
    <row r="12012" spans="1:1" x14ac:dyDescent="0.25">
      <c r="A12012" s="108" t="s">
        <v>7425</v>
      </c>
    </row>
    <row r="12013" spans="1:1" x14ac:dyDescent="0.25">
      <c r="A12013" s="108" t="s">
        <v>7426</v>
      </c>
    </row>
    <row r="12014" spans="1:1" x14ac:dyDescent="0.25">
      <c r="A12014" s="29" t="s">
        <v>7427</v>
      </c>
    </row>
    <row r="12015" spans="1:1" x14ac:dyDescent="0.25">
      <c r="A12015" s="76" t="s">
        <v>7428</v>
      </c>
    </row>
    <row r="12016" spans="1:1" x14ac:dyDescent="0.25">
      <c r="A12016" s="29" t="s">
        <v>7429</v>
      </c>
    </row>
    <row r="12017" spans="1:1" x14ac:dyDescent="0.25">
      <c r="A12017" s="76" t="s">
        <v>7430</v>
      </c>
    </row>
    <row r="12018" spans="1:1" x14ac:dyDescent="0.25">
      <c r="A12018" s="76" t="s">
        <v>7431</v>
      </c>
    </row>
    <row r="12019" spans="1:1" x14ac:dyDescent="0.25">
      <c r="A12019" s="76" t="s">
        <v>7432</v>
      </c>
    </row>
    <row r="12020" spans="1:1" x14ac:dyDescent="0.25">
      <c r="A12020" s="108" t="s">
        <v>7433</v>
      </c>
    </row>
    <row r="12021" spans="1:1" x14ac:dyDescent="0.25">
      <c r="A12021" s="108" t="s">
        <v>7434</v>
      </c>
    </row>
    <row r="12022" spans="1:1" x14ac:dyDescent="0.25">
      <c r="A12022" s="29" t="s">
        <v>7435</v>
      </c>
    </row>
    <row r="12023" spans="1:1" x14ac:dyDescent="0.25">
      <c r="A12023" s="76" t="s">
        <v>7436</v>
      </c>
    </row>
    <row r="12024" spans="1:1" x14ac:dyDescent="0.25">
      <c r="A12024" s="29" t="s">
        <v>7437</v>
      </c>
    </row>
    <row r="12025" spans="1:1" x14ac:dyDescent="0.25">
      <c r="A12025" s="76" t="s">
        <v>7438</v>
      </c>
    </row>
    <row r="12026" spans="1:1" x14ac:dyDescent="0.25">
      <c r="A12026" s="29" t="s">
        <v>7439</v>
      </c>
    </row>
    <row r="12027" spans="1:1" x14ac:dyDescent="0.25">
      <c r="A12027" s="76" t="s">
        <v>7440</v>
      </c>
    </row>
    <row r="12028" spans="1:1" x14ac:dyDescent="0.25">
      <c r="A12028" s="29" t="s">
        <v>7441</v>
      </c>
    </row>
    <row r="12029" spans="1:1" x14ac:dyDescent="0.25">
      <c r="A12029" s="76" t="s">
        <v>7442</v>
      </c>
    </row>
    <row r="12030" spans="1:1" x14ac:dyDescent="0.25">
      <c r="A12030" s="29" t="s">
        <v>7443</v>
      </c>
    </row>
    <row r="12031" spans="1:1" x14ac:dyDescent="0.25">
      <c r="A12031" s="76" t="s">
        <v>7444</v>
      </c>
    </row>
    <row r="12032" spans="1:1" x14ac:dyDescent="0.25">
      <c r="A12032" s="29" t="s">
        <v>7445</v>
      </c>
    </row>
    <row r="12033" spans="1:1" x14ac:dyDescent="0.25">
      <c r="A12033" s="76" t="s">
        <v>7446</v>
      </c>
    </row>
    <row r="12034" spans="1:1" x14ac:dyDescent="0.25">
      <c r="A12034" s="29" t="s">
        <v>7447</v>
      </c>
    </row>
    <row r="12035" spans="1:1" x14ac:dyDescent="0.25">
      <c r="A12035" s="108" t="s">
        <v>7448</v>
      </c>
    </row>
    <row r="12036" spans="1:1" x14ac:dyDescent="0.25">
      <c r="A12036" s="76" t="s">
        <v>7449</v>
      </c>
    </row>
    <row r="12037" spans="1:1" x14ac:dyDescent="0.25">
      <c r="A12037" s="76" t="s">
        <v>7450</v>
      </c>
    </row>
    <row r="12038" spans="1:1" x14ac:dyDescent="0.25">
      <c r="A12038" s="29" t="s">
        <v>7451</v>
      </c>
    </row>
    <row r="12039" spans="1:1" x14ac:dyDescent="0.25">
      <c r="A12039" s="76" t="s">
        <v>7452</v>
      </c>
    </row>
    <row r="12040" spans="1:1" x14ac:dyDescent="0.25">
      <c r="A12040" s="29" t="s">
        <v>7453</v>
      </c>
    </row>
    <row r="12041" spans="1:1" x14ac:dyDescent="0.25">
      <c r="A12041" s="76" t="s">
        <v>7454</v>
      </c>
    </row>
    <row r="12042" spans="1:1" x14ac:dyDescent="0.25">
      <c r="A12042" s="29" t="s">
        <v>7455</v>
      </c>
    </row>
    <row r="12043" spans="1:1" x14ac:dyDescent="0.25">
      <c r="A12043" s="76" t="s">
        <v>7456</v>
      </c>
    </row>
    <row r="12044" spans="1:1" x14ac:dyDescent="0.25">
      <c r="A12044" s="29" t="s">
        <v>7457</v>
      </c>
    </row>
    <row r="12045" spans="1:1" x14ac:dyDescent="0.25">
      <c r="A12045" s="76" t="s">
        <v>7458</v>
      </c>
    </row>
    <row r="12046" spans="1:1" x14ac:dyDescent="0.25">
      <c r="A12046" s="29" t="s">
        <v>7459</v>
      </c>
    </row>
    <row r="12047" spans="1:1" x14ac:dyDescent="0.25">
      <c r="A12047" s="76" t="s">
        <v>7460</v>
      </c>
    </row>
    <row r="12048" spans="1:1" x14ac:dyDescent="0.25">
      <c r="A12048" s="29" t="s">
        <v>7461</v>
      </c>
    </row>
    <row r="12049" spans="1:1" x14ac:dyDescent="0.25">
      <c r="A12049" s="76" t="s">
        <v>7462</v>
      </c>
    </row>
    <row r="12050" spans="1:1" x14ac:dyDescent="0.25">
      <c r="A12050" s="29" t="s">
        <v>7463</v>
      </c>
    </row>
    <row r="12051" spans="1:1" x14ac:dyDescent="0.25">
      <c r="A12051" s="76" t="s">
        <v>7464</v>
      </c>
    </row>
    <row r="12052" spans="1:1" x14ac:dyDescent="0.25">
      <c r="A12052" s="29" t="s">
        <v>7465</v>
      </c>
    </row>
    <row r="12053" spans="1:1" x14ac:dyDescent="0.25">
      <c r="A12053" s="76" t="s">
        <v>7466</v>
      </c>
    </row>
    <row r="12054" spans="1:1" x14ac:dyDescent="0.25">
      <c r="A12054" s="29" t="s">
        <v>7467</v>
      </c>
    </row>
    <row r="12055" spans="1:1" x14ac:dyDescent="0.25">
      <c r="A12055" s="76" t="s">
        <v>7468</v>
      </c>
    </row>
    <row r="12056" spans="1:1" x14ac:dyDescent="0.25">
      <c r="A12056" s="29" t="s">
        <v>7469</v>
      </c>
    </row>
    <row r="12057" spans="1:1" x14ac:dyDescent="0.25">
      <c r="A12057" s="76" t="s">
        <v>7470</v>
      </c>
    </row>
    <row r="12058" spans="1:1" x14ac:dyDescent="0.25">
      <c r="A12058" s="29" t="s">
        <v>7471</v>
      </c>
    </row>
    <row r="12059" spans="1:1" x14ac:dyDescent="0.25">
      <c r="A12059" s="76" t="s">
        <v>7472</v>
      </c>
    </row>
    <row r="12060" spans="1:1" x14ac:dyDescent="0.25">
      <c r="A12060" s="29" t="s">
        <v>7473</v>
      </c>
    </row>
    <row r="12061" spans="1:1" x14ac:dyDescent="0.25">
      <c r="A12061" s="76" t="s">
        <v>7474</v>
      </c>
    </row>
    <row r="12062" spans="1:1" x14ac:dyDescent="0.25">
      <c r="A12062" s="29" t="s">
        <v>7475</v>
      </c>
    </row>
    <row r="12063" spans="1:1" x14ac:dyDescent="0.25">
      <c r="A12063" s="76" t="s">
        <v>7476</v>
      </c>
    </row>
    <row r="12064" spans="1:1" x14ac:dyDescent="0.25">
      <c r="A12064" s="29" t="s">
        <v>7477</v>
      </c>
    </row>
    <row r="12065" spans="1:1" x14ac:dyDescent="0.25">
      <c r="A12065" s="108" t="s">
        <v>7478</v>
      </c>
    </row>
    <row r="12066" spans="1:1" x14ac:dyDescent="0.25">
      <c r="A12066" s="76" t="s">
        <v>7479</v>
      </c>
    </row>
    <row r="12067" spans="1:1" x14ac:dyDescent="0.25">
      <c r="A12067" s="76" t="s">
        <v>7480</v>
      </c>
    </row>
    <row r="12068" spans="1:1" x14ac:dyDescent="0.25">
      <c r="A12068" s="29" t="s">
        <v>7481</v>
      </c>
    </row>
    <row r="12069" spans="1:1" x14ac:dyDescent="0.25">
      <c r="A12069" s="76" t="s">
        <v>7482</v>
      </c>
    </row>
    <row r="12070" spans="1:1" x14ac:dyDescent="0.25">
      <c r="A12070" s="29" t="s">
        <v>7483</v>
      </c>
    </row>
    <row r="12071" spans="1:1" x14ac:dyDescent="0.25">
      <c r="A12071" s="76" t="s">
        <v>7484</v>
      </c>
    </row>
    <row r="12072" spans="1:1" x14ac:dyDescent="0.25">
      <c r="A12072" s="29" t="s">
        <v>7485</v>
      </c>
    </row>
    <row r="12073" spans="1:1" x14ac:dyDescent="0.25">
      <c r="A12073" s="76" t="s">
        <v>7486</v>
      </c>
    </row>
    <row r="12074" spans="1:1" x14ac:dyDescent="0.25">
      <c r="A12074" s="29" t="s">
        <v>7487</v>
      </c>
    </row>
    <row r="12075" spans="1:1" x14ac:dyDescent="0.25">
      <c r="A12075" s="76" t="s">
        <v>7488</v>
      </c>
    </row>
    <row r="12076" spans="1:1" x14ac:dyDescent="0.25">
      <c r="A12076" s="29" t="s">
        <v>7489</v>
      </c>
    </row>
    <row r="12077" spans="1:1" x14ac:dyDescent="0.25">
      <c r="A12077" s="76" t="s">
        <v>7490</v>
      </c>
    </row>
    <row r="12078" spans="1:1" x14ac:dyDescent="0.25">
      <c r="A12078" s="29" t="s">
        <v>7491</v>
      </c>
    </row>
    <row r="12079" spans="1:1" x14ac:dyDescent="0.25">
      <c r="A12079" s="108" t="s">
        <v>7492</v>
      </c>
    </row>
    <row r="12080" spans="1:1" x14ac:dyDescent="0.25">
      <c r="A12080" s="76" t="s">
        <v>7493</v>
      </c>
    </row>
    <row r="12081" spans="1:1" x14ac:dyDescent="0.25">
      <c r="A12081" s="76" t="s">
        <v>7494</v>
      </c>
    </row>
    <row r="12082" spans="1:1" x14ac:dyDescent="0.25">
      <c r="A12082" s="29" t="s">
        <v>7495</v>
      </c>
    </row>
    <row r="12083" spans="1:1" x14ac:dyDescent="0.25">
      <c r="A12083" s="76" t="s">
        <v>7496</v>
      </c>
    </row>
    <row r="12084" spans="1:1" x14ac:dyDescent="0.25">
      <c r="A12084" s="29" t="s">
        <v>7497</v>
      </c>
    </row>
    <row r="12085" spans="1:1" x14ac:dyDescent="0.25">
      <c r="A12085" s="108" t="s">
        <v>7498</v>
      </c>
    </row>
    <row r="12086" spans="1:1" x14ac:dyDescent="0.25">
      <c r="A12086" s="76" t="s">
        <v>7499</v>
      </c>
    </row>
    <row r="12087" spans="1:1" x14ac:dyDescent="0.25">
      <c r="A12087" s="76" t="s">
        <v>7500</v>
      </c>
    </row>
    <row r="12088" spans="1:1" x14ac:dyDescent="0.25">
      <c r="A12088" s="29" t="s">
        <v>7501</v>
      </c>
    </row>
    <row r="12089" spans="1:1" x14ac:dyDescent="0.25">
      <c r="A12089" s="76" t="s">
        <v>7502</v>
      </c>
    </row>
    <row r="12090" spans="1:1" x14ac:dyDescent="0.25">
      <c r="A12090" s="29" t="s">
        <v>7503</v>
      </c>
    </row>
    <row r="12091" spans="1:1" x14ac:dyDescent="0.25">
      <c r="A12091" s="76" t="s">
        <v>7504</v>
      </c>
    </row>
    <row r="12092" spans="1:1" x14ac:dyDescent="0.25">
      <c r="A12092" s="29" t="s">
        <v>7505</v>
      </c>
    </row>
    <row r="12093" spans="1:1" x14ac:dyDescent="0.25">
      <c r="A12093" s="76" t="s">
        <v>7506</v>
      </c>
    </row>
    <row r="12094" spans="1:1" x14ac:dyDescent="0.25">
      <c r="A12094" s="29" t="s">
        <v>7507</v>
      </c>
    </row>
    <row r="12095" spans="1:1" x14ac:dyDescent="0.25">
      <c r="A12095" s="76" t="s">
        <v>7508</v>
      </c>
    </row>
    <row r="12096" spans="1:1" x14ac:dyDescent="0.25">
      <c r="A12096" s="29" t="s">
        <v>7509</v>
      </c>
    </row>
    <row r="12097" spans="1:1" x14ac:dyDescent="0.25">
      <c r="A12097" s="76" t="s">
        <v>7510</v>
      </c>
    </row>
    <row r="12098" spans="1:1" x14ac:dyDescent="0.25">
      <c r="A12098" s="29" t="s">
        <v>7511</v>
      </c>
    </row>
    <row r="12099" spans="1:1" x14ac:dyDescent="0.25">
      <c r="A12099" s="108" t="s">
        <v>7512</v>
      </c>
    </row>
    <row r="12100" spans="1:1" x14ac:dyDescent="0.25">
      <c r="A12100" s="76" t="s">
        <v>7513</v>
      </c>
    </row>
    <row r="12101" spans="1:1" x14ac:dyDescent="0.25">
      <c r="A12101" s="76" t="s">
        <v>7514</v>
      </c>
    </row>
    <row r="12102" spans="1:1" x14ac:dyDescent="0.25">
      <c r="A12102" s="29" t="s">
        <v>7515</v>
      </c>
    </row>
    <row r="12103" spans="1:1" x14ac:dyDescent="0.25">
      <c r="A12103" s="76" t="s">
        <v>7516</v>
      </c>
    </row>
    <row r="12104" spans="1:1" x14ac:dyDescent="0.25">
      <c r="A12104" s="29" t="s">
        <v>7517</v>
      </c>
    </row>
    <row r="12105" spans="1:1" x14ac:dyDescent="0.25">
      <c r="A12105" s="76" t="s">
        <v>7518</v>
      </c>
    </row>
    <row r="12106" spans="1:1" x14ac:dyDescent="0.25">
      <c r="A12106" s="29" t="s">
        <v>7519</v>
      </c>
    </row>
    <row r="12107" spans="1:1" x14ac:dyDescent="0.25">
      <c r="A12107" s="76" t="s">
        <v>7520</v>
      </c>
    </row>
    <row r="12108" spans="1:1" x14ac:dyDescent="0.25">
      <c r="A12108" s="29" t="s">
        <v>7521</v>
      </c>
    </row>
    <row r="12109" spans="1:1" x14ac:dyDescent="0.25">
      <c r="A12109" s="76" t="s">
        <v>7522</v>
      </c>
    </row>
    <row r="12110" spans="1:1" x14ac:dyDescent="0.25">
      <c r="A12110" s="29" t="s">
        <v>7523</v>
      </c>
    </row>
    <row r="12111" spans="1:1" x14ac:dyDescent="0.25">
      <c r="A12111" s="76" t="s">
        <v>7524</v>
      </c>
    </row>
    <row r="12112" spans="1:1" x14ac:dyDescent="0.25">
      <c r="A12112" s="29" t="s">
        <v>7525</v>
      </c>
    </row>
    <row r="12113" spans="1:1" x14ac:dyDescent="0.25">
      <c r="A12113" s="108" t="s">
        <v>7526</v>
      </c>
    </row>
    <row r="12114" spans="1:1" x14ac:dyDescent="0.25">
      <c r="A12114" s="76" t="s">
        <v>7527</v>
      </c>
    </row>
    <row r="12115" spans="1:1" x14ac:dyDescent="0.25">
      <c r="A12115" s="76" t="s">
        <v>7528</v>
      </c>
    </row>
    <row r="12116" spans="1:1" x14ac:dyDescent="0.25">
      <c r="A12116" s="76" t="s">
        <v>7529</v>
      </c>
    </row>
    <row r="12117" spans="1:1" x14ac:dyDescent="0.25">
      <c r="A12117" s="76" t="s">
        <v>7530</v>
      </c>
    </row>
    <row r="12118" spans="1:1" x14ac:dyDescent="0.25">
      <c r="A12118" s="108" t="s">
        <v>7531</v>
      </c>
    </row>
    <row r="12119" spans="1:1" x14ac:dyDescent="0.25">
      <c r="A12119" s="108" t="s">
        <v>7532</v>
      </c>
    </row>
    <row r="12120" spans="1:1" x14ac:dyDescent="0.25">
      <c r="A12120" s="29" t="s">
        <v>7533</v>
      </c>
    </row>
    <row r="12121" spans="1:1" x14ac:dyDescent="0.25">
      <c r="A12121" s="76" t="s">
        <v>7534</v>
      </c>
    </row>
    <row r="12122" spans="1:1" x14ac:dyDescent="0.25">
      <c r="A12122" s="29" t="s">
        <v>7535</v>
      </c>
    </row>
    <row r="12123" spans="1:1" x14ac:dyDescent="0.25">
      <c r="A12123" s="76" t="s">
        <v>7536</v>
      </c>
    </row>
    <row r="12124" spans="1:1" x14ac:dyDescent="0.25">
      <c r="A12124" s="76" t="s">
        <v>7537</v>
      </c>
    </row>
    <row r="12125" spans="1:1" x14ac:dyDescent="0.25">
      <c r="A12125" s="76" t="s">
        <v>7538</v>
      </c>
    </row>
    <row r="12126" spans="1:1" x14ac:dyDescent="0.25">
      <c r="A12126" s="108" t="s">
        <v>7539</v>
      </c>
    </row>
    <row r="12127" spans="1:1" x14ac:dyDescent="0.25">
      <c r="A12127" s="108" t="s">
        <v>7540</v>
      </c>
    </row>
    <row r="12128" spans="1:1" x14ac:dyDescent="0.25">
      <c r="A12128" s="29" t="s">
        <v>7541</v>
      </c>
    </row>
    <row r="12129" spans="1:1" x14ac:dyDescent="0.25">
      <c r="A12129" s="76" t="s">
        <v>7542</v>
      </c>
    </row>
    <row r="12130" spans="1:1" x14ac:dyDescent="0.25">
      <c r="A12130" s="29" t="s">
        <v>7543</v>
      </c>
    </row>
    <row r="12131" spans="1:1" x14ac:dyDescent="0.25">
      <c r="A12131" s="76" t="s">
        <v>7544</v>
      </c>
    </row>
    <row r="12132" spans="1:1" x14ac:dyDescent="0.25">
      <c r="A12132" s="76" t="s">
        <v>7545</v>
      </c>
    </row>
    <row r="12133" spans="1:1" x14ac:dyDescent="0.25">
      <c r="A12133" s="76" t="s">
        <v>7546</v>
      </c>
    </row>
    <row r="12134" spans="1:1" x14ac:dyDescent="0.25">
      <c r="A12134" s="108" t="s">
        <v>7547</v>
      </c>
    </row>
    <row r="12135" spans="1:1" x14ac:dyDescent="0.25">
      <c r="A12135" s="108" t="s">
        <v>7548</v>
      </c>
    </row>
    <row r="12136" spans="1:1" x14ac:dyDescent="0.25">
      <c r="A12136" s="29" t="s">
        <v>7549</v>
      </c>
    </row>
    <row r="12137" spans="1:1" x14ac:dyDescent="0.25">
      <c r="A12137" s="76" t="s">
        <v>7550</v>
      </c>
    </row>
    <row r="12138" spans="1:1" x14ac:dyDescent="0.25">
      <c r="A12138" s="29" t="s">
        <v>7551</v>
      </c>
    </row>
    <row r="12139" spans="1:1" x14ac:dyDescent="0.25">
      <c r="A12139" s="76" t="s">
        <v>7552</v>
      </c>
    </row>
    <row r="12140" spans="1:1" x14ac:dyDescent="0.25">
      <c r="A12140" s="76" t="s">
        <v>7553</v>
      </c>
    </row>
    <row r="12141" spans="1:1" x14ac:dyDescent="0.25">
      <c r="A12141" s="76" t="s">
        <v>7554</v>
      </c>
    </row>
    <row r="12142" spans="1:1" x14ac:dyDescent="0.25">
      <c r="A12142" s="108" t="s">
        <v>7555</v>
      </c>
    </row>
    <row r="12143" spans="1:1" x14ac:dyDescent="0.25">
      <c r="A12143" s="108" t="s">
        <v>7556</v>
      </c>
    </row>
    <row r="12144" spans="1:1" x14ac:dyDescent="0.25">
      <c r="A12144" s="29" t="s">
        <v>7557</v>
      </c>
    </row>
    <row r="12145" spans="1:1" x14ac:dyDescent="0.25">
      <c r="A12145" s="76" t="s">
        <v>7558</v>
      </c>
    </row>
    <row r="12146" spans="1:1" x14ac:dyDescent="0.25">
      <c r="A12146" s="29" t="s">
        <v>7559</v>
      </c>
    </row>
    <row r="12147" spans="1:1" x14ac:dyDescent="0.25">
      <c r="A12147" s="76" t="s">
        <v>7560</v>
      </c>
    </row>
    <row r="12148" spans="1:1" x14ac:dyDescent="0.25">
      <c r="A12148" s="76" t="s">
        <v>7561</v>
      </c>
    </row>
    <row r="12149" spans="1:1" x14ac:dyDescent="0.25">
      <c r="A12149" s="76" t="s">
        <v>7562</v>
      </c>
    </row>
    <row r="12150" spans="1:1" x14ac:dyDescent="0.25">
      <c r="A12150" s="108" t="s">
        <v>7563</v>
      </c>
    </row>
    <row r="12151" spans="1:1" x14ac:dyDescent="0.25">
      <c r="A12151" s="108" t="s">
        <v>7564</v>
      </c>
    </row>
    <row r="12152" spans="1:1" x14ac:dyDescent="0.25">
      <c r="A12152" s="29" t="s">
        <v>7565</v>
      </c>
    </row>
    <row r="12153" spans="1:1" x14ac:dyDescent="0.25">
      <c r="A12153" s="76" t="s">
        <v>7566</v>
      </c>
    </row>
    <row r="12154" spans="1:1" x14ac:dyDescent="0.25">
      <c r="A12154" s="29" t="s">
        <v>7567</v>
      </c>
    </row>
    <row r="12155" spans="1:1" x14ac:dyDescent="0.25">
      <c r="A12155" s="76" t="s">
        <v>7568</v>
      </c>
    </row>
    <row r="12156" spans="1:1" x14ac:dyDescent="0.25">
      <c r="A12156" s="76" t="s">
        <v>7569</v>
      </c>
    </row>
    <row r="12157" spans="1:1" x14ac:dyDescent="0.25">
      <c r="A12157" s="76" t="s">
        <v>7570</v>
      </c>
    </row>
    <row r="12158" spans="1:1" x14ac:dyDescent="0.25">
      <c r="A12158" s="108" t="s">
        <v>7571</v>
      </c>
    </row>
    <row r="12159" spans="1:1" x14ac:dyDescent="0.25">
      <c r="A12159" s="108" t="s">
        <v>7572</v>
      </c>
    </row>
    <row r="12160" spans="1:1" x14ac:dyDescent="0.25">
      <c r="A12160" s="29" t="s">
        <v>7573</v>
      </c>
    </row>
    <row r="12161" spans="1:1" x14ac:dyDescent="0.25">
      <c r="A12161" s="76" t="s">
        <v>7574</v>
      </c>
    </row>
    <row r="12162" spans="1:1" x14ac:dyDescent="0.25">
      <c r="A12162" s="29" t="s">
        <v>7575</v>
      </c>
    </row>
    <row r="12163" spans="1:1" x14ac:dyDescent="0.25">
      <c r="A12163" s="76" t="s">
        <v>7576</v>
      </c>
    </row>
    <row r="12164" spans="1:1" x14ac:dyDescent="0.25">
      <c r="A12164" s="29" t="s">
        <v>7577</v>
      </c>
    </row>
    <row r="12165" spans="1:1" x14ac:dyDescent="0.25">
      <c r="A12165" s="76" t="s">
        <v>7578</v>
      </c>
    </row>
    <row r="12166" spans="1:1" x14ac:dyDescent="0.25">
      <c r="A12166" s="29" t="s">
        <v>7579</v>
      </c>
    </row>
    <row r="12167" spans="1:1" x14ac:dyDescent="0.25">
      <c r="A12167" s="76" t="s">
        <v>7580</v>
      </c>
    </row>
    <row r="12168" spans="1:1" x14ac:dyDescent="0.25">
      <c r="A12168" s="29" t="s">
        <v>7581</v>
      </c>
    </row>
    <row r="12169" spans="1:1" x14ac:dyDescent="0.25">
      <c r="A12169" s="76" t="s">
        <v>7582</v>
      </c>
    </row>
    <row r="12170" spans="1:1" x14ac:dyDescent="0.25">
      <c r="A12170" s="29" t="s">
        <v>7583</v>
      </c>
    </row>
    <row r="12171" spans="1:1" x14ac:dyDescent="0.25">
      <c r="A12171" s="108" t="s">
        <v>7584</v>
      </c>
    </row>
    <row r="12172" spans="1:1" x14ac:dyDescent="0.25">
      <c r="A12172" s="76" t="s">
        <v>7585</v>
      </c>
    </row>
    <row r="12173" spans="1:1" x14ac:dyDescent="0.25">
      <c r="A12173" s="76" t="s">
        <v>7586</v>
      </c>
    </row>
    <row r="12174" spans="1:1" x14ac:dyDescent="0.25">
      <c r="A12174" s="29" t="s">
        <v>7587</v>
      </c>
    </row>
    <row r="12175" spans="1:1" x14ac:dyDescent="0.25">
      <c r="A12175" s="76" t="s">
        <v>7588</v>
      </c>
    </row>
    <row r="12176" spans="1:1" x14ac:dyDescent="0.25">
      <c r="A12176" s="29" t="s">
        <v>7589</v>
      </c>
    </row>
    <row r="12177" spans="1:1" x14ac:dyDescent="0.25">
      <c r="A12177" s="76" t="s">
        <v>7590</v>
      </c>
    </row>
    <row r="12178" spans="1:1" x14ac:dyDescent="0.25">
      <c r="A12178" s="29" t="s">
        <v>7591</v>
      </c>
    </row>
    <row r="12179" spans="1:1" x14ac:dyDescent="0.25">
      <c r="A12179" s="76" t="s">
        <v>7592</v>
      </c>
    </row>
    <row r="12180" spans="1:1" x14ac:dyDescent="0.25">
      <c r="A12180" s="29" t="s">
        <v>7593</v>
      </c>
    </row>
    <row r="12181" spans="1:1" x14ac:dyDescent="0.25">
      <c r="A12181" s="76" t="s">
        <v>7594</v>
      </c>
    </row>
    <row r="12182" spans="1:1" x14ac:dyDescent="0.25">
      <c r="A12182" s="29" t="s">
        <v>7595</v>
      </c>
    </row>
    <row r="12183" spans="1:1" x14ac:dyDescent="0.25">
      <c r="A12183" s="76" t="s">
        <v>7596</v>
      </c>
    </row>
    <row r="12184" spans="1:1" x14ac:dyDescent="0.25">
      <c r="A12184" s="29" t="s">
        <v>7597</v>
      </c>
    </row>
    <row r="12185" spans="1:1" x14ac:dyDescent="0.25">
      <c r="A12185" s="76" t="s">
        <v>7598</v>
      </c>
    </row>
    <row r="12186" spans="1:1" x14ac:dyDescent="0.25">
      <c r="A12186" s="29" t="s">
        <v>7599</v>
      </c>
    </row>
    <row r="12187" spans="1:1" x14ac:dyDescent="0.25">
      <c r="A12187" s="76" t="s">
        <v>7600</v>
      </c>
    </row>
    <row r="12188" spans="1:1" x14ac:dyDescent="0.25">
      <c r="A12188" s="29" t="s">
        <v>7601</v>
      </c>
    </row>
    <row r="12189" spans="1:1" x14ac:dyDescent="0.25">
      <c r="A12189" s="76" t="s">
        <v>7602</v>
      </c>
    </row>
    <row r="12190" spans="1:1" x14ac:dyDescent="0.25">
      <c r="A12190" s="29" t="s">
        <v>7603</v>
      </c>
    </row>
    <row r="12191" spans="1:1" x14ac:dyDescent="0.25">
      <c r="A12191" s="76" t="s">
        <v>7604</v>
      </c>
    </row>
    <row r="12192" spans="1:1" x14ac:dyDescent="0.25">
      <c r="A12192" s="29" t="s">
        <v>7605</v>
      </c>
    </row>
    <row r="12193" spans="1:1" x14ac:dyDescent="0.25">
      <c r="A12193" s="76" t="s">
        <v>7606</v>
      </c>
    </row>
    <row r="12194" spans="1:1" x14ac:dyDescent="0.25">
      <c r="A12194" s="29" t="s">
        <v>7607</v>
      </c>
    </row>
    <row r="12195" spans="1:1" x14ac:dyDescent="0.25">
      <c r="A12195" s="76" t="s">
        <v>7608</v>
      </c>
    </row>
    <row r="12196" spans="1:1" x14ac:dyDescent="0.25">
      <c r="A12196" s="29" t="s">
        <v>7609</v>
      </c>
    </row>
    <row r="12197" spans="1:1" x14ac:dyDescent="0.25">
      <c r="A12197" s="76" t="s">
        <v>7610</v>
      </c>
    </row>
    <row r="12198" spans="1:1" x14ac:dyDescent="0.25">
      <c r="A12198" s="29" t="s">
        <v>7611</v>
      </c>
    </row>
    <row r="12199" spans="1:1" x14ac:dyDescent="0.25">
      <c r="A12199" s="76" t="s">
        <v>7612</v>
      </c>
    </row>
    <row r="12200" spans="1:1" x14ac:dyDescent="0.25">
      <c r="A12200" s="29" t="s">
        <v>7613</v>
      </c>
    </row>
    <row r="12201" spans="1:1" x14ac:dyDescent="0.25">
      <c r="A12201" s="108" t="s">
        <v>7614</v>
      </c>
    </row>
    <row r="12202" spans="1:1" x14ac:dyDescent="0.25">
      <c r="A12202" s="76" t="s">
        <v>7615</v>
      </c>
    </row>
    <row r="12203" spans="1:1" x14ac:dyDescent="0.25">
      <c r="A12203" s="76" t="s">
        <v>7616</v>
      </c>
    </row>
    <row r="12204" spans="1:1" x14ac:dyDescent="0.25">
      <c r="A12204" s="29" t="s">
        <v>7617</v>
      </c>
    </row>
    <row r="12205" spans="1:1" x14ac:dyDescent="0.25">
      <c r="A12205" s="76" t="s">
        <v>7618</v>
      </c>
    </row>
    <row r="12206" spans="1:1" x14ac:dyDescent="0.25">
      <c r="A12206" s="29" t="s">
        <v>7619</v>
      </c>
    </row>
    <row r="12207" spans="1:1" x14ac:dyDescent="0.25">
      <c r="A12207" s="108" t="s">
        <v>7620</v>
      </c>
    </row>
    <row r="12208" spans="1:1" x14ac:dyDescent="0.25">
      <c r="A12208" s="76" t="s">
        <v>7621</v>
      </c>
    </row>
    <row r="12209" spans="1:1" x14ac:dyDescent="0.25">
      <c r="A12209" s="76" t="s">
        <v>7622</v>
      </c>
    </row>
    <row r="12210" spans="1:1" x14ac:dyDescent="0.25">
      <c r="A12210" s="29" t="s">
        <v>7623</v>
      </c>
    </row>
    <row r="12211" spans="1:1" x14ac:dyDescent="0.25">
      <c r="A12211" s="76" t="s">
        <v>7624</v>
      </c>
    </row>
    <row r="12212" spans="1:1" x14ac:dyDescent="0.25">
      <c r="A12212" s="29" t="s">
        <v>7625</v>
      </c>
    </row>
    <row r="12213" spans="1:1" x14ac:dyDescent="0.25">
      <c r="A12213" s="76" t="s">
        <v>7626</v>
      </c>
    </row>
    <row r="12214" spans="1:1" x14ac:dyDescent="0.25">
      <c r="A12214" s="29" t="s">
        <v>7627</v>
      </c>
    </row>
    <row r="12215" spans="1:1" x14ac:dyDescent="0.25">
      <c r="A12215" s="76" t="s">
        <v>7628</v>
      </c>
    </row>
    <row r="12216" spans="1:1" x14ac:dyDescent="0.25">
      <c r="A12216" s="29" t="s">
        <v>7629</v>
      </c>
    </row>
    <row r="12217" spans="1:1" x14ac:dyDescent="0.25">
      <c r="A12217" s="76" t="s">
        <v>7630</v>
      </c>
    </row>
    <row r="12218" spans="1:1" x14ac:dyDescent="0.25">
      <c r="A12218" s="29" t="s">
        <v>7631</v>
      </c>
    </row>
    <row r="12219" spans="1:1" x14ac:dyDescent="0.25">
      <c r="A12219" s="76" t="s">
        <v>7632</v>
      </c>
    </row>
    <row r="12220" spans="1:1" x14ac:dyDescent="0.25">
      <c r="A12220" s="29" t="s">
        <v>7633</v>
      </c>
    </row>
    <row r="12221" spans="1:1" x14ac:dyDescent="0.25">
      <c r="A12221" s="76" t="s">
        <v>7634</v>
      </c>
    </row>
    <row r="12222" spans="1:1" x14ac:dyDescent="0.25">
      <c r="A12222" s="29" t="s">
        <v>7635</v>
      </c>
    </row>
    <row r="12223" spans="1:1" x14ac:dyDescent="0.25">
      <c r="A12223" s="76" t="s">
        <v>7636</v>
      </c>
    </row>
    <row r="12224" spans="1:1" x14ac:dyDescent="0.25">
      <c r="A12224" s="29" t="s">
        <v>7637</v>
      </c>
    </row>
    <row r="12225" spans="1:1" x14ac:dyDescent="0.25">
      <c r="A12225" s="76" t="s">
        <v>7638</v>
      </c>
    </row>
    <row r="12226" spans="1:1" x14ac:dyDescent="0.25">
      <c r="A12226" s="29" t="s">
        <v>7639</v>
      </c>
    </row>
    <row r="12227" spans="1:1" x14ac:dyDescent="0.25">
      <c r="A12227" s="76" t="s">
        <v>7640</v>
      </c>
    </row>
    <row r="12228" spans="1:1" x14ac:dyDescent="0.25">
      <c r="A12228" s="29" t="s">
        <v>7641</v>
      </c>
    </row>
    <row r="12229" spans="1:1" x14ac:dyDescent="0.25">
      <c r="A12229" s="76" t="s">
        <v>7642</v>
      </c>
    </row>
    <row r="12230" spans="1:1" x14ac:dyDescent="0.25">
      <c r="A12230" s="29" t="s">
        <v>7643</v>
      </c>
    </row>
    <row r="12231" spans="1:1" x14ac:dyDescent="0.25">
      <c r="A12231" s="76" t="s">
        <v>7644</v>
      </c>
    </row>
    <row r="12232" spans="1:1" x14ac:dyDescent="0.25">
      <c r="A12232" s="29" t="s">
        <v>7645</v>
      </c>
    </row>
    <row r="12233" spans="1:1" x14ac:dyDescent="0.25">
      <c r="A12233" s="76" t="s">
        <v>7646</v>
      </c>
    </row>
    <row r="12234" spans="1:1" x14ac:dyDescent="0.25">
      <c r="A12234" s="29" t="s">
        <v>7647</v>
      </c>
    </row>
    <row r="12235" spans="1:1" x14ac:dyDescent="0.25">
      <c r="A12235" s="76" t="s">
        <v>7648</v>
      </c>
    </row>
    <row r="12236" spans="1:1" x14ac:dyDescent="0.25">
      <c r="A12236" s="29" t="s">
        <v>7649</v>
      </c>
    </row>
    <row r="12237" spans="1:1" x14ac:dyDescent="0.25">
      <c r="A12237" s="76" t="s">
        <v>7650</v>
      </c>
    </row>
    <row r="12238" spans="1:1" x14ac:dyDescent="0.25">
      <c r="A12238" s="29" t="s">
        <v>7651</v>
      </c>
    </row>
    <row r="12239" spans="1:1" x14ac:dyDescent="0.25">
      <c r="A12239" s="76" t="s">
        <v>7652</v>
      </c>
    </row>
    <row r="12240" spans="1:1" x14ac:dyDescent="0.25">
      <c r="A12240" s="29" t="s">
        <v>7653</v>
      </c>
    </row>
    <row r="12241" spans="1:1" x14ac:dyDescent="0.25">
      <c r="A12241" s="76" t="s">
        <v>7654</v>
      </c>
    </row>
    <row r="12242" spans="1:1" x14ac:dyDescent="0.25">
      <c r="A12242" s="29" t="s">
        <v>7655</v>
      </c>
    </row>
    <row r="12243" spans="1:1" x14ac:dyDescent="0.25">
      <c r="A12243" s="76" t="s">
        <v>7656</v>
      </c>
    </row>
    <row r="12244" spans="1:1" x14ac:dyDescent="0.25">
      <c r="A12244" s="29" t="s">
        <v>7657</v>
      </c>
    </row>
    <row r="12245" spans="1:1" x14ac:dyDescent="0.25">
      <c r="A12245" s="108" t="s">
        <v>7658</v>
      </c>
    </row>
    <row r="12246" spans="1:1" x14ac:dyDescent="0.25">
      <c r="A12246" s="76" t="s">
        <v>7659</v>
      </c>
    </row>
    <row r="12247" spans="1:1" x14ac:dyDescent="0.25">
      <c r="A12247" s="76" t="s">
        <v>7660</v>
      </c>
    </row>
    <row r="12248" spans="1:1" x14ac:dyDescent="0.25">
      <c r="A12248" s="29" t="s">
        <v>7661</v>
      </c>
    </row>
    <row r="12249" spans="1:1" x14ac:dyDescent="0.25">
      <c r="A12249" s="76" t="s">
        <v>7662</v>
      </c>
    </row>
    <row r="12250" spans="1:1" x14ac:dyDescent="0.25">
      <c r="A12250" s="29" t="s">
        <v>7663</v>
      </c>
    </row>
    <row r="12251" spans="1:1" x14ac:dyDescent="0.25">
      <c r="A12251" s="108" t="s">
        <v>7664</v>
      </c>
    </row>
    <row r="12252" spans="1:1" x14ac:dyDescent="0.25">
      <c r="A12252" s="76" t="s">
        <v>7665</v>
      </c>
    </row>
    <row r="12253" spans="1:1" x14ac:dyDescent="0.25">
      <c r="A12253" s="76" t="s">
        <v>7666</v>
      </c>
    </row>
    <row r="12254" spans="1:1" x14ac:dyDescent="0.25">
      <c r="A12254" s="29" t="s">
        <v>7667</v>
      </c>
    </row>
    <row r="12255" spans="1:1" x14ac:dyDescent="0.25">
      <c r="A12255" s="76" t="s">
        <v>7668</v>
      </c>
    </row>
    <row r="12256" spans="1:1" x14ac:dyDescent="0.25">
      <c r="A12256" s="29" t="s">
        <v>7669</v>
      </c>
    </row>
    <row r="12257" spans="1:1" x14ac:dyDescent="0.25">
      <c r="A12257" s="76" t="s">
        <v>7670</v>
      </c>
    </row>
    <row r="12258" spans="1:1" x14ac:dyDescent="0.25">
      <c r="A12258" s="29" t="s">
        <v>7671</v>
      </c>
    </row>
    <row r="12259" spans="1:1" x14ac:dyDescent="0.25">
      <c r="A12259" s="76" t="s">
        <v>7672</v>
      </c>
    </row>
    <row r="12260" spans="1:1" x14ac:dyDescent="0.25">
      <c r="A12260" s="29" t="s">
        <v>7673</v>
      </c>
    </row>
    <row r="12261" spans="1:1" x14ac:dyDescent="0.25">
      <c r="A12261" s="76" t="s">
        <v>7674</v>
      </c>
    </row>
    <row r="12262" spans="1:1" x14ac:dyDescent="0.25">
      <c r="A12262" s="29" t="s">
        <v>7675</v>
      </c>
    </row>
    <row r="12263" spans="1:1" x14ac:dyDescent="0.25">
      <c r="A12263" s="76" t="s">
        <v>7676</v>
      </c>
    </row>
    <row r="12264" spans="1:1" x14ac:dyDescent="0.25">
      <c r="A12264" s="29" t="s">
        <v>7677</v>
      </c>
    </row>
    <row r="12265" spans="1:1" x14ac:dyDescent="0.25">
      <c r="A12265" s="76" t="s">
        <v>7678</v>
      </c>
    </row>
    <row r="12266" spans="1:1" x14ac:dyDescent="0.25">
      <c r="A12266" s="76" t="s">
        <v>7679</v>
      </c>
    </row>
    <row r="12267" spans="1:1" x14ac:dyDescent="0.25">
      <c r="A12267" s="76" t="s">
        <v>7680</v>
      </c>
    </row>
    <row r="12268" spans="1:1" x14ac:dyDescent="0.25">
      <c r="A12268" s="108" t="s">
        <v>7681</v>
      </c>
    </row>
    <row r="12269" spans="1:1" x14ac:dyDescent="0.25">
      <c r="A12269" s="108" t="s">
        <v>7682</v>
      </c>
    </row>
    <row r="12270" spans="1:1" x14ac:dyDescent="0.25">
      <c r="A12270" s="29" t="s">
        <v>7683</v>
      </c>
    </row>
    <row r="12271" spans="1:1" x14ac:dyDescent="0.25">
      <c r="A12271" s="76" t="s">
        <v>7684</v>
      </c>
    </row>
    <row r="12272" spans="1:1" x14ac:dyDescent="0.25">
      <c r="A12272" s="29" t="s">
        <v>7685</v>
      </c>
    </row>
    <row r="12273" spans="1:1" x14ac:dyDescent="0.25">
      <c r="A12273" s="76" t="s">
        <v>7686</v>
      </c>
    </row>
    <row r="12274" spans="1:1" x14ac:dyDescent="0.25">
      <c r="A12274" s="76" t="s">
        <v>7687</v>
      </c>
    </row>
    <row r="12275" spans="1:1" x14ac:dyDescent="0.25">
      <c r="A12275" s="76" t="s">
        <v>7688</v>
      </c>
    </row>
    <row r="12276" spans="1:1" x14ac:dyDescent="0.25">
      <c r="A12276" s="108" t="s">
        <v>7689</v>
      </c>
    </row>
    <row r="12277" spans="1:1" x14ac:dyDescent="0.25">
      <c r="A12277" s="108" t="s">
        <v>7690</v>
      </c>
    </row>
    <row r="12278" spans="1:1" x14ac:dyDescent="0.25">
      <c r="A12278" s="29" t="s">
        <v>7691</v>
      </c>
    </row>
    <row r="12279" spans="1:1" x14ac:dyDescent="0.25">
      <c r="A12279" s="76" t="s">
        <v>7692</v>
      </c>
    </row>
    <row r="12280" spans="1:1" x14ac:dyDescent="0.25">
      <c r="A12280" s="29" t="s">
        <v>7693</v>
      </c>
    </row>
    <row r="12281" spans="1:1" x14ac:dyDescent="0.25">
      <c r="A12281" s="76" t="s">
        <v>7694</v>
      </c>
    </row>
    <row r="12282" spans="1:1" x14ac:dyDescent="0.25">
      <c r="A12282" s="76" t="s">
        <v>7695</v>
      </c>
    </row>
    <row r="12283" spans="1:1" x14ac:dyDescent="0.25">
      <c r="A12283" s="76" t="s">
        <v>7696</v>
      </c>
    </row>
    <row r="12284" spans="1:1" x14ac:dyDescent="0.25">
      <c r="A12284" s="108" t="s">
        <v>7697</v>
      </c>
    </row>
    <row r="12285" spans="1:1" x14ac:dyDescent="0.25">
      <c r="A12285" s="108" t="s">
        <v>7698</v>
      </c>
    </row>
    <row r="12286" spans="1:1" x14ac:dyDescent="0.25">
      <c r="A12286" s="29" t="s">
        <v>7699</v>
      </c>
    </row>
    <row r="12287" spans="1:1" x14ac:dyDescent="0.25">
      <c r="A12287" s="76" t="s">
        <v>7700</v>
      </c>
    </row>
    <row r="12288" spans="1:1" x14ac:dyDescent="0.25">
      <c r="A12288" s="29" t="s">
        <v>7701</v>
      </c>
    </row>
    <row r="12289" spans="1:1" x14ac:dyDescent="0.25">
      <c r="A12289" s="76" t="s">
        <v>7702</v>
      </c>
    </row>
    <row r="12290" spans="1:1" x14ac:dyDescent="0.25">
      <c r="A12290" s="76" t="s">
        <v>7703</v>
      </c>
    </row>
    <row r="12291" spans="1:1" x14ac:dyDescent="0.25">
      <c r="A12291" s="76" t="s">
        <v>7704</v>
      </c>
    </row>
    <row r="12292" spans="1:1" x14ac:dyDescent="0.25">
      <c r="A12292" s="108" t="s">
        <v>7705</v>
      </c>
    </row>
    <row r="12293" spans="1:1" x14ac:dyDescent="0.25">
      <c r="A12293" s="108" t="s">
        <v>7706</v>
      </c>
    </row>
    <row r="12294" spans="1:1" x14ac:dyDescent="0.25">
      <c r="A12294" s="29" t="s">
        <v>7707</v>
      </c>
    </row>
    <row r="12295" spans="1:1" x14ac:dyDescent="0.25">
      <c r="A12295" s="76" t="s">
        <v>7708</v>
      </c>
    </row>
    <row r="12296" spans="1:1" x14ac:dyDescent="0.25">
      <c r="A12296" s="29" t="s">
        <v>7709</v>
      </c>
    </row>
    <row r="12297" spans="1:1" x14ac:dyDescent="0.25">
      <c r="A12297" s="76" t="s">
        <v>7710</v>
      </c>
    </row>
    <row r="12298" spans="1:1" x14ac:dyDescent="0.25">
      <c r="A12298" s="76" t="s">
        <v>7711</v>
      </c>
    </row>
    <row r="12299" spans="1:1" x14ac:dyDescent="0.25">
      <c r="A12299" s="76" t="s">
        <v>7712</v>
      </c>
    </row>
    <row r="12300" spans="1:1" x14ac:dyDescent="0.25">
      <c r="A12300" s="108" t="s">
        <v>7713</v>
      </c>
    </row>
    <row r="12301" spans="1:1" x14ac:dyDescent="0.25">
      <c r="A12301" s="108" t="s">
        <v>7714</v>
      </c>
    </row>
    <row r="12302" spans="1:1" x14ac:dyDescent="0.25">
      <c r="A12302" s="29" t="s">
        <v>7715</v>
      </c>
    </row>
    <row r="12303" spans="1:1" x14ac:dyDescent="0.25">
      <c r="A12303" s="76" t="s">
        <v>7716</v>
      </c>
    </row>
    <row r="12304" spans="1:1" x14ac:dyDescent="0.25">
      <c r="A12304" s="29" t="s">
        <v>7717</v>
      </c>
    </row>
    <row r="12305" spans="1:1" x14ac:dyDescent="0.25">
      <c r="A12305" s="76" t="s">
        <v>7718</v>
      </c>
    </row>
    <row r="12306" spans="1:1" x14ac:dyDescent="0.25">
      <c r="A12306" s="76" t="s">
        <v>7719</v>
      </c>
    </row>
    <row r="12307" spans="1:1" x14ac:dyDescent="0.25">
      <c r="A12307" s="76" t="s">
        <v>7720</v>
      </c>
    </row>
    <row r="12308" spans="1:1" x14ac:dyDescent="0.25">
      <c r="A12308" s="108" t="s">
        <v>7721</v>
      </c>
    </row>
    <row r="12309" spans="1:1" x14ac:dyDescent="0.25">
      <c r="A12309" s="108" t="s">
        <v>7722</v>
      </c>
    </row>
    <row r="12310" spans="1:1" x14ac:dyDescent="0.25">
      <c r="A12310" s="29" t="s">
        <v>7723</v>
      </c>
    </row>
    <row r="12311" spans="1:1" x14ac:dyDescent="0.25">
      <c r="A12311" s="76" t="s">
        <v>7724</v>
      </c>
    </row>
    <row r="12312" spans="1:1" x14ac:dyDescent="0.25">
      <c r="A12312" s="29" t="s">
        <v>7725</v>
      </c>
    </row>
    <row r="12313" spans="1:1" x14ac:dyDescent="0.25">
      <c r="A12313" s="76" t="s">
        <v>7726</v>
      </c>
    </row>
    <row r="12314" spans="1:1" x14ac:dyDescent="0.25">
      <c r="A12314" s="29" t="s">
        <v>7727</v>
      </c>
    </row>
    <row r="12315" spans="1:1" x14ac:dyDescent="0.25">
      <c r="A12315" s="76" t="s">
        <v>7728</v>
      </c>
    </row>
    <row r="12316" spans="1:1" x14ac:dyDescent="0.25">
      <c r="A12316" s="29" t="s">
        <v>7729</v>
      </c>
    </row>
    <row r="12317" spans="1:1" x14ac:dyDescent="0.25">
      <c r="A12317" s="108" t="s">
        <v>7730</v>
      </c>
    </row>
    <row r="12318" spans="1:1" x14ac:dyDescent="0.25">
      <c r="A12318" s="76" t="s">
        <v>7731</v>
      </c>
    </row>
    <row r="12319" spans="1:1" x14ac:dyDescent="0.25">
      <c r="A12319" s="76" t="s">
        <v>7732</v>
      </c>
    </row>
    <row r="12320" spans="1:1" x14ac:dyDescent="0.25">
      <c r="A12320" s="76" t="s">
        <v>7733</v>
      </c>
    </row>
    <row r="12321" spans="1:1" x14ac:dyDescent="0.25">
      <c r="A12321" s="76" t="s">
        <v>7734</v>
      </c>
    </row>
    <row r="12322" spans="1:1" x14ac:dyDescent="0.25">
      <c r="A12322" s="108" t="s">
        <v>7735</v>
      </c>
    </row>
    <row r="12323" spans="1:1" x14ac:dyDescent="0.25">
      <c r="A12323" s="108" t="s">
        <v>7736</v>
      </c>
    </row>
    <row r="12324" spans="1:1" x14ac:dyDescent="0.25">
      <c r="A12324" s="29" t="s">
        <v>7737</v>
      </c>
    </row>
    <row r="12325" spans="1:1" x14ac:dyDescent="0.25">
      <c r="A12325" s="76" t="s">
        <v>7738</v>
      </c>
    </row>
    <row r="12326" spans="1:1" x14ac:dyDescent="0.25">
      <c r="A12326" s="29" t="s">
        <v>7739</v>
      </c>
    </row>
    <row r="12327" spans="1:1" x14ac:dyDescent="0.25">
      <c r="A12327" s="76" t="s">
        <v>7740</v>
      </c>
    </row>
    <row r="12328" spans="1:1" x14ac:dyDescent="0.25">
      <c r="A12328" s="76" t="s">
        <v>7741</v>
      </c>
    </row>
    <row r="12329" spans="1:1" x14ac:dyDescent="0.25">
      <c r="A12329" s="76" t="s">
        <v>7742</v>
      </c>
    </row>
    <row r="12330" spans="1:1" x14ac:dyDescent="0.25">
      <c r="A12330" s="108" t="s">
        <v>7743</v>
      </c>
    </row>
    <row r="12331" spans="1:1" x14ac:dyDescent="0.25">
      <c r="A12331" s="108" t="s">
        <v>7744</v>
      </c>
    </row>
    <row r="12332" spans="1:1" x14ac:dyDescent="0.25">
      <c r="A12332" s="29" t="s">
        <v>7745</v>
      </c>
    </row>
    <row r="12333" spans="1:1" x14ac:dyDescent="0.25">
      <c r="A12333" s="76" t="s">
        <v>7746</v>
      </c>
    </row>
    <row r="12334" spans="1:1" x14ac:dyDescent="0.25">
      <c r="A12334" s="29" t="s">
        <v>7747</v>
      </c>
    </row>
    <row r="12335" spans="1:1" x14ac:dyDescent="0.25">
      <c r="A12335" s="76" t="s">
        <v>7748</v>
      </c>
    </row>
    <row r="12336" spans="1:1" x14ac:dyDescent="0.25">
      <c r="A12336" s="76" t="s">
        <v>7749</v>
      </c>
    </row>
    <row r="12337" spans="1:1" x14ac:dyDescent="0.25">
      <c r="A12337" s="76" t="s">
        <v>7750</v>
      </c>
    </row>
    <row r="12338" spans="1:1" x14ac:dyDescent="0.25">
      <c r="A12338" s="108" t="s">
        <v>7751</v>
      </c>
    </row>
    <row r="12339" spans="1:1" x14ac:dyDescent="0.25">
      <c r="A12339" s="108" t="s">
        <v>7752</v>
      </c>
    </row>
    <row r="12340" spans="1:1" x14ac:dyDescent="0.25">
      <c r="A12340" s="29" t="s">
        <v>7753</v>
      </c>
    </row>
    <row r="12341" spans="1:1" x14ac:dyDescent="0.25">
      <c r="A12341" s="76" t="s">
        <v>7754</v>
      </c>
    </row>
    <row r="12342" spans="1:1" x14ac:dyDescent="0.25">
      <c r="A12342" s="29" t="s">
        <v>7755</v>
      </c>
    </row>
    <row r="12343" spans="1:1" x14ac:dyDescent="0.25">
      <c r="A12343" s="76" t="s">
        <v>7756</v>
      </c>
    </row>
    <row r="12344" spans="1:1" x14ac:dyDescent="0.25">
      <c r="A12344" s="76" t="s">
        <v>7757</v>
      </c>
    </row>
    <row r="12345" spans="1:1" x14ac:dyDescent="0.25">
      <c r="A12345" s="76" t="s">
        <v>7758</v>
      </c>
    </row>
    <row r="12346" spans="1:1" x14ac:dyDescent="0.25">
      <c r="A12346" s="108" t="s">
        <v>7759</v>
      </c>
    </row>
    <row r="12347" spans="1:1" x14ac:dyDescent="0.25">
      <c r="A12347" s="108" t="s">
        <v>7760</v>
      </c>
    </row>
    <row r="12348" spans="1:1" x14ac:dyDescent="0.25">
      <c r="A12348" s="29" t="s">
        <v>7761</v>
      </c>
    </row>
    <row r="12349" spans="1:1" x14ac:dyDescent="0.25">
      <c r="A12349" s="76" t="s">
        <v>7762</v>
      </c>
    </row>
    <row r="12350" spans="1:1" x14ac:dyDescent="0.25">
      <c r="A12350" s="29" t="s">
        <v>7763</v>
      </c>
    </row>
    <row r="12351" spans="1:1" x14ac:dyDescent="0.25">
      <c r="A12351" s="76" t="s">
        <v>7764</v>
      </c>
    </row>
    <row r="12352" spans="1:1" x14ac:dyDescent="0.25">
      <c r="A12352" s="76" t="s">
        <v>7765</v>
      </c>
    </row>
    <row r="12353" spans="1:1" x14ac:dyDescent="0.25">
      <c r="A12353" s="76" t="s">
        <v>7766</v>
      </c>
    </row>
    <row r="12354" spans="1:1" x14ac:dyDescent="0.25">
      <c r="A12354" s="108" t="s">
        <v>7767</v>
      </c>
    </row>
    <row r="12355" spans="1:1" x14ac:dyDescent="0.25">
      <c r="A12355" s="108" t="s">
        <v>7768</v>
      </c>
    </row>
    <row r="12356" spans="1:1" x14ac:dyDescent="0.25">
      <c r="A12356" s="29" t="s">
        <v>7769</v>
      </c>
    </row>
    <row r="12357" spans="1:1" x14ac:dyDescent="0.25">
      <c r="A12357" s="76" t="s">
        <v>7770</v>
      </c>
    </row>
    <row r="12358" spans="1:1" x14ac:dyDescent="0.25">
      <c r="A12358" s="29" t="s">
        <v>7771</v>
      </c>
    </row>
    <row r="12359" spans="1:1" x14ac:dyDescent="0.25">
      <c r="A12359" s="76" t="s">
        <v>7772</v>
      </c>
    </row>
    <row r="12360" spans="1:1" x14ac:dyDescent="0.25">
      <c r="A12360" s="76" t="s">
        <v>7773</v>
      </c>
    </row>
    <row r="12361" spans="1:1" x14ac:dyDescent="0.25">
      <c r="A12361" s="76" t="s">
        <v>7774</v>
      </c>
    </row>
    <row r="12362" spans="1:1" x14ac:dyDescent="0.25">
      <c r="A12362" s="108" t="s">
        <v>7775</v>
      </c>
    </row>
    <row r="12363" spans="1:1" x14ac:dyDescent="0.25">
      <c r="A12363" s="108" t="s">
        <v>7776</v>
      </c>
    </row>
    <row r="12364" spans="1:1" x14ac:dyDescent="0.25">
      <c r="A12364" s="29" t="s">
        <v>7777</v>
      </c>
    </row>
    <row r="12365" spans="1:1" x14ac:dyDescent="0.25">
      <c r="A12365" s="76" t="s">
        <v>7778</v>
      </c>
    </row>
    <row r="12366" spans="1:1" x14ac:dyDescent="0.25">
      <c r="A12366" s="29" t="s">
        <v>7779</v>
      </c>
    </row>
    <row r="12367" spans="1:1" x14ac:dyDescent="0.25">
      <c r="A12367" s="108" t="s">
        <v>7780</v>
      </c>
    </row>
    <row r="12368" spans="1:1" x14ac:dyDescent="0.25">
      <c r="A12368" s="76" t="s">
        <v>7781</v>
      </c>
    </row>
    <row r="12369" spans="1:1" x14ac:dyDescent="0.25">
      <c r="A12369" s="76" t="s">
        <v>7782</v>
      </c>
    </row>
    <row r="12370" spans="1:1" x14ac:dyDescent="0.25">
      <c r="A12370" s="29" t="s">
        <v>7783</v>
      </c>
    </row>
    <row r="12371" spans="1:1" x14ac:dyDescent="0.25">
      <c r="A12371" s="76" t="s">
        <v>7784</v>
      </c>
    </row>
    <row r="12372" spans="1:1" x14ac:dyDescent="0.25">
      <c r="A12372" s="29" t="s">
        <v>7785</v>
      </c>
    </row>
    <row r="12373" spans="1:1" x14ac:dyDescent="0.25">
      <c r="A12373" s="76" t="s">
        <v>7786</v>
      </c>
    </row>
    <row r="12374" spans="1:1" x14ac:dyDescent="0.25">
      <c r="A12374" s="29" t="s">
        <v>7787</v>
      </c>
    </row>
    <row r="12375" spans="1:1" x14ac:dyDescent="0.25">
      <c r="A12375" s="76" t="s">
        <v>7788</v>
      </c>
    </row>
    <row r="12376" spans="1:1" x14ac:dyDescent="0.25">
      <c r="A12376" s="29" t="s">
        <v>7789</v>
      </c>
    </row>
    <row r="12377" spans="1:1" x14ac:dyDescent="0.25">
      <c r="A12377" s="76" t="s">
        <v>7790</v>
      </c>
    </row>
    <row r="12378" spans="1:1" x14ac:dyDescent="0.25">
      <c r="A12378" s="29" t="s">
        <v>7791</v>
      </c>
    </row>
    <row r="12379" spans="1:1" x14ac:dyDescent="0.25">
      <c r="A12379" s="108" t="s">
        <v>7792</v>
      </c>
    </row>
    <row r="12380" spans="1:1" x14ac:dyDescent="0.25">
      <c r="A12380" s="76" t="s">
        <v>7793</v>
      </c>
    </row>
    <row r="12381" spans="1:1" x14ac:dyDescent="0.25">
      <c r="A12381" s="76" t="s">
        <v>7794</v>
      </c>
    </row>
    <row r="12382" spans="1:1" x14ac:dyDescent="0.25">
      <c r="A12382" s="29" t="s">
        <v>7795</v>
      </c>
    </row>
    <row r="12383" spans="1:1" x14ac:dyDescent="0.25">
      <c r="A12383" s="76" t="s">
        <v>7796</v>
      </c>
    </row>
    <row r="12384" spans="1:1" x14ac:dyDescent="0.25">
      <c r="A12384" s="29" t="s">
        <v>7797</v>
      </c>
    </row>
    <row r="12385" spans="1:1" x14ac:dyDescent="0.25">
      <c r="A12385" s="76" t="s">
        <v>7798</v>
      </c>
    </row>
    <row r="12386" spans="1:1" x14ac:dyDescent="0.25">
      <c r="A12386" s="29" t="s">
        <v>7799</v>
      </c>
    </row>
    <row r="12387" spans="1:1" x14ac:dyDescent="0.25">
      <c r="A12387" s="108" t="s">
        <v>7800</v>
      </c>
    </row>
    <row r="12388" spans="1:1" x14ac:dyDescent="0.25">
      <c r="A12388" s="76" t="s">
        <v>7801</v>
      </c>
    </row>
    <row r="12389" spans="1:1" x14ac:dyDescent="0.25">
      <c r="A12389" s="76" t="s">
        <v>7802</v>
      </c>
    </row>
    <row r="12390" spans="1:1" x14ac:dyDescent="0.25">
      <c r="A12390" s="29" t="s">
        <v>7803</v>
      </c>
    </row>
    <row r="12391" spans="1:1" x14ac:dyDescent="0.25">
      <c r="A12391" s="76" t="s">
        <v>7804</v>
      </c>
    </row>
    <row r="12392" spans="1:1" x14ac:dyDescent="0.25">
      <c r="A12392" s="29" t="s">
        <v>7805</v>
      </c>
    </row>
    <row r="12393" spans="1:1" x14ac:dyDescent="0.25">
      <c r="A12393" s="108" t="s">
        <v>7806</v>
      </c>
    </row>
    <row r="12394" spans="1:1" x14ac:dyDescent="0.25">
      <c r="A12394" s="76" t="s">
        <v>7807</v>
      </c>
    </row>
    <row r="12395" spans="1:1" x14ac:dyDescent="0.25">
      <c r="A12395" s="76" t="s">
        <v>7808</v>
      </c>
    </row>
    <row r="12396" spans="1:1" x14ac:dyDescent="0.25">
      <c r="A12396" s="29" t="s">
        <v>7809</v>
      </c>
    </row>
    <row r="12397" spans="1:1" x14ac:dyDescent="0.25">
      <c r="A12397" s="76" t="s">
        <v>7810</v>
      </c>
    </row>
    <row r="12398" spans="1:1" x14ac:dyDescent="0.25">
      <c r="A12398" s="29" t="s">
        <v>7811</v>
      </c>
    </row>
    <row r="12399" spans="1:1" x14ac:dyDescent="0.25">
      <c r="A12399" s="76" t="s">
        <v>7812</v>
      </c>
    </row>
    <row r="12400" spans="1:1" x14ac:dyDescent="0.25">
      <c r="A12400" s="29" t="s">
        <v>7813</v>
      </c>
    </row>
    <row r="12401" spans="1:1" x14ac:dyDescent="0.25">
      <c r="A12401" s="76" t="s">
        <v>7814</v>
      </c>
    </row>
    <row r="12402" spans="1:1" x14ac:dyDescent="0.25">
      <c r="A12402" s="29" t="s">
        <v>7815</v>
      </c>
    </row>
    <row r="12403" spans="1:1" x14ac:dyDescent="0.25">
      <c r="A12403" s="108" t="s">
        <v>7816</v>
      </c>
    </row>
    <row r="12404" spans="1:1" x14ac:dyDescent="0.25">
      <c r="A12404" s="76" t="s">
        <v>7817</v>
      </c>
    </row>
    <row r="12405" spans="1:1" x14ac:dyDescent="0.25">
      <c r="A12405" s="76" t="s">
        <v>7818</v>
      </c>
    </row>
    <row r="12406" spans="1:1" x14ac:dyDescent="0.25">
      <c r="A12406" s="29" t="s">
        <v>7819</v>
      </c>
    </row>
    <row r="12407" spans="1:1" x14ac:dyDescent="0.25">
      <c r="A12407" s="76" t="s">
        <v>7820</v>
      </c>
    </row>
    <row r="12408" spans="1:1" x14ac:dyDescent="0.25">
      <c r="A12408" s="29" t="s">
        <v>7821</v>
      </c>
    </row>
    <row r="12409" spans="1:1" x14ac:dyDescent="0.25">
      <c r="A12409" s="76" t="s">
        <v>7822</v>
      </c>
    </row>
    <row r="12410" spans="1:1" x14ac:dyDescent="0.25">
      <c r="A12410" s="29" t="s">
        <v>7823</v>
      </c>
    </row>
    <row r="12411" spans="1:1" x14ac:dyDescent="0.25">
      <c r="A12411" s="76" t="s">
        <v>7824</v>
      </c>
    </row>
    <row r="12412" spans="1:1" x14ac:dyDescent="0.25">
      <c r="A12412" s="29" t="s">
        <v>7825</v>
      </c>
    </row>
    <row r="12413" spans="1:1" x14ac:dyDescent="0.25">
      <c r="A12413" s="76" t="s">
        <v>7826</v>
      </c>
    </row>
    <row r="12414" spans="1:1" x14ac:dyDescent="0.25">
      <c r="A12414" s="29" t="s">
        <v>7827</v>
      </c>
    </row>
    <row r="12415" spans="1:1" x14ac:dyDescent="0.25">
      <c r="A12415" s="76" t="s">
        <v>7828</v>
      </c>
    </row>
    <row r="12416" spans="1:1" x14ac:dyDescent="0.25">
      <c r="A12416" s="29" t="s">
        <v>7829</v>
      </c>
    </row>
    <row r="12417" spans="1:1" x14ac:dyDescent="0.25">
      <c r="A12417" s="76" t="s">
        <v>7830</v>
      </c>
    </row>
    <row r="12418" spans="1:1" x14ac:dyDescent="0.25">
      <c r="A12418" s="29" t="s">
        <v>7831</v>
      </c>
    </row>
    <row r="12419" spans="1:1" x14ac:dyDescent="0.25">
      <c r="A12419" s="76" t="s">
        <v>7832</v>
      </c>
    </row>
    <row r="12420" spans="1:1" x14ac:dyDescent="0.25">
      <c r="A12420" s="29" t="s">
        <v>7833</v>
      </c>
    </row>
    <row r="12421" spans="1:1" x14ac:dyDescent="0.25">
      <c r="A12421" s="76" t="s">
        <v>7834</v>
      </c>
    </row>
    <row r="12422" spans="1:1" x14ac:dyDescent="0.25">
      <c r="A12422" s="29" t="s">
        <v>7835</v>
      </c>
    </row>
    <row r="12423" spans="1:1" x14ac:dyDescent="0.25">
      <c r="A12423" s="76" t="s">
        <v>7836</v>
      </c>
    </row>
    <row r="12424" spans="1:1" x14ac:dyDescent="0.25">
      <c r="A12424" s="29" t="s">
        <v>7837</v>
      </c>
    </row>
    <row r="12425" spans="1:1" x14ac:dyDescent="0.25">
      <c r="A12425" s="76" t="s">
        <v>7838</v>
      </c>
    </row>
    <row r="12426" spans="1:1" x14ac:dyDescent="0.25">
      <c r="A12426" s="29" t="s">
        <v>7839</v>
      </c>
    </row>
    <row r="12427" spans="1:1" x14ac:dyDescent="0.25">
      <c r="A12427" s="76" t="s">
        <v>7840</v>
      </c>
    </row>
    <row r="12428" spans="1:1" x14ac:dyDescent="0.25">
      <c r="A12428" s="29" t="s">
        <v>7841</v>
      </c>
    </row>
    <row r="12429" spans="1:1" x14ac:dyDescent="0.25">
      <c r="A12429" s="76" t="s">
        <v>7842</v>
      </c>
    </row>
    <row r="12430" spans="1:1" x14ac:dyDescent="0.25">
      <c r="A12430" s="29" t="s">
        <v>7843</v>
      </c>
    </row>
    <row r="12431" spans="1:1" x14ac:dyDescent="0.25">
      <c r="A12431" s="76" t="s">
        <v>7844</v>
      </c>
    </row>
    <row r="12432" spans="1:1" x14ac:dyDescent="0.25">
      <c r="A12432" s="29" t="s">
        <v>7845</v>
      </c>
    </row>
    <row r="12433" spans="1:1" x14ac:dyDescent="0.25">
      <c r="A12433" s="76" t="s">
        <v>7846</v>
      </c>
    </row>
    <row r="12434" spans="1:1" x14ac:dyDescent="0.25">
      <c r="A12434" s="29" t="s">
        <v>7847</v>
      </c>
    </row>
    <row r="12435" spans="1:1" x14ac:dyDescent="0.25">
      <c r="A12435" s="76" t="s">
        <v>7848</v>
      </c>
    </row>
    <row r="12436" spans="1:1" x14ac:dyDescent="0.25">
      <c r="A12436" s="29" t="s">
        <v>7849</v>
      </c>
    </row>
    <row r="12437" spans="1:1" x14ac:dyDescent="0.25">
      <c r="A12437" s="76" t="s">
        <v>7850</v>
      </c>
    </row>
    <row r="12438" spans="1:1" x14ac:dyDescent="0.25">
      <c r="A12438" s="29" t="s">
        <v>7851</v>
      </c>
    </row>
    <row r="12439" spans="1:1" x14ac:dyDescent="0.25">
      <c r="A12439" s="76" t="s">
        <v>7852</v>
      </c>
    </row>
    <row r="12440" spans="1:1" x14ac:dyDescent="0.25">
      <c r="A12440" s="29" t="s">
        <v>7853</v>
      </c>
    </row>
    <row r="12441" spans="1:1" x14ac:dyDescent="0.25">
      <c r="A12441" s="108" t="s">
        <v>7854</v>
      </c>
    </row>
    <row r="12442" spans="1:1" x14ac:dyDescent="0.25">
      <c r="A12442" s="76" t="s">
        <v>7855</v>
      </c>
    </row>
    <row r="12443" spans="1:1" x14ac:dyDescent="0.25">
      <c r="A12443" s="76" t="s">
        <v>7856</v>
      </c>
    </row>
    <row r="12444" spans="1:1" x14ac:dyDescent="0.25">
      <c r="A12444" s="76" t="s">
        <v>7857</v>
      </c>
    </row>
    <row r="12445" spans="1:1" x14ac:dyDescent="0.25">
      <c r="A12445" s="76" t="s">
        <v>7858</v>
      </c>
    </row>
    <row r="12446" spans="1:1" x14ac:dyDescent="0.25">
      <c r="A12446" s="108" t="s">
        <v>7859</v>
      </c>
    </row>
    <row r="12447" spans="1:1" x14ac:dyDescent="0.25">
      <c r="A12447" s="108" t="s">
        <v>7860</v>
      </c>
    </row>
    <row r="12448" spans="1:1" x14ac:dyDescent="0.25">
      <c r="A12448" s="29" t="s">
        <v>7861</v>
      </c>
    </row>
    <row r="12449" spans="1:1" x14ac:dyDescent="0.25">
      <c r="A12449" s="76" t="s">
        <v>7862</v>
      </c>
    </row>
    <row r="12450" spans="1:1" x14ac:dyDescent="0.25">
      <c r="A12450" s="29" t="s">
        <v>7863</v>
      </c>
    </row>
    <row r="12451" spans="1:1" x14ac:dyDescent="0.25">
      <c r="A12451" s="76" t="s">
        <v>7864</v>
      </c>
    </row>
    <row r="12452" spans="1:1" x14ac:dyDescent="0.25">
      <c r="A12452" s="76" t="s">
        <v>7865</v>
      </c>
    </row>
    <row r="12453" spans="1:1" x14ac:dyDescent="0.25">
      <c r="A12453" s="76" t="s">
        <v>7866</v>
      </c>
    </row>
    <row r="12454" spans="1:1" x14ac:dyDescent="0.25">
      <c r="A12454" s="108" t="s">
        <v>7867</v>
      </c>
    </row>
    <row r="12455" spans="1:1" x14ac:dyDescent="0.25">
      <c r="A12455" s="108" t="s">
        <v>7868</v>
      </c>
    </row>
    <row r="12456" spans="1:1" x14ac:dyDescent="0.25">
      <c r="A12456" s="29" t="s">
        <v>7869</v>
      </c>
    </row>
    <row r="12457" spans="1:1" x14ac:dyDescent="0.25">
      <c r="A12457" s="76" t="s">
        <v>7870</v>
      </c>
    </row>
    <row r="12458" spans="1:1" x14ac:dyDescent="0.25">
      <c r="A12458" s="29" t="s">
        <v>7871</v>
      </c>
    </row>
    <row r="12459" spans="1:1" x14ac:dyDescent="0.25">
      <c r="A12459" s="76" t="s">
        <v>7872</v>
      </c>
    </row>
    <row r="12460" spans="1:1" x14ac:dyDescent="0.25">
      <c r="A12460" s="76" t="s">
        <v>7873</v>
      </c>
    </row>
    <row r="12461" spans="1:1" x14ac:dyDescent="0.25">
      <c r="A12461" s="76" t="s">
        <v>7874</v>
      </c>
    </row>
    <row r="12462" spans="1:1" x14ac:dyDescent="0.25">
      <c r="A12462" s="108" t="s">
        <v>7875</v>
      </c>
    </row>
    <row r="12463" spans="1:1" x14ac:dyDescent="0.25">
      <c r="A12463" s="108" t="s">
        <v>7876</v>
      </c>
    </row>
    <row r="12464" spans="1:1" x14ac:dyDescent="0.25">
      <c r="A12464" s="29" t="s">
        <v>7877</v>
      </c>
    </row>
    <row r="12465" spans="1:1" x14ac:dyDescent="0.25">
      <c r="A12465" s="76" t="s">
        <v>7878</v>
      </c>
    </row>
    <row r="12466" spans="1:1" x14ac:dyDescent="0.25">
      <c r="A12466" s="29" t="s">
        <v>7879</v>
      </c>
    </row>
    <row r="12467" spans="1:1" x14ac:dyDescent="0.25">
      <c r="A12467" s="76" t="s">
        <v>7880</v>
      </c>
    </row>
    <row r="12468" spans="1:1" x14ac:dyDescent="0.25">
      <c r="A12468" s="76" t="s">
        <v>7881</v>
      </c>
    </row>
    <row r="12469" spans="1:1" x14ac:dyDescent="0.25">
      <c r="A12469" s="76" t="s">
        <v>7882</v>
      </c>
    </row>
    <row r="12470" spans="1:1" x14ac:dyDescent="0.25">
      <c r="A12470" s="108" t="s">
        <v>7883</v>
      </c>
    </row>
    <row r="12471" spans="1:1" x14ac:dyDescent="0.25">
      <c r="A12471" s="108" t="s">
        <v>7884</v>
      </c>
    </row>
    <row r="12472" spans="1:1" x14ac:dyDescent="0.25">
      <c r="A12472" s="29" t="s">
        <v>7885</v>
      </c>
    </row>
    <row r="12473" spans="1:1" x14ac:dyDescent="0.25">
      <c r="A12473" s="76" t="s">
        <v>7886</v>
      </c>
    </row>
    <row r="12474" spans="1:1" x14ac:dyDescent="0.25">
      <c r="A12474" s="29" t="s">
        <v>7887</v>
      </c>
    </row>
    <row r="12475" spans="1:1" x14ac:dyDescent="0.25">
      <c r="A12475" s="76" t="s">
        <v>7888</v>
      </c>
    </row>
    <row r="12476" spans="1:1" x14ac:dyDescent="0.25">
      <c r="A12476" s="76" t="s">
        <v>7889</v>
      </c>
    </row>
    <row r="12477" spans="1:1" x14ac:dyDescent="0.25">
      <c r="A12477" s="76" t="s">
        <v>7890</v>
      </c>
    </row>
    <row r="12478" spans="1:1" x14ac:dyDescent="0.25">
      <c r="A12478" s="108" t="s">
        <v>7891</v>
      </c>
    </row>
    <row r="12479" spans="1:1" x14ac:dyDescent="0.25">
      <c r="A12479" s="108" t="s">
        <v>7892</v>
      </c>
    </row>
    <row r="12480" spans="1:1" x14ac:dyDescent="0.25">
      <c r="A12480" s="29" t="s">
        <v>7893</v>
      </c>
    </row>
    <row r="12481" spans="1:1" x14ac:dyDescent="0.25">
      <c r="A12481" s="76" t="s">
        <v>7894</v>
      </c>
    </row>
    <row r="12482" spans="1:1" x14ac:dyDescent="0.25">
      <c r="A12482" s="29" t="s">
        <v>7895</v>
      </c>
    </row>
    <row r="12483" spans="1:1" x14ac:dyDescent="0.25">
      <c r="A12483" s="76" t="s">
        <v>7896</v>
      </c>
    </row>
    <row r="12484" spans="1:1" x14ac:dyDescent="0.25">
      <c r="A12484" s="76" t="s">
        <v>7897</v>
      </c>
    </row>
    <row r="12485" spans="1:1" x14ac:dyDescent="0.25">
      <c r="A12485" s="76" t="s">
        <v>7898</v>
      </c>
    </row>
    <row r="12486" spans="1:1" x14ac:dyDescent="0.25">
      <c r="A12486" s="108" t="s">
        <v>7899</v>
      </c>
    </row>
    <row r="12487" spans="1:1" x14ac:dyDescent="0.25">
      <c r="A12487" s="108" t="s">
        <v>7900</v>
      </c>
    </row>
    <row r="12488" spans="1:1" x14ac:dyDescent="0.25">
      <c r="A12488" s="29" t="s">
        <v>7901</v>
      </c>
    </row>
    <row r="12489" spans="1:1" x14ac:dyDescent="0.25">
      <c r="A12489" s="76" t="s">
        <v>7902</v>
      </c>
    </row>
    <row r="12490" spans="1:1" x14ac:dyDescent="0.25">
      <c r="A12490" s="29" t="s">
        <v>7903</v>
      </c>
    </row>
    <row r="12491" spans="1:1" x14ac:dyDescent="0.25">
      <c r="A12491" s="108" t="s">
        <v>7904</v>
      </c>
    </row>
    <row r="12492" spans="1:1" x14ac:dyDescent="0.25">
      <c r="A12492" s="76" t="s">
        <v>7905</v>
      </c>
    </row>
    <row r="12493" spans="1:1" x14ac:dyDescent="0.25">
      <c r="A12493" s="76" t="s">
        <v>7906</v>
      </c>
    </row>
    <row r="12494" spans="1:1" x14ac:dyDescent="0.25">
      <c r="A12494" s="29" t="s">
        <v>7907</v>
      </c>
    </row>
    <row r="12495" spans="1:1" x14ac:dyDescent="0.25">
      <c r="A12495" s="76" t="s">
        <v>7908</v>
      </c>
    </row>
    <row r="12496" spans="1:1" x14ac:dyDescent="0.25">
      <c r="A12496" s="29" t="s">
        <v>7909</v>
      </c>
    </row>
    <row r="12497" spans="1:1" x14ac:dyDescent="0.25">
      <c r="A12497" s="108" t="s">
        <v>7910</v>
      </c>
    </row>
    <row r="12498" spans="1:1" x14ac:dyDescent="0.25">
      <c r="A12498" s="76" t="s">
        <v>7911</v>
      </c>
    </row>
    <row r="12499" spans="1:1" x14ac:dyDescent="0.25">
      <c r="A12499" s="108" t="s">
        <v>7912</v>
      </c>
    </row>
    <row r="12500" spans="1:1" x14ac:dyDescent="0.25">
      <c r="A12500" s="76" t="s">
        <v>7913</v>
      </c>
    </row>
    <row r="12501" spans="1:1" x14ac:dyDescent="0.25">
      <c r="A12501" s="76" t="s">
        <v>7914</v>
      </c>
    </row>
    <row r="12502" spans="1:1" x14ac:dyDescent="0.25">
      <c r="A12502" s="29" t="s">
        <v>7915</v>
      </c>
    </row>
    <row r="12503" spans="1:1" x14ac:dyDescent="0.25">
      <c r="A12503" s="76" t="s">
        <v>7916</v>
      </c>
    </row>
    <row r="12504" spans="1:1" x14ac:dyDescent="0.25">
      <c r="A12504" s="29" t="s">
        <v>7917</v>
      </c>
    </row>
    <row r="12505" spans="1:1" x14ac:dyDescent="0.25">
      <c r="A12505" s="76" t="s">
        <v>7918</v>
      </c>
    </row>
    <row r="12506" spans="1:1" x14ac:dyDescent="0.25">
      <c r="A12506" s="29" t="s">
        <v>7919</v>
      </c>
    </row>
    <row r="12507" spans="1:1" x14ac:dyDescent="0.25">
      <c r="A12507" s="76" t="s">
        <v>7920</v>
      </c>
    </row>
    <row r="12508" spans="1:1" x14ac:dyDescent="0.25">
      <c r="A12508" s="29" t="s">
        <v>7921</v>
      </c>
    </row>
    <row r="12509" spans="1:1" x14ac:dyDescent="0.25">
      <c r="A12509" s="108" t="s">
        <v>7922</v>
      </c>
    </row>
    <row r="12510" spans="1:1" x14ac:dyDescent="0.25">
      <c r="A12510" s="76" t="s">
        <v>7923</v>
      </c>
    </row>
    <row r="12511" spans="1:1" x14ac:dyDescent="0.25">
      <c r="A12511" s="76" t="s">
        <v>7924</v>
      </c>
    </row>
    <row r="12512" spans="1:1" x14ac:dyDescent="0.25">
      <c r="A12512" s="29" t="s">
        <v>7925</v>
      </c>
    </row>
    <row r="12513" spans="1:1" x14ac:dyDescent="0.25">
      <c r="A12513" s="76" t="s">
        <v>7926</v>
      </c>
    </row>
    <row r="12514" spans="1:1" x14ac:dyDescent="0.25">
      <c r="A12514" s="29" t="s">
        <v>7927</v>
      </c>
    </row>
    <row r="12515" spans="1:1" x14ac:dyDescent="0.25">
      <c r="A12515" s="108" t="s">
        <v>7928</v>
      </c>
    </row>
    <row r="12516" spans="1:1" x14ac:dyDescent="0.25">
      <c r="A12516" s="76" t="s">
        <v>7929</v>
      </c>
    </row>
    <row r="12517" spans="1:1" x14ac:dyDescent="0.25">
      <c r="A12517" s="76" t="s">
        <v>7930</v>
      </c>
    </row>
    <row r="12518" spans="1:1" x14ac:dyDescent="0.25">
      <c r="A12518" s="29" t="s">
        <v>7931</v>
      </c>
    </row>
    <row r="12519" spans="1:1" x14ac:dyDescent="0.25">
      <c r="A12519" s="76" t="s">
        <v>7932</v>
      </c>
    </row>
    <row r="12520" spans="1:1" x14ac:dyDescent="0.25">
      <c r="A12520" s="29" t="s">
        <v>7933</v>
      </c>
    </row>
    <row r="12521" spans="1:1" x14ac:dyDescent="0.25">
      <c r="A12521" s="108" t="s">
        <v>7934</v>
      </c>
    </row>
    <row r="12522" spans="1:1" x14ac:dyDescent="0.25">
      <c r="A12522" s="76" t="s">
        <v>7935</v>
      </c>
    </row>
    <row r="12523" spans="1:1" x14ac:dyDescent="0.25">
      <c r="A12523" s="76" t="s">
        <v>7936</v>
      </c>
    </row>
    <row r="12524" spans="1:1" x14ac:dyDescent="0.25">
      <c r="A12524" s="76" t="s">
        <v>7937</v>
      </c>
    </row>
    <row r="12525" spans="1:1" x14ac:dyDescent="0.25">
      <c r="A12525" s="76" t="s">
        <v>7938</v>
      </c>
    </row>
    <row r="12526" spans="1:1" x14ac:dyDescent="0.25">
      <c r="A12526" s="108" t="s">
        <v>7939</v>
      </c>
    </row>
    <row r="12527" spans="1:1" x14ac:dyDescent="0.25">
      <c r="A12527" s="108" t="s">
        <v>7940</v>
      </c>
    </row>
    <row r="12528" spans="1:1" x14ac:dyDescent="0.25">
      <c r="A12528" s="29" t="s">
        <v>7941</v>
      </c>
    </row>
    <row r="12529" spans="1:1" x14ac:dyDescent="0.25">
      <c r="A12529" s="76" t="s">
        <v>7942</v>
      </c>
    </row>
    <row r="12530" spans="1:1" x14ac:dyDescent="0.25">
      <c r="A12530" s="29" t="s">
        <v>7943</v>
      </c>
    </row>
    <row r="12531" spans="1:1" x14ac:dyDescent="0.25">
      <c r="A12531" s="76" t="s">
        <v>7944</v>
      </c>
    </row>
    <row r="12532" spans="1:1" x14ac:dyDescent="0.25">
      <c r="A12532" s="76" t="s">
        <v>7945</v>
      </c>
    </row>
    <row r="12533" spans="1:1" x14ac:dyDescent="0.25">
      <c r="A12533" s="76" t="s">
        <v>7946</v>
      </c>
    </row>
    <row r="12534" spans="1:1" x14ac:dyDescent="0.25">
      <c r="A12534" s="108" t="s">
        <v>7947</v>
      </c>
    </row>
    <row r="12535" spans="1:1" x14ac:dyDescent="0.25">
      <c r="A12535" s="108" t="s">
        <v>7948</v>
      </c>
    </row>
    <row r="12536" spans="1:1" x14ac:dyDescent="0.25">
      <c r="A12536" s="29" t="s">
        <v>7949</v>
      </c>
    </row>
    <row r="12537" spans="1:1" x14ac:dyDescent="0.25">
      <c r="A12537" s="76" t="s">
        <v>7950</v>
      </c>
    </row>
    <row r="12538" spans="1:1" x14ac:dyDescent="0.25">
      <c r="A12538" s="29" t="s">
        <v>7951</v>
      </c>
    </row>
    <row r="12539" spans="1:1" x14ac:dyDescent="0.25">
      <c r="A12539" s="76" t="s">
        <v>7952</v>
      </c>
    </row>
    <row r="12540" spans="1:1" x14ac:dyDescent="0.25">
      <c r="A12540" s="76" t="s">
        <v>7953</v>
      </c>
    </row>
    <row r="12541" spans="1:1" x14ac:dyDescent="0.25">
      <c r="A12541" s="76" t="s">
        <v>7954</v>
      </c>
    </row>
    <row r="12542" spans="1:1" x14ac:dyDescent="0.25">
      <c r="A12542" s="108" t="s">
        <v>7955</v>
      </c>
    </row>
    <row r="12543" spans="1:1" x14ac:dyDescent="0.25">
      <c r="A12543" s="108" t="s">
        <v>7956</v>
      </c>
    </row>
    <row r="12544" spans="1:1" x14ac:dyDescent="0.25">
      <c r="A12544" s="29" t="s">
        <v>7957</v>
      </c>
    </row>
    <row r="12545" spans="1:1" x14ac:dyDescent="0.25">
      <c r="A12545" s="76" t="s">
        <v>7958</v>
      </c>
    </row>
    <row r="12546" spans="1:1" x14ac:dyDescent="0.25">
      <c r="A12546" s="29" t="s">
        <v>7959</v>
      </c>
    </row>
    <row r="12547" spans="1:1" x14ac:dyDescent="0.25">
      <c r="A12547" s="76" t="s">
        <v>7960</v>
      </c>
    </row>
    <row r="12548" spans="1:1" x14ac:dyDescent="0.25">
      <c r="A12548" s="76" t="s">
        <v>7961</v>
      </c>
    </row>
    <row r="12549" spans="1:1" x14ac:dyDescent="0.25">
      <c r="A12549" s="76" t="s">
        <v>7962</v>
      </c>
    </row>
    <row r="12550" spans="1:1" x14ac:dyDescent="0.25">
      <c r="A12550" s="108" t="s">
        <v>7963</v>
      </c>
    </row>
    <row r="12551" spans="1:1" x14ac:dyDescent="0.25">
      <c r="A12551" s="108" t="s">
        <v>7964</v>
      </c>
    </row>
    <row r="12552" spans="1:1" x14ac:dyDescent="0.25">
      <c r="A12552" s="29" t="s">
        <v>7965</v>
      </c>
    </row>
    <row r="12553" spans="1:1" x14ac:dyDescent="0.25">
      <c r="A12553" s="76" t="s">
        <v>7966</v>
      </c>
    </row>
    <row r="12554" spans="1:1" x14ac:dyDescent="0.25">
      <c r="A12554" s="29" t="s">
        <v>7967</v>
      </c>
    </row>
    <row r="12555" spans="1:1" x14ac:dyDescent="0.25">
      <c r="A12555" s="76" t="s">
        <v>7968</v>
      </c>
    </row>
    <row r="12556" spans="1:1" x14ac:dyDescent="0.25">
      <c r="A12556" s="76" t="s">
        <v>7969</v>
      </c>
    </row>
    <row r="12557" spans="1:1" x14ac:dyDescent="0.25">
      <c r="A12557" s="76" t="s">
        <v>7970</v>
      </c>
    </row>
    <row r="12558" spans="1:1" x14ac:dyDescent="0.25">
      <c r="A12558" s="108" t="s">
        <v>7971</v>
      </c>
    </row>
    <row r="12559" spans="1:1" x14ac:dyDescent="0.25">
      <c r="A12559" s="108" t="s">
        <v>7972</v>
      </c>
    </row>
    <row r="12560" spans="1:1" x14ac:dyDescent="0.25">
      <c r="A12560" s="29" t="s">
        <v>7973</v>
      </c>
    </row>
    <row r="12561" spans="1:1" x14ac:dyDescent="0.25">
      <c r="A12561" s="76" t="s">
        <v>7974</v>
      </c>
    </row>
    <row r="12562" spans="1:1" x14ac:dyDescent="0.25">
      <c r="A12562" s="29" t="s">
        <v>7975</v>
      </c>
    </row>
    <row r="12563" spans="1:1" x14ac:dyDescent="0.25">
      <c r="A12563" s="76" t="s">
        <v>7976</v>
      </c>
    </row>
    <row r="12564" spans="1:1" x14ac:dyDescent="0.25">
      <c r="A12564" s="76" t="s">
        <v>7977</v>
      </c>
    </row>
    <row r="12565" spans="1:1" x14ac:dyDescent="0.25">
      <c r="A12565" s="76" t="s">
        <v>7978</v>
      </c>
    </row>
    <row r="12566" spans="1:1" x14ac:dyDescent="0.25">
      <c r="A12566" s="108" t="s">
        <v>7979</v>
      </c>
    </row>
    <row r="12567" spans="1:1" x14ac:dyDescent="0.25">
      <c r="A12567" s="108" t="s">
        <v>7980</v>
      </c>
    </row>
    <row r="12568" spans="1:1" x14ac:dyDescent="0.25">
      <c r="A12568" s="29" t="s">
        <v>7981</v>
      </c>
    </row>
    <row r="12569" spans="1:1" x14ac:dyDescent="0.25">
      <c r="A12569" s="76" t="s">
        <v>7982</v>
      </c>
    </row>
    <row r="12570" spans="1:1" x14ac:dyDescent="0.25">
      <c r="A12570" s="29" t="s">
        <v>7983</v>
      </c>
    </row>
    <row r="12571" spans="1:1" x14ac:dyDescent="0.25">
      <c r="A12571" s="76" t="s">
        <v>7984</v>
      </c>
    </row>
    <row r="12572" spans="1:1" x14ac:dyDescent="0.25">
      <c r="A12572" s="29" t="s">
        <v>7985</v>
      </c>
    </row>
    <row r="12573" spans="1:1" x14ac:dyDescent="0.25">
      <c r="A12573" s="76" t="s">
        <v>7986</v>
      </c>
    </row>
    <row r="12574" spans="1:1" x14ac:dyDescent="0.25">
      <c r="A12574" s="29" t="s">
        <v>7987</v>
      </c>
    </row>
    <row r="12575" spans="1:1" x14ac:dyDescent="0.25">
      <c r="A12575" s="76" t="s">
        <v>7988</v>
      </c>
    </row>
    <row r="12576" spans="1:1" x14ac:dyDescent="0.25">
      <c r="A12576" s="29" t="s">
        <v>7989</v>
      </c>
    </row>
    <row r="12577" spans="1:1" x14ac:dyDescent="0.25">
      <c r="A12577" s="76" t="s">
        <v>7990</v>
      </c>
    </row>
    <row r="12578" spans="1:1" x14ac:dyDescent="0.25">
      <c r="A12578" s="29" t="s">
        <v>7991</v>
      </c>
    </row>
    <row r="12579" spans="1:1" x14ac:dyDescent="0.25">
      <c r="A12579" s="108" t="s">
        <v>7992</v>
      </c>
    </row>
    <row r="12580" spans="1:1" x14ac:dyDescent="0.25">
      <c r="A12580" s="76" t="s">
        <v>7993</v>
      </c>
    </row>
    <row r="12581" spans="1:1" x14ac:dyDescent="0.25">
      <c r="A12581" s="76" t="s">
        <v>7994</v>
      </c>
    </row>
    <row r="12582" spans="1:1" x14ac:dyDescent="0.25">
      <c r="A12582" s="29" t="s">
        <v>7995</v>
      </c>
    </row>
    <row r="12583" spans="1:1" x14ac:dyDescent="0.25">
      <c r="A12583" s="76" t="s">
        <v>7996</v>
      </c>
    </row>
    <row r="12584" spans="1:1" x14ac:dyDescent="0.25">
      <c r="A12584" s="29" t="s">
        <v>7997</v>
      </c>
    </row>
    <row r="12585" spans="1:1" x14ac:dyDescent="0.25">
      <c r="A12585" s="76" t="s">
        <v>7998</v>
      </c>
    </row>
    <row r="12586" spans="1:1" x14ac:dyDescent="0.25">
      <c r="A12586" s="29" t="s">
        <v>7999</v>
      </c>
    </row>
    <row r="12587" spans="1:1" x14ac:dyDescent="0.25">
      <c r="A12587" s="76" t="s">
        <v>8000</v>
      </c>
    </row>
    <row r="12588" spans="1:1" x14ac:dyDescent="0.25">
      <c r="A12588" s="29" t="s">
        <v>8001</v>
      </c>
    </row>
    <row r="12589" spans="1:1" x14ac:dyDescent="0.25">
      <c r="A12589" s="76" t="s">
        <v>8002</v>
      </c>
    </row>
    <row r="12590" spans="1:1" x14ac:dyDescent="0.25">
      <c r="A12590" s="29" t="s">
        <v>8003</v>
      </c>
    </row>
    <row r="12591" spans="1:1" x14ac:dyDescent="0.25">
      <c r="A12591" s="76" t="s">
        <v>8004</v>
      </c>
    </row>
    <row r="12592" spans="1:1" x14ac:dyDescent="0.25">
      <c r="A12592" s="29" t="s">
        <v>8005</v>
      </c>
    </row>
    <row r="12593" spans="1:1" x14ac:dyDescent="0.25">
      <c r="A12593" s="76" t="s">
        <v>8006</v>
      </c>
    </row>
    <row r="12594" spans="1:1" x14ac:dyDescent="0.25">
      <c r="A12594" s="29" t="s">
        <v>8007</v>
      </c>
    </row>
    <row r="12595" spans="1:1" x14ac:dyDescent="0.25">
      <c r="A12595" s="76" t="s">
        <v>8008</v>
      </c>
    </row>
    <row r="12596" spans="1:1" x14ac:dyDescent="0.25">
      <c r="A12596" s="29" t="s">
        <v>8009</v>
      </c>
    </row>
    <row r="12597" spans="1:1" x14ac:dyDescent="0.25">
      <c r="A12597" s="76" t="s">
        <v>8010</v>
      </c>
    </row>
    <row r="12598" spans="1:1" x14ac:dyDescent="0.25">
      <c r="A12598" s="29" t="s">
        <v>8011</v>
      </c>
    </row>
    <row r="12599" spans="1:1" x14ac:dyDescent="0.25">
      <c r="A12599" s="76" t="s">
        <v>8012</v>
      </c>
    </row>
    <row r="12600" spans="1:1" x14ac:dyDescent="0.25">
      <c r="A12600" s="29" t="s">
        <v>8013</v>
      </c>
    </row>
    <row r="12601" spans="1:1" x14ac:dyDescent="0.25">
      <c r="A12601" s="76" t="s">
        <v>8014</v>
      </c>
    </row>
    <row r="12602" spans="1:1" x14ac:dyDescent="0.25">
      <c r="A12602" s="29" t="s">
        <v>8015</v>
      </c>
    </row>
    <row r="12603" spans="1:1" x14ac:dyDescent="0.25">
      <c r="A12603" s="76" t="s">
        <v>8016</v>
      </c>
    </row>
    <row r="12604" spans="1:1" x14ac:dyDescent="0.25">
      <c r="A12604" s="29" t="s">
        <v>8017</v>
      </c>
    </row>
    <row r="12605" spans="1:1" x14ac:dyDescent="0.25">
      <c r="A12605" s="108" t="s">
        <v>8018</v>
      </c>
    </row>
    <row r="12606" spans="1:1" x14ac:dyDescent="0.25">
      <c r="A12606" s="76" t="s">
        <v>8019</v>
      </c>
    </row>
    <row r="12607" spans="1:1" x14ac:dyDescent="0.25">
      <c r="A12607" s="76" t="s">
        <v>8020</v>
      </c>
    </row>
    <row r="12608" spans="1:1" x14ac:dyDescent="0.25">
      <c r="A12608" s="29" t="s">
        <v>8021</v>
      </c>
    </row>
    <row r="12609" spans="1:1" x14ac:dyDescent="0.25">
      <c r="A12609" s="76" t="s">
        <v>8022</v>
      </c>
    </row>
    <row r="12610" spans="1:1" x14ac:dyDescent="0.25">
      <c r="A12610" s="29" t="s">
        <v>8023</v>
      </c>
    </row>
    <row r="12611" spans="1:1" x14ac:dyDescent="0.25">
      <c r="A12611" s="108" t="s">
        <v>8024</v>
      </c>
    </row>
    <row r="12612" spans="1:1" x14ac:dyDescent="0.25">
      <c r="A12612" s="76" t="s">
        <v>8025</v>
      </c>
    </row>
    <row r="12613" spans="1:1" x14ac:dyDescent="0.25">
      <c r="A12613" s="76" t="s">
        <v>8026</v>
      </c>
    </row>
    <row r="12614" spans="1:1" x14ac:dyDescent="0.25">
      <c r="A12614" s="29" t="s">
        <v>8027</v>
      </c>
    </row>
    <row r="12615" spans="1:1" x14ac:dyDescent="0.25">
      <c r="A12615" s="76" t="s">
        <v>8028</v>
      </c>
    </row>
    <row r="12616" spans="1:1" x14ac:dyDescent="0.25">
      <c r="A12616" s="29" t="s">
        <v>8029</v>
      </c>
    </row>
    <row r="12617" spans="1:1" x14ac:dyDescent="0.25">
      <c r="A12617" s="76" t="s">
        <v>8030</v>
      </c>
    </row>
    <row r="12618" spans="1:1" x14ac:dyDescent="0.25">
      <c r="A12618" s="29" t="s">
        <v>8031</v>
      </c>
    </row>
    <row r="12619" spans="1:1" x14ac:dyDescent="0.25">
      <c r="A12619" s="108" t="s">
        <v>8032</v>
      </c>
    </row>
    <row r="12620" spans="1:1" x14ac:dyDescent="0.25">
      <c r="A12620" s="76" t="s">
        <v>8033</v>
      </c>
    </row>
    <row r="12621" spans="1:1" x14ac:dyDescent="0.25">
      <c r="A12621" s="76" t="s">
        <v>8034</v>
      </c>
    </row>
    <row r="12622" spans="1:1" x14ac:dyDescent="0.25">
      <c r="A12622" s="29" t="s">
        <v>8035</v>
      </c>
    </row>
    <row r="12623" spans="1:1" x14ac:dyDescent="0.25">
      <c r="A12623" s="108" t="s">
        <v>8036</v>
      </c>
    </row>
    <row r="12624" spans="1:1" x14ac:dyDescent="0.25">
      <c r="A12624" s="76" t="s">
        <v>8037</v>
      </c>
    </row>
    <row r="12625" spans="1:1" x14ac:dyDescent="0.25">
      <c r="A12625" s="108" t="s">
        <v>8038</v>
      </c>
    </row>
    <row r="12626" spans="1:1" x14ac:dyDescent="0.25">
      <c r="A12626" s="76" t="s">
        <v>8039</v>
      </c>
    </row>
    <row r="12627" spans="1:1" x14ac:dyDescent="0.25">
      <c r="A12627" s="76" t="s">
        <v>8040</v>
      </c>
    </row>
    <row r="12628" spans="1:1" x14ac:dyDescent="0.25">
      <c r="A12628" s="76" t="s">
        <v>8041</v>
      </c>
    </row>
    <row r="12629" spans="1:1" x14ac:dyDescent="0.25">
      <c r="A12629" s="76" t="s">
        <v>8042</v>
      </c>
    </row>
    <row r="12630" spans="1:1" x14ac:dyDescent="0.25">
      <c r="A12630" s="108" t="s">
        <v>8043</v>
      </c>
    </row>
    <row r="12631" spans="1:1" x14ac:dyDescent="0.25">
      <c r="A12631" s="108" t="s">
        <v>8044</v>
      </c>
    </row>
    <row r="12632" spans="1:1" x14ac:dyDescent="0.25">
      <c r="A12632" s="29" t="s">
        <v>8045</v>
      </c>
    </row>
    <row r="12633" spans="1:1" x14ac:dyDescent="0.25">
      <c r="A12633" s="76" t="s">
        <v>8046</v>
      </c>
    </row>
    <row r="12634" spans="1:1" x14ac:dyDescent="0.25">
      <c r="A12634" s="29" t="s">
        <v>8047</v>
      </c>
    </row>
    <row r="12635" spans="1:1" x14ac:dyDescent="0.25">
      <c r="A12635" s="76" t="s">
        <v>8048</v>
      </c>
    </row>
    <row r="12636" spans="1:1" x14ac:dyDescent="0.25">
      <c r="A12636" s="76" t="s">
        <v>8049</v>
      </c>
    </row>
    <row r="12637" spans="1:1" x14ac:dyDescent="0.25">
      <c r="A12637" s="76" t="s">
        <v>8050</v>
      </c>
    </row>
    <row r="12638" spans="1:1" x14ac:dyDescent="0.25">
      <c r="A12638" s="108" t="s">
        <v>8051</v>
      </c>
    </row>
    <row r="12639" spans="1:1" x14ac:dyDescent="0.25">
      <c r="A12639" s="108" t="s">
        <v>8052</v>
      </c>
    </row>
    <row r="12640" spans="1:1" x14ac:dyDescent="0.25">
      <c r="A12640" s="29" t="s">
        <v>8053</v>
      </c>
    </row>
    <row r="12641" spans="1:1" x14ac:dyDescent="0.25">
      <c r="A12641" s="76" t="s">
        <v>8054</v>
      </c>
    </row>
    <row r="12642" spans="1:1" x14ac:dyDescent="0.25">
      <c r="A12642" s="29" t="s">
        <v>8055</v>
      </c>
    </row>
    <row r="12643" spans="1:1" x14ac:dyDescent="0.25">
      <c r="A12643" s="76" t="s">
        <v>8056</v>
      </c>
    </row>
    <row r="12644" spans="1:1" x14ac:dyDescent="0.25">
      <c r="A12644" s="76" t="s">
        <v>8057</v>
      </c>
    </row>
    <row r="12645" spans="1:1" x14ac:dyDescent="0.25">
      <c r="A12645" s="76" t="s">
        <v>8058</v>
      </c>
    </row>
    <row r="12646" spans="1:1" x14ac:dyDescent="0.25">
      <c r="A12646" s="108" t="s">
        <v>8059</v>
      </c>
    </row>
    <row r="12647" spans="1:1" x14ac:dyDescent="0.25">
      <c r="A12647" s="108" t="s">
        <v>8060</v>
      </c>
    </row>
    <row r="12648" spans="1:1" x14ac:dyDescent="0.25">
      <c r="A12648" s="29" t="s">
        <v>8061</v>
      </c>
    </row>
    <row r="12649" spans="1:1" x14ac:dyDescent="0.25">
      <c r="A12649" s="76" t="s">
        <v>8062</v>
      </c>
    </row>
    <row r="12650" spans="1:1" x14ac:dyDescent="0.25">
      <c r="A12650" s="29" t="s">
        <v>8063</v>
      </c>
    </row>
    <row r="12651" spans="1:1" x14ac:dyDescent="0.25">
      <c r="A12651" s="76" t="s">
        <v>8064</v>
      </c>
    </row>
    <row r="12652" spans="1:1" x14ac:dyDescent="0.25">
      <c r="A12652" s="76" t="s">
        <v>8065</v>
      </c>
    </row>
    <row r="12653" spans="1:1" x14ac:dyDescent="0.25">
      <c r="A12653" s="76" t="s">
        <v>8066</v>
      </c>
    </row>
    <row r="12654" spans="1:1" x14ac:dyDescent="0.25">
      <c r="A12654" s="108" t="s">
        <v>8067</v>
      </c>
    </row>
    <row r="12655" spans="1:1" x14ac:dyDescent="0.25">
      <c r="A12655" s="108" t="s">
        <v>8068</v>
      </c>
    </row>
    <row r="12656" spans="1:1" x14ac:dyDescent="0.25">
      <c r="A12656" s="29" t="s">
        <v>8069</v>
      </c>
    </row>
    <row r="12657" spans="1:1" x14ac:dyDescent="0.25">
      <c r="A12657" s="76" t="s">
        <v>8070</v>
      </c>
    </row>
    <row r="12658" spans="1:1" x14ac:dyDescent="0.25">
      <c r="A12658" s="29" t="s">
        <v>8071</v>
      </c>
    </row>
    <row r="12659" spans="1:1" x14ac:dyDescent="0.25">
      <c r="A12659" s="76" t="s">
        <v>8072</v>
      </c>
    </row>
    <row r="12660" spans="1:1" x14ac:dyDescent="0.25">
      <c r="A12660" s="76" t="s">
        <v>8073</v>
      </c>
    </row>
    <row r="12661" spans="1:1" x14ac:dyDescent="0.25">
      <c r="A12661" s="76" t="s">
        <v>8074</v>
      </c>
    </row>
    <row r="12662" spans="1:1" x14ac:dyDescent="0.25">
      <c r="A12662" s="108" t="s">
        <v>8075</v>
      </c>
    </row>
    <row r="12663" spans="1:1" x14ac:dyDescent="0.25">
      <c r="A12663" s="108" t="s">
        <v>8076</v>
      </c>
    </row>
    <row r="12664" spans="1:1" x14ac:dyDescent="0.25">
      <c r="A12664" s="29" t="s">
        <v>8077</v>
      </c>
    </row>
    <row r="12665" spans="1:1" x14ac:dyDescent="0.25">
      <c r="A12665" s="76" t="s">
        <v>8078</v>
      </c>
    </row>
    <row r="12666" spans="1:1" x14ac:dyDescent="0.25">
      <c r="A12666" s="29" t="s">
        <v>8079</v>
      </c>
    </row>
    <row r="12667" spans="1:1" x14ac:dyDescent="0.25">
      <c r="A12667" s="76" t="s">
        <v>8080</v>
      </c>
    </row>
    <row r="12668" spans="1:1" x14ac:dyDescent="0.25">
      <c r="A12668" s="76" t="s">
        <v>8081</v>
      </c>
    </row>
    <row r="12669" spans="1:1" x14ac:dyDescent="0.25">
      <c r="A12669" s="76" t="s">
        <v>8082</v>
      </c>
    </row>
    <row r="12670" spans="1:1" x14ac:dyDescent="0.25">
      <c r="A12670" s="108" t="s">
        <v>8083</v>
      </c>
    </row>
    <row r="12671" spans="1:1" x14ac:dyDescent="0.25">
      <c r="A12671" s="108" t="s">
        <v>8084</v>
      </c>
    </row>
    <row r="12672" spans="1:1" x14ac:dyDescent="0.25">
      <c r="A12672" s="29" t="s">
        <v>8085</v>
      </c>
    </row>
    <row r="12673" spans="1:1" x14ac:dyDescent="0.25">
      <c r="A12673" s="76" t="s">
        <v>8086</v>
      </c>
    </row>
    <row r="12674" spans="1:1" x14ac:dyDescent="0.25">
      <c r="A12674" s="29" t="s">
        <v>8087</v>
      </c>
    </row>
    <row r="12675" spans="1:1" x14ac:dyDescent="0.25">
      <c r="A12675" s="108" t="s">
        <v>8088</v>
      </c>
    </row>
    <row r="12676" spans="1:1" x14ac:dyDescent="0.25">
      <c r="A12676" s="76" t="s">
        <v>8089</v>
      </c>
    </row>
    <row r="12677" spans="1:1" x14ac:dyDescent="0.25">
      <c r="A12677" s="76" t="s">
        <v>8090</v>
      </c>
    </row>
    <row r="12678" spans="1:1" x14ac:dyDescent="0.25">
      <c r="A12678" s="29" t="s">
        <v>8091</v>
      </c>
    </row>
    <row r="12679" spans="1:1" x14ac:dyDescent="0.25">
      <c r="A12679" s="76" t="s">
        <v>8092</v>
      </c>
    </row>
    <row r="12680" spans="1:1" x14ac:dyDescent="0.25">
      <c r="A12680" s="29" t="s">
        <v>8093</v>
      </c>
    </row>
    <row r="12681" spans="1:1" x14ac:dyDescent="0.25">
      <c r="A12681" s="76" t="s">
        <v>8094</v>
      </c>
    </row>
    <row r="12682" spans="1:1" x14ac:dyDescent="0.25">
      <c r="A12682" s="29" t="s">
        <v>8095</v>
      </c>
    </row>
    <row r="12683" spans="1:1" x14ac:dyDescent="0.25">
      <c r="A12683" s="76" t="s">
        <v>8096</v>
      </c>
    </row>
    <row r="12684" spans="1:1" x14ac:dyDescent="0.25">
      <c r="A12684" s="29" t="s">
        <v>8097</v>
      </c>
    </row>
    <row r="12685" spans="1:1" x14ac:dyDescent="0.25">
      <c r="A12685" s="76" t="s">
        <v>8098</v>
      </c>
    </row>
    <row r="12686" spans="1:1" x14ac:dyDescent="0.25">
      <c r="A12686" s="29" t="s">
        <v>8099</v>
      </c>
    </row>
    <row r="12687" spans="1:1" x14ac:dyDescent="0.25">
      <c r="A12687" s="76" t="s">
        <v>8100</v>
      </c>
    </row>
    <row r="12688" spans="1:1" x14ac:dyDescent="0.25">
      <c r="A12688" s="29" t="s">
        <v>8101</v>
      </c>
    </row>
    <row r="12689" spans="1:1" x14ac:dyDescent="0.25">
      <c r="A12689" s="76" t="s">
        <v>8102</v>
      </c>
    </row>
    <row r="12690" spans="1:1" x14ac:dyDescent="0.25">
      <c r="A12690" s="29" t="s">
        <v>8103</v>
      </c>
    </row>
    <row r="12691" spans="1:1" x14ac:dyDescent="0.25">
      <c r="A12691" s="76" t="s">
        <v>8104</v>
      </c>
    </row>
    <row r="12692" spans="1:1" x14ac:dyDescent="0.25">
      <c r="A12692" s="29" t="s">
        <v>8105</v>
      </c>
    </row>
    <row r="12693" spans="1:1" x14ac:dyDescent="0.25">
      <c r="A12693" s="108" t="s">
        <v>8106</v>
      </c>
    </row>
    <row r="12694" spans="1:1" x14ac:dyDescent="0.25">
      <c r="A12694" s="76" t="s">
        <v>8107</v>
      </c>
    </row>
    <row r="12695" spans="1:1" x14ac:dyDescent="0.25">
      <c r="A12695" s="108" t="s">
        <v>8108</v>
      </c>
    </row>
    <row r="12696" spans="1:1" x14ac:dyDescent="0.25">
      <c r="A12696" s="76" t="s">
        <v>8109</v>
      </c>
    </row>
    <row r="12697" spans="1:1" x14ac:dyDescent="0.25">
      <c r="A12697" s="76" t="s">
        <v>8110</v>
      </c>
    </row>
    <row r="12698" spans="1:1" x14ac:dyDescent="0.25">
      <c r="A12698" s="29" t="s">
        <v>8111</v>
      </c>
    </row>
    <row r="12699" spans="1:1" x14ac:dyDescent="0.25">
      <c r="A12699" s="76" t="s">
        <v>8112</v>
      </c>
    </row>
    <row r="12700" spans="1:1" x14ac:dyDescent="0.25">
      <c r="A12700" s="29" t="s">
        <v>8113</v>
      </c>
    </row>
    <row r="12701" spans="1:1" x14ac:dyDescent="0.25">
      <c r="A12701" s="76" t="s">
        <v>8114</v>
      </c>
    </row>
    <row r="12702" spans="1:1" x14ac:dyDescent="0.25">
      <c r="A12702" s="29" t="s">
        <v>8115</v>
      </c>
    </row>
    <row r="12703" spans="1:1" x14ac:dyDescent="0.25">
      <c r="A12703" s="76" t="s">
        <v>8116</v>
      </c>
    </row>
    <row r="12704" spans="1:1" x14ac:dyDescent="0.25">
      <c r="A12704" s="29" t="s">
        <v>8117</v>
      </c>
    </row>
    <row r="12705" spans="1:1" x14ac:dyDescent="0.25">
      <c r="A12705" s="76" t="s">
        <v>8118</v>
      </c>
    </row>
    <row r="12706" spans="1:1" x14ac:dyDescent="0.25">
      <c r="A12706" s="29" t="s">
        <v>8119</v>
      </c>
    </row>
    <row r="12707" spans="1:1" x14ac:dyDescent="0.25">
      <c r="A12707" s="76" t="s">
        <v>8120</v>
      </c>
    </row>
    <row r="12708" spans="1:1" x14ac:dyDescent="0.25">
      <c r="A12708" s="29" t="s">
        <v>8121</v>
      </c>
    </row>
    <row r="12709" spans="1:1" x14ac:dyDescent="0.25">
      <c r="A12709" s="76" t="s">
        <v>8122</v>
      </c>
    </row>
    <row r="12710" spans="1:1" x14ac:dyDescent="0.25">
      <c r="A12710" s="29" t="s">
        <v>8123</v>
      </c>
    </row>
    <row r="12711" spans="1:1" x14ac:dyDescent="0.25">
      <c r="A12711" s="108" t="s">
        <v>8124</v>
      </c>
    </row>
    <row r="12712" spans="1:1" x14ac:dyDescent="0.25">
      <c r="A12712" s="76" t="s">
        <v>8125</v>
      </c>
    </row>
    <row r="12713" spans="1:1" x14ac:dyDescent="0.25">
      <c r="A12713" s="76" t="s">
        <v>8126</v>
      </c>
    </row>
    <row r="12714" spans="1:1" x14ac:dyDescent="0.25">
      <c r="A12714" s="29" t="s">
        <v>8127</v>
      </c>
    </row>
    <row r="12715" spans="1:1" x14ac:dyDescent="0.25">
      <c r="A12715" s="76" t="s">
        <v>8128</v>
      </c>
    </row>
    <row r="12716" spans="1:1" x14ac:dyDescent="0.25">
      <c r="A12716" s="29" t="s">
        <v>8129</v>
      </c>
    </row>
    <row r="12717" spans="1:1" x14ac:dyDescent="0.25">
      <c r="A12717" s="76" t="s">
        <v>8130</v>
      </c>
    </row>
    <row r="12718" spans="1:1" x14ac:dyDescent="0.25">
      <c r="A12718" s="29" t="s">
        <v>8131</v>
      </c>
    </row>
    <row r="12719" spans="1:1" x14ac:dyDescent="0.25">
      <c r="A12719" s="76" t="s">
        <v>8132</v>
      </c>
    </row>
    <row r="12720" spans="1:1" x14ac:dyDescent="0.25">
      <c r="A12720" s="29" t="s">
        <v>8133</v>
      </c>
    </row>
    <row r="12721" spans="1:1" x14ac:dyDescent="0.25">
      <c r="A12721" s="76" t="s">
        <v>8134</v>
      </c>
    </row>
    <row r="12722" spans="1:1" x14ac:dyDescent="0.25">
      <c r="A12722" s="29" t="s">
        <v>8135</v>
      </c>
    </row>
    <row r="12723" spans="1:1" x14ac:dyDescent="0.25">
      <c r="A12723" s="108" t="s">
        <v>8136</v>
      </c>
    </row>
    <row r="12724" spans="1:1" x14ac:dyDescent="0.25">
      <c r="A12724" s="76" t="s">
        <v>8137</v>
      </c>
    </row>
    <row r="12725" spans="1:1" x14ac:dyDescent="0.25">
      <c r="A12725" s="76" t="s">
        <v>8138</v>
      </c>
    </row>
    <row r="12726" spans="1:1" x14ac:dyDescent="0.25">
      <c r="A12726" s="29" t="s">
        <v>8139</v>
      </c>
    </row>
    <row r="12727" spans="1:1" x14ac:dyDescent="0.25">
      <c r="A12727" s="76" t="s">
        <v>8140</v>
      </c>
    </row>
    <row r="12728" spans="1:1" x14ac:dyDescent="0.25">
      <c r="A12728" s="29" t="s">
        <v>8141</v>
      </c>
    </row>
    <row r="12729" spans="1:1" x14ac:dyDescent="0.25">
      <c r="A12729" s="76" t="s">
        <v>8142</v>
      </c>
    </row>
    <row r="12730" spans="1:1" x14ac:dyDescent="0.25">
      <c r="A12730" s="29" t="s">
        <v>8143</v>
      </c>
    </row>
    <row r="12731" spans="1:1" x14ac:dyDescent="0.25">
      <c r="A12731" s="76" t="s">
        <v>8144</v>
      </c>
    </row>
    <row r="12732" spans="1:1" x14ac:dyDescent="0.25">
      <c r="A12732" s="29" t="s">
        <v>8145</v>
      </c>
    </row>
    <row r="12733" spans="1:1" x14ac:dyDescent="0.25">
      <c r="A12733" s="108" t="s">
        <v>8146</v>
      </c>
    </row>
    <row r="12734" spans="1:1" x14ac:dyDescent="0.25">
      <c r="A12734" s="76" t="s">
        <v>8147</v>
      </c>
    </row>
    <row r="12735" spans="1:1" x14ac:dyDescent="0.25">
      <c r="A12735" s="76" t="s">
        <v>8148</v>
      </c>
    </row>
    <row r="12736" spans="1:1" x14ac:dyDescent="0.25">
      <c r="A12736" s="76" t="s">
        <v>8149</v>
      </c>
    </row>
    <row r="12737" spans="1:1" x14ac:dyDescent="0.25">
      <c r="A12737" s="76" t="s">
        <v>8150</v>
      </c>
    </row>
    <row r="12738" spans="1:1" x14ac:dyDescent="0.25">
      <c r="A12738" s="108" t="s">
        <v>8151</v>
      </c>
    </row>
    <row r="12739" spans="1:1" x14ac:dyDescent="0.25">
      <c r="A12739" s="108" t="s">
        <v>8152</v>
      </c>
    </row>
    <row r="12740" spans="1:1" x14ac:dyDescent="0.25">
      <c r="A12740" s="29" t="s">
        <v>8153</v>
      </c>
    </row>
    <row r="12741" spans="1:1" x14ac:dyDescent="0.25">
      <c r="A12741" s="76" t="s">
        <v>8154</v>
      </c>
    </row>
    <row r="12742" spans="1:1" x14ac:dyDescent="0.25">
      <c r="A12742" s="29" t="s">
        <v>8155</v>
      </c>
    </row>
    <row r="12743" spans="1:1" x14ac:dyDescent="0.25">
      <c r="A12743" s="76" t="s">
        <v>8156</v>
      </c>
    </row>
    <row r="12744" spans="1:1" x14ac:dyDescent="0.25">
      <c r="A12744" s="76" t="s">
        <v>8157</v>
      </c>
    </row>
    <row r="12745" spans="1:1" x14ac:dyDescent="0.25">
      <c r="A12745" s="76" t="s">
        <v>8158</v>
      </c>
    </row>
    <row r="12746" spans="1:1" x14ac:dyDescent="0.25">
      <c r="A12746" s="108" t="s">
        <v>8159</v>
      </c>
    </row>
    <row r="12747" spans="1:1" x14ac:dyDescent="0.25">
      <c r="A12747" s="108" t="s">
        <v>8160</v>
      </c>
    </row>
    <row r="12748" spans="1:1" x14ac:dyDescent="0.25">
      <c r="A12748" s="29" t="s">
        <v>8161</v>
      </c>
    </row>
    <row r="12749" spans="1:1" x14ac:dyDescent="0.25">
      <c r="A12749" s="76" t="s">
        <v>8162</v>
      </c>
    </row>
    <row r="12750" spans="1:1" x14ac:dyDescent="0.25">
      <c r="A12750" s="29" t="s">
        <v>8163</v>
      </c>
    </row>
    <row r="12751" spans="1:1" x14ac:dyDescent="0.25">
      <c r="A12751" s="76" t="s">
        <v>8164</v>
      </c>
    </row>
    <row r="12752" spans="1:1" x14ac:dyDescent="0.25">
      <c r="A12752" s="76" t="s">
        <v>8165</v>
      </c>
    </row>
    <row r="12753" spans="1:1" x14ac:dyDescent="0.25">
      <c r="A12753" s="76" t="s">
        <v>8166</v>
      </c>
    </row>
    <row r="12754" spans="1:1" x14ac:dyDescent="0.25">
      <c r="A12754" s="108" t="s">
        <v>8167</v>
      </c>
    </row>
    <row r="12755" spans="1:1" x14ac:dyDescent="0.25">
      <c r="A12755" s="108" t="s">
        <v>8168</v>
      </c>
    </row>
    <row r="12756" spans="1:1" x14ac:dyDescent="0.25">
      <c r="A12756" s="29" t="s">
        <v>8169</v>
      </c>
    </row>
    <row r="12757" spans="1:1" x14ac:dyDescent="0.25">
      <c r="A12757" s="76" t="s">
        <v>8170</v>
      </c>
    </row>
    <row r="12758" spans="1:1" x14ac:dyDescent="0.25">
      <c r="A12758" s="29" t="s">
        <v>8171</v>
      </c>
    </row>
    <row r="12759" spans="1:1" x14ac:dyDescent="0.25">
      <c r="A12759" s="108" t="s">
        <v>8172</v>
      </c>
    </row>
    <row r="12760" spans="1:1" x14ac:dyDescent="0.25">
      <c r="A12760" s="76" t="s">
        <v>8173</v>
      </c>
    </row>
    <row r="12761" spans="1:1" x14ac:dyDescent="0.25">
      <c r="A12761" s="76" t="s">
        <v>8174</v>
      </c>
    </row>
    <row r="12762" spans="1:1" x14ac:dyDescent="0.25">
      <c r="A12762" s="29" t="s">
        <v>8175</v>
      </c>
    </row>
    <row r="12763" spans="1:1" x14ac:dyDescent="0.25">
      <c r="A12763" s="76" t="s">
        <v>8176</v>
      </c>
    </row>
    <row r="12764" spans="1:1" x14ac:dyDescent="0.25">
      <c r="A12764" s="29" t="s">
        <v>8177</v>
      </c>
    </row>
    <row r="12765" spans="1:1" x14ac:dyDescent="0.25">
      <c r="A12765" s="108" t="s">
        <v>8178</v>
      </c>
    </row>
    <row r="12766" spans="1:1" x14ac:dyDescent="0.25">
      <c r="A12766" s="76" t="s">
        <v>8179</v>
      </c>
    </row>
    <row r="12767" spans="1:1" x14ac:dyDescent="0.25">
      <c r="A12767" s="108" t="s">
        <v>8180</v>
      </c>
    </row>
    <row r="12768" spans="1:1" x14ac:dyDescent="0.25">
      <c r="A12768" s="76" t="s">
        <v>8181</v>
      </c>
    </row>
    <row r="12769" spans="1:1" x14ac:dyDescent="0.25">
      <c r="A12769" s="76" t="s">
        <v>8182</v>
      </c>
    </row>
    <row r="12770" spans="1:1" x14ac:dyDescent="0.25">
      <c r="A12770" s="29" t="s">
        <v>8183</v>
      </c>
    </row>
    <row r="12771" spans="1:1" x14ac:dyDescent="0.25">
      <c r="A12771" s="76" t="s">
        <v>8184</v>
      </c>
    </row>
    <row r="12772" spans="1:1" x14ac:dyDescent="0.25">
      <c r="A12772" s="29" t="s">
        <v>8185</v>
      </c>
    </row>
    <row r="12773" spans="1:1" x14ac:dyDescent="0.25">
      <c r="A12773" s="108" t="s">
        <v>8186</v>
      </c>
    </row>
    <row r="12774" spans="1:1" x14ac:dyDescent="0.25">
      <c r="A12774" s="76" t="s">
        <v>8187</v>
      </c>
    </row>
    <row r="12775" spans="1:1" x14ac:dyDescent="0.25">
      <c r="A12775" s="108" t="s">
        <v>8188</v>
      </c>
    </row>
    <row r="12776" spans="1:1" x14ac:dyDescent="0.25">
      <c r="A12776" s="76" t="s">
        <v>8189</v>
      </c>
    </row>
    <row r="12777" spans="1:1" x14ac:dyDescent="0.25">
      <c r="A12777" s="76" t="s">
        <v>8190</v>
      </c>
    </row>
    <row r="12778" spans="1:1" x14ac:dyDescent="0.25">
      <c r="A12778" s="29" t="s">
        <v>8191</v>
      </c>
    </row>
    <row r="12779" spans="1:1" x14ac:dyDescent="0.25">
      <c r="A12779" s="76" t="s">
        <v>8192</v>
      </c>
    </row>
    <row r="12780" spans="1:1" x14ac:dyDescent="0.25">
      <c r="A12780" s="29" t="s">
        <v>8193</v>
      </c>
    </row>
    <row r="12781" spans="1:1" x14ac:dyDescent="0.25">
      <c r="A12781" s="76" t="s">
        <v>8194</v>
      </c>
    </row>
    <row r="12782" spans="1:1" x14ac:dyDescent="0.25">
      <c r="A12782" s="29" t="s">
        <v>8195</v>
      </c>
    </row>
    <row r="12783" spans="1:1" x14ac:dyDescent="0.25">
      <c r="A12783" s="76" t="s">
        <v>8196</v>
      </c>
    </row>
    <row r="12784" spans="1:1" x14ac:dyDescent="0.25">
      <c r="A12784" s="29" t="s">
        <v>8197</v>
      </c>
    </row>
    <row r="12785" spans="1:1" x14ac:dyDescent="0.25">
      <c r="A12785" s="108" t="s">
        <v>8198</v>
      </c>
    </row>
    <row r="12786" spans="1:1" x14ac:dyDescent="0.25">
      <c r="A12786" s="76" t="s">
        <v>8199</v>
      </c>
    </row>
    <row r="12787" spans="1:1" x14ac:dyDescent="0.25">
      <c r="A12787" s="76" t="s">
        <v>8200</v>
      </c>
    </row>
    <row r="12788" spans="1:1" x14ac:dyDescent="0.25">
      <c r="A12788" s="76" t="s">
        <v>8201</v>
      </c>
    </row>
    <row r="12789" spans="1:1" x14ac:dyDescent="0.25">
      <c r="A12789" s="76" t="s">
        <v>8202</v>
      </c>
    </row>
    <row r="12790" spans="1:1" x14ac:dyDescent="0.25">
      <c r="A12790" s="108" t="s">
        <v>8203</v>
      </c>
    </row>
    <row r="12791" spans="1:1" x14ac:dyDescent="0.25">
      <c r="A12791" s="108" t="s">
        <v>8204</v>
      </c>
    </row>
    <row r="12792" spans="1:1" x14ac:dyDescent="0.25">
      <c r="A12792" s="29" t="s">
        <v>8205</v>
      </c>
    </row>
    <row r="12793" spans="1:1" x14ac:dyDescent="0.25">
      <c r="A12793" s="76" t="s">
        <v>8206</v>
      </c>
    </row>
    <row r="12794" spans="1:1" x14ac:dyDescent="0.25">
      <c r="A12794" s="29" t="s">
        <v>8207</v>
      </c>
    </row>
    <row r="12795" spans="1:1" x14ac:dyDescent="0.25">
      <c r="A12795" s="76" t="s">
        <v>8208</v>
      </c>
    </row>
    <row r="12796" spans="1:1" x14ac:dyDescent="0.25">
      <c r="A12796" s="76" t="s">
        <v>8209</v>
      </c>
    </row>
    <row r="12797" spans="1:1" x14ac:dyDescent="0.25">
      <c r="A12797" s="76" t="s">
        <v>8210</v>
      </c>
    </row>
    <row r="12798" spans="1:1" x14ac:dyDescent="0.25">
      <c r="A12798" s="108" t="s">
        <v>8211</v>
      </c>
    </row>
    <row r="12799" spans="1:1" x14ac:dyDescent="0.25">
      <c r="A12799" s="108" t="s">
        <v>8212</v>
      </c>
    </row>
    <row r="12800" spans="1:1" x14ac:dyDescent="0.25">
      <c r="A12800" s="29" t="s">
        <v>8213</v>
      </c>
    </row>
    <row r="12801" spans="1:1" x14ac:dyDescent="0.25">
      <c r="A12801" s="76" t="s">
        <v>8214</v>
      </c>
    </row>
    <row r="12802" spans="1:1" x14ac:dyDescent="0.25">
      <c r="A12802" s="29" t="s">
        <v>8215</v>
      </c>
    </row>
    <row r="12803" spans="1:1" x14ac:dyDescent="0.25">
      <c r="A12803" s="76" t="s">
        <v>8216</v>
      </c>
    </row>
    <row r="12804" spans="1:1" x14ac:dyDescent="0.25">
      <c r="A12804" s="76" t="s">
        <v>8217</v>
      </c>
    </row>
    <row r="12805" spans="1:1" x14ac:dyDescent="0.25">
      <c r="A12805" s="76" t="s">
        <v>8218</v>
      </c>
    </row>
    <row r="12806" spans="1:1" x14ac:dyDescent="0.25">
      <c r="A12806" s="108" t="s">
        <v>8219</v>
      </c>
    </row>
    <row r="12807" spans="1:1" x14ac:dyDescent="0.25">
      <c r="A12807" s="108" t="s">
        <v>8220</v>
      </c>
    </row>
    <row r="12808" spans="1:1" x14ac:dyDescent="0.25">
      <c r="A12808" s="29" t="s">
        <v>8221</v>
      </c>
    </row>
    <row r="12809" spans="1:1" x14ac:dyDescent="0.25">
      <c r="A12809" s="76" t="s">
        <v>8222</v>
      </c>
    </row>
    <row r="12810" spans="1:1" x14ac:dyDescent="0.25">
      <c r="A12810" s="29" t="s">
        <v>8223</v>
      </c>
    </row>
    <row r="12811" spans="1:1" x14ac:dyDescent="0.25">
      <c r="A12811" s="76" t="s">
        <v>8224</v>
      </c>
    </row>
    <row r="12812" spans="1:1" x14ac:dyDescent="0.25">
      <c r="A12812" s="76" t="s">
        <v>8225</v>
      </c>
    </row>
    <row r="12813" spans="1:1" x14ac:dyDescent="0.25">
      <c r="A12813" s="76" t="s">
        <v>8226</v>
      </c>
    </row>
    <row r="12814" spans="1:1" x14ac:dyDescent="0.25">
      <c r="A12814" s="108" t="s">
        <v>8227</v>
      </c>
    </row>
    <row r="12815" spans="1:1" x14ac:dyDescent="0.25">
      <c r="A12815" s="108" t="s">
        <v>8228</v>
      </c>
    </row>
    <row r="12816" spans="1:1" x14ac:dyDescent="0.25">
      <c r="A12816" s="29" t="s">
        <v>8229</v>
      </c>
    </row>
    <row r="12817" spans="1:1" x14ac:dyDescent="0.25">
      <c r="A12817" s="76" t="s">
        <v>8230</v>
      </c>
    </row>
    <row r="12818" spans="1:1" x14ac:dyDescent="0.25">
      <c r="A12818" s="29" t="s">
        <v>8231</v>
      </c>
    </row>
    <row r="12819" spans="1:1" x14ac:dyDescent="0.25">
      <c r="A12819" s="76" t="s">
        <v>8232</v>
      </c>
    </row>
    <row r="12820" spans="1:1" x14ac:dyDescent="0.25">
      <c r="A12820" s="76" t="s">
        <v>8233</v>
      </c>
    </row>
    <row r="12821" spans="1:1" x14ac:dyDescent="0.25">
      <c r="A12821" s="76" t="s">
        <v>8234</v>
      </c>
    </row>
    <row r="12822" spans="1:1" x14ac:dyDescent="0.25">
      <c r="A12822" s="108" t="s">
        <v>8235</v>
      </c>
    </row>
    <row r="12823" spans="1:1" x14ac:dyDescent="0.25">
      <c r="A12823" s="108" t="s">
        <v>8236</v>
      </c>
    </row>
    <row r="12824" spans="1:1" x14ac:dyDescent="0.25">
      <c r="A12824" s="29" t="s">
        <v>8237</v>
      </c>
    </row>
    <row r="12825" spans="1:1" x14ac:dyDescent="0.25">
      <c r="A12825" s="76" t="s">
        <v>8238</v>
      </c>
    </row>
    <row r="12826" spans="1:1" x14ac:dyDescent="0.25">
      <c r="A12826" s="29" t="s">
        <v>8239</v>
      </c>
    </row>
    <row r="12827" spans="1:1" x14ac:dyDescent="0.25">
      <c r="A12827" s="76" t="s">
        <v>8240</v>
      </c>
    </row>
    <row r="12828" spans="1:1" x14ac:dyDescent="0.25">
      <c r="A12828" s="76" t="s">
        <v>8241</v>
      </c>
    </row>
    <row r="12829" spans="1:1" x14ac:dyDescent="0.25">
      <c r="A12829" s="76" t="s">
        <v>8242</v>
      </c>
    </row>
    <row r="12830" spans="1:1" x14ac:dyDescent="0.25">
      <c r="A12830" s="108" t="s">
        <v>8243</v>
      </c>
    </row>
    <row r="12831" spans="1:1" x14ac:dyDescent="0.25">
      <c r="A12831" s="108" t="s">
        <v>8244</v>
      </c>
    </row>
    <row r="12832" spans="1:1" x14ac:dyDescent="0.25">
      <c r="A12832" s="29" t="s">
        <v>8245</v>
      </c>
    </row>
    <row r="12833" spans="1:1" x14ac:dyDescent="0.25">
      <c r="A12833" s="76" t="s">
        <v>8246</v>
      </c>
    </row>
    <row r="12834" spans="1:1" x14ac:dyDescent="0.25">
      <c r="A12834" s="29" t="s">
        <v>8247</v>
      </c>
    </row>
    <row r="12835" spans="1:1" x14ac:dyDescent="0.25">
      <c r="A12835" s="76" t="s">
        <v>8248</v>
      </c>
    </row>
    <row r="12836" spans="1:1" x14ac:dyDescent="0.25">
      <c r="A12836" s="29" t="s">
        <v>8249</v>
      </c>
    </row>
    <row r="12837" spans="1:1" x14ac:dyDescent="0.25">
      <c r="A12837" s="76" t="s">
        <v>8250</v>
      </c>
    </row>
    <row r="12838" spans="1:1" x14ac:dyDescent="0.25">
      <c r="A12838" s="29" t="s">
        <v>8251</v>
      </c>
    </row>
    <row r="12839" spans="1:1" x14ac:dyDescent="0.25">
      <c r="A12839" s="108" t="s">
        <v>8252</v>
      </c>
    </row>
    <row r="12840" spans="1:1" x14ac:dyDescent="0.25">
      <c r="A12840" s="76" t="s">
        <v>8253</v>
      </c>
    </row>
    <row r="12841" spans="1:1" x14ac:dyDescent="0.25">
      <c r="A12841" s="76" t="s">
        <v>8254</v>
      </c>
    </row>
    <row r="12842" spans="1:1" x14ac:dyDescent="0.25">
      <c r="A12842" s="29" t="s">
        <v>8255</v>
      </c>
    </row>
    <row r="12843" spans="1:1" x14ac:dyDescent="0.25">
      <c r="A12843" s="76" t="s">
        <v>8256</v>
      </c>
    </row>
    <row r="12844" spans="1:1" x14ac:dyDescent="0.25">
      <c r="A12844" s="29" t="s">
        <v>8257</v>
      </c>
    </row>
    <row r="12845" spans="1:1" x14ac:dyDescent="0.25">
      <c r="A12845" s="76" t="s">
        <v>8258</v>
      </c>
    </row>
    <row r="12846" spans="1:1" x14ac:dyDescent="0.25">
      <c r="A12846" s="29" t="s">
        <v>8259</v>
      </c>
    </row>
    <row r="12847" spans="1:1" x14ac:dyDescent="0.25">
      <c r="A12847" s="76" t="s">
        <v>8260</v>
      </c>
    </row>
    <row r="12848" spans="1:1" x14ac:dyDescent="0.25">
      <c r="A12848" s="29" t="s">
        <v>8261</v>
      </c>
    </row>
    <row r="12849" spans="1:1" x14ac:dyDescent="0.25">
      <c r="A12849" s="76" t="s">
        <v>8262</v>
      </c>
    </row>
    <row r="12850" spans="1:1" x14ac:dyDescent="0.25">
      <c r="A12850" s="29" t="s">
        <v>8263</v>
      </c>
    </row>
    <row r="12851" spans="1:1" x14ac:dyDescent="0.25">
      <c r="A12851" s="76" t="s">
        <v>8264</v>
      </c>
    </row>
    <row r="12852" spans="1:1" x14ac:dyDescent="0.25">
      <c r="A12852" s="29" t="s">
        <v>8265</v>
      </c>
    </row>
    <row r="12853" spans="1:1" x14ac:dyDescent="0.25">
      <c r="A12853" s="108" t="s">
        <v>8266</v>
      </c>
    </row>
    <row r="12854" spans="1:1" x14ac:dyDescent="0.25">
      <c r="A12854" s="76" t="s">
        <v>8267</v>
      </c>
    </row>
    <row r="12855" spans="1:1" x14ac:dyDescent="0.25">
      <c r="A12855" s="76" t="s">
        <v>8268</v>
      </c>
    </row>
    <row r="12856" spans="1:1" x14ac:dyDescent="0.25">
      <c r="A12856" s="29" t="s">
        <v>8269</v>
      </c>
    </row>
    <row r="12857" spans="1:1" x14ac:dyDescent="0.25">
      <c r="A12857" s="76" t="s">
        <v>8270</v>
      </c>
    </row>
    <row r="12858" spans="1:1" x14ac:dyDescent="0.25">
      <c r="A12858" s="29" t="s">
        <v>8271</v>
      </c>
    </row>
    <row r="12859" spans="1:1" x14ac:dyDescent="0.25">
      <c r="A12859" s="108" t="s">
        <v>8272</v>
      </c>
    </row>
    <row r="12860" spans="1:1" x14ac:dyDescent="0.25">
      <c r="A12860" s="76" t="s">
        <v>8273</v>
      </c>
    </row>
    <row r="12861" spans="1:1" x14ac:dyDescent="0.25">
      <c r="A12861" s="76" t="s">
        <v>8274</v>
      </c>
    </row>
    <row r="12862" spans="1:1" x14ac:dyDescent="0.25">
      <c r="A12862" s="29" t="s">
        <v>8275</v>
      </c>
    </row>
    <row r="12863" spans="1:1" x14ac:dyDescent="0.25">
      <c r="A12863" s="76" t="s">
        <v>8276</v>
      </c>
    </row>
    <row r="12864" spans="1:1" x14ac:dyDescent="0.25">
      <c r="A12864" s="29" t="s">
        <v>8277</v>
      </c>
    </row>
    <row r="12865" spans="1:1" x14ac:dyDescent="0.25">
      <c r="A12865" s="108" t="s">
        <v>8278</v>
      </c>
    </row>
    <row r="12866" spans="1:1" x14ac:dyDescent="0.25">
      <c r="A12866" s="76" t="s">
        <v>8279</v>
      </c>
    </row>
    <row r="12867" spans="1:1" x14ac:dyDescent="0.25">
      <c r="A12867" s="76" t="s">
        <v>8280</v>
      </c>
    </row>
    <row r="12868" spans="1:1" x14ac:dyDescent="0.25">
      <c r="A12868" s="29" t="s">
        <v>8281</v>
      </c>
    </row>
    <row r="12869" spans="1:1" x14ac:dyDescent="0.25">
      <c r="A12869" s="76" t="s">
        <v>8282</v>
      </c>
    </row>
    <row r="12870" spans="1:1" x14ac:dyDescent="0.25">
      <c r="A12870" s="29" t="s">
        <v>8283</v>
      </c>
    </row>
    <row r="12871" spans="1:1" x14ac:dyDescent="0.25">
      <c r="A12871" s="108" t="s">
        <v>8284</v>
      </c>
    </row>
    <row r="12872" spans="1:1" x14ac:dyDescent="0.25">
      <c r="A12872" s="76" t="s">
        <v>8285</v>
      </c>
    </row>
    <row r="12873" spans="1:1" x14ac:dyDescent="0.25">
      <c r="A12873" s="76" t="s">
        <v>8286</v>
      </c>
    </row>
    <row r="12874" spans="1:1" x14ac:dyDescent="0.25">
      <c r="A12874" s="29" t="s">
        <v>8287</v>
      </c>
    </row>
    <row r="12875" spans="1:1" x14ac:dyDescent="0.25">
      <c r="A12875" s="76" t="s">
        <v>8288</v>
      </c>
    </row>
    <row r="12876" spans="1:1" x14ac:dyDescent="0.25">
      <c r="A12876" s="29" t="s">
        <v>8289</v>
      </c>
    </row>
    <row r="12877" spans="1:1" x14ac:dyDescent="0.25">
      <c r="A12877" s="108" t="s">
        <v>8290</v>
      </c>
    </row>
    <row r="12878" spans="1:1" x14ac:dyDescent="0.25">
      <c r="A12878" s="76" t="s">
        <v>8291</v>
      </c>
    </row>
    <row r="12879" spans="1:1" x14ac:dyDescent="0.25">
      <c r="A12879" s="76" t="s">
        <v>8292</v>
      </c>
    </row>
    <row r="12880" spans="1:1" x14ac:dyDescent="0.25">
      <c r="A12880" s="29" t="s">
        <v>8293</v>
      </c>
    </row>
    <row r="12881" spans="1:1" x14ac:dyDescent="0.25">
      <c r="A12881" s="76" t="s">
        <v>8294</v>
      </c>
    </row>
    <row r="12882" spans="1:1" x14ac:dyDescent="0.25">
      <c r="A12882" s="29" t="s">
        <v>8295</v>
      </c>
    </row>
    <row r="12883" spans="1:1" x14ac:dyDescent="0.25">
      <c r="A12883" s="76" t="s">
        <v>8296</v>
      </c>
    </row>
    <row r="12884" spans="1:1" x14ac:dyDescent="0.25">
      <c r="A12884" s="76" t="s">
        <v>8297</v>
      </c>
    </row>
    <row r="12885" spans="1:1" x14ac:dyDescent="0.25">
      <c r="A12885" s="76" t="s">
        <v>8298</v>
      </c>
    </row>
    <row r="12886" spans="1:1" x14ac:dyDescent="0.25">
      <c r="A12886" s="108" t="s">
        <v>8299</v>
      </c>
    </row>
    <row r="12887" spans="1:1" x14ac:dyDescent="0.25">
      <c r="A12887" s="108" t="s">
        <v>8300</v>
      </c>
    </row>
    <row r="12888" spans="1:1" x14ac:dyDescent="0.25">
      <c r="A12888" s="29" t="s">
        <v>8301</v>
      </c>
    </row>
    <row r="12889" spans="1:1" x14ac:dyDescent="0.25">
      <c r="A12889" s="76" t="s">
        <v>8302</v>
      </c>
    </row>
    <row r="12890" spans="1:1" x14ac:dyDescent="0.25">
      <c r="A12890" s="29" t="s">
        <v>8303</v>
      </c>
    </row>
    <row r="12891" spans="1:1" x14ac:dyDescent="0.25">
      <c r="A12891" s="76" t="s">
        <v>8304</v>
      </c>
    </row>
    <row r="12892" spans="1:1" x14ac:dyDescent="0.25">
      <c r="A12892" s="76" t="s">
        <v>8305</v>
      </c>
    </row>
    <row r="12893" spans="1:1" x14ac:dyDescent="0.25">
      <c r="A12893" s="76" t="s">
        <v>8306</v>
      </c>
    </row>
    <row r="12894" spans="1:1" x14ac:dyDescent="0.25">
      <c r="A12894" s="108" t="s">
        <v>8307</v>
      </c>
    </row>
    <row r="12895" spans="1:1" x14ac:dyDescent="0.25">
      <c r="A12895" s="108" t="s">
        <v>8308</v>
      </c>
    </row>
    <row r="12896" spans="1:1" x14ac:dyDescent="0.25">
      <c r="A12896" s="29" t="s">
        <v>8309</v>
      </c>
    </row>
    <row r="12897" spans="1:1" x14ac:dyDescent="0.25">
      <c r="A12897" s="76" t="s">
        <v>8310</v>
      </c>
    </row>
    <row r="12898" spans="1:1" x14ac:dyDescent="0.25">
      <c r="A12898" s="29" t="s">
        <v>8311</v>
      </c>
    </row>
    <row r="12899" spans="1:1" x14ac:dyDescent="0.25">
      <c r="A12899" s="76" t="s">
        <v>8312</v>
      </c>
    </row>
    <row r="12900" spans="1:1" x14ac:dyDescent="0.25">
      <c r="A12900" s="76" t="s">
        <v>8313</v>
      </c>
    </row>
    <row r="12901" spans="1:1" x14ac:dyDescent="0.25">
      <c r="A12901" s="76" t="s">
        <v>8314</v>
      </c>
    </row>
    <row r="12902" spans="1:1" x14ac:dyDescent="0.25">
      <c r="A12902" s="108" t="s">
        <v>8315</v>
      </c>
    </row>
    <row r="12903" spans="1:1" x14ac:dyDescent="0.25">
      <c r="A12903" s="108" t="s">
        <v>8316</v>
      </c>
    </row>
    <row r="12904" spans="1:1" x14ac:dyDescent="0.25">
      <c r="A12904" s="29" t="s">
        <v>8317</v>
      </c>
    </row>
    <row r="12905" spans="1:1" x14ac:dyDescent="0.25">
      <c r="A12905" s="76" t="s">
        <v>8318</v>
      </c>
    </row>
    <row r="12906" spans="1:1" x14ac:dyDescent="0.25">
      <c r="A12906" s="29" t="s">
        <v>8319</v>
      </c>
    </row>
    <row r="12907" spans="1:1" x14ac:dyDescent="0.25">
      <c r="A12907" s="76" t="s">
        <v>8320</v>
      </c>
    </row>
    <row r="12908" spans="1:1" x14ac:dyDescent="0.25">
      <c r="A12908" s="76" t="s">
        <v>8321</v>
      </c>
    </row>
    <row r="12909" spans="1:1" x14ac:dyDescent="0.25">
      <c r="A12909" s="76" t="s">
        <v>8322</v>
      </c>
    </row>
    <row r="12910" spans="1:1" x14ac:dyDescent="0.25">
      <c r="A12910" s="108" t="s">
        <v>8323</v>
      </c>
    </row>
    <row r="12911" spans="1:1" x14ac:dyDescent="0.25">
      <c r="A12911" s="108" t="s">
        <v>8324</v>
      </c>
    </row>
    <row r="12912" spans="1:1" x14ac:dyDescent="0.25">
      <c r="A12912" s="29" t="s">
        <v>8325</v>
      </c>
    </row>
    <row r="12913" spans="1:1" x14ac:dyDescent="0.25">
      <c r="A12913" s="76" t="s">
        <v>8326</v>
      </c>
    </row>
    <row r="12914" spans="1:1" x14ac:dyDescent="0.25">
      <c r="A12914" s="29" t="s">
        <v>8327</v>
      </c>
    </row>
    <row r="12915" spans="1:1" x14ac:dyDescent="0.25">
      <c r="A12915" s="76" t="s">
        <v>8328</v>
      </c>
    </row>
    <row r="12916" spans="1:1" x14ac:dyDescent="0.25">
      <c r="A12916" s="76" t="s">
        <v>8329</v>
      </c>
    </row>
    <row r="12917" spans="1:1" x14ac:dyDescent="0.25">
      <c r="A12917" s="76" t="s">
        <v>8330</v>
      </c>
    </row>
    <row r="12918" spans="1:1" x14ac:dyDescent="0.25">
      <c r="A12918" s="108" t="s">
        <v>8331</v>
      </c>
    </row>
    <row r="12919" spans="1:1" x14ac:dyDescent="0.25">
      <c r="A12919" s="108" t="s">
        <v>8332</v>
      </c>
    </row>
    <row r="12920" spans="1:1" x14ac:dyDescent="0.25">
      <c r="A12920" s="29" t="s">
        <v>8333</v>
      </c>
    </row>
    <row r="12921" spans="1:1" x14ac:dyDescent="0.25">
      <c r="A12921" s="76" t="s">
        <v>8334</v>
      </c>
    </row>
    <row r="12922" spans="1:1" x14ac:dyDescent="0.25">
      <c r="A12922" s="29" t="s">
        <v>8335</v>
      </c>
    </row>
    <row r="12923" spans="1:1" x14ac:dyDescent="0.25">
      <c r="A12923" s="76" t="s">
        <v>8336</v>
      </c>
    </row>
    <row r="12924" spans="1:1" x14ac:dyDescent="0.25">
      <c r="A12924" s="76" t="s">
        <v>8337</v>
      </c>
    </row>
    <row r="12925" spans="1:1" x14ac:dyDescent="0.25">
      <c r="A12925" s="76" t="s">
        <v>8338</v>
      </c>
    </row>
    <row r="12926" spans="1:1" x14ac:dyDescent="0.25">
      <c r="A12926" s="108" t="s">
        <v>8339</v>
      </c>
    </row>
    <row r="12927" spans="1:1" x14ac:dyDescent="0.25">
      <c r="A12927" s="108" t="s">
        <v>8340</v>
      </c>
    </row>
    <row r="12928" spans="1:1" x14ac:dyDescent="0.25">
      <c r="A12928" s="29" t="s">
        <v>8341</v>
      </c>
    </row>
    <row r="12929" spans="1:1" x14ac:dyDescent="0.25">
      <c r="A12929" s="76" t="s">
        <v>8342</v>
      </c>
    </row>
    <row r="12930" spans="1:1" x14ac:dyDescent="0.25">
      <c r="A12930" s="29" t="s">
        <v>8343</v>
      </c>
    </row>
    <row r="12931" spans="1:1" x14ac:dyDescent="0.25">
      <c r="A12931" s="108" t="s">
        <v>8344</v>
      </c>
    </row>
    <row r="12932" spans="1:1" x14ac:dyDescent="0.25">
      <c r="A12932" s="76" t="s">
        <v>8345</v>
      </c>
    </row>
    <row r="12933" spans="1:1" x14ac:dyDescent="0.25">
      <c r="A12933" s="108" t="s">
        <v>8346</v>
      </c>
    </row>
    <row r="12934" spans="1:1" x14ac:dyDescent="0.25">
      <c r="A12934" s="76" t="s">
        <v>8347</v>
      </c>
    </row>
    <row r="12935" spans="1:1" x14ac:dyDescent="0.25">
      <c r="A12935" s="108" t="s">
        <v>8348</v>
      </c>
    </row>
    <row r="12936" spans="1:1" x14ac:dyDescent="0.25">
      <c r="A12936" s="76" t="s">
        <v>8349</v>
      </c>
    </row>
    <row r="12937" spans="1:1" x14ac:dyDescent="0.25">
      <c r="A12937" s="76" t="s">
        <v>8350</v>
      </c>
    </row>
    <row r="12938" spans="1:1" x14ac:dyDescent="0.25">
      <c r="A12938" s="29" t="s">
        <v>8351</v>
      </c>
    </row>
    <row r="12939" spans="1:1" x14ac:dyDescent="0.25">
      <c r="A12939" s="76" t="s">
        <v>8352</v>
      </c>
    </row>
    <row r="12940" spans="1:1" x14ac:dyDescent="0.25">
      <c r="A12940" s="29" t="s">
        <v>8353</v>
      </c>
    </row>
    <row r="12941" spans="1:1" x14ac:dyDescent="0.25">
      <c r="A12941" s="108" t="s">
        <v>8354</v>
      </c>
    </row>
    <row r="12942" spans="1:1" x14ac:dyDescent="0.25">
      <c r="A12942" s="76" t="s">
        <v>8355</v>
      </c>
    </row>
    <row r="12943" spans="1:1" x14ac:dyDescent="0.25">
      <c r="A12943" s="76" t="s">
        <v>8356</v>
      </c>
    </row>
    <row r="12944" spans="1:1" x14ac:dyDescent="0.25">
      <c r="A12944" s="29" t="s">
        <v>8357</v>
      </c>
    </row>
    <row r="12945" spans="1:1" x14ac:dyDescent="0.25">
      <c r="A12945" s="76" t="s">
        <v>8358</v>
      </c>
    </row>
    <row r="12946" spans="1:1" x14ac:dyDescent="0.25">
      <c r="A12946" s="29" t="s">
        <v>8359</v>
      </c>
    </row>
    <row r="12947" spans="1:1" x14ac:dyDescent="0.25">
      <c r="A12947" s="108" t="s">
        <v>8360</v>
      </c>
    </row>
    <row r="12948" spans="1:1" x14ac:dyDescent="0.25">
      <c r="A12948" s="76" t="s">
        <v>8361</v>
      </c>
    </row>
    <row r="12949" spans="1:1" x14ac:dyDescent="0.25">
      <c r="A12949" s="76" t="s">
        <v>8362</v>
      </c>
    </row>
    <row r="12950" spans="1:1" x14ac:dyDescent="0.25">
      <c r="A12950" s="29" t="s">
        <v>8363</v>
      </c>
    </row>
    <row r="12951" spans="1:1" x14ac:dyDescent="0.25">
      <c r="A12951" s="76" t="s">
        <v>8364</v>
      </c>
    </row>
    <row r="12952" spans="1:1" x14ac:dyDescent="0.25">
      <c r="A12952" s="29" t="s">
        <v>8365</v>
      </c>
    </row>
    <row r="12953" spans="1:1" x14ac:dyDescent="0.25">
      <c r="A12953" s="76" t="s">
        <v>8366</v>
      </c>
    </row>
    <row r="12954" spans="1:1" x14ac:dyDescent="0.25">
      <c r="A12954" s="29" t="s">
        <v>8367</v>
      </c>
    </row>
    <row r="12955" spans="1:1" x14ac:dyDescent="0.25">
      <c r="A12955" s="76" t="s">
        <v>8368</v>
      </c>
    </row>
    <row r="12956" spans="1:1" x14ac:dyDescent="0.25">
      <c r="A12956" s="29" t="s">
        <v>8369</v>
      </c>
    </row>
    <row r="12957" spans="1:1" x14ac:dyDescent="0.25">
      <c r="A12957" s="76" t="s">
        <v>8370</v>
      </c>
    </row>
    <row r="12958" spans="1:1" x14ac:dyDescent="0.25">
      <c r="A12958" s="29" t="s">
        <v>8371</v>
      </c>
    </row>
    <row r="12959" spans="1:1" x14ac:dyDescent="0.25">
      <c r="A12959" s="76" t="s">
        <v>8372</v>
      </c>
    </row>
    <row r="12960" spans="1:1" x14ac:dyDescent="0.25">
      <c r="A12960" s="29" t="s">
        <v>8373</v>
      </c>
    </row>
    <row r="12961" spans="1:1" x14ac:dyDescent="0.25">
      <c r="A12961" s="76" t="s">
        <v>8374</v>
      </c>
    </row>
    <row r="12962" spans="1:1" x14ac:dyDescent="0.25">
      <c r="A12962" s="29" t="s">
        <v>8375</v>
      </c>
    </row>
    <row r="12963" spans="1:1" x14ac:dyDescent="0.25">
      <c r="A12963" s="76" t="s">
        <v>8376</v>
      </c>
    </row>
    <row r="12964" spans="1:1" x14ac:dyDescent="0.25">
      <c r="A12964" s="29" t="s">
        <v>8377</v>
      </c>
    </row>
    <row r="12965" spans="1:1" x14ac:dyDescent="0.25">
      <c r="A12965" s="76" t="s">
        <v>8378</v>
      </c>
    </row>
    <row r="12966" spans="1:1" x14ac:dyDescent="0.25">
      <c r="A12966" s="29" t="s">
        <v>8379</v>
      </c>
    </row>
    <row r="12967" spans="1:1" x14ac:dyDescent="0.25">
      <c r="A12967" s="76" t="s">
        <v>8380</v>
      </c>
    </row>
    <row r="12968" spans="1:1" x14ac:dyDescent="0.25">
      <c r="A12968" s="29" t="s">
        <v>8381</v>
      </c>
    </row>
    <row r="12969" spans="1:1" x14ac:dyDescent="0.25">
      <c r="A12969" s="76" t="s">
        <v>8382</v>
      </c>
    </row>
    <row r="12970" spans="1:1" x14ac:dyDescent="0.25">
      <c r="A12970" s="29" t="s">
        <v>8383</v>
      </c>
    </row>
    <row r="12971" spans="1:1" x14ac:dyDescent="0.25">
      <c r="A12971" s="76" t="s">
        <v>8384</v>
      </c>
    </row>
    <row r="12972" spans="1:1" x14ac:dyDescent="0.25">
      <c r="A12972" s="29" t="s">
        <v>8385</v>
      </c>
    </row>
    <row r="12973" spans="1:1" x14ac:dyDescent="0.25">
      <c r="A12973" s="108" t="s">
        <v>8386</v>
      </c>
    </row>
    <row r="12974" spans="1:1" x14ac:dyDescent="0.25">
      <c r="A12974" s="76" t="s">
        <v>8387</v>
      </c>
    </row>
    <row r="12975" spans="1:1" x14ac:dyDescent="0.25">
      <c r="A12975" s="76" t="s">
        <v>8388</v>
      </c>
    </row>
    <row r="12976" spans="1:1" x14ac:dyDescent="0.25">
      <c r="A12976" s="29" t="s">
        <v>8389</v>
      </c>
    </row>
    <row r="12977" spans="1:1" x14ac:dyDescent="0.25">
      <c r="A12977" s="76" t="s">
        <v>8390</v>
      </c>
    </row>
    <row r="12978" spans="1:1" x14ac:dyDescent="0.25">
      <c r="A12978" s="29" t="s">
        <v>8391</v>
      </c>
    </row>
    <row r="12979" spans="1:1" x14ac:dyDescent="0.25">
      <c r="A12979" s="76" t="s">
        <v>8392</v>
      </c>
    </row>
    <row r="12980" spans="1:1" x14ac:dyDescent="0.25">
      <c r="A12980" s="76" t="s">
        <v>8393</v>
      </c>
    </row>
    <row r="12981" spans="1:1" x14ac:dyDescent="0.25">
      <c r="A12981" s="76" t="s">
        <v>8394</v>
      </c>
    </row>
    <row r="12982" spans="1:1" x14ac:dyDescent="0.25">
      <c r="A12982" s="108" t="s">
        <v>8395</v>
      </c>
    </row>
    <row r="12983" spans="1:1" x14ac:dyDescent="0.25">
      <c r="A12983" s="108" t="s">
        <v>8396</v>
      </c>
    </row>
    <row r="12984" spans="1:1" x14ac:dyDescent="0.25">
      <c r="A12984" s="29" t="s">
        <v>8397</v>
      </c>
    </row>
    <row r="12985" spans="1:1" x14ac:dyDescent="0.25">
      <c r="A12985" s="76" t="s">
        <v>8398</v>
      </c>
    </row>
    <row r="12986" spans="1:1" x14ac:dyDescent="0.25">
      <c r="A12986" s="29" t="s">
        <v>8399</v>
      </c>
    </row>
    <row r="12987" spans="1:1" x14ac:dyDescent="0.25">
      <c r="A12987" s="76" t="s">
        <v>8400</v>
      </c>
    </row>
    <row r="12988" spans="1:1" x14ac:dyDescent="0.25">
      <c r="A12988" s="76" t="s">
        <v>8401</v>
      </c>
    </row>
    <row r="12989" spans="1:1" x14ac:dyDescent="0.25">
      <c r="A12989" s="76" t="s">
        <v>8402</v>
      </c>
    </row>
    <row r="12990" spans="1:1" x14ac:dyDescent="0.25">
      <c r="A12990" s="108" t="s">
        <v>8403</v>
      </c>
    </row>
    <row r="12991" spans="1:1" x14ac:dyDescent="0.25">
      <c r="A12991" s="108" t="s">
        <v>8404</v>
      </c>
    </row>
    <row r="12992" spans="1:1" x14ac:dyDescent="0.25">
      <c r="A12992" s="29" t="s">
        <v>8405</v>
      </c>
    </row>
    <row r="12993" spans="1:1" x14ac:dyDescent="0.25">
      <c r="A12993" s="76" t="s">
        <v>8406</v>
      </c>
    </row>
    <row r="12994" spans="1:1" x14ac:dyDescent="0.25">
      <c r="A12994" s="29" t="s">
        <v>8407</v>
      </c>
    </row>
    <row r="12995" spans="1:1" x14ac:dyDescent="0.25">
      <c r="A12995" s="76" t="s">
        <v>8408</v>
      </c>
    </row>
    <row r="12996" spans="1:1" x14ac:dyDescent="0.25">
      <c r="A12996" s="76" t="s">
        <v>8409</v>
      </c>
    </row>
    <row r="12997" spans="1:1" x14ac:dyDescent="0.25">
      <c r="A12997" s="76" t="s">
        <v>8410</v>
      </c>
    </row>
    <row r="12998" spans="1:1" x14ac:dyDescent="0.25">
      <c r="A12998" s="108" t="s">
        <v>8411</v>
      </c>
    </row>
    <row r="12999" spans="1:1" x14ac:dyDescent="0.25">
      <c r="A12999" s="108" t="s">
        <v>8412</v>
      </c>
    </row>
    <row r="13000" spans="1:1" x14ac:dyDescent="0.25">
      <c r="A13000" s="29" t="s">
        <v>8413</v>
      </c>
    </row>
    <row r="13001" spans="1:1" x14ac:dyDescent="0.25">
      <c r="A13001" s="76" t="s">
        <v>8414</v>
      </c>
    </row>
    <row r="13002" spans="1:1" x14ac:dyDescent="0.25">
      <c r="A13002" s="29" t="s">
        <v>8415</v>
      </c>
    </row>
    <row r="13003" spans="1:1" x14ac:dyDescent="0.25">
      <c r="A13003" s="76" t="s">
        <v>8416</v>
      </c>
    </row>
    <row r="13004" spans="1:1" x14ac:dyDescent="0.25">
      <c r="A13004" s="76" t="s">
        <v>8417</v>
      </c>
    </row>
    <row r="13005" spans="1:1" x14ac:dyDescent="0.25">
      <c r="A13005" s="76" t="s">
        <v>8418</v>
      </c>
    </row>
    <row r="13006" spans="1:1" x14ac:dyDescent="0.25">
      <c r="A13006" s="108" t="s">
        <v>8419</v>
      </c>
    </row>
    <row r="13007" spans="1:1" x14ac:dyDescent="0.25">
      <c r="A13007" s="108" t="s">
        <v>8420</v>
      </c>
    </row>
    <row r="13008" spans="1:1" x14ac:dyDescent="0.25">
      <c r="A13008" s="29" t="s">
        <v>8421</v>
      </c>
    </row>
    <row r="13009" spans="1:1" x14ac:dyDescent="0.25">
      <c r="A13009" s="76" t="s">
        <v>8422</v>
      </c>
    </row>
    <row r="13010" spans="1:1" x14ac:dyDescent="0.25">
      <c r="A13010" s="29" t="s">
        <v>8423</v>
      </c>
    </row>
    <row r="13011" spans="1:1" x14ac:dyDescent="0.25">
      <c r="A13011" s="76" t="s">
        <v>8424</v>
      </c>
    </row>
    <row r="13012" spans="1:1" x14ac:dyDescent="0.25">
      <c r="A13012" s="76" t="s">
        <v>8425</v>
      </c>
    </row>
    <row r="13013" spans="1:1" x14ac:dyDescent="0.25">
      <c r="A13013" s="76" t="s">
        <v>8426</v>
      </c>
    </row>
    <row r="13014" spans="1:1" x14ac:dyDescent="0.25">
      <c r="A13014" s="108" t="s">
        <v>8427</v>
      </c>
    </row>
    <row r="13015" spans="1:1" x14ac:dyDescent="0.25">
      <c r="A13015" s="108" t="s">
        <v>8428</v>
      </c>
    </row>
    <row r="13016" spans="1:1" x14ac:dyDescent="0.25">
      <c r="A13016" s="29" t="s">
        <v>8429</v>
      </c>
    </row>
    <row r="13017" spans="1:1" x14ac:dyDescent="0.25">
      <c r="A13017" s="76" t="s">
        <v>8430</v>
      </c>
    </row>
    <row r="13018" spans="1:1" x14ac:dyDescent="0.25">
      <c r="A13018" s="29" t="s">
        <v>8431</v>
      </c>
    </row>
    <row r="13019" spans="1:1" x14ac:dyDescent="0.25">
      <c r="A13019" s="76" t="s">
        <v>8432</v>
      </c>
    </row>
    <row r="13020" spans="1:1" x14ac:dyDescent="0.25">
      <c r="A13020" s="76" t="s">
        <v>8433</v>
      </c>
    </row>
    <row r="13021" spans="1:1" x14ac:dyDescent="0.25">
      <c r="A13021" s="76" t="s">
        <v>8434</v>
      </c>
    </row>
    <row r="13022" spans="1:1" x14ac:dyDescent="0.25">
      <c r="A13022" s="108" t="s">
        <v>8435</v>
      </c>
    </row>
    <row r="13023" spans="1:1" x14ac:dyDescent="0.25">
      <c r="A13023" s="108" t="s">
        <v>8436</v>
      </c>
    </row>
    <row r="13024" spans="1:1" x14ac:dyDescent="0.25">
      <c r="A13024" s="29" t="s">
        <v>8437</v>
      </c>
    </row>
    <row r="13025" spans="1:1" x14ac:dyDescent="0.25">
      <c r="A13025" s="76" t="s">
        <v>8438</v>
      </c>
    </row>
    <row r="13026" spans="1:1" x14ac:dyDescent="0.25">
      <c r="A13026" s="29" t="s">
        <v>8439</v>
      </c>
    </row>
    <row r="13027" spans="1:1" x14ac:dyDescent="0.25">
      <c r="A13027" s="108" t="s">
        <v>8440</v>
      </c>
    </row>
    <row r="13028" spans="1:1" x14ac:dyDescent="0.25">
      <c r="A13028" s="76" t="s">
        <v>8441</v>
      </c>
    </row>
    <row r="13029" spans="1:1" x14ac:dyDescent="0.25">
      <c r="A13029" s="108" t="s">
        <v>8442</v>
      </c>
    </row>
    <row r="13030" spans="1:1" x14ac:dyDescent="0.25">
      <c r="A13030" s="76" t="s">
        <v>8443</v>
      </c>
    </row>
    <row r="13031" spans="1:1" x14ac:dyDescent="0.25">
      <c r="A13031" s="76" t="s">
        <v>8444</v>
      </c>
    </row>
    <row r="13032" spans="1:1" x14ac:dyDescent="0.25">
      <c r="A13032" s="29" t="s">
        <v>8445</v>
      </c>
    </row>
    <row r="13033" spans="1:1" x14ac:dyDescent="0.25">
      <c r="A13033" s="76" t="s">
        <v>8446</v>
      </c>
    </row>
    <row r="13034" spans="1:1" x14ac:dyDescent="0.25">
      <c r="A13034" s="29" t="s">
        <v>8447</v>
      </c>
    </row>
    <row r="13035" spans="1:1" x14ac:dyDescent="0.25">
      <c r="A13035" s="76" t="s">
        <v>8448</v>
      </c>
    </row>
    <row r="13036" spans="1:1" x14ac:dyDescent="0.25">
      <c r="A13036" s="29" t="s">
        <v>8449</v>
      </c>
    </row>
    <row r="13037" spans="1:1" x14ac:dyDescent="0.25">
      <c r="A13037" s="76" t="s">
        <v>8450</v>
      </c>
    </row>
    <row r="13038" spans="1:1" x14ac:dyDescent="0.25">
      <c r="A13038" s="29" t="s">
        <v>8451</v>
      </c>
    </row>
    <row r="13039" spans="1:1" x14ac:dyDescent="0.25">
      <c r="A13039" s="76" t="s">
        <v>8452</v>
      </c>
    </row>
    <row r="13040" spans="1:1" x14ac:dyDescent="0.25">
      <c r="A13040" s="29" t="s">
        <v>8453</v>
      </c>
    </row>
    <row r="13041" spans="1:1" x14ac:dyDescent="0.25">
      <c r="A13041" s="108" t="s">
        <v>8454</v>
      </c>
    </row>
    <row r="13042" spans="1:1" x14ac:dyDescent="0.25">
      <c r="A13042" s="76" t="s">
        <v>8455</v>
      </c>
    </row>
    <row r="13043" spans="1:1" x14ac:dyDescent="0.25">
      <c r="A13043" s="76" t="s">
        <v>8456</v>
      </c>
    </row>
    <row r="13044" spans="1:1" x14ac:dyDescent="0.25">
      <c r="A13044" s="29" t="s">
        <v>8457</v>
      </c>
    </row>
    <row r="13045" spans="1:1" x14ac:dyDescent="0.25">
      <c r="A13045" s="76" t="s">
        <v>8458</v>
      </c>
    </row>
    <row r="13046" spans="1:1" x14ac:dyDescent="0.25">
      <c r="A13046" s="29" t="s">
        <v>8459</v>
      </c>
    </row>
    <row r="13047" spans="1:1" x14ac:dyDescent="0.25">
      <c r="A13047" s="76" t="s">
        <v>8460</v>
      </c>
    </row>
    <row r="13048" spans="1:1" x14ac:dyDescent="0.25">
      <c r="A13048" s="29" t="s">
        <v>8461</v>
      </c>
    </row>
    <row r="13049" spans="1:1" x14ac:dyDescent="0.25">
      <c r="A13049" s="76" t="s">
        <v>8462</v>
      </c>
    </row>
    <row r="13050" spans="1:1" x14ac:dyDescent="0.25">
      <c r="A13050" s="29" t="s">
        <v>8463</v>
      </c>
    </row>
    <row r="13051" spans="1:1" x14ac:dyDescent="0.25">
      <c r="A13051" s="108" t="s">
        <v>8464</v>
      </c>
    </row>
    <row r="13052" spans="1:1" x14ac:dyDescent="0.25">
      <c r="A13052" s="76" t="s">
        <v>8465</v>
      </c>
    </row>
    <row r="13053" spans="1:1" x14ac:dyDescent="0.25">
      <c r="A13053" s="76" t="s">
        <v>8466</v>
      </c>
    </row>
    <row r="13054" spans="1:1" x14ac:dyDescent="0.25">
      <c r="A13054" s="29" t="s">
        <v>8467</v>
      </c>
    </row>
    <row r="13055" spans="1:1" x14ac:dyDescent="0.25">
      <c r="A13055" s="76" t="s">
        <v>8468</v>
      </c>
    </row>
    <row r="13056" spans="1:1" x14ac:dyDescent="0.25">
      <c r="A13056" s="29" t="s">
        <v>8469</v>
      </c>
    </row>
    <row r="13057" spans="1:1" x14ac:dyDescent="0.25">
      <c r="A13057" s="76" t="s">
        <v>8470</v>
      </c>
    </row>
    <row r="13058" spans="1:1" x14ac:dyDescent="0.25">
      <c r="A13058" s="29" t="s">
        <v>8471</v>
      </c>
    </row>
    <row r="13059" spans="1:1" x14ac:dyDescent="0.25">
      <c r="A13059" s="108" t="s">
        <v>8472</v>
      </c>
    </row>
    <row r="13060" spans="1:1" x14ac:dyDescent="0.25">
      <c r="A13060" s="76" t="s">
        <v>8473</v>
      </c>
    </row>
    <row r="13061" spans="1:1" x14ac:dyDescent="0.25">
      <c r="A13061" s="108" t="s">
        <v>8474</v>
      </c>
    </row>
    <row r="13062" spans="1:1" x14ac:dyDescent="0.25">
      <c r="A13062" s="76" t="s">
        <v>8475</v>
      </c>
    </row>
    <row r="13063" spans="1:1" x14ac:dyDescent="0.25">
      <c r="A13063" s="76" t="s">
        <v>8476</v>
      </c>
    </row>
    <row r="13064" spans="1:1" x14ac:dyDescent="0.25">
      <c r="A13064" s="76" t="s">
        <v>8477</v>
      </c>
    </row>
    <row r="13065" spans="1:1" x14ac:dyDescent="0.25">
      <c r="A13065" s="76" t="s">
        <v>8478</v>
      </c>
    </row>
    <row r="13066" spans="1:1" x14ac:dyDescent="0.25">
      <c r="A13066" s="108" t="s">
        <v>8479</v>
      </c>
    </row>
    <row r="13067" spans="1:1" x14ac:dyDescent="0.25">
      <c r="A13067" s="108" t="s">
        <v>8480</v>
      </c>
    </row>
    <row r="13068" spans="1:1" x14ac:dyDescent="0.25">
      <c r="A13068" s="29" t="s">
        <v>8481</v>
      </c>
    </row>
    <row r="13069" spans="1:1" x14ac:dyDescent="0.25">
      <c r="A13069" s="76" t="s">
        <v>8482</v>
      </c>
    </row>
    <row r="13070" spans="1:1" x14ac:dyDescent="0.25">
      <c r="A13070" s="29" t="s">
        <v>8483</v>
      </c>
    </row>
    <row r="13071" spans="1:1" x14ac:dyDescent="0.25">
      <c r="A13071" s="76" t="s">
        <v>8484</v>
      </c>
    </row>
    <row r="13072" spans="1:1" x14ac:dyDescent="0.25">
      <c r="A13072" s="76" t="s">
        <v>8485</v>
      </c>
    </row>
    <row r="13073" spans="1:1" x14ac:dyDescent="0.25">
      <c r="A13073" s="76" t="s">
        <v>8486</v>
      </c>
    </row>
    <row r="13074" spans="1:1" x14ac:dyDescent="0.25">
      <c r="A13074" s="108" t="s">
        <v>8487</v>
      </c>
    </row>
    <row r="13075" spans="1:1" x14ac:dyDescent="0.25">
      <c r="A13075" s="108" t="s">
        <v>8488</v>
      </c>
    </row>
    <row r="13076" spans="1:1" x14ac:dyDescent="0.25">
      <c r="A13076" s="29" t="s">
        <v>8489</v>
      </c>
    </row>
    <row r="13077" spans="1:1" x14ac:dyDescent="0.25">
      <c r="A13077" s="76" t="s">
        <v>8490</v>
      </c>
    </row>
    <row r="13078" spans="1:1" x14ac:dyDescent="0.25">
      <c r="A13078" s="29" t="s">
        <v>8491</v>
      </c>
    </row>
    <row r="13079" spans="1:1" x14ac:dyDescent="0.25">
      <c r="A13079" s="76" t="s">
        <v>8492</v>
      </c>
    </row>
    <row r="13080" spans="1:1" x14ac:dyDescent="0.25">
      <c r="A13080" s="76" t="s">
        <v>8493</v>
      </c>
    </row>
    <row r="13081" spans="1:1" x14ac:dyDescent="0.25">
      <c r="A13081" s="76" t="s">
        <v>8494</v>
      </c>
    </row>
    <row r="13082" spans="1:1" x14ac:dyDescent="0.25">
      <c r="A13082" s="108" t="s">
        <v>8495</v>
      </c>
    </row>
    <row r="13083" spans="1:1" x14ac:dyDescent="0.25">
      <c r="A13083" s="108" t="s">
        <v>8496</v>
      </c>
    </row>
    <row r="13084" spans="1:1" x14ac:dyDescent="0.25">
      <c r="A13084" s="29" t="s">
        <v>8497</v>
      </c>
    </row>
    <row r="13085" spans="1:1" x14ac:dyDescent="0.25">
      <c r="A13085" s="76" t="s">
        <v>8498</v>
      </c>
    </row>
    <row r="13086" spans="1:1" x14ac:dyDescent="0.25">
      <c r="A13086" s="29" t="s">
        <v>8499</v>
      </c>
    </row>
    <row r="13087" spans="1:1" x14ac:dyDescent="0.25">
      <c r="A13087" s="76" t="s">
        <v>8500</v>
      </c>
    </row>
    <row r="13088" spans="1:1" x14ac:dyDescent="0.25">
      <c r="A13088" s="76" t="s">
        <v>8501</v>
      </c>
    </row>
    <row r="13089" spans="1:1" x14ac:dyDescent="0.25">
      <c r="A13089" s="76" t="s">
        <v>8502</v>
      </c>
    </row>
    <row r="13090" spans="1:1" x14ac:dyDescent="0.25">
      <c r="A13090" s="108" t="s">
        <v>8503</v>
      </c>
    </row>
    <row r="13091" spans="1:1" x14ac:dyDescent="0.25">
      <c r="A13091" s="108" t="s">
        <v>8504</v>
      </c>
    </row>
    <row r="13092" spans="1:1" x14ac:dyDescent="0.25">
      <c r="A13092" s="29" t="s">
        <v>8505</v>
      </c>
    </row>
    <row r="13093" spans="1:1" x14ac:dyDescent="0.25">
      <c r="A13093" s="76" t="s">
        <v>8506</v>
      </c>
    </row>
    <row r="13094" spans="1:1" x14ac:dyDescent="0.25">
      <c r="A13094" s="29" t="s">
        <v>8507</v>
      </c>
    </row>
    <row r="13095" spans="1:1" x14ac:dyDescent="0.25">
      <c r="A13095" s="76" t="s">
        <v>8508</v>
      </c>
    </row>
    <row r="13096" spans="1:1" x14ac:dyDescent="0.25">
      <c r="A13096" s="76" t="s">
        <v>8509</v>
      </c>
    </row>
    <row r="13097" spans="1:1" x14ac:dyDescent="0.25">
      <c r="A13097" s="76" t="s">
        <v>8510</v>
      </c>
    </row>
    <row r="13098" spans="1:1" x14ac:dyDescent="0.25">
      <c r="A13098" s="108" t="s">
        <v>8511</v>
      </c>
    </row>
    <row r="13099" spans="1:1" x14ac:dyDescent="0.25">
      <c r="A13099" s="108" t="s">
        <v>8512</v>
      </c>
    </row>
    <row r="13100" spans="1:1" x14ac:dyDescent="0.25">
      <c r="A13100" s="29" t="s">
        <v>8513</v>
      </c>
    </row>
    <row r="13101" spans="1:1" x14ac:dyDescent="0.25">
      <c r="A13101" s="76" t="s">
        <v>8514</v>
      </c>
    </row>
    <row r="13102" spans="1:1" x14ac:dyDescent="0.25">
      <c r="A13102" s="29" t="s">
        <v>8515</v>
      </c>
    </row>
    <row r="13103" spans="1:1" x14ac:dyDescent="0.25">
      <c r="A13103" s="76" t="s">
        <v>8516</v>
      </c>
    </row>
    <row r="13104" spans="1:1" x14ac:dyDescent="0.25">
      <c r="A13104" s="76" t="s">
        <v>8517</v>
      </c>
    </row>
    <row r="13105" spans="1:1" x14ac:dyDescent="0.25">
      <c r="A13105" s="76" t="s">
        <v>8518</v>
      </c>
    </row>
    <row r="13106" spans="1:1" x14ac:dyDescent="0.25">
      <c r="A13106" s="108" t="s">
        <v>8519</v>
      </c>
    </row>
    <row r="13107" spans="1:1" x14ac:dyDescent="0.25">
      <c r="A13107" s="108" t="s">
        <v>8520</v>
      </c>
    </row>
    <row r="13108" spans="1:1" x14ac:dyDescent="0.25">
      <c r="A13108" s="29" t="s">
        <v>8521</v>
      </c>
    </row>
    <row r="13109" spans="1:1" x14ac:dyDescent="0.25">
      <c r="A13109" s="76" t="s">
        <v>8522</v>
      </c>
    </row>
    <row r="13110" spans="1:1" x14ac:dyDescent="0.25">
      <c r="A13110" s="29" t="s">
        <v>8523</v>
      </c>
    </row>
    <row r="13111" spans="1:1" x14ac:dyDescent="0.25">
      <c r="A13111" s="76" t="s">
        <v>8524</v>
      </c>
    </row>
    <row r="13112" spans="1:1" x14ac:dyDescent="0.25">
      <c r="A13112" s="29" t="s">
        <v>8525</v>
      </c>
    </row>
    <row r="13113" spans="1:1" x14ac:dyDescent="0.25">
      <c r="A13113" s="76" t="s">
        <v>8526</v>
      </c>
    </row>
    <row r="13114" spans="1:1" x14ac:dyDescent="0.25">
      <c r="A13114" s="29" t="s">
        <v>8527</v>
      </c>
    </row>
    <row r="13115" spans="1:1" x14ac:dyDescent="0.25">
      <c r="A13115" s="76" t="s">
        <v>8528</v>
      </c>
    </row>
    <row r="13116" spans="1:1" x14ac:dyDescent="0.25">
      <c r="A13116" s="29" t="s">
        <v>8529</v>
      </c>
    </row>
    <row r="13117" spans="1:1" x14ac:dyDescent="0.25">
      <c r="A13117" s="76" t="s">
        <v>8530</v>
      </c>
    </row>
    <row r="13118" spans="1:1" x14ac:dyDescent="0.25">
      <c r="A13118" s="29" t="s">
        <v>8531</v>
      </c>
    </row>
    <row r="13119" spans="1:1" x14ac:dyDescent="0.25">
      <c r="A13119" s="76" t="s">
        <v>8532</v>
      </c>
    </row>
    <row r="13120" spans="1:1" x14ac:dyDescent="0.25">
      <c r="A13120" s="29" t="s">
        <v>8533</v>
      </c>
    </row>
    <row r="13121" spans="1:1" x14ac:dyDescent="0.25">
      <c r="A13121" s="76" t="s">
        <v>8534</v>
      </c>
    </row>
    <row r="13122" spans="1:1" x14ac:dyDescent="0.25">
      <c r="A13122" s="29" t="s">
        <v>8535</v>
      </c>
    </row>
    <row r="13123" spans="1:1" x14ac:dyDescent="0.25">
      <c r="A13123" s="108" t="s">
        <v>8536</v>
      </c>
    </row>
    <row r="13124" spans="1:1" x14ac:dyDescent="0.25">
      <c r="A13124" s="76" t="s">
        <v>8537</v>
      </c>
    </row>
    <row r="13125" spans="1:1" x14ac:dyDescent="0.25">
      <c r="A13125" s="76" t="s">
        <v>8538</v>
      </c>
    </row>
    <row r="13126" spans="1:1" x14ac:dyDescent="0.25">
      <c r="A13126" s="29" t="s">
        <v>8539</v>
      </c>
    </row>
    <row r="13127" spans="1:1" x14ac:dyDescent="0.25">
      <c r="A13127" s="76" t="s">
        <v>8540</v>
      </c>
    </row>
    <row r="13128" spans="1:1" x14ac:dyDescent="0.25">
      <c r="A13128" s="29" t="s">
        <v>8541</v>
      </c>
    </row>
    <row r="13129" spans="1:1" x14ac:dyDescent="0.25">
      <c r="A13129" s="108" t="s">
        <v>8542</v>
      </c>
    </row>
    <row r="13130" spans="1:1" x14ac:dyDescent="0.25">
      <c r="A13130" s="76" t="s">
        <v>8543</v>
      </c>
    </row>
    <row r="13131" spans="1:1" x14ac:dyDescent="0.25">
      <c r="A13131" s="108" t="s">
        <v>8544</v>
      </c>
    </row>
    <row r="13132" spans="1:1" x14ac:dyDescent="0.25">
      <c r="A13132" s="76" t="s">
        <v>8545</v>
      </c>
    </row>
    <row r="13133" spans="1:1" x14ac:dyDescent="0.25">
      <c r="A13133" s="76" t="s">
        <v>8546</v>
      </c>
    </row>
    <row r="13134" spans="1:1" x14ac:dyDescent="0.25">
      <c r="A13134" s="29" t="s">
        <v>8547</v>
      </c>
    </row>
    <row r="13135" spans="1:1" x14ac:dyDescent="0.25">
      <c r="A13135" s="76" t="s">
        <v>8548</v>
      </c>
    </row>
    <row r="13136" spans="1:1" x14ac:dyDescent="0.25">
      <c r="A13136" s="29" t="s">
        <v>8549</v>
      </c>
    </row>
    <row r="13137" spans="1:1" x14ac:dyDescent="0.25">
      <c r="A13137" s="76" t="s">
        <v>8550</v>
      </c>
    </row>
    <row r="13138" spans="1:1" x14ac:dyDescent="0.25">
      <c r="A13138" s="29" t="s">
        <v>8551</v>
      </c>
    </row>
    <row r="13139" spans="1:1" x14ac:dyDescent="0.25">
      <c r="A13139" s="76" t="s">
        <v>8552</v>
      </c>
    </row>
    <row r="13140" spans="1:1" x14ac:dyDescent="0.25">
      <c r="A13140" s="29" t="s">
        <v>8553</v>
      </c>
    </row>
    <row r="13141" spans="1:1" x14ac:dyDescent="0.25">
      <c r="A13141" s="76" t="s">
        <v>8554</v>
      </c>
    </row>
    <row r="13142" spans="1:1" x14ac:dyDescent="0.25">
      <c r="A13142" s="29" t="s">
        <v>8555</v>
      </c>
    </row>
    <row r="13143" spans="1:1" x14ac:dyDescent="0.25">
      <c r="A13143" s="76" t="s">
        <v>8556</v>
      </c>
    </row>
    <row r="13144" spans="1:1" x14ac:dyDescent="0.25">
      <c r="A13144" s="29" t="s">
        <v>8557</v>
      </c>
    </row>
    <row r="13145" spans="1:1" x14ac:dyDescent="0.25">
      <c r="A13145" s="108" t="s">
        <v>8558</v>
      </c>
    </row>
    <row r="13146" spans="1:1" x14ac:dyDescent="0.25">
      <c r="A13146" s="76" t="s">
        <v>8559</v>
      </c>
    </row>
    <row r="13147" spans="1:1" x14ac:dyDescent="0.25">
      <c r="A13147" s="76" t="s">
        <v>8560</v>
      </c>
    </row>
    <row r="13148" spans="1:1" x14ac:dyDescent="0.25">
      <c r="A13148" s="29" t="s">
        <v>8561</v>
      </c>
    </row>
    <row r="13149" spans="1:1" x14ac:dyDescent="0.25">
      <c r="A13149" s="76" t="s">
        <v>8562</v>
      </c>
    </row>
    <row r="13150" spans="1:1" x14ac:dyDescent="0.25">
      <c r="A13150" s="29" t="s">
        <v>8563</v>
      </c>
    </row>
    <row r="13151" spans="1:1" x14ac:dyDescent="0.25">
      <c r="A13151" s="108" t="s">
        <v>8564</v>
      </c>
    </row>
    <row r="13152" spans="1:1" x14ac:dyDescent="0.25">
      <c r="A13152" s="76" t="s">
        <v>8565</v>
      </c>
    </row>
    <row r="13153" spans="1:1" x14ac:dyDescent="0.25">
      <c r="A13153" s="76" t="s">
        <v>8566</v>
      </c>
    </row>
    <row r="13154" spans="1:1" x14ac:dyDescent="0.25">
      <c r="A13154" s="76" t="s">
        <v>8567</v>
      </c>
    </row>
    <row r="13155" spans="1:1" x14ac:dyDescent="0.25">
      <c r="A13155" s="76" t="s">
        <v>8568</v>
      </c>
    </row>
    <row r="13156" spans="1:1" x14ac:dyDescent="0.25">
      <c r="A13156" s="108" t="s">
        <v>8569</v>
      </c>
    </row>
    <row r="13157" spans="1:1" x14ac:dyDescent="0.25">
      <c r="A13157" s="108" t="s">
        <v>8570</v>
      </c>
    </row>
    <row r="13158" spans="1:1" x14ac:dyDescent="0.25">
      <c r="A13158" s="29" t="s">
        <v>8571</v>
      </c>
    </row>
    <row r="13159" spans="1:1" x14ac:dyDescent="0.25">
      <c r="A13159" s="76" t="s">
        <v>8572</v>
      </c>
    </row>
    <row r="13160" spans="1:1" x14ac:dyDescent="0.25">
      <c r="A13160" s="29" t="s">
        <v>8573</v>
      </c>
    </row>
    <row r="13161" spans="1:1" x14ac:dyDescent="0.25">
      <c r="A13161" s="76" t="s">
        <v>8574</v>
      </c>
    </row>
    <row r="13162" spans="1:1" x14ac:dyDescent="0.25">
      <c r="A13162" s="76" t="s">
        <v>8575</v>
      </c>
    </row>
    <row r="13163" spans="1:1" x14ac:dyDescent="0.25">
      <c r="A13163" s="76" t="s">
        <v>8576</v>
      </c>
    </row>
    <row r="13164" spans="1:1" x14ac:dyDescent="0.25">
      <c r="A13164" s="108" t="s">
        <v>8577</v>
      </c>
    </row>
    <row r="13165" spans="1:1" x14ac:dyDescent="0.25">
      <c r="A13165" s="108" t="s">
        <v>8578</v>
      </c>
    </row>
    <row r="13166" spans="1:1" x14ac:dyDescent="0.25">
      <c r="A13166" s="29" t="s">
        <v>8579</v>
      </c>
    </row>
    <row r="13167" spans="1:1" x14ac:dyDescent="0.25">
      <c r="A13167" s="76" t="s">
        <v>8580</v>
      </c>
    </row>
    <row r="13168" spans="1:1" x14ac:dyDescent="0.25">
      <c r="A13168" s="29" t="s">
        <v>8581</v>
      </c>
    </row>
    <row r="13169" spans="1:1" x14ac:dyDescent="0.25">
      <c r="A13169" s="76" t="s">
        <v>8582</v>
      </c>
    </row>
    <row r="13170" spans="1:1" x14ac:dyDescent="0.25">
      <c r="A13170" s="76" t="s">
        <v>8583</v>
      </c>
    </row>
    <row r="13171" spans="1:1" x14ac:dyDescent="0.25">
      <c r="A13171" s="76" t="s">
        <v>8584</v>
      </c>
    </row>
    <row r="13172" spans="1:1" x14ac:dyDescent="0.25">
      <c r="A13172" s="108" t="s">
        <v>8585</v>
      </c>
    </row>
    <row r="13173" spans="1:1" x14ac:dyDescent="0.25">
      <c r="A13173" s="108" t="s">
        <v>8586</v>
      </c>
    </row>
    <row r="13174" spans="1:1" x14ac:dyDescent="0.25">
      <c r="A13174" s="29" t="s">
        <v>8587</v>
      </c>
    </row>
    <row r="13175" spans="1:1" x14ac:dyDescent="0.25">
      <c r="A13175" s="76" t="s">
        <v>8588</v>
      </c>
    </row>
    <row r="13176" spans="1:1" x14ac:dyDescent="0.25">
      <c r="A13176" s="29" t="s">
        <v>8589</v>
      </c>
    </row>
    <row r="13177" spans="1:1" x14ac:dyDescent="0.25">
      <c r="A13177" s="76" t="s">
        <v>8590</v>
      </c>
    </row>
    <row r="13178" spans="1:1" x14ac:dyDescent="0.25">
      <c r="A13178" s="76" t="s">
        <v>8591</v>
      </c>
    </row>
    <row r="13179" spans="1:1" x14ac:dyDescent="0.25">
      <c r="A13179" s="76" t="s">
        <v>8592</v>
      </c>
    </row>
    <row r="13180" spans="1:1" x14ac:dyDescent="0.25">
      <c r="A13180" s="108" t="s">
        <v>8593</v>
      </c>
    </row>
    <row r="13181" spans="1:1" x14ac:dyDescent="0.25">
      <c r="A13181" s="108" t="s">
        <v>8594</v>
      </c>
    </row>
    <row r="13182" spans="1:1" x14ac:dyDescent="0.25">
      <c r="A13182" s="29" t="s">
        <v>8595</v>
      </c>
    </row>
    <row r="13183" spans="1:1" x14ac:dyDescent="0.25">
      <c r="A13183" s="76" t="s">
        <v>8596</v>
      </c>
    </row>
    <row r="13184" spans="1:1" x14ac:dyDescent="0.25">
      <c r="A13184" s="29" t="s">
        <v>8597</v>
      </c>
    </row>
    <row r="13185" spans="1:1" x14ac:dyDescent="0.25">
      <c r="A13185" s="76" t="s">
        <v>8598</v>
      </c>
    </row>
    <row r="13186" spans="1:1" x14ac:dyDescent="0.25">
      <c r="A13186" s="76" t="s">
        <v>8599</v>
      </c>
    </row>
    <row r="13187" spans="1:1" x14ac:dyDescent="0.25">
      <c r="A13187" s="76" t="s">
        <v>8600</v>
      </c>
    </row>
    <row r="13188" spans="1:1" x14ac:dyDescent="0.25">
      <c r="A13188" s="108" t="s">
        <v>8601</v>
      </c>
    </row>
    <row r="13189" spans="1:1" x14ac:dyDescent="0.25">
      <c r="A13189" s="108" t="s">
        <v>8602</v>
      </c>
    </row>
    <row r="13190" spans="1:1" x14ac:dyDescent="0.25">
      <c r="A13190" s="29" t="s">
        <v>8603</v>
      </c>
    </row>
    <row r="13191" spans="1:1" x14ac:dyDescent="0.25">
      <c r="A13191" s="76" t="s">
        <v>8604</v>
      </c>
    </row>
    <row r="13192" spans="1:1" x14ac:dyDescent="0.25">
      <c r="A13192" s="29" t="s">
        <v>8605</v>
      </c>
    </row>
    <row r="13193" spans="1:1" x14ac:dyDescent="0.25">
      <c r="A13193" s="76" t="s">
        <v>8606</v>
      </c>
    </row>
    <row r="13194" spans="1:1" x14ac:dyDescent="0.25">
      <c r="A13194" s="76" t="s">
        <v>8607</v>
      </c>
    </row>
    <row r="13195" spans="1:1" x14ac:dyDescent="0.25">
      <c r="A13195" s="76" t="s">
        <v>8608</v>
      </c>
    </row>
    <row r="13196" spans="1:1" x14ac:dyDescent="0.25">
      <c r="A13196" s="108" t="s">
        <v>8609</v>
      </c>
    </row>
    <row r="13197" spans="1:1" x14ac:dyDescent="0.25">
      <c r="A13197" s="108" t="s">
        <v>8610</v>
      </c>
    </row>
    <row r="13198" spans="1:1" x14ac:dyDescent="0.25">
      <c r="A13198" s="29" t="s">
        <v>8611</v>
      </c>
    </row>
    <row r="13199" spans="1:1" x14ac:dyDescent="0.25">
      <c r="A13199" s="76" t="s">
        <v>8612</v>
      </c>
    </row>
    <row r="13200" spans="1:1" x14ac:dyDescent="0.25">
      <c r="A13200" s="29" t="s">
        <v>8613</v>
      </c>
    </row>
    <row r="13201" spans="1:1" x14ac:dyDescent="0.25">
      <c r="A13201" s="108" t="s">
        <v>8614</v>
      </c>
    </row>
    <row r="13202" spans="1:1" x14ac:dyDescent="0.25">
      <c r="A13202" s="76" t="s">
        <v>8615</v>
      </c>
    </row>
    <row r="13203" spans="1:1" x14ac:dyDescent="0.25">
      <c r="A13203" s="108" t="s">
        <v>8616</v>
      </c>
    </row>
    <row r="13204" spans="1:1" x14ac:dyDescent="0.25">
      <c r="A13204" s="76" t="s">
        <v>8617</v>
      </c>
    </row>
    <row r="13205" spans="1:1" x14ac:dyDescent="0.25">
      <c r="A13205" s="76" t="s">
        <v>8618</v>
      </c>
    </row>
    <row r="13206" spans="1:1" x14ac:dyDescent="0.25">
      <c r="A13206" s="29" t="s">
        <v>8619</v>
      </c>
    </row>
    <row r="13207" spans="1:1" x14ac:dyDescent="0.25">
      <c r="A13207" s="76" t="s">
        <v>8620</v>
      </c>
    </row>
    <row r="13208" spans="1:1" x14ac:dyDescent="0.25">
      <c r="A13208" s="29" t="s">
        <v>8621</v>
      </c>
    </row>
    <row r="13209" spans="1:1" x14ac:dyDescent="0.25">
      <c r="A13209" s="76" t="s">
        <v>8622</v>
      </c>
    </row>
    <row r="13210" spans="1:1" x14ac:dyDescent="0.25">
      <c r="A13210" s="29" t="s">
        <v>8623</v>
      </c>
    </row>
    <row r="13211" spans="1:1" x14ac:dyDescent="0.25">
      <c r="A13211" s="76" t="s">
        <v>8624</v>
      </c>
    </row>
    <row r="13212" spans="1:1" x14ac:dyDescent="0.25">
      <c r="A13212" s="29" t="s">
        <v>8625</v>
      </c>
    </row>
    <row r="13213" spans="1:1" x14ac:dyDescent="0.25">
      <c r="A13213" s="108" t="s">
        <v>8626</v>
      </c>
    </row>
    <row r="13214" spans="1:1" x14ac:dyDescent="0.25">
      <c r="A13214" s="76" t="s">
        <v>8627</v>
      </c>
    </row>
    <row r="13215" spans="1:1" x14ac:dyDescent="0.25">
      <c r="A13215" s="76" t="s">
        <v>8628</v>
      </c>
    </row>
    <row r="13216" spans="1:1" x14ac:dyDescent="0.25">
      <c r="A13216" s="29" t="s">
        <v>8629</v>
      </c>
    </row>
    <row r="13217" spans="1:1" x14ac:dyDescent="0.25">
      <c r="A13217" s="76" t="s">
        <v>8630</v>
      </c>
    </row>
    <row r="13218" spans="1:1" x14ac:dyDescent="0.25">
      <c r="A13218" s="29" t="s">
        <v>8631</v>
      </c>
    </row>
    <row r="13219" spans="1:1" x14ac:dyDescent="0.25">
      <c r="A13219" s="76" t="s">
        <v>8632</v>
      </c>
    </row>
    <row r="13220" spans="1:1" x14ac:dyDescent="0.25">
      <c r="A13220" s="29" t="s">
        <v>8633</v>
      </c>
    </row>
    <row r="13221" spans="1:1" x14ac:dyDescent="0.25">
      <c r="A13221" s="76" t="s">
        <v>8634</v>
      </c>
    </row>
    <row r="13222" spans="1:1" x14ac:dyDescent="0.25">
      <c r="A13222" s="29" t="s">
        <v>8635</v>
      </c>
    </row>
    <row r="13223" spans="1:1" x14ac:dyDescent="0.25">
      <c r="A13223" s="76" t="s">
        <v>8636</v>
      </c>
    </row>
    <row r="13224" spans="1:1" x14ac:dyDescent="0.25">
      <c r="A13224" s="29" t="s">
        <v>8637</v>
      </c>
    </row>
    <row r="13225" spans="1:1" x14ac:dyDescent="0.25">
      <c r="A13225" s="76" t="s">
        <v>8638</v>
      </c>
    </row>
    <row r="13226" spans="1:1" x14ac:dyDescent="0.25">
      <c r="A13226" s="29" t="s">
        <v>8639</v>
      </c>
    </row>
    <row r="13227" spans="1:1" x14ac:dyDescent="0.25">
      <c r="A13227" s="76" t="s">
        <v>8640</v>
      </c>
    </row>
    <row r="13228" spans="1:1" x14ac:dyDescent="0.25">
      <c r="A13228" s="29" t="s">
        <v>8641</v>
      </c>
    </row>
    <row r="13229" spans="1:1" x14ac:dyDescent="0.25">
      <c r="A13229" s="76" t="s">
        <v>8642</v>
      </c>
    </row>
    <row r="13230" spans="1:1" x14ac:dyDescent="0.25">
      <c r="A13230" s="29" t="s">
        <v>8643</v>
      </c>
    </row>
    <row r="13231" spans="1:1" x14ac:dyDescent="0.25">
      <c r="A13231" s="76" t="s">
        <v>8644</v>
      </c>
    </row>
    <row r="13232" spans="1:1" x14ac:dyDescent="0.25">
      <c r="A13232" s="29" t="s">
        <v>8645</v>
      </c>
    </row>
    <row r="13233" spans="1:1" x14ac:dyDescent="0.25">
      <c r="A13233" s="108" t="s">
        <v>8646</v>
      </c>
    </row>
    <row r="13234" spans="1:1" x14ac:dyDescent="0.25">
      <c r="A13234" s="76" t="s">
        <v>8647</v>
      </c>
    </row>
    <row r="13235" spans="1:1" x14ac:dyDescent="0.25">
      <c r="A13235" s="76" t="s">
        <v>8648</v>
      </c>
    </row>
    <row r="13236" spans="1:1" x14ac:dyDescent="0.25">
      <c r="A13236" s="29" t="s">
        <v>8649</v>
      </c>
    </row>
    <row r="13237" spans="1:1" x14ac:dyDescent="0.25">
      <c r="A13237" s="108" t="s">
        <v>8650</v>
      </c>
    </row>
    <row r="13238" spans="1:1" x14ac:dyDescent="0.25">
      <c r="A13238" s="76" t="s">
        <v>8651</v>
      </c>
    </row>
    <row r="13239" spans="1:1" x14ac:dyDescent="0.25">
      <c r="A13239" s="108" t="s">
        <v>8652</v>
      </c>
    </row>
    <row r="13240" spans="1:1" x14ac:dyDescent="0.25">
      <c r="A13240" s="76" t="s">
        <v>8653</v>
      </c>
    </row>
    <row r="13241" spans="1:1" x14ac:dyDescent="0.25">
      <c r="A13241" s="108" t="s">
        <v>8654</v>
      </c>
    </row>
    <row r="13242" spans="1:1" x14ac:dyDescent="0.25">
      <c r="A13242" s="76" t="s">
        <v>8655</v>
      </c>
    </row>
    <row r="13243" spans="1:1" x14ac:dyDescent="0.25">
      <c r="A13243" s="108" t="s">
        <v>8656</v>
      </c>
    </row>
    <row r="13244" spans="1:1" x14ac:dyDescent="0.25">
      <c r="A13244" s="76" t="s">
        <v>8657</v>
      </c>
    </row>
    <row r="13245" spans="1:1" x14ac:dyDescent="0.25">
      <c r="A13245" s="76" t="s">
        <v>8658</v>
      </c>
    </row>
    <row r="13246" spans="1:1" x14ac:dyDescent="0.25">
      <c r="A13246" s="76" t="s">
        <v>8659</v>
      </c>
    </row>
    <row r="13247" spans="1:1" x14ac:dyDescent="0.25">
      <c r="A13247" s="76" t="s">
        <v>8660</v>
      </c>
    </row>
    <row r="13248" spans="1:1" x14ac:dyDescent="0.25">
      <c r="A13248" s="108" t="s">
        <v>8661</v>
      </c>
    </row>
    <row r="13249" spans="1:1" x14ac:dyDescent="0.25">
      <c r="A13249" s="108" t="s">
        <v>8662</v>
      </c>
    </row>
    <row r="13250" spans="1:1" x14ac:dyDescent="0.25">
      <c r="A13250" s="29" t="s">
        <v>8663</v>
      </c>
    </row>
    <row r="13251" spans="1:1" x14ac:dyDescent="0.25">
      <c r="A13251" s="76" t="s">
        <v>8664</v>
      </c>
    </row>
    <row r="13252" spans="1:1" x14ac:dyDescent="0.25">
      <c r="A13252" s="29" t="s">
        <v>8665</v>
      </c>
    </row>
    <row r="13253" spans="1:1" x14ac:dyDescent="0.25">
      <c r="A13253" s="76" t="s">
        <v>8666</v>
      </c>
    </row>
    <row r="13254" spans="1:1" x14ac:dyDescent="0.25">
      <c r="A13254" s="76" t="s">
        <v>8667</v>
      </c>
    </row>
    <row r="13255" spans="1:1" x14ac:dyDescent="0.25">
      <c r="A13255" s="76" t="s">
        <v>8668</v>
      </c>
    </row>
    <row r="13256" spans="1:1" x14ac:dyDescent="0.25">
      <c r="A13256" s="108" t="s">
        <v>8669</v>
      </c>
    </row>
    <row r="13257" spans="1:1" x14ac:dyDescent="0.25">
      <c r="A13257" s="108" t="s">
        <v>8670</v>
      </c>
    </row>
    <row r="13258" spans="1:1" x14ac:dyDescent="0.25">
      <c r="A13258" s="29" t="s">
        <v>8671</v>
      </c>
    </row>
    <row r="13259" spans="1:1" x14ac:dyDescent="0.25">
      <c r="A13259" s="76" t="s">
        <v>8672</v>
      </c>
    </row>
    <row r="13260" spans="1:1" x14ac:dyDescent="0.25">
      <c r="A13260" s="29" t="s">
        <v>8673</v>
      </c>
    </row>
    <row r="13261" spans="1:1" x14ac:dyDescent="0.25">
      <c r="A13261" s="76" t="s">
        <v>8674</v>
      </c>
    </row>
    <row r="13262" spans="1:1" x14ac:dyDescent="0.25">
      <c r="A13262" s="76" t="s">
        <v>8675</v>
      </c>
    </row>
    <row r="13263" spans="1:1" x14ac:dyDescent="0.25">
      <c r="A13263" s="76" t="s">
        <v>8676</v>
      </c>
    </row>
    <row r="13264" spans="1:1" x14ac:dyDescent="0.25">
      <c r="A13264" s="76" t="s">
        <v>8677</v>
      </c>
    </row>
    <row r="13265" spans="1:1" x14ac:dyDescent="0.25">
      <c r="A13265" s="108" t="s">
        <v>8678</v>
      </c>
    </row>
    <row r="13266" spans="1:1" x14ac:dyDescent="0.25">
      <c r="A13266" s="108" t="s">
        <v>8679</v>
      </c>
    </row>
    <row r="13267" spans="1:1" x14ac:dyDescent="0.25">
      <c r="A13267" s="29" t="s">
        <v>8680</v>
      </c>
    </row>
    <row r="13268" spans="1:1" x14ac:dyDescent="0.25">
      <c r="A13268" s="76" t="s">
        <v>8681</v>
      </c>
    </row>
    <row r="13269" spans="1:1" x14ac:dyDescent="0.25">
      <c r="A13269" s="29" t="s">
        <v>8682</v>
      </c>
    </row>
    <row r="13270" spans="1:1" x14ac:dyDescent="0.25">
      <c r="A13270" s="76" t="s">
        <v>8683</v>
      </c>
    </row>
    <row r="13271" spans="1:1" x14ac:dyDescent="0.25">
      <c r="A13271" s="29" t="s">
        <v>8684</v>
      </c>
    </row>
    <row r="13272" spans="1:1" x14ac:dyDescent="0.25">
      <c r="A13272" s="76" t="s">
        <v>8685</v>
      </c>
    </row>
    <row r="13273" spans="1:1" x14ac:dyDescent="0.25">
      <c r="A13273" s="29" t="s">
        <v>8686</v>
      </c>
    </row>
    <row r="13274" spans="1:1" x14ac:dyDescent="0.25">
      <c r="A13274" s="108" t="s">
        <v>8687</v>
      </c>
    </row>
    <row r="13275" spans="1:1" x14ac:dyDescent="0.25">
      <c r="A13275" s="76" t="s">
        <v>8688</v>
      </c>
    </row>
    <row r="13276" spans="1:1" x14ac:dyDescent="0.25">
      <c r="A13276" s="76" t="s">
        <v>8689</v>
      </c>
    </row>
    <row r="13277" spans="1:1" x14ac:dyDescent="0.25">
      <c r="A13277" s="29" t="s">
        <v>8690</v>
      </c>
    </row>
    <row r="13278" spans="1:1" x14ac:dyDescent="0.25">
      <c r="A13278" s="76" t="s">
        <v>8691</v>
      </c>
    </row>
    <row r="13279" spans="1:1" x14ac:dyDescent="0.25">
      <c r="A13279" s="29" t="s">
        <v>8692</v>
      </c>
    </row>
    <row r="13280" spans="1:1" x14ac:dyDescent="0.25">
      <c r="A13280" s="76" t="s">
        <v>8693</v>
      </c>
    </row>
    <row r="13281" spans="1:1" x14ac:dyDescent="0.25">
      <c r="A13281" s="29" t="s">
        <v>8694</v>
      </c>
    </row>
    <row r="13282" spans="1:1" x14ac:dyDescent="0.25">
      <c r="A13282" s="76" t="s">
        <v>8695</v>
      </c>
    </row>
    <row r="13283" spans="1:1" x14ac:dyDescent="0.25">
      <c r="A13283" s="29" t="s">
        <v>8696</v>
      </c>
    </row>
    <row r="13284" spans="1:1" x14ac:dyDescent="0.25">
      <c r="A13284" s="76" t="s">
        <v>8697</v>
      </c>
    </row>
    <row r="13285" spans="1:1" x14ac:dyDescent="0.25">
      <c r="A13285" s="29" t="s">
        <v>8698</v>
      </c>
    </row>
    <row r="13286" spans="1:1" x14ac:dyDescent="0.25">
      <c r="A13286" s="108" t="s">
        <v>8699</v>
      </c>
    </row>
    <row r="13287" spans="1:1" x14ac:dyDescent="0.25">
      <c r="A13287" s="76" t="s">
        <v>8700</v>
      </c>
    </row>
    <row r="13288" spans="1:1" x14ac:dyDescent="0.25">
      <c r="A13288" s="76" t="s">
        <v>8701</v>
      </c>
    </row>
    <row r="13289" spans="1:1" x14ac:dyDescent="0.25">
      <c r="A13289" s="29" t="s">
        <v>8702</v>
      </c>
    </row>
    <row r="13290" spans="1:1" x14ac:dyDescent="0.25">
      <c r="A13290" s="76" t="s">
        <v>8703</v>
      </c>
    </row>
    <row r="13291" spans="1:1" x14ac:dyDescent="0.25">
      <c r="A13291" s="29" t="s">
        <v>8704</v>
      </c>
    </row>
    <row r="13292" spans="1:1" x14ac:dyDescent="0.25">
      <c r="A13292" s="76" t="s">
        <v>8705</v>
      </c>
    </row>
    <row r="13293" spans="1:1" x14ac:dyDescent="0.25">
      <c r="A13293" s="29" t="s">
        <v>8706</v>
      </c>
    </row>
    <row r="13294" spans="1:1" x14ac:dyDescent="0.25">
      <c r="A13294" s="76" t="s">
        <v>8707</v>
      </c>
    </row>
    <row r="13295" spans="1:1" x14ac:dyDescent="0.25">
      <c r="A13295" s="29" t="s">
        <v>8708</v>
      </c>
    </row>
    <row r="13296" spans="1:1" x14ac:dyDescent="0.25">
      <c r="A13296" s="76" t="s">
        <v>8709</v>
      </c>
    </row>
    <row r="13297" spans="1:1" x14ac:dyDescent="0.25">
      <c r="A13297" s="29" t="s">
        <v>8710</v>
      </c>
    </row>
    <row r="13298" spans="1:1" x14ac:dyDescent="0.25">
      <c r="A13298" s="76" t="s">
        <v>8711</v>
      </c>
    </row>
    <row r="13299" spans="1:1" x14ac:dyDescent="0.25">
      <c r="A13299" s="29" t="s">
        <v>8712</v>
      </c>
    </row>
    <row r="13300" spans="1:1" x14ac:dyDescent="0.25">
      <c r="A13300" s="76" t="s">
        <v>8713</v>
      </c>
    </row>
    <row r="13301" spans="1:1" x14ac:dyDescent="0.25">
      <c r="A13301" s="29" t="s">
        <v>8714</v>
      </c>
    </row>
    <row r="13302" spans="1:1" x14ac:dyDescent="0.25">
      <c r="A13302" s="108" t="s">
        <v>8715</v>
      </c>
    </row>
    <row r="13303" spans="1:1" x14ac:dyDescent="0.25">
      <c r="A13303" s="76" t="s">
        <v>8716</v>
      </c>
    </row>
    <row r="13304" spans="1:1" x14ac:dyDescent="0.25">
      <c r="A13304" s="76" t="s">
        <v>8717</v>
      </c>
    </row>
    <row r="13305" spans="1:1" x14ac:dyDescent="0.25">
      <c r="A13305" s="29" t="s">
        <v>8718</v>
      </c>
    </row>
    <row r="13306" spans="1:1" x14ac:dyDescent="0.25">
      <c r="A13306" s="108" t="s">
        <v>8719</v>
      </c>
    </row>
    <row r="13307" spans="1:1" x14ac:dyDescent="0.25">
      <c r="A13307" s="76" t="s">
        <v>8720</v>
      </c>
    </row>
    <row r="13308" spans="1:1" x14ac:dyDescent="0.25">
      <c r="A13308" s="76" t="s">
        <v>8721</v>
      </c>
    </row>
    <row r="13309" spans="1:1" x14ac:dyDescent="0.25">
      <c r="A13309" s="29" t="s">
        <v>8722</v>
      </c>
    </row>
    <row r="13310" spans="1:1" x14ac:dyDescent="0.25">
      <c r="A13310" s="76" t="s">
        <v>8723</v>
      </c>
    </row>
    <row r="13311" spans="1:1" x14ac:dyDescent="0.25">
      <c r="A13311" s="29" t="s">
        <v>8724</v>
      </c>
    </row>
    <row r="13312" spans="1:1" x14ac:dyDescent="0.25">
      <c r="A13312" s="76" t="s">
        <v>8725</v>
      </c>
    </row>
    <row r="13313" spans="1:1" x14ac:dyDescent="0.25">
      <c r="A13313" s="29" t="s">
        <v>8726</v>
      </c>
    </row>
    <row r="13314" spans="1:1" x14ac:dyDescent="0.25">
      <c r="A13314" s="76" t="s">
        <v>8727</v>
      </c>
    </row>
    <row r="13315" spans="1:1" x14ac:dyDescent="0.25">
      <c r="A13315" s="29" t="s">
        <v>8728</v>
      </c>
    </row>
    <row r="13316" spans="1:1" x14ac:dyDescent="0.25">
      <c r="A13316" s="76" t="s">
        <v>8729</v>
      </c>
    </row>
    <row r="13317" spans="1:1" x14ac:dyDescent="0.25">
      <c r="A13317" s="29" t="s">
        <v>8730</v>
      </c>
    </row>
    <row r="13318" spans="1:1" x14ac:dyDescent="0.25">
      <c r="A13318" s="76" t="s">
        <v>8731</v>
      </c>
    </row>
    <row r="13319" spans="1:1" x14ac:dyDescent="0.25">
      <c r="A13319" s="29" t="s">
        <v>8732</v>
      </c>
    </row>
    <row r="13320" spans="1:1" x14ac:dyDescent="0.25">
      <c r="A13320" s="76" t="s">
        <v>8733</v>
      </c>
    </row>
    <row r="13321" spans="1:1" x14ac:dyDescent="0.25">
      <c r="A13321" s="29" t="s">
        <v>8734</v>
      </c>
    </row>
    <row r="13322" spans="1:1" x14ac:dyDescent="0.25">
      <c r="A13322" s="76" t="s">
        <v>8735</v>
      </c>
    </row>
    <row r="13323" spans="1:1" x14ac:dyDescent="0.25">
      <c r="A13323" s="29" t="s">
        <v>8736</v>
      </c>
    </row>
    <row r="13324" spans="1:1" x14ac:dyDescent="0.25">
      <c r="A13324" s="76" t="s">
        <v>8737</v>
      </c>
    </row>
    <row r="13325" spans="1:1" x14ac:dyDescent="0.25">
      <c r="A13325" s="29" t="s">
        <v>8738</v>
      </c>
    </row>
    <row r="13326" spans="1:1" x14ac:dyDescent="0.25">
      <c r="A13326" s="76" t="s">
        <v>8739</v>
      </c>
    </row>
    <row r="13327" spans="1:1" x14ac:dyDescent="0.25">
      <c r="A13327" s="29" t="s">
        <v>8740</v>
      </c>
    </row>
    <row r="13328" spans="1:1" x14ac:dyDescent="0.25">
      <c r="A13328" s="76" t="s">
        <v>8741</v>
      </c>
    </row>
    <row r="13329" spans="1:1" x14ac:dyDescent="0.25">
      <c r="A13329" s="29" t="s">
        <v>8742</v>
      </c>
    </row>
    <row r="13330" spans="1:1" x14ac:dyDescent="0.25">
      <c r="A13330" s="76" t="s">
        <v>8743</v>
      </c>
    </row>
    <row r="13331" spans="1:1" x14ac:dyDescent="0.25">
      <c r="A13331" s="29" t="s">
        <v>8744</v>
      </c>
    </row>
    <row r="13332" spans="1:1" x14ac:dyDescent="0.25">
      <c r="A13332" s="76" t="s">
        <v>8745</v>
      </c>
    </row>
    <row r="13333" spans="1:1" x14ac:dyDescent="0.25">
      <c r="A13333" s="29" t="s">
        <v>8746</v>
      </c>
    </row>
    <row r="13334" spans="1:1" x14ac:dyDescent="0.25">
      <c r="A13334" s="76" t="s">
        <v>8747</v>
      </c>
    </row>
    <row r="13335" spans="1:1" x14ac:dyDescent="0.25">
      <c r="A13335" s="29" t="s">
        <v>8748</v>
      </c>
    </row>
    <row r="13336" spans="1:1" x14ac:dyDescent="0.25">
      <c r="A13336" s="108" t="s">
        <v>8749</v>
      </c>
    </row>
    <row r="13337" spans="1:1" x14ac:dyDescent="0.25">
      <c r="A13337" s="76" t="s">
        <v>8750</v>
      </c>
    </row>
    <row r="13338" spans="1:1" x14ac:dyDescent="0.25">
      <c r="A13338" s="76" t="s">
        <v>8751</v>
      </c>
    </row>
    <row r="13339" spans="1:1" x14ac:dyDescent="0.25">
      <c r="A13339" s="29" t="s">
        <v>8752</v>
      </c>
    </row>
    <row r="13340" spans="1:1" x14ac:dyDescent="0.25">
      <c r="A13340" s="76" t="s">
        <v>8753</v>
      </c>
    </row>
    <row r="13341" spans="1:1" x14ac:dyDescent="0.25">
      <c r="A13341" s="29" t="s">
        <v>8754</v>
      </c>
    </row>
    <row r="13342" spans="1:1" x14ac:dyDescent="0.25">
      <c r="A13342" s="76" t="s">
        <v>8755</v>
      </c>
    </row>
    <row r="13343" spans="1:1" x14ac:dyDescent="0.25">
      <c r="A13343" s="29" t="s">
        <v>8756</v>
      </c>
    </row>
    <row r="13344" spans="1:1" x14ac:dyDescent="0.25">
      <c r="A13344" s="76" t="s">
        <v>8757</v>
      </c>
    </row>
    <row r="13345" spans="1:1" x14ac:dyDescent="0.25">
      <c r="A13345" s="29" t="s">
        <v>8758</v>
      </c>
    </row>
    <row r="13346" spans="1:1" x14ac:dyDescent="0.25">
      <c r="A13346" s="76" t="s">
        <v>8759</v>
      </c>
    </row>
    <row r="13347" spans="1:1" x14ac:dyDescent="0.25">
      <c r="A13347" s="29" t="s">
        <v>8760</v>
      </c>
    </row>
    <row r="13348" spans="1:1" x14ac:dyDescent="0.25">
      <c r="A13348" s="108" t="s">
        <v>8761</v>
      </c>
    </row>
    <row r="13349" spans="1:1" x14ac:dyDescent="0.25">
      <c r="A13349" s="76" t="s">
        <v>8762</v>
      </c>
    </row>
    <row r="13350" spans="1:1" x14ac:dyDescent="0.25">
      <c r="A13350" s="76" t="s">
        <v>8763</v>
      </c>
    </row>
    <row r="13351" spans="1:1" x14ac:dyDescent="0.25">
      <c r="A13351" s="29" t="s">
        <v>8764</v>
      </c>
    </row>
    <row r="13352" spans="1:1" x14ac:dyDescent="0.25">
      <c r="A13352" s="76" t="s">
        <v>8765</v>
      </c>
    </row>
    <row r="13353" spans="1:1" x14ac:dyDescent="0.25">
      <c r="A13353" s="76" t="s">
        <v>8766</v>
      </c>
    </row>
    <row r="13354" spans="1:1" x14ac:dyDescent="0.25">
      <c r="A13354" s="76" t="s">
        <v>8767</v>
      </c>
    </row>
    <row r="13355" spans="1:1" x14ac:dyDescent="0.25">
      <c r="A13355" s="108" t="s">
        <v>8768</v>
      </c>
    </row>
    <row r="13356" spans="1:1" x14ac:dyDescent="0.25">
      <c r="A13356" s="108" t="s">
        <v>8769</v>
      </c>
    </row>
    <row r="13357" spans="1:1" x14ac:dyDescent="0.25">
      <c r="A13357" s="29" t="s">
        <v>8770</v>
      </c>
    </row>
    <row r="13358" spans="1:1" x14ac:dyDescent="0.25">
      <c r="A13358" s="76" t="s">
        <v>8771</v>
      </c>
    </row>
    <row r="13359" spans="1:1" x14ac:dyDescent="0.25">
      <c r="A13359" s="29" t="s">
        <v>8772</v>
      </c>
    </row>
    <row r="13360" spans="1:1" x14ac:dyDescent="0.25">
      <c r="A13360" s="76" t="s">
        <v>8773</v>
      </c>
    </row>
    <row r="13361" spans="1:1" x14ac:dyDescent="0.25">
      <c r="A13361" s="76" t="s">
        <v>8774</v>
      </c>
    </row>
    <row r="13362" spans="1:1" x14ac:dyDescent="0.25">
      <c r="A13362" s="76" t="s">
        <v>8775</v>
      </c>
    </row>
    <row r="13363" spans="1:1" x14ac:dyDescent="0.25">
      <c r="A13363" s="108" t="s">
        <v>8776</v>
      </c>
    </row>
    <row r="13364" spans="1:1" x14ac:dyDescent="0.25">
      <c r="A13364" s="108" t="s">
        <v>8777</v>
      </c>
    </row>
    <row r="13365" spans="1:1" x14ac:dyDescent="0.25">
      <c r="A13365" s="29" t="s">
        <v>8778</v>
      </c>
    </row>
    <row r="13366" spans="1:1" x14ac:dyDescent="0.25">
      <c r="A13366" s="76" t="s">
        <v>8779</v>
      </c>
    </row>
    <row r="13367" spans="1:1" x14ac:dyDescent="0.25">
      <c r="A13367" s="29" t="s">
        <v>8780</v>
      </c>
    </row>
    <row r="13368" spans="1:1" x14ac:dyDescent="0.25">
      <c r="A13368" s="76" t="s">
        <v>8781</v>
      </c>
    </row>
    <row r="13369" spans="1:1" x14ac:dyDescent="0.25">
      <c r="A13369" s="76" t="s">
        <v>8782</v>
      </c>
    </row>
    <row r="13370" spans="1:1" x14ac:dyDescent="0.25">
      <c r="A13370" s="76" t="s">
        <v>8783</v>
      </c>
    </row>
    <row r="13371" spans="1:1" x14ac:dyDescent="0.25">
      <c r="A13371" s="108" t="s">
        <v>8784</v>
      </c>
    </row>
    <row r="13372" spans="1:1" x14ac:dyDescent="0.25">
      <c r="A13372" s="108" t="s">
        <v>8785</v>
      </c>
    </row>
    <row r="13373" spans="1:1" x14ac:dyDescent="0.25">
      <c r="A13373" s="29" t="s">
        <v>8786</v>
      </c>
    </row>
    <row r="13374" spans="1:1" x14ac:dyDescent="0.25">
      <c r="A13374" s="76" t="s">
        <v>8787</v>
      </c>
    </row>
    <row r="13375" spans="1:1" x14ac:dyDescent="0.25">
      <c r="A13375" s="29" t="s">
        <v>8788</v>
      </c>
    </row>
    <row r="13376" spans="1:1" x14ac:dyDescent="0.25">
      <c r="A13376" s="76" t="s">
        <v>8789</v>
      </c>
    </row>
    <row r="13377" spans="1:1" x14ac:dyDescent="0.25">
      <c r="A13377" s="76" t="s">
        <v>8790</v>
      </c>
    </row>
    <row r="13378" spans="1:1" x14ac:dyDescent="0.25">
      <c r="A13378" s="76" t="s">
        <v>8791</v>
      </c>
    </row>
    <row r="13379" spans="1:1" x14ac:dyDescent="0.25">
      <c r="A13379" s="108" t="s">
        <v>8792</v>
      </c>
    </row>
    <row r="13380" spans="1:1" x14ac:dyDescent="0.25">
      <c r="A13380" s="108" t="s">
        <v>8793</v>
      </c>
    </row>
    <row r="13381" spans="1:1" x14ac:dyDescent="0.25">
      <c r="A13381" s="29" t="s">
        <v>8794</v>
      </c>
    </row>
    <row r="13382" spans="1:1" x14ac:dyDescent="0.25">
      <c r="A13382" s="76" t="s">
        <v>8795</v>
      </c>
    </row>
    <row r="13383" spans="1:1" x14ac:dyDescent="0.25">
      <c r="A13383" s="29" t="s">
        <v>8796</v>
      </c>
    </row>
    <row r="13384" spans="1:1" x14ac:dyDescent="0.25">
      <c r="A13384" s="76" t="s">
        <v>8797</v>
      </c>
    </row>
    <row r="13385" spans="1:1" x14ac:dyDescent="0.25">
      <c r="A13385" s="76" t="s">
        <v>8798</v>
      </c>
    </row>
    <row r="13386" spans="1:1" x14ac:dyDescent="0.25">
      <c r="A13386" s="76" t="s">
        <v>8799</v>
      </c>
    </row>
    <row r="13387" spans="1:1" x14ac:dyDescent="0.25">
      <c r="A13387" s="108" t="s">
        <v>8800</v>
      </c>
    </row>
    <row r="13388" spans="1:1" x14ac:dyDescent="0.25">
      <c r="A13388" s="108" t="s">
        <v>8801</v>
      </c>
    </row>
    <row r="13389" spans="1:1" x14ac:dyDescent="0.25">
      <c r="A13389" s="29" t="s">
        <v>8802</v>
      </c>
    </row>
    <row r="13390" spans="1:1" x14ac:dyDescent="0.25">
      <c r="A13390" s="76" t="s">
        <v>8803</v>
      </c>
    </row>
    <row r="13391" spans="1:1" x14ac:dyDescent="0.25">
      <c r="A13391" s="29" t="s">
        <v>8804</v>
      </c>
    </row>
    <row r="13392" spans="1:1" x14ac:dyDescent="0.25">
      <c r="A13392" s="76" t="s">
        <v>8805</v>
      </c>
    </row>
    <row r="13393" spans="1:1" x14ac:dyDescent="0.25">
      <c r="A13393" s="76" t="s">
        <v>8806</v>
      </c>
    </row>
    <row r="13394" spans="1:1" x14ac:dyDescent="0.25">
      <c r="A13394" s="76" t="s">
        <v>8807</v>
      </c>
    </row>
    <row r="13395" spans="1:1" x14ac:dyDescent="0.25">
      <c r="A13395" s="108" t="s">
        <v>8808</v>
      </c>
    </row>
    <row r="13396" spans="1:1" x14ac:dyDescent="0.25">
      <c r="A13396" s="108" t="s">
        <v>8809</v>
      </c>
    </row>
    <row r="13397" spans="1:1" x14ac:dyDescent="0.25">
      <c r="A13397" s="29" t="s">
        <v>8810</v>
      </c>
    </row>
    <row r="13398" spans="1:1" x14ac:dyDescent="0.25">
      <c r="A13398" s="76" t="s">
        <v>8811</v>
      </c>
    </row>
    <row r="13399" spans="1:1" x14ac:dyDescent="0.25">
      <c r="A13399" s="29" t="s">
        <v>8812</v>
      </c>
    </row>
    <row r="13400" spans="1:1" x14ac:dyDescent="0.25">
      <c r="A13400" s="76" t="s">
        <v>8813</v>
      </c>
    </row>
    <row r="13401" spans="1:1" x14ac:dyDescent="0.25">
      <c r="A13401" s="29" t="s">
        <v>8814</v>
      </c>
    </row>
    <row r="13402" spans="1:1" x14ac:dyDescent="0.25">
      <c r="A13402" s="108" t="s">
        <v>8815</v>
      </c>
    </row>
    <row r="13403" spans="1:1" x14ac:dyDescent="0.25">
      <c r="A13403" s="76" t="s">
        <v>8816</v>
      </c>
    </row>
    <row r="13404" spans="1:1" x14ac:dyDescent="0.25">
      <c r="A13404" s="76" t="s">
        <v>8817</v>
      </c>
    </row>
    <row r="13405" spans="1:1" x14ac:dyDescent="0.25">
      <c r="A13405" s="76" t="s">
        <v>8818</v>
      </c>
    </row>
    <row r="13406" spans="1:1" x14ac:dyDescent="0.25">
      <c r="A13406" s="76" t="s">
        <v>8819</v>
      </c>
    </row>
    <row r="13407" spans="1:1" x14ac:dyDescent="0.25">
      <c r="A13407" s="76" t="s">
        <v>8820</v>
      </c>
    </row>
    <row r="13408" spans="1:1" x14ac:dyDescent="0.25">
      <c r="A13408" s="108" t="s">
        <v>8821</v>
      </c>
    </row>
    <row r="13409" spans="1:1" x14ac:dyDescent="0.25">
      <c r="A13409" s="108" t="s">
        <v>8822</v>
      </c>
    </row>
    <row r="13410" spans="1:1" x14ac:dyDescent="0.25">
      <c r="A13410" s="29" t="s">
        <v>8823</v>
      </c>
    </row>
    <row r="13411" spans="1:1" x14ac:dyDescent="0.25">
      <c r="A13411" s="76" t="s">
        <v>8824</v>
      </c>
    </row>
    <row r="13412" spans="1:1" x14ac:dyDescent="0.25">
      <c r="A13412" s="29" t="s">
        <v>8825</v>
      </c>
    </row>
    <row r="13413" spans="1:1" x14ac:dyDescent="0.25">
      <c r="A13413" s="76" t="s">
        <v>8826</v>
      </c>
    </row>
    <row r="13414" spans="1:1" x14ac:dyDescent="0.25">
      <c r="A13414" s="29" t="s">
        <v>8827</v>
      </c>
    </row>
    <row r="13415" spans="1:1" x14ac:dyDescent="0.25">
      <c r="A13415" s="76" t="s">
        <v>8828</v>
      </c>
    </row>
    <row r="13416" spans="1:1" x14ac:dyDescent="0.25">
      <c r="A13416" s="29" t="s">
        <v>8829</v>
      </c>
    </row>
    <row r="13417" spans="1:1" x14ac:dyDescent="0.25">
      <c r="A13417" s="76" t="s">
        <v>8830</v>
      </c>
    </row>
    <row r="13418" spans="1:1" x14ac:dyDescent="0.25">
      <c r="A13418" s="29" t="s">
        <v>8831</v>
      </c>
    </row>
    <row r="13419" spans="1:1" x14ac:dyDescent="0.25">
      <c r="A13419" s="108" t="s">
        <v>8832</v>
      </c>
    </row>
    <row r="13420" spans="1:1" x14ac:dyDescent="0.25">
      <c r="A13420" s="76" t="s">
        <v>8833</v>
      </c>
    </row>
    <row r="13421" spans="1:1" x14ac:dyDescent="0.25">
      <c r="A13421" s="76" t="s">
        <v>8834</v>
      </c>
    </row>
    <row r="13422" spans="1:1" x14ac:dyDescent="0.25">
      <c r="A13422" s="29" t="s">
        <v>8835</v>
      </c>
    </row>
    <row r="13423" spans="1:1" x14ac:dyDescent="0.25">
      <c r="A13423" s="76" t="s">
        <v>8836</v>
      </c>
    </row>
    <row r="13424" spans="1:1" x14ac:dyDescent="0.25">
      <c r="A13424" s="29" t="s">
        <v>8837</v>
      </c>
    </row>
    <row r="13425" spans="1:1" x14ac:dyDescent="0.25">
      <c r="A13425" s="108" t="s">
        <v>8838</v>
      </c>
    </row>
    <row r="13426" spans="1:1" x14ac:dyDescent="0.25">
      <c r="A13426" s="76" t="s">
        <v>8839</v>
      </c>
    </row>
    <row r="13427" spans="1:1" x14ac:dyDescent="0.25">
      <c r="A13427" s="76" t="s">
        <v>8840</v>
      </c>
    </row>
    <row r="13428" spans="1:1" x14ac:dyDescent="0.25">
      <c r="A13428" s="29" t="s">
        <v>8841</v>
      </c>
    </row>
    <row r="13429" spans="1:1" x14ac:dyDescent="0.25">
      <c r="A13429" s="108" t="s">
        <v>8842</v>
      </c>
    </row>
    <row r="13430" spans="1:1" x14ac:dyDescent="0.25">
      <c r="A13430" s="76" t="s">
        <v>8843</v>
      </c>
    </row>
    <row r="13431" spans="1:1" x14ac:dyDescent="0.25">
      <c r="A13431" s="76" t="s">
        <v>8844</v>
      </c>
    </row>
    <row r="13432" spans="1:1" x14ac:dyDescent="0.25">
      <c r="A13432" s="29" t="s">
        <v>8845</v>
      </c>
    </row>
    <row r="13433" spans="1:1" x14ac:dyDescent="0.25">
      <c r="A13433" s="76" t="s">
        <v>8846</v>
      </c>
    </row>
    <row r="13434" spans="1:1" x14ac:dyDescent="0.25">
      <c r="A13434" s="29" t="s">
        <v>8847</v>
      </c>
    </row>
    <row r="13435" spans="1:1" x14ac:dyDescent="0.25">
      <c r="A13435" s="76" t="s">
        <v>8848</v>
      </c>
    </row>
    <row r="13436" spans="1:1" x14ac:dyDescent="0.25">
      <c r="A13436" s="29" t="s">
        <v>8849</v>
      </c>
    </row>
    <row r="13437" spans="1:1" x14ac:dyDescent="0.25">
      <c r="A13437" s="108" t="s">
        <v>8850</v>
      </c>
    </row>
    <row r="13438" spans="1:1" x14ac:dyDescent="0.25">
      <c r="A13438" s="76" t="s">
        <v>8851</v>
      </c>
    </row>
    <row r="13439" spans="1:1" x14ac:dyDescent="0.25">
      <c r="A13439" s="76" t="s">
        <v>8852</v>
      </c>
    </row>
    <row r="13440" spans="1:1" x14ac:dyDescent="0.25">
      <c r="A13440" s="29" t="s">
        <v>8853</v>
      </c>
    </row>
    <row r="13441" spans="1:1" x14ac:dyDescent="0.25">
      <c r="A13441" s="76" t="s">
        <v>8854</v>
      </c>
    </row>
    <row r="13442" spans="1:1" x14ac:dyDescent="0.25">
      <c r="A13442" s="29" t="s">
        <v>8855</v>
      </c>
    </row>
    <row r="13443" spans="1:1" x14ac:dyDescent="0.25">
      <c r="A13443" s="76" t="s">
        <v>8856</v>
      </c>
    </row>
    <row r="13444" spans="1:1" x14ac:dyDescent="0.25">
      <c r="A13444" s="29" t="s">
        <v>8857</v>
      </c>
    </row>
    <row r="13445" spans="1:1" x14ac:dyDescent="0.25">
      <c r="A13445" s="76" t="s">
        <v>8858</v>
      </c>
    </row>
    <row r="13446" spans="1:1" x14ac:dyDescent="0.25">
      <c r="A13446" s="29" t="s">
        <v>8859</v>
      </c>
    </row>
    <row r="13447" spans="1:1" x14ac:dyDescent="0.25">
      <c r="A13447" s="108" t="s">
        <v>8860</v>
      </c>
    </row>
    <row r="13448" spans="1:1" x14ac:dyDescent="0.25">
      <c r="A13448" s="76" t="s">
        <v>8861</v>
      </c>
    </row>
    <row r="13449" spans="1:1" x14ac:dyDescent="0.25">
      <c r="A13449" s="76" t="s">
        <v>8862</v>
      </c>
    </row>
    <row r="13450" spans="1:1" x14ac:dyDescent="0.25">
      <c r="A13450" s="29" t="s">
        <v>8863</v>
      </c>
    </row>
    <row r="13451" spans="1:1" x14ac:dyDescent="0.25">
      <c r="A13451" s="76" t="s">
        <v>8864</v>
      </c>
    </row>
    <row r="13452" spans="1:1" x14ac:dyDescent="0.25">
      <c r="A13452" s="29" t="s">
        <v>8865</v>
      </c>
    </row>
    <row r="13453" spans="1:1" x14ac:dyDescent="0.25">
      <c r="A13453" s="76" t="s">
        <v>8866</v>
      </c>
    </row>
    <row r="13454" spans="1:1" x14ac:dyDescent="0.25">
      <c r="A13454" s="29" t="s">
        <v>8867</v>
      </c>
    </row>
    <row r="13455" spans="1:1" x14ac:dyDescent="0.25">
      <c r="A13455" s="76" t="s">
        <v>8868</v>
      </c>
    </row>
    <row r="13456" spans="1:1" x14ac:dyDescent="0.25">
      <c r="A13456" s="29" t="s">
        <v>8869</v>
      </c>
    </row>
    <row r="13457" spans="1:1" x14ac:dyDescent="0.25">
      <c r="A13457" s="76" t="s">
        <v>8870</v>
      </c>
    </row>
    <row r="13458" spans="1:1" x14ac:dyDescent="0.25">
      <c r="A13458" s="29" t="s">
        <v>8871</v>
      </c>
    </row>
    <row r="13459" spans="1:1" x14ac:dyDescent="0.25">
      <c r="A13459" s="76" t="s">
        <v>8872</v>
      </c>
    </row>
    <row r="13460" spans="1:1" x14ac:dyDescent="0.25">
      <c r="A13460" s="29" t="s">
        <v>8873</v>
      </c>
    </row>
    <row r="13461" spans="1:1" x14ac:dyDescent="0.25">
      <c r="A13461" s="76" t="s">
        <v>8874</v>
      </c>
    </row>
    <row r="13462" spans="1:1" x14ac:dyDescent="0.25">
      <c r="A13462" s="76" t="s">
        <v>8875</v>
      </c>
    </row>
    <row r="13463" spans="1:1" x14ac:dyDescent="0.25">
      <c r="A13463" s="76" t="s">
        <v>8876</v>
      </c>
    </row>
    <row r="13464" spans="1:1" x14ac:dyDescent="0.25">
      <c r="A13464" s="108" t="s">
        <v>8877</v>
      </c>
    </row>
    <row r="13465" spans="1:1" x14ac:dyDescent="0.25">
      <c r="A13465" s="108" t="s">
        <v>8878</v>
      </c>
    </row>
    <row r="13466" spans="1:1" x14ac:dyDescent="0.25">
      <c r="A13466" s="29" t="s">
        <v>8879</v>
      </c>
    </row>
    <row r="13467" spans="1:1" x14ac:dyDescent="0.25">
      <c r="A13467" s="76" t="s">
        <v>8880</v>
      </c>
    </row>
    <row r="13468" spans="1:1" x14ac:dyDescent="0.25">
      <c r="A13468" s="29" t="s">
        <v>8881</v>
      </c>
    </row>
    <row r="13469" spans="1:1" x14ac:dyDescent="0.25">
      <c r="A13469" s="76" t="s">
        <v>8882</v>
      </c>
    </row>
    <row r="13470" spans="1:1" x14ac:dyDescent="0.25">
      <c r="A13470" s="76" t="s">
        <v>8883</v>
      </c>
    </row>
    <row r="13471" spans="1:1" x14ac:dyDescent="0.25">
      <c r="A13471" s="76" t="s">
        <v>8884</v>
      </c>
    </row>
    <row r="13472" spans="1:1" x14ac:dyDescent="0.25">
      <c r="A13472" s="108" t="s">
        <v>8885</v>
      </c>
    </row>
    <row r="13473" spans="1:1" x14ac:dyDescent="0.25">
      <c r="A13473" s="108" t="s">
        <v>8886</v>
      </c>
    </row>
    <row r="13474" spans="1:1" x14ac:dyDescent="0.25">
      <c r="A13474" s="29" t="s">
        <v>8887</v>
      </c>
    </row>
    <row r="13475" spans="1:1" x14ac:dyDescent="0.25">
      <c r="A13475" s="76" t="s">
        <v>8888</v>
      </c>
    </row>
    <row r="13476" spans="1:1" x14ac:dyDescent="0.25">
      <c r="A13476" s="29" t="s">
        <v>8889</v>
      </c>
    </row>
    <row r="13477" spans="1:1" x14ac:dyDescent="0.25">
      <c r="A13477" s="76" t="s">
        <v>8890</v>
      </c>
    </row>
    <row r="13478" spans="1:1" x14ac:dyDescent="0.25">
      <c r="A13478" s="76" t="s">
        <v>8891</v>
      </c>
    </row>
    <row r="13479" spans="1:1" x14ac:dyDescent="0.25">
      <c r="A13479" s="76" t="s">
        <v>8892</v>
      </c>
    </row>
    <row r="13480" spans="1:1" x14ac:dyDescent="0.25">
      <c r="A13480" s="108" t="s">
        <v>8893</v>
      </c>
    </row>
    <row r="13481" spans="1:1" x14ac:dyDescent="0.25">
      <c r="A13481" s="108" t="s">
        <v>8894</v>
      </c>
    </row>
    <row r="13482" spans="1:1" x14ac:dyDescent="0.25">
      <c r="A13482" s="29" t="s">
        <v>8895</v>
      </c>
    </row>
    <row r="13483" spans="1:1" x14ac:dyDescent="0.25">
      <c r="A13483" s="76" t="s">
        <v>8896</v>
      </c>
    </row>
    <row r="13484" spans="1:1" x14ac:dyDescent="0.25">
      <c r="A13484" s="29" t="s">
        <v>8897</v>
      </c>
    </row>
    <row r="13485" spans="1:1" x14ac:dyDescent="0.25">
      <c r="A13485" s="76" t="s">
        <v>8898</v>
      </c>
    </row>
    <row r="13486" spans="1:1" x14ac:dyDescent="0.25">
      <c r="A13486" s="76" t="s">
        <v>8899</v>
      </c>
    </row>
    <row r="13487" spans="1:1" x14ac:dyDescent="0.25">
      <c r="A13487" s="76" t="s">
        <v>8900</v>
      </c>
    </row>
    <row r="13488" spans="1:1" x14ac:dyDescent="0.25">
      <c r="A13488" s="108" t="s">
        <v>8901</v>
      </c>
    </row>
    <row r="13489" spans="1:1" x14ac:dyDescent="0.25">
      <c r="A13489" s="108" t="s">
        <v>8902</v>
      </c>
    </row>
    <row r="13490" spans="1:1" x14ac:dyDescent="0.25">
      <c r="A13490" s="29" t="s">
        <v>8903</v>
      </c>
    </row>
    <row r="13491" spans="1:1" x14ac:dyDescent="0.25">
      <c r="A13491" s="76" t="s">
        <v>8904</v>
      </c>
    </row>
    <row r="13492" spans="1:1" x14ac:dyDescent="0.25">
      <c r="A13492" s="29" t="s">
        <v>8905</v>
      </c>
    </row>
    <row r="13493" spans="1:1" x14ac:dyDescent="0.25">
      <c r="A13493" s="76" t="s">
        <v>8906</v>
      </c>
    </row>
    <row r="13494" spans="1:1" x14ac:dyDescent="0.25">
      <c r="A13494" s="76" t="s">
        <v>8907</v>
      </c>
    </row>
    <row r="13495" spans="1:1" x14ac:dyDescent="0.25">
      <c r="A13495" s="76" t="s">
        <v>8908</v>
      </c>
    </row>
    <row r="13496" spans="1:1" x14ac:dyDescent="0.25">
      <c r="A13496" s="108" t="s">
        <v>8909</v>
      </c>
    </row>
    <row r="13497" spans="1:1" x14ac:dyDescent="0.25">
      <c r="A13497" s="108" t="s">
        <v>8910</v>
      </c>
    </row>
    <row r="13498" spans="1:1" x14ac:dyDescent="0.25">
      <c r="A13498" s="29" t="s">
        <v>8911</v>
      </c>
    </row>
    <row r="13499" spans="1:1" x14ac:dyDescent="0.25">
      <c r="A13499" s="76" t="s">
        <v>8912</v>
      </c>
    </row>
    <row r="13500" spans="1:1" x14ac:dyDescent="0.25">
      <c r="A13500" s="29" t="s">
        <v>8913</v>
      </c>
    </row>
    <row r="13501" spans="1:1" x14ac:dyDescent="0.25">
      <c r="A13501" s="76" t="s">
        <v>8914</v>
      </c>
    </row>
    <row r="13502" spans="1:1" x14ac:dyDescent="0.25">
      <c r="A13502" s="76" t="s">
        <v>8915</v>
      </c>
    </row>
    <row r="13503" spans="1:1" x14ac:dyDescent="0.25">
      <c r="A13503" s="76" t="s">
        <v>8916</v>
      </c>
    </row>
    <row r="13504" spans="1:1" x14ac:dyDescent="0.25">
      <c r="A13504" s="108" t="s">
        <v>8917</v>
      </c>
    </row>
    <row r="13505" spans="1:1" x14ac:dyDescent="0.25">
      <c r="A13505" s="108" t="s">
        <v>8918</v>
      </c>
    </row>
    <row r="13506" spans="1:1" x14ac:dyDescent="0.25">
      <c r="A13506" s="29" t="s">
        <v>8919</v>
      </c>
    </row>
    <row r="13507" spans="1:1" x14ac:dyDescent="0.25">
      <c r="A13507" s="76" t="s">
        <v>8920</v>
      </c>
    </row>
    <row r="13508" spans="1:1" x14ac:dyDescent="0.25">
      <c r="A13508" s="29" t="s">
        <v>8921</v>
      </c>
    </row>
    <row r="13509" spans="1:1" x14ac:dyDescent="0.25">
      <c r="A13509" s="108" t="s">
        <v>8922</v>
      </c>
    </row>
    <row r="13510" spans="1:1" x14ac:dyDescent="0.25">
      <c r="A13510" s="76" t="s">
        <v>8923</v>
      </c>
    </row>
    <row r="13511" spans="1:1" x14ac:dyDescent="0.25">
      <c r="A13511" s="108" t="s">
        <v>8924</v>
      </c>
    </row>
    <row r="13512" spans="1:1" x14ac:dyDescent="0.25">
      <c r="A13512" s="76" t="s">
        <v>8925</v>
      </c>
    </row>
    <row r="13513" spans="1:1" x14ac:dyDescent="0.25">
      <c r="A13513" s="76" t="s">
        <v>8926</v>
      </c>
    </row>
    <row r="13514" spans="1:1" x14ac:dyDescent="0.25">
      <c r="A13514" s="76" t="s">
        <v>8927</v>
      </c>
    </row>
    <row r="13515" spans="1:1" x14ac:dyDescent="0.25">
      <c r="A13515" s="76" t="s">
        <v>8928</v>
      </c>
    </row>
    <row r="13516" spans="1:1" x14ac:dyDescent="0.25">
      <c r="A13516" s="76" t="s">
        <v>8929</v>
      </c>
    </row>
    <row r="13517" spans="1:1" x14ac:dyDescent="0.25">
      <c r="A13517" s="108" t="s">
        <v>8930</v>
      </c>
    </row>
    <row r="13518" spans="1:1" x14ac:dyDescent="0.25">
      <c r="A13518" s="108" t="s">
        <v>8931</v>
      </c>
    </row>
    <row r="13519" spans="1:1" x14ac:dyDescent="0.25">
      <c r="A13519" s="29" t="s">
        <v>8932</v>
      </c>
    </row>
    <row r="13520" spans="1:1" x14ac:dyDescent="0.25">
      <c r="A13520" s="76" t="s">
        <v>8933</v>
      </c>
    </row>
    <row r="13521" spans="1:1" x14ac:dyDescent="0.25">
      <c r="A13521" s="29" t="s">
        <v>8934</v>
      </c>
    </row>
    <row r="13522" spans="1:1" x14ac:dyDescent="0.25">
      <c r="A13522" s="76" t="s">
        <v>8935</v>
      </c>
    </row>
    <row r="13523" spans="1:1" x14ac:dyDescent="0.25">
      <c r="A13523" s="29" t="s">
        <v>8936</v>
      </c>
    </row>
    <row r="13524" spans="1:1" x14ac:dyDescent="0.25">
      <c r="A13524" s="76" t="s">
        <v>8937</v>
      </c>
    </row>
    <row r="13525" spans="1:1" x14ac:dyDescent="0.25">
      <c r="A13525" s="29" t="s">
        <v>8938</v>
      </c>
    </row>
    <row r="13526" spans="1:1" x14ac:dyDescent="0.25">
      <c r="A13526" s="76" t="s">
        <v>8939</v>
      </c>
    </row>
    <row r="13527" spans="1:1" x14ac:dyDescent="0.25">
      <c r="A13527" s="29" t="s">
        <v>8940</v>
      </c>
    </row>
    <row r="13528" spans="1:1" x14ac:dyDescent="0.25">
      <c r="A13528" s="76" t="s">
        <v>8941</v>
      </c>
    </row>
    <row r="13529" spans="1:1" x14ac:dyDescent="0.25">
      <c r="A13529" s="29" t="s">
        <v>8942</v>
      </c>
    </row>
    <row r="13530" spans="1:1" x14ac:dyDescent="0.25">
      <c r="A13530" s="108" t="s">
        <v>8943</v>
      </c>
    </row>
    <row r="13531" spans="1:1" x14ac:dyDescent="0.25">
      <c r="A13531" s="76" t="s">
        <v>8944</v>
      </c>
    </row>
    <row r="13532" spans="1:1" x14ac:dyDescent="0.25">
      <c r="A13532" s="108" t="s">
        <v>8945</v>
      </c>
    </row>
    <row r="13533" spans="1:1" x14ac:dyDescent="0.25">
      <c r="A13533" s="76" t="s">
        <v>8946</v>
      </c>
    </row>
    <row r="13534" spans="1:1" x14ac:dyDescent="0.25">
      <c r="A13534" s="108" t="s">
        <v>8947</v>
      </c>
    </row>
    <row r="13535" spans="1:1" x14ac:dyDescent="0.25">
      <c r="A13535" s="76" t="s">
        <v>8948</v>
      </c>
    </row>
    <row r="13536" spans="1:1" x14ac:dyDescent="0.25">
      <c r="A13536" s="76" t="s">
        <v>8949</v>
      </c>
    </row>
    <row r="13537" spans="1:1" x14ac:dyDescent="0.25">
      <c r="A13537" s="29" t="s">
        <v>8950</v>
      </c>
    </row>
    <row r="13538" spans="1:1" x14ac:dyDescent="0.25">
      <c r="A13538" s="76" t="s">
        <v>8951</v>
      </c>
    </row>
    <row r="13539" spans="1:1" x14ac:dyDescent="0.25">
      <c r="A13539" s="29" t="s">
        <v>8952</v>
      </c>
    </row>
    <row r="13540" spans="1:1" x14ac:dyDescent="0.25">
      <c r="A13540" s="108" t="s">
        <v>8953</v>
      </c>
    </row>
    <row r="13541" spans="1:1" x14ac:dyDescent="0.25">
      <c r="A13541" s="76" t="s">
        <v>8954</v>
      </c>
    </row>
    <row r="13542" spans="1:1" x14ac:dyDescent="0.25">
      <c r="A13542" s="76" t="s">
        <v>8955</v>
      </c>
    </row>
    <row r="13543" spans="1:1" x14ac:dyDescent="0.25">
      <c r="A13543" s="76" t="s">
        <v>8956</v>
      </c>
    </row>
    <row r="13544" spans="1:1" x14ac:dyDescent="0.25">
      <c r="A13544" s="76" t="s">
        <v>8957</v>
      </c>
    </row>
    <row r="13545" spans="1:1" x14ac:dyDescent="0.25">
      <c r="A13545" s="108" t="s">
        <v>8958</v>
      </c>
    </row>
    <row r="13546" spans="1:1" x14ac:dyDescent="0.25">
      <c r="A13546" s="108" t="s">
        <v>8959</v>
      </c>
    </row>
    <row r="13547" spans="1:1" x14ac:dyDescent="0.25">
      <c r="A13547" s="29" t="s">
        <v>8960</v>
      </c>
    </row>
    <row r="13548" spans="1:1" x14ac:dyDescent="0.25">
      <c r="A13548" s="76" t="s">
        <v>8961</v>
      </c>
    </row>
    <row r="13549" spans="1:1" x14ac:dyDescent="0.25">
      <c r="A13549" s="29" t="s">
        <v>8962</v>
      </c>
    </row>
    <row r="13550" spans="1:1" x14ac:dyDescent="0.25">
      <c r="A13550" s="76" t="s">
        <v>8963</v>
      </c>
    </row>
    <row r="13551" spans="1:1" x14ac:dyDescent="0.25">
      <c r="A13551" s="76" t="s">
        <v>8964</v>
      </c>
    </row>
    <row r="13552" spans="1:1" x14ac:dyDescent="0.25">
      <c r="A13552" s="76" t="s">
        <v>8965</v>
      </c>
    </row>
    <row r="13553" spans="1:1" x14ac:dyDescent="0.25">
      <c r="A13553" s="108" t="s">
        <v>8966</v>
      </c>
    </row>
    <row r="13554" spans="1:1" x14ac:dyDescent="0.25">
      <c r="A13554" s="108" t="s">
        <v>8967</v>
      </c>
    </row>
    <row r="13555" spans="1:1" x14ac:dyDescent="0.25">
      <c r="A13555" s="29" t="s">
        <v>8968</v>
      </c>
    </row>
    <row r="13556" spans="1:1" x14ac:dyDescent="0.25">
      <c r="A13556" s="76" t="s">
        <v>8969</v>
      </c>
    </row>
    <row r="13557" spans="1:1" x14ac:dyDescent="0.25">
      <c r="A13557" s="29" t="s">
        <v>8970</v>
      </c>
    </row>
    <row r="13558" spans="1:1" x14ac:dyDescent="0.25">
      <c r="A13558" s="108" t="s">
        <v>8971</v>
      </c>
    </row>
    <row r="13559" spans="1:1" x14ac:dyDescent="0.25">
      <c r="A13559" s="76" t="s">
        <v>8972</v>
      </c>
    </row>
    <row r="13560" spans="1:1" x14ac:dyDescent="0.25">
      <c r="A13560" s="76" t="s">
        <v>8973</v>
      </c>
    </row>
    <row r="13561" spans="1:1" x14ac:dyDescent="0.25">
      <c r="A13561" s="29" t="s">
        <v>8974</v>
      </c>
    </row>
    <row r="13562" spans="1:1" x14ac:dyDescent="0.25">
      <c r="A13562" s="76" t="s">
        <v>8975</v>
      </c>
    </row>
    <row r="13563" spans="1:1" x14ac:dyDescent="0.25">
      <c r="A13563" s="29" t="s">
        <v>8976</v>
      </c>
    </row>
    <row r="13564" spans="1:1" x14ac:dyDescent="0.25">
      <c r="A13564" s="76" t="s">
        <v>8977</v>
      </c>
    </row>
    <row r="13565" spans="1:1" x14ac:dyDescent="0.25">
      <c r="A13565" s="29" t="s">
        <v>8978</v>
      </c>
    </row>
    <row r="13566" spans="1:1" x14ac:dyDescent="0.25">
      <c r="A13566" s="76" t="s">
        <v>8979</v>
      </c>
    </row>
    <row r="13567" spans="1:1" x14ac:dyDescent="0.25">
      <c r="A13567" s="29" t="s">
        <v>8980</v>
      </c>
    </row>
    <row r="13568" spans="1:1" x14ac:dyDescent="0.25">
      <c r="A13568" s="76" t="s">
        <v>8981</v>
      </c>
    </row>
    <row r="13569" spans="1:1" x14ac:dyDescent="0.25">
      <c r="A13569" s="29" t="s">
        <v>8982</v>
      </c>
    </row>
    <row r="13570" spans="1:1" x14ac:dyDescent="0.25">
      <c r="A13570" s="76" t="s">
        <v>8983</v>
      </c>
    </row>
    <row r="13571" spans="1:1" x14ac:dyDescent="0.25">
      <c r="A13571" s="29" t="s">
        <v>8984</v>
      </c>
    </row>
    <row r="13572" spans="1:1" x14ac:dyDescent="0.25">
      <c r="A13572" s="76" t="s">
        <v>8985</v>
      </c>
    </row>
    <row r="13573" spans="1:1" x14ac:dyDescent="0.25">
      <c r="A13573" s="29" t="s">
        <v>8986</v>
      </c>
    </row>
    <row r="13574" spans="1:1" x14ac:dyDescent="0.25">
      <c r="A13574" s="108" t="s">
        <v>8987</v>
      </c>
    </row>
    <row r="13575" spans="1:1" x14ac:dyDescent="0.25">
      <c r="A13575" s="76" t="s">
        <v>8988</v>
      </c>
    </row>
    <row r="13576" spans="1:1" x14ac:dyDescent="0.25">
      <c r="A13576" s="76" t="s">
        <v>8989</v>
      </c>
    </row>
    <row r="13577" spans="1:1" x14ac:dyDescent="0.25">
      <c r="A13577" s="29" t="s">
        <v>8990</v>
      </c>
    </row>
    <row r="13578" spans="1:1" x14ac:dyDescent="0.25">
      <c r="A13578" s="76" t="s">
        <v>8991</v>
      </c>
    </row>
    <row r="13579" spans="1:1" x14ac:dyDescent="0.25">
      <c r="A13579" s="29" t="s">
        <v>8992</v>
      </c>
    </row>
    <row r="13580" spans="1:1" x14ac:dyDescent="0.25">
      <c r="A13580" s="76" t="s">
        <v>8993</v>
      </c>
    </row>
    <row r="13581" spans="1:1" x14ac:dyDescent="0.25">
      <c r="A13581" s="29" t="s">
        <v>8994</v>
      </c>
    </row>
    <row r="13582" spans="1:1" x14ac:dyDescent="0.25">
      <c r="A13582" s="76" t="s">
        <v>8995</v>
      </c>
    </row>
    <row r="13583" spans="1:1" x14ac:dyDescent="0.25">
      <c r="A13583" s="76" t="s">
        <v>8996</v>
      </c>
    </row>
    <row r="13584" spans="1:1" x14ac:dyDescent="0.25">
      <c r="A13584" s="76" t="s">
        <v>8997</v>
      </c>
    </row>
    <row r="13585" spans="1:1" x14ac:dyDescent="0.25">
      <c r="A13585" s="76" t="s">
        <v>8998</v>
      </c>
    </row>
    <row r="13586" spans="1:1" x14ac:dyDescent="0.25">
      <c r="A13586" s="108" t="s">
        <v>8999</v>
      </c>
    </row>
    <row r="13587" spans="1:1" x14ac:dyDescent="0.25">
      <c r="A13587" s="108" t="s">
        <v>9000</v>
      </c>
    </row>
    <row r="13588" spans="1:1" x14ac:dyDescent="0.25">
      <c r="A13588" s="29" t="s">
        <v>9001</v>
      </c>
    </row>
    <row r="13589" spans="1:1" x14ac:dyDescent="0.25">
      <c r="A13589" s="76" t="s">
        <v>9002</v>
      </c>
    </row>
    <row r="13590" spans="1:1" x14ac:dyDescent="0.25">
      <c r="A13590" s="29" t="s">
        <v>9003</v>
      </c>
    </row>
    <row r="13591" spans="1:1" x14ac:dyDescent="0.25">
      <c r="A13591" s="76" t="s">
        <v>9004</v>
      </c>
    </row>
    <row r="13592" spans="1:1" x14ac:dyDescent="0.25">
      <c r="A13592" s="29" t="s">
        <v>9005</v>
      </c>
    </row>
    <row r="13593" spans="1:1" x14ac:dyDescent="0.25">
      <c r="A13593" s="76" t="s">
        <v>9006</v>
      </c>
    </row>
    <row r="13594" spans="1:1" x14ac:dyDescent="0.25">
      <c r="A13594" s="29" t="s">
        <v>9007</v>
      </c>
    </row>
    <row r="13595" spans="1:1" x14ac:dyDescent="0.25">
      <c r="A13595" s="76" t="s">
        <v>9008</v>
      </c>
    </row>
    <row r="13596" spans="1:1" x14ac:dyDescent="0.25">
      <c r="A13596" s="29" t="s">
        <v>9009</v>
      </c>
    </row>
    <row r="13597" spans="1:1" x14ac:dyDescent="0.25">
      <c r="A13597" s="76" t="s">
        <v>9010</v>
      </c>
    </row>
    <row r="13598" spans="1:1" x14ac:dyDescent="0.25">
      <c r="A13598" s="29" t="s">
        <v>9011</v>
      </c>
    </row>
    <row r="13599" spans="1:1" x14ac:dyDescent="0.25">
      <c r="A13599" s="76" t="s">
        <v>9012</v>
      </c>
    </row>
    <row r="13600" spans="1:1" x14ac:dyDescent="0.25">
      <c r="A13600" s="29" t="s">
        <v>9013</v>
      </c>
    </row>
    <row r="13601" spans="1:1" x14ac:dyDescent="0.25">
      <c r="A13601" s="76" t="s">
        <v>9014</v>
      </c>
    </row>
    <row r="13602" spans="1:1" x14ac:dyDescent="0.25">
      <c r="A13602" s="29" t="s">
        <v>9015</v>
      </c>
    </row>
    <row r="13603" spans="1:1" x14ac:dyDescent="0.25">
      <c r="A13603" s="76" t="s">
        <v>9016</v>
      </c>
    </row>
    <row r="13604" spans="1:1" x14ac:dyDescent="0.25">
      <c r="A13604" s="29" t="s">
        <v>9017</v>
      </c>
    </row>
    <row r="13605" spans="1:1" x14ac:dyDescent="0.25">
      <c r="A13605" s="76" t="s">
        <v>9018</v>
      </c>
    </row>
    <row r="13606" spans="1:1" x14ac:dyDescent="0.25">
      <c r="A13606" s="29" t="s">
        <v>9019</v>
      </c>
    </row>
    <row r="13607" spans="1:1" x14ac:dyDescent="0.25">
      <c r="A13607" s="76" t="s">
        <v>9020</v>
      </c>
    </row>
    <row r="13608" spans="1:1" x14ac:dyDescent="0.25">
      <c r="A13608" s="29" t="s">
        <v>9021</v>
      </c>
    </row>
    <row r="13609" spans="1:1" x14ac:dyDescent="0.25">
      <c r="A13609" s="76" t="s">
        <v>9022</v>
      </c>
    </row>
    <row r="13610" spans="1:1" x14ac:dyDescent="0.25">
      <c r="A13610" s="29" t="s">
        <v>9023</v>
      </c>
    </row>
    <row r="13611" spans="1:1" x14ac:dyDescent="0.25">
      <c r="A13611" s="76" t="s">
        <v>9024</v>
      </c>
    </row>
    <row r="13612" spans="1:1" x14ac:dyDescent="0.25">
      <c r="A13612" s="29" t="s">
        <v>9025</v>
      </c>
    </row>
    <row r="13613" spans="1:1" x14ac:dyDescent="0.25">
      <c r="A13613" s="76" t="s">
        <v>9026</v>
      </c>
    </row>
    <row r="13614" spans="1:1" x14ac:dyDescent="0.25">
      <c r="A13614" s="29" t="s">
        <v>9027</v>
      </c>
    </row>
    <row r="13615" spans="1:1" x14ac:dyDescent="0.25">
      <c r="A13615" s="76" t="s">
        <v>9028</v>
      </c>
    </row>
    <row r="13616" spans="1:1" x14ac:dyDescent="0.25">
      <c r="A13616" s="29" t="s">
        <v>9029</v>
      </c>
    </row>
    <row r="13617" spans="1:1" x14ac:dyDescent="0.25">
      <c r="A13617" s="108" t="s">
        <v>9030</v>
      </c>
    </row>
    <row r="13618" spans="1:1" x14ac:dyDescent="0.25">
      <c r="A13618" s="76" t="s">
        <v>9031</v>
      </c>
    </row>
    <row r="13619" spans="1:1" x14ac:dyDescent="0.25">
      <c r="A13619" s="76" t="s">
        <v>9032</v>
      </c>
    </row>
    <row r="13620" spans="1:1" x14ac:dyDescent="0.25">
      <c r="A13620" s="29" t="s">
        <v>9033</v>
      </c>
    </row>
    <row r="13621" spans="1:1" x14ac:dyDescent="0.25">
      <c r="A13621" s="76" t="s">
        <v>9034</v>
      </c>
    </row>
    <row r="13622" spans="1:1" x14ac:dyDescent="0.25">
      <c r="A13622" s="29" t="s">
        <v>9035</v>
      </c>
    </row>
    <row r="13623" spans="1:1" x14ac:dyDescent="0.25">
      <c r="A13623" s="76" t="s">
        <v>9036</v>
      </c>
    </row>
    <row r="13624" spans="1:1" x14ac:dyDescent="0.25">
      <c r="A13624" s="29" t="s">
        <v>9037</v>
      </c>
    </row>
    <row r="13625" spans="1:1" x14ac:dyDescent="0.25">
      <c r="A13625" s="108" t="s">
        <v>9038</v>
      </c>
    </row>
    <row r="13626" spans="1:1" x14ac:dyDescent="0.25">
      <c r="A13626" s="76" t="s">
        <v>9039</v>
      </c>
    </row>
    <row r="13627" spans="1:1" x14ac:dyDescent="0.25">
      <c r="A13627" s="76" t="s">
        <v>9040</v>
      </c>
    </row>
    <row r="13628" spans="1:1" x14ac:dyDescent="0.25">
      <c r="A13628" s="29" t="s">
        <v>9041</v>
      </c>
    </row>
    <row r="13629" spans="1:1" x14ac:dyDescent="0.25">
      <c r="A13629" s="76" t="s">
        <v>9042</v>
      </c>
    </row>
    <row r="13630" spans="1:1" x14ac:dyDescent="0.25">
      <c r="A13630" s="29" t="s">
        <v>9043</v>
      </c>
    </row>
    <row r="13631" spans="1:1" x14ac:dyDescent="0.25">
      <c r="A13631" s="76" t="s">
        <v>9044</v>
      </c>
    </row>
    <row r="13632" spans="1:1" x14ac:dyDescent="0.25">
      <c r="A13632" s="29" t="s">
        <v>9045</v>
      </c>
    </row>
    <row r="13633" spans="1:1" x14ac:dyDescent="0.25">
      <c r="A13633" s="76" t="s">
        <v>9046</v>
      </c>
    </row>
    <row r="13634" spans="1:1" x14ac:dyDescent="0.25">
      <c r="A13634" s="29" t="s">
        <v>9047</v>
      </c>
    </row>
    <row r="13635" spans="1:1" x14ac:dyDescent="0.25">
      <c r="A13635" s="76" t="s">
        <v>9048</v>
      </c>
    </row>
    <row r="13636" spans="1:1" x14ac:dyDescent="0.25">
      <c r="A13636" s="29" t="s">
        <v>9049</v>
      </c>
    </row>
    <row r="13637" spans="1:1" x14ac:dyDescent="0.25">
      <c r="A13637" s="76" t="s">
        <v>9050</v>
      </c>
    </row>
    <row r="13638" spans="1:1" x14ac:dyDescent="0.25">
      <c r="A13638" s="29" t="s">
        <v>9051</v>
      </c>
    </row>
    <row r="13639" spans="1:1" x14ac:dyDescent="0.25">
      <c r="A13639" s="76" t="s">
        <v>9052</v>
      </c>
    </row>
    <row r="13640" spans="1:1" x14ac:dyDescent="0.25">
      <c r="A13640" s="29" t="s">
        <v>9053</v>
      </c>
    </row>
    <row r="13641" spans="1:1" x14ac:dyDescent="0.25">
      <c r="A13641" s="76" t="s">
        <v>9054</v>
      </c>
    </row>
    <row r="13642" spans="1:1" x14ac:dyDescent="0.25">
      <c r="A13642" s="29" t="s">
        <v>9055</v>
      </c>
    </row>
    <row r="13643" spans="1:1" x14ac:dyDescent="0.25">
      <c r="A13643" s="76" t="s">
        <v>9056</v>
      </c>
    </row>
    <row r="13644" spans="1:1" x14ac:dyDescent="0.25">
      <c r="A13644" s="29" t="s">
        <v>9057</v>
      </c>
    </row>
    <row r="13645" spans="1:1" x14ac:dyDescent="0.25">
      <c r="A13645" s="76" t="s">
        <v>9058</v>
      </c>
    </row>
    <row r="13646" spans="1:1" x14ac:dyDescent="0.25">
      <c r="A13646" s="29" t="s">
        <v>9059</v>
      </c>
    </row>
    <row r="13647" spans="1:1" x14ac:dyDescent="0.25">
      <c r="A13647" s="76" t="s">
        <v>9060</v>
      </c>
    </row>
    <row r="13648" spans="1:1" x14ac:dyDescent="0.25">
      <c r="A13648" s="29" t="s">
        <v>9061</v>
      </c>
    </row>
    <row r="13649" spans="1:1" x14ac:dyDescent="0.25">
      <c r="A13649" s="76" t="s">
        <v>9062</v>
      </c>
    </row>
    <row r="13650" spans="1:1" x14ac:dyDescent="0.25">
      <c r="A13650" s="29" t="s">
        <v>9063</v>
      </c>
    </row>
    <row r="13651" spans="1:1" x14ac:dyDescent="0.25">
      <c r="A13651" s="76" t="s">
        <v>9064</v>
      </c>
    </row>
    <row r="13652" spans="1:1" x14ac:dyDescent="0.25">
      <c r="A13652" s="29" t="s">
        <v>9065</v>
      </c>
    </row>
    <row r="13653" spans="1:1" x14ac:dyDescent="0.25">
      <c r="A13653" s="76" t="s">
        <v>9066</v>
      </c>
    </row>
    <row r="13654" spans="1:1" x14ac:dyDescent="0.25">
      <c r="A13654" s="29" t="s">
        <v>9067</v>
      </c>
    </row>
    <row r="13655" spans="1:1" x14ac:dyDescent="0.25">
      <c r="A13655" s="76" t="s">
        <v>9068</v>
      </c>
    </row>
    <row r="13656" spans="1:1" x14ac:dyDescent="0.25">
      <c r="A13656" s="29" t="s">
        <v>9069</v>
      </c>
    </row>
    <row r="13657" spans="1:1" x14ac:dyDescent="0.25">
      <c r="A13657" s="76" t="s">
        <v>9070</v>
      </c>
    </row>
    <row r="13658" spans="1:1" x14ac:dyDescent="0.25">
      <c r="A13658" s="29" t="s">
        <v>9071</v>
      </c>
    </row>
    <row r="13659" spans="1:1" x14ac:dyDescent="0.25">
      <c r="A13659" s="76" t="s">
        <v>9072</v>
      </c>
    </row>
    <row r="13660" spans="1:1" x14ac:dyDescent="0.25">
      <c r="A13660" s="29" t="s">
        <v>9073</v>
      </c>
    </row>
    <row r="13661" spans="1:1" x14ac:dyDescent="0.25">
      <c r="A13661" s="76" t="s">
        <v>9074</v>
      </c>
    </row>
    <row r="13662" spans="1:1" x14ac:dyDescent="0.25">
      <c r="A13662" s="29" t="s">
        <v>9075</v>
      </c>
    </row>
    <row r="13663" spans="1:1" x14ac:dyDescent="0.25">
      <c r="A13663" s="76" t="s">
        <v>9076</v>
      </c>
    </row>
    <row r="13664" spans="1:1" x14ac:dyDescent="0.25">
      <c r="A13664" s="29" t="s">
        <v>9077</v>
      </c>
    </row>
    <row r="13665" spans="1:1" x14ac:dyDescent="0.25">
      <c r="A13665" s="76" t="s">
        <v>9078</v>
      </c>
    </row>
    <row r="13666" spans="1:1" x14ac:dyDescent="0.25">
      <c r="A13666" s="29" t="s">
        <v>9079</v>
      </c>
    </row>
    <row r="13667" spans="1:1" x14ac:dyDescent="0.25">
      <c r="A13667" s="76" t="s">
        <v>9080</v>
      </c>
    </row>
    <row r="13668" spans="1:1" x14ac:dyDescent="0.25">
      <c r="A13668" s="29" t="s">
        <v>9081</v>
      </c>
    </row>
    <row r="13669" spans="1:1" x14ac:dyDescent="0.25">
      <c r="A13669" s="76" t="s">
        <v>9082</v>
      </c>
    </row>
    <row r="13670" spans="1:1" x14ac:dyDescent="0.25">
      <c r="A13670" s="29" t="s">
        <v>9083</v>
      </c>
    </row>
    <row r="13671" spans="1:1" x14ac:dyDescent="0.25">
      <c r="A13671" s="76" t="s">
        <v>9084</v>
      </c>
    </row>
    <row r="13672" spans="1:1" x14ac:dyDescent="0.25">
      <c r="A13672" s="29" t="s">
        <v>9085</v>
      </c>
    </row>
    <row r="13673" spans="1:1" x14ac:dyDescent="0.25">
      <c r="A13673" s="76" t="s">
        <v>9086</v>
      </c>
    </row>
    <row r="13674" spans="1:1" x14ac:dyDescent="0.25">
      <c r="A13674" s="29" t="s">
        <v>9087</v>
      </c>
    </row>
    <row r="13675" spans="1:1" x14ac:dyDescent="0.25">
      <c r="A13675" s="76" t="s">
        <v>9088</v>
      </c>
    </row>
    <row r="13676" spans="1:1" x14ac:dyDescent="0.25">
      <c r="A13676" s="29" t="s">
        <v>9089</v>
      </c>
    </row>
    <row r="13677" spans="1:1" x14ac:dyDescent="0.25">
      <c r="A13677" s="76" t="s">
        <v>9090</v>
      </c>
    </row>
    <row r="13678" spans="1:1" x14ac:dyDescent="0.25">
      <c r="A13678" s="29" t="s">
        <v>9091</v>
      </c>
    </row>
    <row r="13679" spans="1:1" x14ac:dyDescent="0.25">
      <c r="A13679" s="76" t="s">
        <v>9092</v>
      </c>
    </row>
    <row r="13680" spans="1:1" x14ac:dyDescent="0.25">
      <c r="A13680" s="29" t="s">
        <v>9093</v>
      </c>
    </row>
    <row r="13681" spans="1:1" x14ac:dyDescent="0.25">
      <c r="A13681" s="76" t="s">
        <v>9094</v>
      </c>
    </row>
    <row r="13682" spans="1:1" x14ac:dyDescent="0.25">
      <c r="A13682" s="29" t="s">
        <v>9095</v>
      </c>
    </row>
    <row r="13683" spans="1:1" x14ac:dyDescent="0.25">
      <c r="A13683" s="76" t="s">
        <v>9096</v>
      </c>
    </row>
    <row r="13684" spans="1:1" x14ac:dyDescent="0.25">
      <c r="A13684" s="29" t="s">
        <v>9097</v>
      </c>
    </row>
    <row r="13685" spans="1:1" x14ac:dyDescent="0.25">
      <c r="A13685" s="76" t="s">
        <v>9098</v>
      </c>
    </row>
    <row r="13686" spans="1:1" x14ac:dyDescent="0.25">
      <c r="A13686" s="29" t="s">
        <v>9099</v>
      </c>
    </row>
    <row r="13687" spans="1:1" x14ac:dyDescent="0.25">
      <c r="A13687" s="108" t="s">
        <v>9100</v>
      </c>
    </row>
    <row r="13688" spans="1:1" x14ac:dyDescent="0.25">
      <c r="A13688" s="76" t="s">
        <v>9101</v>
      </c>
    </row>
    <row r="13689" spans="1:1" x14ac:dyDescent="0.25">
      <c r="A13689" s="76" t="s">
        <v>9102</v>
      </c>
    </row>
    <row r="13690" spans="1:1" x14ac:dyDescent="0.25">
      <c r="A13690" s="29" t="s">
        <v>9103</v>
      </c>
    </row>
    <row r="13691" spans="1:1" x14ac:dyDescent="0.25">
      <c r="A13691" s="76" t="s">
        <v>9104</v>
      </c>
    </row>
    <row r="13692" spans="1:1" x14ac:dyDescent="0.25">
      <c r="A13692" s="29" t="s">
        <v>9105</v>
      </c>
    </row>
    <row r="13693" spans="1:1" x14ac:dyDescent="0.25">
      <c r="A13693" s="76" t="s">
        <v>9106</v>
      </c>
    </row>
    <row r="13694" spans="1:1" x14ac:dyDescent="0.25">
      <c r="A13694" s="29" t="s">
        <v>9107</v>
      </c>
    </row>
    <row r="13695" spans="1:1" x14ac:dyDescent="0.25">
      <c r="A13695" s="76" t="s">
        <v>9108</v>
      </c>
    </row>
    <row r="13696" spans="1:1" x14ac:dyDescent="0.25">
      <c r="A13696" s="29" t="s">
        <v>9109</v>
      </c>
    </row>
    <row r="13697" spans="1:1" x14ac:dyDescent="0.25">
      <c r="A13697" s="76" t="s">
        <v>9110</v>
      </c>
    </row>
    <row r="13698" spans="1:1" x14ac:dyDescent="0.25">
      <c r="A13698" s="29" t="s">
        <v>9111</v>
      </c>
    </row>
    <row r="13699" spans="1:1" x14ac:dyDescent="0.25">
      <c r="A13699" s="76" t="s">
        <v>9112</v>
      </c>
    </row>
    <row r="13700" spans="1:1" x14ac:dyDescent="0.25">
      <c r="A13700" s="29" t="s">
        <v>9113</v>
      </c>
    </row>
    <row r="13701" spans="1:1" x14ac:dyDescent="0.25">
      <c r="A13701" s="76" t="s">
        <v>9114</v>
      </c>
    </row>
    <row r="13702" spans="1:1" x14ac:dyDescent="0.25">
      <c r="A13702" s="29" t="s">
        <v>9115</v>
      </c>
    </row>
    <row r="13703" spans="1:1" x14ac:dyDescent="0.25">
      <c r="A13703" s="76" t="s">
        <v>9116</v>
      </c>
    </row>
    <row r="13704" spans="1:1" x14ac:dyDescent="0.25">
      <c r="A13704" s="29" t="s">
        <v>9117</v>
      </c>
    </row>
    <row r="13705" spans="1:1" x14ac:dyDescent="0.25">
      <c r="A13705" s="76" t="s">
        <v>9118</v>
      </c>
    </row>
    <row r="13706" spans="1:1" x14ac:dyDescent="0.25">
      <c r="A13706" s="29" t="s">
        <v>9119</v>
      </c>
    </row>
    <row r="13707" spans="1:1" x14ac:dyDescent="0.25">
      <c r="A13707" s="76" t="s">
        <v>9120</v>
      </c>
    </row>
    <row r="13708" spans="1:1" x14ac:dyDescent="0.25">
      <c r="A13708" s="29" t="s">
        <v>9121</v>
      </c>
    </row>
    <row r="13709" spans="1:1" x14ac:dyDescent="0.25">
      <c r="A13709" s="76" t="s">
        <v>9122</v>
      </c>
    </row>
    <row r="13710" spans="1:1" x14ac:dyDescent="0.25">
      <c r="A13710" s="29" t="s">
        <v>9123</v>
      </c>
    </row>
    <row r="13711" spans="1:1" x14ac:dyDescent="0.25">
      <c r="A13711" s="76" t="s">
        <v>9124</v>
      </c>
    </row>
    <row r="13712" spans="1:1" x14ac:dyDescent="0.25">
      <c r="A13712" s="29" t="s">
        <v>9125</v>
      </c>
    </row>
    <row r="13713" spans="1:1" x14ac:dyDescent="0.25">
      <c r="A13713" s="76" t="s">
        <v>9126</v>
      </c>
    </row>
    <row r="13714" spans="1:1" x14ac:dyDescent="0.25">
      <c r="A13714" s="29" t="s">
        <v>9127</v>
      </c>
    </row>
    <row r="13715" spans="1:1" x14ac:dyDescent="0.25">
      <c r="A13715" s="76" t="s">
        <v>9128</v>
      </c>
    </row>
    <row r="13716" spans="1:1" x14ac:dyDescent="0.25">
      <c r="A13716" s="29" t="s">
        <v>9129</v>
      </c>
    </row>
    <row r="13717" spans="1:1" x14ac:dyDescent="0.25">
      <c r="A13717" s="108" t="s">
        <v>9130</v>
      </c>
    </row>
    <row r="13718" spans="1:1" x14ac:dyDescent="0.25">
      <c r="A13718" s="76" t="s">
        <v>9131</v>
      </c>
    </row>
    <row r="13719" spans="1:1" x14ac:dyDescent="0.25">
      <c r="A13719" s="76" t="s">
        <v>9132</v>
      </c>
    </row>
    <row r="13720" spans="1:1" x14ac:dyDescent="0.25">
      <c r="A13720" s="29" t="s">
        <v>9133</v>
      </c>
    </row>
    <row r="13721" spans="1:1" x14ac:dyDescent="0.25">
      <c r="A13721" s="76" t="s">
        <v>9134</v>
      </c>
    </row>
    <row r="13722" spans="1:1" x14ac:dyDescent="0.25">
      <c r="A13722" s="29" t="s">
        <v>9135</v>
      </c>
    </row>
    <row r="13723" spans="1:1" x14ac:dyDescent="0.25">
      <c r="A13723" s="76" t="s">
        <v>9136</v>
      </c>
    </row>
    <row r="13724" spans="1:1" x14ac:dyDescent="0.25">
      <c r="A13724" s="29" t="s">
        <v>9137</v>
      </c>
    </row>
    <row r="13725" spans="1:1" x14ac:dyDescent="0.25">
      <c r="A13725" s="76" t="s">
        <v>9138</v>
      </c>
    </row>
    <row r="13726" spans="1:1" x14ac:dyDescent="0.25">
      <c r="A13726" s="29" t="s">
        <v>9139</v>
      </c>
    </row>
    <row r="13727" spans="1:1" x14ac:dyDescent="0.25">
      <c r="A13727" s="76" t="s">
        <v>9140</v>
      </c>
    </row>
    <row r="13728" spans="1:1" x14ac:dyDescent="0.25">
      <c r="A13728" s="29" t="s">
        <v>9141</v>
      </c>
    </row>
    <row r="13729" spans="1:1" x14ac:dyDescent="0.25">
      <c r="A13729" s="76" t="s">
        <v>9142</v>
      </c>
    </row>
    <row r="13730" spans="1:1" x14ac:dyDescent="0.25">
      <c r="A13730" s="76" t="s">
        <v>9143</v>
      </c>
    </row>
    <row r="13731" spans="1:1" x14ac:dyDescent="0.25">
      <c r="A13731" s="76" t="s">
        <v>9144</v>
      </c>
    </row>
    <row r="13732" spans="1:1" x14ac:dyDescent="0.25">
      <c r="A13732" s="108" t="s">
        <v>9145</v>
      </c>
    </row>
    <row r="13733" spans="1:1" x14ac:dyDescent="0.25">
      <c r="A13733" s="108" t="s">
        <v>9146</v>
      </c>
    </row>
    <row r="13734" spans="1:1" x14ac:dyDescent="0.25">
      <c r="A13734" s="29" t="s">
        <v>9147</v>
      </c>
    </row>
    <row r="13735" spans="1:1" x14ac:dyDescent="0.25">
      <c r="A13735" s="76" t="s">
        <v>9148</v>
      </c>
    </row>
    <row r="13736" spans="1:1" x14ac:dyDescent="0.25">
      <c r="A13736" s="29" t="s">
        <v>9149</v>
      </c>
    </row>
    <row r="13737" spans="1:1" x14ac:dyDescent="0.25">
      <c r="A13737" s="76" t="s">
        <v>9150</v>
      </c>
    </row>
    <row r="13738" spans="1:1" x14ac:dyDescent="0.25">
      <c r="A13738" s="76" t="s">
        <v>9151</v>
      </c>
    </row>
    <row r="13739" spans="1:1" x14ac:dyDescent="0.25">
      <c r="A13739" s="76" t="s">
        <v>9152</v>
      </c>
    </row>
    <row r="13740" spans="1:1" x14ac:dyDescent="0.25">
      <c r="A13740" s="108" t="s">
        <v>9153</v>
      </c>
    </row>
    <row r="13741" spans="1:1" x14ac:dyDescent="0.25">
      <c r="A13741" s="108" t="s">
        <v>9154</v>
      </c>
    </row>
    <row r="13742" spans="1:1" x14ac:dyDescent="0.25">
      <c r="A13742" s="29" t="s">
        <v>9155</v>
      </c>
    </row>
    <row r="13743" spans="1:1" x14ac:dyDescent="0.25">
      <c r="A13743" s="76" t="s">
        <v>9156</v>
      </c>
    </row>
    <row r="13744" spans="1:1" x14ac:dyDescent="0.25">
      <c r="A13744" s="29" t="s">
        <v>9157</v>
      </c>
    </row>
    <row r="13745" spans="1:1" x14ac:dyDescent="0.25">
      <c r="A13745" s="76" t="s">
        <v>9158</v>
      </c>
    </row>
    <row r="13746" spans="1:1" x14ac:dyDescent="0.25">
      <c r="A13746" s="76" t="s">
        <v>9159</v>
      </c>
    </row>
    <row r="13747" spans="1:1" x14ac:dyDescent="0.25">
      <c r="A13747" s="76" t="s">
        <v>9160</v>
      </c>
    </row>
    <row r="13748" spans="1:1" x14ac:dyDescent="0.25">
      <c r="A13748" s="108" t="s">
        <v>9161</v>
      </c>
    </row>
    <row r="13749" spans="1:1" x14ac:dyDescent="0.25">
      <c r="A13749" s="108" t="s">
        <v>9162</v>
      </c>
    </row>
    <row r="13750" spans="1:1" x14ac:dyDescent="0.25">
      <c r="A13750" s="29" t="s">
        <v>9163</v>
      </c>
    </row>
    <row r="13751" spans="1:1" x14ac:dyDescent="0.25">
      <c r="A13751" s="76" t="s">
        <v>9164</v>
      </c>
    </row>
    <row r="13752" spans="1:1" x14ac:dyDescent="0.25">
      <c r="A13752" s="29" t="s">
        <v>9165</v>
      </c>
    </row>
    <row r="13753" spans="1:1" x14ac:dyDescent="0.25">
      <c r="A13753" s="76" t="s">
        <v>9166</v>
      </c>
    </row>
    <row r="13754" spans="1:1" x14ac:dyDescent="0.25">
      <c r="A13754" s="76" t="s">
        <v>9167</v>
      </c>
    </row>
    <row r="13755" spans="1:1" x14ac:dyDescent="0.25">
      <c r="A13755" s="76" t="s">
        <v>9168</v>
      </c>
    </row>
    <row r="13756" spans="1:1" x14ac:dyDescent="0.25">
      <c r="A13756" s="108" t="s">
        <v>9169</v>
      </c>
    </row>
    <row r="13757" spans="1:1" x14ac:dyDescent="0.25">
      <c r="A13757" s="108" t="s">
        <v>9170</v>
      </c>
    </row>
    <row r="13758" spans="1:1" x14ac:dyDescent="0.25">
      <c r="A13758" s="29" t="s">
        <v>9171</v>
      </c>
    </row>
    <row r="13759" spans="1:1" x14ac:dyDescent="0.25">
      <c r="A13759" s="76" t="s">
        <v>9172</v>
      </c>
    </row>
    <row r="13760" spans="1:1" x14ac:dyDescent="0.25">
      <c r="A13760" s="29" t="s">
        <v>9173</v>
      </c>
    </row>
    <row r="13761" spans="1:1" x14ac:dyDescent="0.25">
      <c r="A13761" s="76" t="s">
        <v>9174</v>
      </c>
    </row>
    <row r="13762" spans="1:1" x14ac:dyDescent="0.25">
      <c r="A13762" s="76" t="s">
        <v>9175</v>
      </c>
    </row>
    <row r="13763" spans="1:1" x14ac:dyDescent="0.25">
      <c r="A13763" s="76" t="s">
        <v>9176</v>
      </c>
    </row>
    <row r="13764" spans="1:1" x14ac:dyDescent="0.25">
      <c r="A13764" s="108" t="s">
        <v>9177</v>
      </c>
    </row>
    <row r="13765" spans="1:1" x14ac:dyDescent="0.25">
      <c r="A13765" s="108" t="s">
        <v>9178</v>
      </c>
    </row>
    <row r="13766" spans="1:1" x14ac:dyDescent="0.25">
      <c r="A13766" s="29" t="s">
        <v>9179</v>
      </c>
    </row>
    <row r="13767" spans="1:1" x14ac:dyDescent="0.25">
      <c r="A13767" s="76" t="s">
        <v>9180</v>
      </c>
    </row>
    <row r="13768" spans="1:1" x14ac:dyDescent="0.25">
      <c r="A13768" s="29" t="s">
        <v>9181</v>
      </c>
    </row>
    <row r="13769" spans="1:1" x14ac:dyDescent="0.25">
      <c r="A13769" s="76" t="s">
        <v>9182</v>
      </c>
    </row>
    <row r="13770" spans="1:1" x14ac:dyDescent="0.25">
      <c r="A13770" s="76" t="s">
        <v>9183</v>
      </c>
    </row>
    <row r="13771" spans="1:1" x14ac:dyDescent="0.25">
      <c r="A13771" s="76" t="s">
        <v>9184</v>
      </c>
    </row>
    <row r="13772" spans="1:1" x14ac:dyDescent="0.25">
      <c r="A13772" s="108" t="s">
        <v>9185</v>
      </c>
    </row>
    <row r="13773" spans="1:1" x14ac:dyDescent="0.25">
      <c r="A13773" s="108" t="s">
        <v>9186</v>
      </c>
    </row>
    <row r="13774" spans="1:1" x14ac:dyDescent="0.25">
      <c r="A13774" s="29" t="s">
        <v>9187</v>
      </c>
    </row>
    <row r="13775" spans="1:1" x14ac:dyDescent="0.25">
      <c r="A13775" s="76" t="s">
        <v>9188</v>
      </c>
    </row>
    <row r="13776" spans="1:1" x14ac:dyDescent="0.25">
      <c r="A13776" s="29" t="s">
        <v>9189</v>
      </c>
    </row>
    <row r="13777" spans="1:1" x14ac:dyDescent="0.25">
      <c r="A13777" s="76" t="s">
        <v>9190</v>
      </c>
    </row>
    <row r="13778" spans="1:1" x14ac:dyDescent="0.25">
      <c r="A13778" s="29" t="s">
        <v>9191</v>
      </c>
    </row>
    <row r="13779" spans="1:1" x14ac:dyDescent="0.25">
      <c r="A13779" s="108" t="s">
        <v>9192</v>
      </c>
    </row>
    <row r="13780" spans="1:1" x14ac:dyDescent="0.25">
      <c r="A13780" s="76" t="s">
        <v>9193</v>
      </c>
    </row>
    <row r="13781" spans="1:1" x14ac:dyDescent="0.25">
      <c r="A13781" s="76" t="s">
        <v>9194</v>
      </c>
    </row>
    <row r="13782" spans="1:1" x14ac:dyDescent="0.25">
      <c r="A13782" s="29" t="s">
        <v>9195</v>
      </c>
    </row>
    <row r="13783" spans="1:1" x14ac:dyDescent="0.25">
      <c r="A13783" s="76" t="s">
        <v>9196</v>
      </c>
    </row>
    <row r="13784" spans="1:1" x14ac:dyDescent="0.25">
      <c r="A13784" s="29" t="s">
        <v>9197</v>
      </c>
    </row>
    <row r="13785" spans="1:1" x14ac:dyDescent="0.25">
      <c r="A13785" s="76" t="s">
        <v>9198</v>
      </c>
    </row>
    <row r="13786" spans="1:1" x14ac:dyDescent="0.25">
      <c r="A13786" s="29" t="s">
        <v>9199</v>
      </c>
    </row>
    <row r="13787" spans="1:1" x14ac:dyDescent="0.25">
      <c r="A13787" s="76" t="s">
        <v>9200</v>
      </c>
    </row>
    <row r="13788" spans="1:1" x14ac:dyDescent="0.25">
      <c r="A13788" s="29" t="s">
        <v>9201</v>
      </c>
    </row>
    <row r="13789" spans="1:1" x14ac:dyDescent="0.25">
      <c r="A13789" s="76" t="s">
        <v>9202</v>
      </c>
    </row>
    <row r="13790" spans="1:1" x14ac:dyDescent="0.25">
      <c r="A13790" s="29" t="s">
        <v>9203</v>
      </c>
    </row>
    <row r="13791" spans="1:1" x14ac:dyDescent="0.25">
      <c r="A13791" s="76" t="s">
        <v>9204</v>
      </c>
    </row>
    <row r="13792" spans="1:1" x14ac:dyDescent="0.25">
      <c r="A13792" s="29" t="s">
        <v>9205</v>
      </c>
    </row>
    <row r="13793" spans="1:1" x14ac:dyDescent="0.25">
      <c r="A13793" s="108" t="s">
        <v>9206</v>
      </c>
    </row>
    <row r="13794" spans="1:1" x14ac:dyDescent="0.25">
      <c r="A13794" s="76" t="s">
        <v>9207</v>
      </c>
    </row>
    <row r="13795" spans="1:1" x14ac:dyDescent="0.25">
      <c r="A13795" s="76" t="s">
        <v>9208</v>
      </c>
    </row>
    <row r="13796" spans="1:1" x14ac:dyDescent="0.25">
      <c r="A13796" s="29" t="s">
        <v>9209</v>
      </c>
    </row>
    <row r="13797" spans="1:1" x14ac:dyDescent="0.25">
      <c r="A13797" s="76" t="s">
        <v>9210</v>
      </c>
    </row>
    <row r="13798" spans="1:1" x14ac:dyDescent="0.25">
      <c r="A13798" s="29" t="s">
        <v>9211</v>
      </c>
    </row>
    <row r="13799" spans="1:1" x14ac:dyDescent="0.25">
      <c r="A13799" s="76" t="s">
        <v>9212</v>
      </c>
    </row>
    <row r="13800" spans="1:1" x14ac:dyDescent="0.25">
      <c r="A13800" s="29" t="s">
        <v>9213</v>
      </c>
    </row>
    <row r="13801" spans="1:1" x14ac:dyDescent="0.25">
      <c r="A13801" s="76" t="s">
        <v>9214</v>
      </c>
    </row>
    <row r="13802" spans="1:1" x14ac:dyDescent="0.25">
      <c r="A13802" s="29" t="s">
        <v>9215</v>
      </c>
    </row>
    <row r="13803" spans="1:1" x14ac:dyDescent="0.25">
      <c r="A13803" s="108" t="s">
        <v>9216</v>
      </c>
    </row>
    <row r="13804" spans="1:1" x14ac:dyDescent="0.25">
      <c r="A13804" s="76" t="s">
        <v>9217</v>
      </c>
    </row>
    <row r="13805" spans="1:1" x14ac:dyDescent="0.25">
      <c r="A13805" s="76" t="s">
        <v>9218</v>
      </c>
    </row>
    <row r="13806" spans="1:1" x14ac:dyDescent="0.25">
      <c r="A13806" s="29" t="s">
        <v>9219</v>
      </c>
    </row>
    <row r="13807" spans="1:1" x14ac:dyDescent="0.25">
      <c r="A13807" s="76" t="s">
        <v>9220</v>
      </c>
    </row>
    <row r="13808" spans="1:1" x14ac:dyDescent="0.25">
      <c r="A13808" s="29" t="s">
        <v>9221</v>
      </c>
    </row>
    <row r="13809" spans="1:1" x14ac:dyDescent="0.25">
      <c r="A13809" s="76" t="s">
        <v>9222</v>
      </c>
    </row>
    <row r="13810" spans="1:1" x14ac:dyDescent="0.25">
      <c r="A13810" s="29" t="s">
        <v>9223</v>
      </c>
    </row>
    <row r="13811" spans="1:1" x14ac:dyDescent="0.25">
      <c r="A13811" s="76" t="s">
        <v>9224</v>
      </c>
    </row>
    <row r="13812" spans="1:1" x14ac:dyDescent="0.25">
      <c r="A13812" s="29" t="s">
        <v>9225</v>
      </c>
    </row>
    <row r="13813" spans="1:1" x14ac:dyDescent="0.25">
      <c r="A13813" s="76" t="s">
        <v>9226</v>
      </c>
    </row>
    <row r="13814" spans="1:1" x14ac:dyDescent="0.25">
      <c r="A13814" s="29" t="s">
        <v>9227</v>
      </c>
    </row>
    <row r="13815" spans="1:1" x14ac:dyDescent="0.25">
      <c r="A13815" s="108" t="s">
        <v>9228</v>
      </c>
    </row>
    <row r="13816" spans="1:1" x14ac:dyDescent="0.25">
      <c r="A13816" s="76" t="s">
        <v>9229</v>
      </c>
    </row>
    <row r="13817" spans="1:1" x14ac:dyDescent="0.25">
      <c r="A13817" s="76" t="s">
        <v>9230</v>
      </c>
    </row>
    <row r="13818" spans="1:1" x14ac:dyDescent="0.25">
      <c r="A13818" s="29" t="s">
        <v>9231</v>
      </c>
    </row>
    <row r="13819" spans="1:1" x14ac:dyDescent="0.25">
      <c r="A13819" s="76" t="s">
        <v>9232</v>
      </c>
    </row>
    <row r="13820" spans="1:1" x14ac:dyDescent="0.25">
      <c r="A13820" s="29" t="s">
        <v>9233</v>
      </c>
    </row>
    <row r="13821" spans="1:1" x14ac:dyDescent="0.25">
      <c r="A13821" s="76" t="s">
        <v>9234</v>
      </c>
    </row>
    <row r="13822" spans="1:1" x14ac:dyDescent="0.25">
      <c r="A13822" s="29" t="s">
        <v>9235</v>
      </c>
    </row>
    <row r="13823" spans="1:1" x14ac:dyDescent="0.25">
      <c r="A13823" s="76" t="s">
        <v>9236</v>
      </c>
    </row>
    <row r="13824" spans="1:1" x14ac:dyDescent="0.25">
      <c r="A13824" s="29" t="s">
        <v>9237</v>
      </c>
    </row>
    <row r="13825" spans="1:1" x14ac:dyDescent="0.25">
      <c r="A13825" s="76" t="s">
        <v>9238</v>
      </c>
    </row>
    <row r="13826" spans="1:1" x14ac:dyDescent="0.25">
      <c r="A13826" s="29" t="s">
        <v>9239</v>
      </c>
    </row>
    <row r="13827" spans="1:1" x14ac:dyDescent="0.25">
      <c r="A13827" s="76" t="s">
        <v>9240</v>
      </c>
    </row>
    <row r="13828" spans="1:1" x14ac:dyDescent="0.25">
      <c r="A13828" s="29" t="s">
        <v>9241</v>
      </c>
    </row>
    <row r="13829" spans="1:1" x14ac:dyDescent="0.25">
      <c r="A13829" s="76" t="s">
        <v>9242</v>
      </c>
    </row>
    <row r="13830" spans="1:1" x14ac:dyDescent="0.25">
      <c r="A13830" s="29" t="s">
        <v>9243</v>
      </c>
    </row>
    <row r="13831" spans="1:1" x14ac:dyDescent="0.25">
      <c r="A13831" s="76" t="s">
        <v>9244</v>
      </c>
    </row>
    <row r="13832" spans="1:1" x14ac:dyDescent="0.25">
      <c r="A13832" s="29" t="s">
        <v>9245</v>
      </c>
    </row>
    <row r="13833" spans="1:1" x14ac:dyDescent="0.25">
      <c r="A13833" s="108" t="s">
        <v>9246</v>
      </c>
    </row>
    <row r="13834" spans="1:1" x14ac:dyDescent="0.25">
      <c r="A13834" s="76" t="s">
        <v>9247</v>
      </c>
    </row>
    <row r="13835" spans="1:1" x14ac:dyDescent="0.25">
      <c r="A13835" s="76" t="s">
        <v>9248</v>
      </c>
    </row>
    <row r="13836" spans="1:1" x14ac:dyDescent="0.25">
      <c r="A13836" s="29" t="s">
        <v>9249</v>
      </c>
    </row>
    <row r="13837" spans="1:1" x14ac:dyDescent="0.25">
      <c r="A13837" s="76" t="s">
        <v>9250</v>
      </c>
    </row>
    <row r="13838" spans="1:1" x14ac:dyDescent="0.25">
      <c r="A13838" s="29" t="s">
        <v>9251</v>
      </c>
    </row>
    <row r="13839" spans="1:1" x14ac:dyDescent="0.25">
      <c r="A13839" s="76" t="s">
        <v>9252</v>
      </c>
    </row>
    <row r="13840" spans="1:1" x14ac:dyDescent="0.25">
      <c r="A13840" s="29" t="s">
        <v>9253</v>
      </c>
    </row>
    <row r="13841" spans="1:1" x14ac:dyDescent="0.25">
      <c r="A13841" s="76" t="s">
        <v>9254</v>
      </c>
    </row>
    <row r="13842" spans="1:1" x14ac:dyDescent="0.25">
      <c r="A13842" s="29" t="s">
        <v>9255</v>
      </c>
    </row>
    <row r="13843" spans="1:1" x14ac:dyDescent="0.25">
      <c r="A13843" s="108" t="s">
        <v>9256</v>
      </c>
    </row>
    <row r="13844" spans="1:1" x14ac:dyDescent="0.25">
      <c r="A13844" s="76" t="s">
        <v>9257</v>
      </c>
    </row>
    <row r="13845" spans="1:1" x14ac:dyDescent="0.25">
      <c r="A13845" s="76" t="s">
        <v>9258</v>
      </c>
    </row>
    <row r="13846" spans="1:1" x14ac:dyDescent="0.25">
      <c r="A13846" s="76" t="s">
        <v>9259</v>
      </c>
    </row>
    <row r="13847" spans="1:1" x14ac:dyDescent="0.25">
      <c r="A13847" s="76" t="s">
        <v>9260</v>
      </c>
    </row>
    <row r="13848" spans="1:1" x14ac:dyDescent="0.25">
      <c r="A13848" s="108" t="s">
        <v>9261</v>
      </c>
    </row>
    <row r="13849" spans="1:1" x14ac:dyDescent="0.25">
      <c r="A13849" s="108" t="s">
        <v>9262</v>
      </c>
    </row>
    <row r="13850" spans="1:1" x14ac:dyDescent="0.25">
      <c r="A13850" s="29" t="s">
        <v>9263</v>
      </c>
    </row>
    <row r="13851" spans="1:1" x14ac:dyDescent="0.25">
      <c r="A13851" s="76" t="s">
        <v>9264</v>
      </c>
    </row>
    <row r="13852" spans="1:1" x14ac:dyDescent="0.25">
      <c r="A13852" s="29" t="s">
        <v>9265</v>
      </c>
    </row>
    <row r="13853" spans="1:1" x14ac:dyDescent="0.25">
      <c r="A13853" s="76" t="s">
        <v>9266</v>
      </c>
    </row>
    <row r="13854" spans="1:1" x14ac:dyDescent="0.25">
      <c r="A13854" s="76" t="s">
        <v>9267</v>
      </c>
    </row>
    <row r="13855" spans="1:1" x14ac:dyDescent="0.25">
      <c r="A13855" s="76" t="s">
        <v>9268</v>
      </c>
    </row>
    <row r="13856" spans="1:1" x14ac:dyDescent="0.25">
      <c r="A13856" s="108" t="s">
        <v>9269</v>
      </c>
    </row>
    <row r="13857" spans="1:1" x14ac:dyDescent="0.25">
      <c r="A13857" s="108" t="s">
        <v>9270</v>
      </c>
    </row>
    <row r="13858" spans="1:1" x14ac:dyDescent="0.25">
      <c r="A13858" s="29" t="s">
        <v>9271</v>
      </c>
    </row>
    <row r="13859" spans="1:1" x14ac:dyDescent="0.25">
      <c r="A13859" s="76" t="s">
        <v>9272</v>
      </c>
    </row>
    <row r="13860" spans="1:1" x14ac:dyDescent="0.25">
      <c r="A13860" s="29" t="s">
        <v>9273</v>
      </c>
    </row>
    <row r="13861" spans="1:1" x14ac:dyDescent="0.25">
      <c r="A13861" s="76" t="s">
        <v>9274</v>
      </c>
    </row>
    <row r="13862" spans="1:1" x14ac:dyDescent="0.25">
      <c r="A13862" s="76" t="s">
        <v>9275</v>
      </c>
    </row>
    <row r="13863" spans="1:1" x14ac:dyDescent="0.25">
      <c r="A13863" s="76" t="s">
        <v>9276</v>
      </c>
    </row>
    <row r="13864" spans="1:1" x14ac:dyDescent="0.25">
      <c r="A13864" s="108" t="s">
        <v>9277</v>
      </c>
    </row>
    <row r="13865" spans="1:1" x14ac:dyDescent="0.25">
      <c r="A13865" s="108" t="s">
        <v>9278</v>
      </c>
    </row>
    <row r="13866" spans="1:1" x14ac:dyDescent="0.25">
      <c r="A13866" s="29" t="s">
        <v>9279</v>
      </c>
    </row>
    <row r="13867" spans="1:1" x14ac:dyDescent="0.25">
      <c r="A13867" s="76" t="s">
        <v>9280</v>
      </c>
    </row>
    <row r="13868" spans="1:1" x14ac:dyDescent="0.25">
      <c r="A13868" s="29" t="s">
        <v>9281</v>
      </c>
    </row>
    <row r="13869" spans="1:1" x14ac:dyDescent="0.25">
      <c r="A13869" s="76" t="s">
        <v>9282</v>
      </c>
    </row>
    <row r="13870" spans="1:1" x14ac:dyDescent="0.25">
      <c r="A13870" s="76" t="s">
        <v>9283</v>
      </c>
    </row>
    <row r="13871" spans="1:1" x14ac:dyDescent="0.25">
      <c r="A13871" s="76" t="s">
        <v>9284</v>
      </c>
    </row>
    <row r="13872" spans="1:1" x14ac:dyDescent="0.25">
      <c r="A13872" s="108" t="s">
        <v>9285</v>
      </c>
    </row>
    <row r="13873" spans="1:1" x14ac:dyDescent="0.25">
      <c r="A13873" s="108" t="s">
        <v>9286</v>
      </c>
    </row>
    <row r="13874" spans="1:1" x14ac:dyDescent="0.25">
      <c r="A13874" s="29" t="s">
        <v>9287</v>
      </c>
    </row>
    <row r="13875" spans="1:1" x14ac:dyDescent="0.25">
      <c r="A13875" s="76" t="s">
        <v>9288</v>
      </c>
    </row>
    <row r="13876" spans="1:1" x14ac:dyDescent="0.25">
      <c r="A13876" s="29" t="s">
        <v>9289</v>
      </c>
    </row>
    <row r="13877" spans="1:1" x14ac:dyDescent="0.25">
      <c r="A13877" s="76" t="s">
        <v>9290</v>
      </c>
    </row>
    <row r="13878" spans="1:1" x14ac:dyDescent="0.25">
      <c r="A13878" s="76" t="s">
        <v>9291</v>
      </c>
    </row>
    <row r="13879" spans="1:1" x14ac:dyDescent="0.25">
      <c r="A13879" s="76" t="s">
        <v>9292</v>
      </c>
    </row>
    <row r="13880" spans="1:1" x14ac:dyDescent="0.25">
      <c r="A13880" s="108" t="s">
        <v>9293</v>
      </c>
    </row>
    <row r="13881" spans="1:1" x14ac:dyDescent="0.25">
      <c r="A13881" s="108" t="s">
        <v>9294</v>
      </c>
    </row>
    <row r="13882" spans="1:1" x14ac:dyDescent="0.25">
      <c r="A13882" s="29" t="s">
        <v>9295</v>
      </c>
    </row>
    <row r="13883" spans="1:1" x14ac:dyDescent="0.25">
      <c r="A13883" s="76" t="s">
        <v>9296</v>
      </c>
    </row>
    <row r="13884" spans="1:1" x14ac:dyDescent="0.25">
      <c r="A13884" s="29" t="s">
        <v>9297</v>
      </c>
    </row>
    <row r="13885" spans="1:1" x14ac:dyDescent="0.25">
      <c r="A13885" s="76" t="s">
        <v>9298</v>
      </c>
    </row>
    <row r="13886" spans="1:1" x14ac:dyDescent="0.25">
      <c r="A13886" s="76" t="s">
        <v>9299</v>
      </c>
    </row>
    <row r="13887" spans="1:1" x14ac:dyDescent="0.25">
      <c r="A13887" s="76" t="s">
        <v>9300</v>
      </c>
    </row>
    <row r="13888" spans="1:1" x14ac:dyDescent="0.25">
      <c r="A13888" s="108" t="s">
        <v>9301</v>
      </c>
    </row>
    <row r="13889" spans="1:1" x14ac:dyDescent="0.25">
      <c r="A13889" s="108" t="s">
        <v>9302</v>
      </c>
    </row>
    <row r="13890" spans="1:1" x14ac:dyDescent="0.25">
      <c r="A13890" s="29" t="s">
        <v>9303</v>
      </c>
    </row>
    <row r="13891" spans="1:1" x14ac:dyDescent="0.25">
      <c r="A13891" s="76" t="s">
        <v>9304</v>
      </c>
    </row>
    <row r="13892" spans="1:1" x14ac:dyDescent="0.25">
      <c r="A13892" s="29" t="s">
        <v>9305</v>
      </c>
    </row>
    <row r="13893" spans="1:1" x14ac:dyDescent="0.25">
      <c r="A13893" s="108" t="s">
        <v>9306</v>
      </c>
    </row>
    <row r="13894" spans="1:1" x14ac:dyDescent="0.25">
      <c r="A13894" s="76" t="s">
        <v>9307</v>
      </c>
    </row>
    <row r="13895" spans="1:1" x14ac:dyDescent="0.25">
      <c r="A13895" s="76" t="s">
        <v>9308</v>
      </c>
    </row>
    <row r="13896" spans="1:1" x14ac:dyDescent="0.25">
      <c r="A13896" s="29" t="s">
        <v>9309</v>
      </c>
    </row>
    <row r="13897" spans="1:1" x14ac:dyDescent="0.25">
      <c r="A13897" s="76" t="s">
        <v>9310</v>
      </c>
    </row>
    <row r="13898" spans="1:1" x14ac:dyDescent="0.25">
      <c r="A13898" s="29" t="s">
        <v>9311</v>
      </c>
    </row>
    <row r="13899" spans="1:1" x14ac:dyDescent="0.25">
      <c r="A13899" s="76" t="s">
        <v>9312</v>
      </c>
    </row>
    <row r="13900" spans="1:1" x14ac:dyDescent="0.25">
      <c r="A13900" s="76" t="s">
        <v>9313</v>
      </c>
    </row>
    <row r="13901" spans="1:1" x14ac:dyDescent="0.25">
      <c r="A13901" s="76" t="s">
        <v>9314</v>
      </c>
    </row>
    <row r="13902" spans="1:1" x14ac:dyDescent="0.25">
      <c r="A13902" s="76" t="s">
        <v>9315</v>
      </c>
    </row>
    <row r="13903" spans="1:1" x14ac:dyDescent="0.25">
      <c r="A13903" s="108" t="s">
        <v>9316</v>
      </c>
    </row>
    <row r="13904" spans="1:1" x14ac:dyDescent="0.25">
      <c r="A13904" s="108" t="s">
        <v>9317</v>
      </c>
    </row>
    <row r="13905" spans="1:1" x14ac:dyDescent="0.25">
      <c r="A13905" s="29" t="s">
        <v>9318</v>
      </c>
    </row>
    <row r="13906" spans="1:1" x14ac:dyDescent="0.25">
      <c r="A13906" s="76" t="s">
        <v>9319</v>
      </c>
    </row>
    <row r="13907" spans="1:1" x14ac:dyDescent="0.25">
      <c r="A13907" s="29" t="s">
        <v>9320</v>
      </c>
    </row>
    <row r="13908" spans="1:1" x14ac:dyDescent="0.25">
      <c r="A13908" s="76" t="s">
        <v>9321</v>
      </c>
    </row>
    <row r="13909" spans="1:1" x14ac:dyDescent="0.25">
      <c r="A13909" s="29" t="s">
        <v>9322</v>
      </c>
    </row>
    <row r="13910" spans="1:1" x14ac:dyDescent="0.25">
      <c r="A13910" s="76" t="s">
        <v>9323</v>
      </c>
    </row>
    <row r="13911" spans="1:1" x14ac:dyDescent="0.25">
      <c r="A13911" s="29" t="s">
        <v>9324</v>
      </c>
    </row>
    <row r="13912" spans="1:1" x14ac:dyDescent="0.25">
      <c r="A13912" s="76" t="s">
        <v>9325</v>
      </c>
    </row>
    <row r="13913" spans="1:1" x14ac:dyDescent="0.25">
      <c r="A13913" s="29" t="s">
        <v>9326</v>
      </c>
    </row>
    <row r="13914" spans="1:1" x14ac:dyDescent="0.25">
      <c r="A13914" s="108" t="s">
        <v>9327</v>
      </c>
    </row>
    <row r="13915" spans="1:1" x14ac:dyDescent="0.25">
      <c r="A13915" s="76" t="s">
        <v>9328</v>
      </c>
    </row>
    <row r="13916" spans="1:1" x14ac:dyDescent="0.25">
      <c r="A13916" s="76" t="s">
        <v>9329</v>
      </c>
    </row>
    <row r="13917" spans="1:1" x14ac:dyDescent="0.25">
      <c r="A13917" s="29" t="s">
        <v>9330</v>
      </c>
    </row>
    <row r="13918" spans="1:1" x14ac:dyDescent="0.25">
      <c r="A13918" s="76" t="s">
        <v>9331</v>
      </c>
    </row>
    <row r="13919" spans="1:1" x14ac:dyDescent="0.25">
      <c r="A13919" s="29" t="s">
        <v>9332</v>
      </c>
    </row>
    <row r="13920" spans="1:1" x14ac:dyDescent="0.25">
      <c r="A13920" s="76" t="s">
        <v>9333</v>
      </c>
    </row>
    <row r="13921" spans="1:1" x14ac:dyDescent="0.25">
      <c r="A13921" s="29" t="s">
        <v>9334</v>
      </c>
    </row>
    <row r="13922" spans="1:1" x14ac:dyDescent="0.25">
      <c r="A13922" s="76" t="s">
        <v>9335</v>
      </c>
    </row>
    <row r="13923" spans="1:1" x14ac:dyDescent="0.25">
      <c r="A13923" s="29" t="s">
        <v>9336</v>
      </c>
    </row>
    <row r="13924" spans="1:1" x14ac:dyDescent="0.25">
      <c r="A13924" s="76" t="s">
        <v>9337</v>
      </c>
    </row>
    <row r="13925" spans="1:1" x14ac:dyDescent="0.25">
      <c r="A13925" s="29" t="s">
        <v>9338</v>
      </c>
    </row>
    <row r="13926" spans="1:1" x14ac:dyDescent="0.25">
      <c r="A13926" s="76" t="s">
        <v>9339</v>
      </c>
    </row>
    <row r="13927" spans="1:1" x14ac:dyDescent="0.25">
      <c r="A13927" s="29" t="s">
        <v>9340</v>
      </c>
    </row>
    <row r="13928" spans="1:1" x14ac:dyDescent="0.25">
      <c r="A13928" s="76" t="s">
        <v>9341</v>
      </c>
    </row>
    <row r="13929" spans="1:1" x14ac:dyDescent="0.25">
      <c r="A13929" s="29" t="s">
        <v>9342</v>
      </c>
    </row>
    <row r="13930" spans="1:1" x14ac:dyDescent="0.25">
      <c r="A13930" s="108" t="s">
        <v>9343</v>
      </c>
    </row>
    <row r="13931" spans="1:1" x14ac:dyDescent="0.25">
      <c r="A13931" s="76" t="s">
        <v>9344</v>
      </c>
    </row>
    <row r="13932" spans="1:1" x14ac:dyDescent="0.25">
      <c r="A13932" s="108" t="s">
        <v>9345</v>
      </c>
    </row>
    <row r="13933" spans="1:1" x14ac:dyDescent="0.25">
      <c r="A13933" s="76" t="s">
        <v>9346</v>
      </c>
    </row>
    <row r="13934" spans="1:1" x14ac:dyDescent="0.25">
      <c r="A13934" s="108" t="s">
        <v>9347</v>
      </c>
    </row>
    <row r="13935" spans="1:1" x14ac:dyDescent="0.25">
      <c r="A13935" s="76" t="s">
        <v>9348</v>
      </c>
    </row>
    <row r="13936" spans="1:1" x14ac:dyDescent="0.25">
      <c r="A13936" s="108" t="s">
        <v>9349</v>
      </c>
    </row>
    <row r="13937" spans="1:1" x14ac:dyDescent="0.25">
      <c r="A13937" s="76" t="s">
        <v>9350</v>
      </c>
    </row>
    <row r="13938" spans="1:1" x14ac:dyDescent="0.25">
      <c r="A13938" s="76" t="s">
        <v>9351</v>
      </c>
    </row>
    <row r="13939" spans="1:1" x14ac:dyDescent="0.25">
      <c r="A13939" s="29" t="s">
        <v>9352</v>
      </c>
    </row>
    <row r="13940" spans="1:1" x14ac:dyDescent="0.25">
      <c r="A13940" s="76" t="s">
        <v>9353</v>
      </c>
    </row>
    <row r="13941" spans="1:1" x14ac:dyDescent="0.25">
      <c r="A13941" s="29" t="s">
        <v>9354</v>
      </c>
    </row>
    <row r="13942" spans="1:1" x14ac:dyDescent="0.25">
      <c r="A13942" s="76" t="s">
        <v>9355</v>
      </c>
    </row>
    <row r="13943" spans="1:1" x14ac:dyDescent="0.25">
      <c r="A13943" s="76" t="s">
        <v>9356</v>
      </c>
    </row>
    <row r="13944" spans="1:1" x14ac:dyDescent="0.25">
      <c r="A13944" s="76" t="s">
        <v>9357</v>
      </c>
    </row>
    <row r="13945" spans="1:1" x14ac:dyDescent="0.25">
      <c r="A13945" s="108" t="s">
        <v>9358</v>
      </c>
    </row>
    <row r="13946" spans="1:1" x14ac:dyDescent="0.25">
      <c r="A13946" s="108" t="s">
        <v>9359</v>
      </c>
    </row>
    <row r="13947" spans="1:1" x14ac:dyDescent="0.25">
      <c r="A13947" s="29" t="s">
        <v>9360</v>
      </c>
    </row>
    <row r="13948" spans="1:1" x14ac:dyDescent="0.25">
      <c r="A13948" s="76" t="s">
        <v>9361</v>
      </c>
    </row>
    <row r="13949" spans="1:1" x14ac:dyDescent="0.25">
      <c r="A13949" s="29" t="s">
        <v>9362</v>
      </c>
    </row>
    <row r="13950" spans="1:1" x14ac:dyDescent="0.25">
      <c r="A13950" s="76" t="s">
        <v>9363</v>
      </c>
    </row>
    <row r="13951" spans="1:1" x14ac:dyDescent="0.25">
      <c r="A13951" s="76" t="s">
        <v>9364</v>
      </c>
    </row>
    <row r="13952" spans="1:1" x14ac:dyDescent="0.25">
      <c r="A13952" s="76" t="s">
        <v>9365</v>
      </c>
    </row>
    <row r="13953" spans="1:1" x14ac:dyDescent="0.25">
      <c r="A13953" s="108" t="s">
        <v>9366</v>
      </c>
    </row>
    <row r="13954" spans="1:1" x14ac:dyDescent="0.25">
      <c r="A13954" s="108" t="s">
        <v>9367</v>
      </c>
    </row>
    <row r="13955" spans="1:1" x14ac:dyDescent="0.25">
      <c r="A13955" s="29" t="s">
        <v>9368</v>
      </c>
    </row>
    <row r="13956" spans="1:1" x14ac:dyDescent="0.25">
      <c r="A13956" s="76" t="s">
        <v>9369</v>
      </c>
    </row>
    <row r="13957" spans="1:1" x14ac:dyDescent="0.25">
      <c r="A13957" s="29" t="s">
        <v>9370</v>
      </c>
    </row>
    <row r="13958" spans="1:1" x14ac:dyDescent="0.25">
      <c r="A13958" s="76" t="s">
        <v>9371</v>
      </c>
    </row>
    <row r="13959" spans="1:1" x14ac:dyDescent="0.25">
      <c r="A13959" s="76" t="s">
        <v>9372</v>
      </c>
    </row>
    <row r="13960" spans="1:1" x14ac:dyDescent="0.25">
      <c r="A13960" s="76" t="s">
        <v>9373</v>
      </c>
    </row>
    <row r="13961" spans="1:1" x14ac:dyDescent="0.25">
      <c r="A13961" s="108" t="s">
        <v>9374</v>
      </c>
    </row>
    <row r="13962" spans="1:1" x14ac:dyDescent="0.25">
      <c r="A13962" s="108" t="s">
        <v>9375</v>
      </c>
    </row>
    <row r="13963" spans="1:1" x14ac:dyDescent="0.25">
      <c r="A13963" s="29" t="s">
        <v>9376</v>
      </c>
    </row>
    <row r="13964" spans="1:1" x14ac:dyDescent="0.25">
      <c r="A13964" s="76" t="s">
        <v>9377</v>
      </c>
    </row>
    <row r="13965" spans="1:1" x14ac:dyDescent="0.25">
      <c r="A13965" s="29" t="s">
        <v>9378</v>
      </c>
    </row>
    <row r="13966" spans="1:1" x14ac:dyDescent="0.25">
      <c r="A13966" s="76" t="s">
        <v>9379</v>
      </c>
    </row>
    <row r="13967" spans="1:1" x14ac:dyDescent="0.25">
      <c r="A13967" s="76" t="s">
        <v>9380</v>
      </c>
    </row>
    <row r="13968" spans="1:1" x14ac:dyDescent="0.25">
      <c r="A13968" s="76" t="s">
        <v>9381</v>
      </c>
    </row>
    <row r="13969" spans="1:1" x14ac:dyDescent="0.25">
      <c r="A13969" s="108" t="s">
        <v>9382</v>
      </c>
    </row>
    <row r="13970" spans="1:1" x14ac:dyDescent="0.25">
      <c r="A13970" s="108" t="s">
        <v>9383</v>
      </c>
    </row>
    <row r="13971" spans="1:1" x14ac:dyDescent="0.25">
      <c r="A13971" s="29" t="s">
        <v>9384</v>
      </c>
    </row>
    <row r="13972" spans="1:1" x14ac:dyDescent="0.25">
      <c r="A13972" s="76" t="s">
        <v>9385</v>
      </c>
    </row>
    <row r="13973" spans="1:1" x14ac:dyDescent="0.25">
      <c r="A13973" s="29" t="s">
        <v>9386</v>
      </c>
    </row>
    <row r="13974" spans="1:1" x14ac:dyDescent="0.25">
      <c r="A13974" s="76" t="s">
        <v>9387</v>
      </c>
    </row>
    <row r="13975" spans="1:1" x14ac:dyDescent="0.25">
      <c r="A13975" s="76" t="s">
        <v>9388</v>
      </c>
    </row>
    <row r="13976" spans="1:1" x14ac:dyDescent="0.25">
      <c r="A13976" s="76" t="s">
        <v>9389</v>
      </c>
    </row>
    <row r="13977" spans="1:1" x14ac:dyDescent="0.25">
      <c r="A13977" s="108" t="s">
        <v>9390</v>
      </c>
    </row>
    <row r="13978" spans="1:1" x14ac:dyDescent="0.25">
      <c r="A13978" s="108" t="s">
        <v>9391</v>
      </c>
    </row>
    <row r="13979" spans="1:1" x14ac:dyDescent="0.25">
      <c r="A13979" s="29" t="s">
        <v>9392</v>
      </c>
    </row>
    <row r="13980" spans="1:1" x14ac:dyDescent="0.25">
      <c r="A13980" s="76" t="s">
        <v>9393</v>
      </c>
    </row>
    <row r="13981" spans="1:1" x14ac:dyDescent="0.25">
      <c r="A13981" s="29" t="s">
        <v>9394</v>
      </c>
    </row>
    <row r="13982" spans="1:1" x14ac:dyDescent="0.25">
      <c r="A13982" s="76" t="s">
        <v>9395</v>
      </c>
    </row>
    <row r="13983" spans="1:1" x14ac:dyDescent="0.25">
      <c r="A13983" s="76" t="s">
        <v>9396</v>
      </c>
    </row>
    <row r="13984" spans="1:1" x14ac:dyDescent="0.25">
      <c r="A13984" s="76" t="s">
        <v>9397</v>
      </c>
    </row>
    <row r="13985" spans="1:1" x14ac:dyDescent="0.25">
      <c r="A13985" s="108" t="s">
        <v>9398</v>
      </c>
    </row>
    <row r="13986" spans="1:1" x14ac:dyDescent="0.25">
      <c r="A13986" s="108" t="s">
        <v>9399</v>
      </c>
    </row>
    <row r="13987" spans="1:1" x14ac:dyDescent="0.25">
      <c r="A13987" s="29" t="s">
        <v>9400</v>
      </c>
    </row>
    <row r="13988" spans="1:1" x14ac:dyDescent="0.25">
      <c r="A13988" s="76" t="s">
        <v>9401</v>
      </c>
    </row>
    <row r="13989" spans="1:1" x14ac:dyDescent="0.25">
      <c r="A13989" s="29" t="s">
        <v>9402</v>
      </c>
    </row>
    <row r="13990" spans="1:1" x14ac:dyDescent="0.25">
      <c r="A13990" s="108" t="s">
        <v>9403</v>
      </c>
    </row>
    <row r="13991" spans="1:1" x14ac:dyDescent="0.25">
      <c r="A13991" s="76" t="s">
        <v>9404</v>
      </c>
    </row>
    <row r="13992" spans="1:1" x14ac:dyDescent="0.25">
      <c r="A13992" s="108" t="s">
        <v>9405</v>
      </c>
    </row>
    <row r="13993" spans="1:1" x14ac:dyDescent="0.25">
      <c r="A13993" s="76" t="s">
        <v>9406</v>
      </c>
    </row>
    <row r="13994" spans="1:1" x14ac:dyDescent="0.25">
      <c r="A13994" s="76" t="s">
        <v>9407</v>
      </c>
    </row>
    <row r="13995" spans="1:1" x14ac:dyDescent="0.25">
      <c r="A13995" s="76" t="s">
        <v>9408</v>
      </c>
    </row>
    <row r="13996" spans="1:1" x14ac:dyDescent="0.25">
      <c r="A13996" s="76" t="s">
        <v>9409</v>
      </c>
    </row>
    <row r="13997" spans="1:1" x14ac:dyDescent="0.25">
      <c r="A13997" s="76" t="s">
        <v>9410</v>
      </c>
    </row>
    <row r="13998" spans="1:1" x14ac:dyDescent="0.25">
      <c r="A13998" s="108" t="s">
        <v>9411</v>
      </c>
    </row>
    <row r="13999" spans="1:1" x14ac:dyDescent="0.25">
      <c r="A13999" s="108" t="s">
        <v>9412</v>
      </c>
    </row>
    <row r="14000" spans="1:1" x14ac:dyDescent="0.25">
      <c r="A14000" s="29" t="s">
        <v>9413</v>
      </c>
    </row>
    <row r="14001" spans="1:1" x14ac:dyDescent="0.25">
      <c r="A14001" s="76" t="s">
        <v>9414</v>
      </c>
    </row>
    <row r="14002" spans="1:1" x14ac:dyDescent="0.25">
      <c r="A14002" s="29" t="s">
        <v>9415</v>
      </c>
    </row>
    <row r="14003" spans="1:1" x14ac:dyDescent="0.25">
      <c r="A14003" s="108" t="s">
        <v>9416</v>
      </c>
    </row>
    <row r="14004" spans="1:1" x14ac:dyDescent="0.25">
      <c r="A14004" s="76" t="s">
        <v>9417</v>
      </c>
    </row>
    <row r="14005" spans="1:1" x14ac:dyDescent="0.25">
      <c r="A14005" s="108" t="s">
        <v>9418</v>
      </c>
    </row>
    <row r="14006" spans="1:1" x14ac:dyDescent="0.25">
      <c r="A14006" s="76" t="s">
        <v>9419</v>
      </c>
    </row>
    <row r="14007" spans="1:1" x14ac:dyDescent="0.25">
      <c r="A14007" s="76" t="s">
        <v>9420</v>
      </c>
    </row>
    <row r="14008" spans="1:1" x14ac:dyDescent="0.25">
      <c r="A14008" s="29" t="s">
        <v>9421</v>
      </c>
    </row>
    <row r="14009" spans="1:1" x14ac:dyDescent="0.25">
      <c r="A14009" s="76" t="s">
        <v>9422</v>
      </c>
    </row>
    <row r="14010" spans="1:1" x14ac:dyDescent="0.25">
      <c r="A14010" s="29" t="s">
        <v>9423</v>
      </c>
    </row>
    <row r="14011" spans="1:1" x14ac:dyDescent="0.25">
      <c r="A14011" s="76" t="s">
        <v>9424</v>
      </c>
    </row>
    <row r="14012" spans="1:1" x14ac:dyDescent="0.25">
      <c r="A14012" s="29" t="s">
        <v>9425</v>
      </c>
    </row>
    <row r="14013" spans="1:1" x14ac:dyDescent="0.25">
      <c r="A14013" s="76" t="s">
        <v>9426</v>
      </c>
    </row>
    <row r="14014" spans="1:1" x14ac:dyDescent="0.25">
      <c r="A14014" s="29" t="s">
        <v>9427</v>
      </c>
    </row>
    <row r="14015" spans="1:1" x14ac:dyDescent="0.25">
      <c r="A14015" s="76" t="s">
        <v>9428</v>
      </c>
    </row>
    <row r="14016" spans="1:1" x14ac:dyDescent="0.25">
      <c r="A14016" s="29" t="s">
        <v>9429</v>
      </c>
    </row>
    <row r="14017" spans="1:1" x14ac:dyDescent="0.25">
      <c r="A14017" s="76" t="s">
        <v>9430</v>
      </c>
    </row>
    <row r="14018" spans="1:1" x14ac:dyDescent="0.25">
      <c r="A14018" s="29" t="s">
        <v>9431</v>
      </c>
    </row>
    <row r="14019" spans="1:1" x14ac:dyDescent="0.25">
      <c r="A14019" s="76" t="s">
        <v>9432</v>
      </c>
    </row>
    <row r="14020" spans="1:1" x14ac:dyDescent="0.25">
      <c r="A14020" s="29" t="s">
        <v>9433</v>
      </c>
    </row>
    <row r="14021" spans="1:1" x14ac:dyDescent="0.25">
      <c r="A14021" s="76" t="s">
        <v>9434</v>
      </c>
    </row>
    <row r="14022" spans="1:1" x14ac:dyDescent="0.25">
      <c r="A14022" s="29" t="s">
        <v>9435</v>
      </c>
    </row>
    <row r="14023" spans="1:1" x14ac:dyDescent="0.25">
      <c r="A14023" s="108" t="s">
        <v>9436</v>
      </c>
    </row>
    <row r="14024" spans="1:1" x14ac:dyDescent="0.25">
      <c r="A14024" s="76" t="s">
        <v>9437</v>
      </c>
    </row>
    <row r="14025" spans="1:1" x14ac:dyDescent="0.25">
      <c r="A14025" s="76" t="s">
        <v>9438</v>
      </c>
    </row>
    <row r="14026" spans="1:1" x14ac:dyDescent="0.25">
      <c r="A14026" s="29" t="s">
        <v>9439</v>
      </c>
    </row>
    <row r="14027" spans="1:1" x14ac:dyDescent="0.25">
      <c r="A14027" s="76" t="s">
        <v>9440</v>
      </c>
    </row>
    <row r="14028" spans="1:1" x14ac:dyDescent="0.25">
      <c r="A14028" s="29" t="s">
        <v>9441</v>
      </c>
    </row>
    <row r="14029" spans="1:1" x14ac:dyDescent="0.25">
      <c r="A14029" s="76" t="s">
        <v>9442</v>
      </c>
    </row>
    <row r="14030" spans="1:1" x14ac:dyDescent="0.25">
      <c r="A14030" s="29" t="s">
        <v>9443</v>
      </c>
    </row>
    <row r="14031" spans="1:1" x14ac:dyDescent="0.25">
      <c r="A14031" s="76" t="s">
        <v>9444</v>
      </c>
    </row>
    <row r="14032" spans="1:1" x14ac:dyDescent="0.25">
      <c r="A14032" s="29" t="s">
        <v>9445</v>
      </c>
    </row>
    <row r="14033" spans="1:1" x14ac:dyDescent="0.25">
      <c r="A14033" s="108" t="s">
        <v>9446</v>
      </c>
    </row>
    <row r="14034" spans="1:1" x14ac:dyDescent="0.25">
      <c r="A14034" s="76" t="s">
        <v>9447</v>
      </c>
    </row>
    <row r="14035" spans="1:1" x14ac:dyDescent="0.25">
      <c r="A14035" s="76" t="s">
        <v>9448</v>
      </c>
    </row>
    <row r="14036" spans="1:1" x14ac:dyDescent="0.25">
      <c r="A14036" s="29" t="s">
        <v>9449</v>
      </c>
    </row>
    <row r="14037" spans="1:1" x14ac:dyDescent="0.25">
      <c r="A14037" s="76" t="s">
        <v>9450</v>
      </c>
    </row>
    <row r="14038" spans="1:1" x14ac:dyDescent="0.25">
      <c r="A14038" s="29" t="s">
        <v>9451</v>
      </c>
    </row>
    <row r="14039" spans="1:1" x14ac:dyDescent="0.25">
      <c r="A14039" s="76" t="s">
        <v>9452</v>
      </c>
    </row>
    <row r="14040" spans="1:1" x14ac:dyDescent="0.25">
      <c r="A14040" s="76" t="s">
        <v>9453</v>
      </c>
    </row>
    <row r="14041" spans="1:1" x14ac:dyDescent="0.25">
      <c r="A14041" s="76" t="s">
        <v>9454</v>
      </c>
    </row>
    <row r="14042" spans="1:1" x14ac:dyDescent="0.25">
      <c r="A14042" s="108" t="s">
        <v>9455</v>
      </c>
    </row>
    <row r="14043" spans="1:1" x14ac:dyDescent="0.25">
      <c r="A14043" s="108" t="s">
        <v>9456</v>
      </c>
    </row>
    <row r="14044" spans="1:1" x14ac:dyDescent="0.25">
      <c r="A14044" s="29" t="s">
        <v>9457</v>
      </c>
    </row>
    <row r="14045" spans="1:1" x14ac:dyDescent="0.25">
      <c r="A14045" s="76" t="s">
        <v>9458</v>
      </c>
    </row>
    <row r="14046" spans="1:1" x14ac:dyDescent="0.25">
      <c r="A14046" s="29" t="s">
        <v>9459</v>
      </c>
    </row>
    <row r="14047" spans="1:1" x14ac:dyDescent="0.25">
      <c r="A14047" s="76" t="s">
        <v>9460</v>
      </c>
    </row>
    <row r="14048" spans="1:1" x14ac:dyDescent="0.25">
      <c r="A14048" s="76" t="s">
        <v>9461</v>
      </c>
    </row>
    <row r="14049" spans="1:1" x14ac:dyDescent="0.25">
      <c r="A14049" s="76" t="s">
        <v>9462</v>
      </c>
    </row>
    <row r="14050" spans="1:1" x14ac:dyDescent="0.25">
      <c r="A14050" s="108" t="s">
        <v>9463</v>
      </c>
    </row>
    <row r="14051" spans="1:1" x14ac:dyDescent="0.25">
      <c r="A14051" s="108" t="s">
        <v>9464</v>
      </c>
    </row>
    <row r="14052" spans="1:1" x14ac:dyDescent="0.25">
      <c r="A14052" s="29" t="s">
        <v>9465</v>
      </c>
    </row>
    <row r="14053" spans="1:1" x14ac:dyDescent="0.25">
      <c r="A14053" s="76" t="s">
        <v>9466</v>
      </c>
    </row>
    <row r="14054" spans="1:1" x14ac:dyDescent="0.25">
      <c r="A14054" s="29" t="s">
        <v>9467</v>
      </c>
    </row>
    <row r="14055" spans="1:1" x14ac:dyDescent="0.25">
      <c r="A14055" s="76" t="s">
        <v>9468</v>
      </c>
    </row>
    <row r="14056" spans="1:1" x14ac:dyDescent="0.25">
      <c r="A14056" s="76" t="s">
        <v>9469</v>
      </c>
    </row>
    <row r="14057" spans="1:1" x14ac:dyDescent="0.25">
      <c r="A14057" s="76" t="s">
        <v>9470</v>
      </c>
    </row>
    <row r="14058" spans="1:1" x14ac:dyDescent="0.25">
      <c r="A14058" s="108" t="s">
        <v>9471</v>
      </c>
    </row>
    <row r="14059" spans="1:1" x14ac:dyDescent="0.25">
      <c r="A14059" s="108" t="s">
        <v>9472</v>
      </c>
    </row>
    <row r="14060" spans="1:1" x14ac:dyDescent="0.25">
      <c r="A14060" s="29" t="s">
        <v>9473</v>
      </c>
    </row>
    <row r="14061" spans="1:1" x14ac:dyDescent="0.25">
      <c r="A14061" s="76" t="s">
        <v>9474</v>
      </c>
    </row>
    <row r="14062" spans="1:1" x14ac:dyDescent="0.25">
      <c r="A14062" s="29" t="s">
        <v>9475</v>
      </c>
    </row>
    <row r="14063" spans="1:1" x14ac:dyDescent="0.25">
      <c r="A14063" s="76" t="s">
        <v>9476</v>
      </c>
    </row>
    <row r="14064" spans="1:1" x14ac:dyDescent="0.25">
      <c r="A14064" s="76" t="s">
        <v>9477</v>
      </c>
    </row>
    <row r="14065" spans="1:1" x14ac:dyDescent="0.25">
      <c r="A14065" s="76" t="s">
        <v>9478</v>
      </c>
    </row>
    <row r="14066" spans="1:1" x14ac:dyDescent="0.25">
      <c r="A14066" s="108" t="s">
        <v>9479</v>
      </c>
    </row>
    <row r="14067" spans="1:1" x14ac:dyDescent="0.25">
      <c r="A14067" s="108" t="s">
        <v>9480</v>
      </c>
    </row>
    <row r="14068" spans="1:1" x14ac:dyDescent="0.25">
      <c r="A14068" s="29" t="s">
        <v>9481</v>
      </c>
    </row>
    <row r="14069" spans="1:1" x14ac:dyDescent="0.25">
      <c r="A14069" s="76" t="s">
        <v>9482</v>
      </c>
    </row>
    <row r="14070" spans="1:1" x14ac:dyDescent="0.25">
      <c r="A14070" s="29" t="s">
        <v>9483</v>
      </c>
    </row>
    <row r="14071" spans="1:1" x14ac:dyDescent="0.25">
      <c r="A14071" s="76" t="s">
        <v>9484</v>
      </c>
    </row>
    <row r="14072" spans="1:1" x14ac:dyDescent="0.25">
      <c r="A14072" s="76" t="s">
        <v>9485</v>
      </c>
    </row>
    <row r="14073" spans="1:1" x14ac:dyDescent="0.25">
      <c r="A14073" s="76" t="s">
        <v>9486</v>
      </c>
    </row>
    <row r="14074" spans="1:1" x14ac:dyDescent="0.25">
      <c r="A14074" s="108" t="s">
        <v>9487</v>
      </c>
    </row>
    <row r="14075" spans="1:1" x14ac:dyDescent="0.25">
      <c r="A14075" s="108" t="s">
        <v>9488</v>
      </c>
    </row>
    <row r="14076" spans="1:1" x14ac:dyDescent="0.25">
      <c r="A14076" s="29" t="s">
        <v>9489</v>
      </c>
    </row>
    <row r="14077" spans="1:1" x14ac:dyDescent="0.25">
      <c r="A14077" s="76" t="s">
        <v>9490</v>
      </c>
    </row>
    <row r="14078" spans="1:1" x14ac:dyDescent="0.25">
      <c r="A14078" s="29" t="s">
        <v>9491</v>
      </c>
    </row>
    <row r="14079" spans="1:1" x14ac:dyDescent="0.25">
      <c r="A14079" s="76" t="s">
        <v>9492</v>
      </c>
    </row>
    <row r="14080" spans="1:1" x14ac:dyDescent="0.25">
      <c r="A14080" s="76" t="s">
        <v>9493</v>
      </c>
    </row>
    <row r="14081" spans="1:1" x14ac:dyDescent="0.25">
      <c r="A14081" s="76" t="s">
        <v>9494</v>
      </c>
    </row>
    <row r="14082" spans="1:1" x14ac:dyDescent="0.25">
      <c r="A14082" s="108" t="s">
        <v>9495</v>
      </c>
    </row>
    <row r="14083" spans="1:1" x14ac:dyDescent="0.25">
      <c r="A14083" s="108" t="s">
        <v>9496</v>
      </c>
    </row>
    <row r="14084" spans="1:1" x14ac:dyDescent="0.25">
      <c r="A14084" s="29" t="s">
        <v>9497</v>
      </c>
    </row>
    <row r="14085" spans="1:1" x14ac:dyDescent="0.25">
      <c r="A14085" s="76" t="s">
        <v>9498</v>
      </c>
    </row>
    <row r="14086" spans="1:1" x14ac:dyDescent="0.25">
      <c r="A14086" s="29" t="s">
        <v>9499</v>
      </c>
    </row>
    <row r="14087" spans="1:1" x14ac:dyDescent="0.25">
      <c r="A14087" s="108" t="s">
        <v>9500</v>
      </c>
    </row>
    <row r="14088" spans="1:1" x14ac:dyDescent="0.25">
      <c r="A14088" s="76" t="s">
        <v>9501</v>
      </c>
    </row>
    <row r="14089" spans="1:1" x14ac:dyDescent="0.25">
      <c r="A14089" s="108" t="s">
        <v>9502</v>
      </c>
    </row>
    <row r="14090" spans="1:1" x14ac:dyDescent="0.25">
      <c r="A14090" s="76" t="s">
        <v>9503</v>
      </c>
    </row>
    <row r="14091" spans="1:1" x14ac:dyDescent="0.25">
      <c r="A14091" s="76" t="s">
        <v>9504</v>
      </c>
    </row>
    <row r="14092" spans="1:1" x14ac:dyDescent="0.25">
      <c r="A14092" s="29" t="s">
        <v>9505</v>
      </c>
    </row>
    <row r="14093" spans="1:1" x14ac:dyDescent="0.25">
      <c r="A14093" s="76" t="s">
        <v>9506</v>
      </c>
    </row>
    <row r="14094" spans="1:1" x14ac:dyDescent="0.25">
      <c r="A14094" s="29" t="s">
        <v>9507</v>
      </c>
    </row>
    <row r="14095" spans="1:1" x14ac:dyDescent="0.25">
      <c r="A14095" s="108" t="s">
        <v>9508</v>
      </c>
    </row>
    <row r="14096" spans="1:1" x14ac:dyDescent="0.25">
      <c r="A14096" s="76" t="s">
        <v>9509</v>
      </c>
    </row>
    <row r="14097" spans="1:1" x14ac:dyDescent="0.25">
      <c r="A14097" s="76" t="s">
        <v>9510</v>
      </c>
    </row>
    <row r="14098" spans="1:1" x14ac:dyDescent="0.25">
      <c r="A14098" s="29" t="s">
        <v>9511</v>
      </c>
    </row>
    <row r="14099" spans="1:1" x14ac:dyDescent="0.25">
      <c r="A14099" s="76" t="s">
        <v>9512</v>
      </c>
    </row>
    <row r="14100" spans="1:1" x14ac:dyDescent="0.25">
      <c r="A14100" s="29" t="s">
        <v>9513</v>
      </c>
    </row>
    <row r="14101" spans="1:1" x14ac:dyDescent="0.25">
      <c r="A14101" s="76" t="s">
        <v>9514</v>
      </c>
    </row>
    <row r="14102" spans="1:1" x14ac:dyDescent="0.25">
      <c r="A14102" s="29" t="s">
        <v>9515</v>
      </c>
    </row>
    <row r="14103" spans="1:1" x14ac:dyDescent="0.25">
      <c r="A14103" s="76" t="s">
        <v>9516</v>
      </c>
    </row>
    <row r="14104" spans="1:1" x14ac:dyDescent="0.25">
      <c r="A14104" s="29" t="s">
        <v>9517</v>
      </c>
    </row>
    <row r="14105" spans="1:1" x14ac:dyDescent="0.25">
      <c r="A14105" s="108" t="s">
        <v>9518</v>
      </c>
    </row>
    <row r="14106" spans="1:1" x14ac:dyDescent="0.25">
      <c r="A14106" s="76" t="s">
        <v>9519</v>
      </c>
    </row>
    <row r="14107" spans="1:1" x14ac:dyDescent="0.25">
      <c r="A14107" s="76" t="s">
        <v>9520</v>
      </c>
    </row>
    <row r="14108" spans="1:1" x14ac:dyDescent="0.25">
      <c r="A14108" s="29" t="s">
        <v>9521</v>
      </c>
    </row>
    <row r="14109" spans="1:1" x14ac:dyDescent="0.25">
      <c r="A14109" s="76" t="s">
        <v>9522</v>
      </c>
    </row>
    <row r="14110" spans="1:1" x14ac:dyDescent="0.25">
      <c r="A14110" s="29" t="s">
        <v>9523</v>
      </c>
    </row>
    <row r="14111" spans="1:1" x14ac:dyDescent="0.25">
      <c r="A14111" s="76" t="s">
        <v>9524</v>
      </c>
    </row>
    <row r="14112" spans="1:1" x14ac:dyDescent="0.25">
      <c r="A14112" s="29" t="s">
        <v>9525</v>
      </c>
    </row>
    <row r="14113" spans="1:1" x14ac:dyDescent="0.25">
      <c r="A14113" s="76" t="s">
        <v>9526</v>
      </c>
    </row>
    <row r="14114" spans="1:1" x14ac:dyDescent="0.25">
      <c r="A14114" s="29" t="s">
        <v>9527</v>
      </c>
    </row>
    <row r="14115" spans="1:1" x14ac:dyDescent="0.25">
      <c r="A14115" s="76" t="s">
        <v>9528</v>
      </c>
    </row>
    <row r="14116" spans="1:1" x14ac:dyDescent="0.25">
      <c r="A14116" s="29" t="s">
        <v>9529</v>
      </c>
    </row>
    <row r="14117" spans="1:1" x14ac:dyDescent="0.25">
      <c r="A14117" s="76" t="s">
        <v>9530</v>
      </c>
    </row>
    <row r="14118" spans="1:1" x14ac:dyDescent="0.25">
      <c r="A14118" s="29" t="s">
        <v>9531</v>
      </c>
    </row>
    <row r="14119" spans="1:1" x14ac:dyDescent="0.25">
      <c r="A14119" s="108" t="s">
        <v>9532</v>
      </c>
    </row>
    <row r="14120" spans="1:1" x14ac:dyDescent="0.25">
      <c r="A14120" s="76" t="s">
        <v>9533</v>
      </c>
    </row>
    <row r="14121" spans="1:1" x14ac:dyDescent="0.25">
      <c r="A14121" s="76" t="s">
        <v>9534</v>
      </c>
    </row>
    <row r="14122" spans="1:1" x14ac:dyDescent="0.25">
      <c r="A14122" s="29" t="s">
        <v>9535</v>
      </c>
    </row>
    <row r="14123" spans="1:1" x14ac:dyDescent="0.25">
      <c r="A14123" s="76" t="s">
        <v>9536</v>
      </c>
    </row>
    <row r="14124" spans="1:1" x14ac:dyDescent="0.25">
      <c r="A14124" s="76" t="s">
        <v>9537</v>
      </c>
    </row>
    <row r="14125" spans="1:1" x14ac:dyDescent="0.25">
      <c r="A14125" s="76" t="s">
        <v>9538</v>
      </c>
    </row>
    <row r="14126" spans="1:1" x14ac:dyDescent="0.25">
      <c r="A14126" s="108" t="s">
        <v>9539</v>
      </c>
    </row>
    <row r="14127" spans="1:1" x14ac:dyDescent="0.25">
      <c r="A14127" s="108" t="s">
        <v>9540</v>
      </c>
    </row>
    <row r="14128" spans="1:1" x14ac:dyDescent="0.25">
      <c r="A14128" s="29" t="s">
        <v>9541</v>
      </c>
    </row>
    <row r="14129" spans="1:1" x14ac:dyDescent="0.25">
      <c r="A14129" s="76" t="s">
        <v>9542</v>
      </c>
    </row>
    <row r="14130" spans="1:1" x14ac:dyDescent="0.25">
      <c r="A14130" s="29" t="s">
        <v>9543</v>
      </c>
    </row>
    <row r="14131" spans="1:1" x14ac:dyDescent="0.25">
      <c r="A14131" s="76" t="s">
        <v>9544</v>
      </c>
    </row>
    <row r="14132" spans="1:1" x14ac:dyDescent="0.25">
      <c r="A14132" s="76" t="s">
        <v>9545</v>
      </c>
    </row>
    <row r="14133" spans="1:1" x14ac:dyDescent="0.25">
      <c r="A14133" s="76" t="s">
        <v>9546</v>
      </c>
    </row>
    <row r="14134" spans="1:1" x14ac:dyDescent="0.25">
      <c r="A14134" s="108" t="s">
        <v>9547</v>
      </c>
    </row>
    <row r="14135" spans="1:1" x14ac:dyDescent="0.25">
      <c r="A14135" s="108" t="s">
        <v>9548</v>
      </c>
    </row>
    <row r="14136" spans="1:1" x14ac:dyDescent="0.25">
      <c r="A14136" s="29" t="s">
        <v>9549</v>
      </c>
    </row>
    <row r="14137" spans="1:1" x14ac:dyDescent="0.25">
      <c r="A14137" s="76" t="s">
        <v>9550</v>
      </c>
    </row>
    <row r="14138" spans="1:1" x14ac:dyDescent="0.25">
      <c r="A14138" s="29" t="s">
        <v>9551</v>
      </c>
    </row>
    <row r="14139" spans="1:1" x14ac:dyDescent="0.25">
      <c r="A14139" s="76" t="s">
        <v>9552</v>
      </c>
    </row>
    <row r="14140" spans="1:1" x14ac:dyDescent="0.25">
      <c r="A14140" s="76" t="s">
        <v>9553</v>
      </c>
    </row>
    <row r="14141" spans="1:1" x14ac:dyDescent="0.25">
      <c r="A14141" s="76" t="s">
        <v>9554</v>
      </c>
    </row>
    <row r="14142" spans="1:1" x14ac:dyDescent="0.25">
      <c r="A14142" s="108" t="s">
        <v>9555</v>
      </c>
    </row>
    <row r="14143" spans="1:1" x14ac:dyDescent="0.25">
      <c r="A14143" s="108" t="s">
        <v>9556</v>
      </c>
    </row>
    <row r="14144" spans="1:1" x14ac:dyDescent="0.25">
      <c r="A14144" s="29" t="s">
        <v>9557</v>
      </c>
    </row>
    <row r="14145" spans="1:1" x14ac:dyDescent="0.25">
      <c r="A14145" s="76" t="s">
        <v>9558</v>
      </c>
    </row>
    <row r="14146" spans="1:1" x14ac:dyDescent="0.25">
      <c r="A14146" s="29" t="s">
        <v>9559</v>
      </c>
    </row>
    <row r="14147" spans="1:1" x14ac:dyDescent="0.25">
      <c r="A14147" s="76" t="s">
        <v>9560</v>
      </c>
    </row>
    <row r="14148" spans="1:1" x14ac:dyDescent="0.25">
      <c r="A14148" s="76" t="s">
        <v>9561</v>
      </c>
    </row>
    <row r="14149" spans="1:1" x14ac:dyDescent="0.25">
      <c r="A14149" s="76" t="s">
        <v>9562</v>
      </c>
    </row>
    <row r="14150" spans="1:1" x14ac:dyDescent="0.25">
      <c r="A14150" s="108" t="s">
        <v>9563</v>
      </c>
    </row>
    <row r="14151" spans="1:1" x14ac:dyDescent="0.25">
      <c r="A14151" s="108" t="s">
        <v>9564</v>
      </c>
    </row>
    <row r="14152" spans="1:1" x14ac:dyDescent="0.25">
      <c r="A14152" s="29" t="s">
        <v>9565</v>
      </c>
    </row>
    <row r="14153" spans="1:1" x14ac:dyDescent="0.25">
      <c r="A14153" s="76" t="s">
        <v>9566</v>
      </c>
    </row>
    <row r="14154" spans="1:1" x14ac:dyDescent="0.25">
      <c r="A14154" s="29" t="s">
        <v>9567</v>
      </c>
    </row>
    <row r="14155" spans="1:1" x14ac:dyDescent="0.25">
      <c r="A14155" s="76" t="s">
        <v>9568</v>
      </c>
    </row>
    <row r="14156" spans="1:1" x14ac:dyDescent="0.25">
      <c r="A14156" s="29" t="s">
        <v>9569</v>
      </c>
    </row>
    <row r="14157" spans="1:1" x14ac:dyDescent="0.25">
      <c r="A14157" s="76" t="s">
        <v>9570</v>
      </c>
    </row>
    <row r="14158" spans="1:1" x14ac:dyDescent="0.25">
      <c r="A14158" s="29" t="s">
        <v>9571</v>
      </c>
    </row>
    <row r="14159" spans="1:1" x14ac:dyDescent="0.25">
      <c r="A14159" s="76" t="s">
        <v>9572</v>
      </c>
    </row>
    <row r="14160" spans="1:1" x14ac:dyDescent="0.25">
      <c r="A14160" s="29" t="s">
        <v>9573</v>
      </c>
    </row>
    <row r="14161" spans="1:1" x14ac:dyDescent="0.25">
      <c r="A14161" s="76" t="s">
        <v>9574</v>
      </c>
    </row>
    <row r="14162" spans="1:1" x14ac:dyDescent="0.25">
      <c r="A14162" s="76" t="s">
        <v>9575</v>
      </c>
    </row>
    <row r="14163" spans="1:1" x14ac:dyDescent="0.25">
      <c r="A14163" s="76" t="s">
        <v>9576</v>
      </c>
    </row>
    <row r="14164" spans="1:1" x14ac:dyDescent="0.25">
      <c r="A14164" s="108" t="s">
        <v>9577</v>
      </c>
    </row>
    <row r="14165" spans="1:1" x14ac:dyDescent="0.25">
      <c r="A14165" s="108" t="s">
        <v>9578</v>
      </c>
    </row>
    <row r="14166" spans="1:1" x14ac:dyDescent="0.25">
      <c r="A14166" s="29" t="s">
        <v>9579</v>
      </c>
    </row>
    <row r="14167" spans="1:1" x14ac:dyDescent="0.25">
      <c r="A14167" s="76" t="s">
        <v>9580</v>
      </c>
    </row>
    <row r="14168" spans="1:1" x14ac:dyDescent="0.25">
      <c r="A14168" s="29" t="s">
        <v>9581</v>
      </c>
    </row>
    <row r="14169" spans="1:1" x14ac:dyDescent="0.25">
      <c r="A14169" s="76" t="s">
        <v>9582</v>
      </c>
    </row>
    <row r="14170" spans="1:1" x14ac:dyDescent="0.25">
      <c r="A14170" s="76" t="s">
        <v>9583</v>
      </c>
    </row>
    <row r="14171" spans="1:1" x14ac:dyDescent="0.25">
      <c r="A14171" s="76" t="s">
        <v>9584</v>
      </c>
    </row>
    <row r="14172" spans="1:1" x14ac:dyDescent="0.25">
      <c r="A14172" s="108" t="s">
        <v>9585</v>
      </c>
    </row>
    <row r="14173" spans="1:1" x14ac:dyDescent="0.25">
      <c r="A14173" s="108" t="s">
        <v>9586</v>
      </c>
    </row>
    <row r="14174" spans="1:1" x14ac:dyDescent="0.25">
      <c r="A14174" s="29" t="s">
        <v>9587</v>
      </c>
    </row>
    <row r="14175" spans="1:1" x14ac:dyDescent="0.25">
      <c r="A14175" s="76" t="s">
        <v>9588</v>
      </c>
    </row>
    <row r="14176" spans="1:1" x14ac:dyDescent="0.25">
      <c r="A14176" s="29" t="s">
        <v>9589</v>
      </c>
    </row>
    <row r="14177" spans="1:1" x14ac:dyDescent="0.25">
      <c r="A14177" s="76" t="s">
        <v>9590</v>
      </c>
    </row>
    <row r="14178" spans="1:1" x14ac:dyDescent="0.25">
      <c r="A14178" s="76" t="s">
        <v>9591</v>
      </c>
    </row>
    <row r="14179" spans="1:1" x14ac:dyDescent="0.25">
      <c r="A14179" s="76" t="s">
        <v>9592</v>
      </c>
    </row>
    <row r="14180" spans="1:1" x14ac:dyDescent="0.25">
      <c r="A14180" s="108" t="s">
        <v>9593</v>
      </c>
    </row>
    <row r="14181" spans="1:1" x14ac:dyDescent="0.25">
      <c r="A14181" s="108" t="s">
        <v>9594</v>
      </c>
    </row>
    <row r="14182" spans="1:1" x14ac:dyDescent="0.25">
      <c r="A14182" s="29" t="s">
        <v>9595</v>
      </c>
    </row>
    <row r="14183" spans="1:1" x14ac:dyDescent="0.25">
      <c r="A14183" s="76" t="s">
        <v>9596</v>
      </c>
    </row>
    <row r="14184" spans="1:1" x14ac:dyDescent="0.25">
      <c r="A14184" s="29" t="s">
        <v>9597</v>
      </c>
    </row>
    <row r="14185" spans="1:1" x14ac:dyDescent="0.25">
      <c r="A14185" s="76" t="s">
        <v>9598</v>
      </c>
    </row>
    <row r="14186" spans="1:1" x14ac:dyDescent="0.25">
      <c r="A14186" s="76" t="s">
        <v>9599</v>
      </c>
    </row>
    <row r="14187" spans="1:1" x14ac:dyDescent="0.25">
      <c r="A14187" s="76" t="s">
        <v>9600</v>
      </c>
    </row>
    <row r="14188" spans="1:1" x14ac:dyDescent="0.25">
      <c r="A14188" s="108" t="s">
        <v>9601</v>
      </c>
    </row>
    <row r="14189" spans="1:1" x14ac:dyDescent="0.25">
      <c r="A14189" s="108" t="s">
        <v>9602</v>
      </c>
    </row>
    <row r="14190" spans="1:1" x14ac:dyDescent="0.25">
      <c r="A14190" s="29" t="s">
        <v>9603</v>
      </c>
    </row>
    <row r="14191" spans="1:1" x14ac:dyDescent="0.25">
      <c r="A14191" s="76" t="s">
        <v>9604</v>
      </c>
    </row>
    <row r="14192" spans="1:1" x14ac:dyDescent="0.25">
      <c r="A14192" s="29" t="s">
        <v>9605</v>
      </c>
    </row>
    <row r="14193" spans="1:1" x14ac:dyDescent="0.25">
      <c r="A14193" s="76" t="s">
        <v>9606</v>
      </c>
    </row>
    <row r="14194" spans="1:1" x14ac:dyDescent="0.25">
      <c r="A14194" s="76" t="s">
        <v>9607</v>
      </c>
    </row>
    <row r="14195" spans="1:1" x14ac:dyDescent="0.25">
      <c r="A14195" s="76" t="s">
        <v>9608</v>
      </c>
    </row>
    <row r="14196" spans="1:1" x14ac:dyDescent="0.25">
      <c r="A14196" s="108" t="s">
        <v>9609</v>
      </c>
    </row>
    <row r="14197" spans="1:1" x14ac:dyDescent="0.25">
      <c r="A14197" s="108" t="s">
        <v>9610</v>
      </c>
    </row>
    <row r="14198" spans="1:1" x14ac:dyDescent="0.25">
      <c r="A14198" s="29" t="s">
        <v>9611</v>
      </c>
    </row>
    <row r="14199" spans="1:1" x14ac:dyDescent="0.25">
      <c r="A14199" s="76" t="s">
        <v>9612</v>
      </c>
    </row>
    <row r="14200" spans="1:1" x14ac:dyDescent="0.25">
      <c r="A14200" s="29" t="s">
        <v>9613</v>
      </c>
    </row>
    <row r="14201" spans="1:1" x14ac:dyDescent="0.25">
      <c r="A14201" s="76" t="s">
        <v>9614</v>
      </c>
    </row>
    <row r="14202" spans="1:1" x14ac:dyDescent="0.25">
      <c r="A14202" s="76" t="s">
        <v>9615</v>
      </c>
    </row>
    <row r="14203" spans="1:1" x14ac:dyDescent="0.25">
      <c r="A14203" s="76" t="s">
        <v>9616</v>
      </c>
    </row>
    <row r="14204" spans="1:1" x14ac:dyDescent="0.25">
      <c r="A14204" s="108" t="s">
        <v>9617</v>
      </c>
    </row>
    <row r="14205" spans="1:1" x14ac:dyDescent="0.25">
      <c r="A14205" s="108" t="s">
        <v>9618</v>
      </c>
    </row>
    <row r="14206" spans="1:1" x14ac:dyDescent="0.25">
      <c r="A14206" s="29" t="s">
        <v>9619</v>
      </c>
    </row>
    <row r="14207" spans="1:1" x14ac:dyDescent="0.25">
      <c r="A14207" s="76" t="s">
        <v>9620</v>
      </c>
    </row>
    <row r="14208" spans="1:1" x14ac:dyDescent="0.25">
      <c r="A14208" s="29" t="s">
        <v>9621</v>
      </c>
    </row>
    <row r="14209" spans="1:1" x14ac:dyDescent="0.25">
      <c r="A14209" s="108" t="s">
        <v>9622</v>
      </c>
    </row>
    <row r="14210" spans="1:1" x14ac:dyDescent="0.25">
      <c r="A14210" s="76" t="s">
        <v>9623</v>
      </c>
    </row>
    <row r="14211" spans="1:1" x14ac:dyDescent="0.25">
      <c r="A14211" s="76" t="s">
        <v>9624</v>
      </c>
    </row>
    <row r="14212" spans="1:1" x14ac:dyDescent="0.25">
      <c r="A14212" s="29" t="s">
        <v>9625</v>
      </c>
    </row>
    <row r="14213" spans="1:1" x14ac:dyDescent="0.25">
      <c r="A14213" s="76" t="s">
        <v>9626</v>
      </c>
    </row>
    <row r="14214" spans="1:1" x14ac:dyDescent="0.25">
      <c r="A14214" s="29" t="s">
        <v>9627</v>
      </c>
    </row>
    <row r="14215" spans="1:1" x14ac:dyDescent="0.25">
      <c r="A14215" s="108" t="s">
        <v>9628</v>
      </c>
    </row>
    <row r="14216" spans="1:1" x14ac:dyDescent="0.25">
      <c r="A14216" s="76" t="s">
        <v>9629</v>
      </c>
    </row>
    <row r="14217" spans="1:1" x14ac:dyDescent="0.25">
      <c r="A14217" s="76" t="s">
        <v>9630</v>
      </c>
    </row>
    <row r="14218" spans="1:1" x14ac:dyDescent="0.25">
      <c r="A14218" s="29" t="s">
        <v>9631</v>
      </c>
    </row>
    <row r="14219" spans="1:1" x14ac:dyDescent="0.25">
      <c r="A14219" s="76" t="s">
        <v>9632</v>
      </c>
    </row>
    <row r="14220" spans="1:1" x14ac:dyDescent="0.25">
      <c r="A14220" s="29" t="s">
        <v>9633</v>
      </c>
    </row>
    <row r="14221" spans="1:1" x14ac:dyDescent="0.25">
      <c r="A14221" s="108" t="s">
        <v>9634</v>
      </c>
    </row>
    <row r="14222" spans="1:1" x14ac:dyDescent="0.25">
      <c r="A14222" s="76" t="s">
        <v>9635</v>
      </c>
    </row>
    <row r="14223" spans="1:1" x14ac:dyDescent="0.25">
      <c r="A14223" s="76" t="s">
        <v>9636</v>
      </c>
    </row>
    <row r="14224" spans="1:1" x14ac:dyDescent="0.25">
      <c r="A14224" s="29" t="s">
        <v>9637</v>
      </c>
    </row>
    <row r="14225" spans="1:1" x14ac:dyDescent="0.25">
      <c r="A14225" s="76" t="s">
        <v>9638</v>
      </c>
    </row>
    <row r="14226" spans="1:1" x14ac:dyDescent="0.25">
      <c r="A14226" s="29" t="s">
        <v>9639</v>
      </c>
    </row>
    <row r="14227" spans="1:1" x14ac:dyDescent="0.25">
      <c r="A14227" s="108" t="s">
        <v>9640</v>
      </c>
    </row>
    <row r="14228" spans="1:1" x14ac:dyDescent="0.25">
      <c r="A14228" s="76" t="s">
        <v>9641</v>
      </c>
    </row>
    <row r="14229" spans="1:1" x14ac:dyDescent="0.25">
      <c r="A14229" s="108" t="s">
        <v>9642</v>
      </c>
    </row>
    <row r="14230" spans="1:1" x14ac:dyDescent="0.25">
      <c r="A14230" s="76" t="s">
        <v>9643</v>
      </c>
    </row>
    <row r="14231" spans="1:1" x14ac:dyDescent="0.25">
      <c r="A14231" s="108" t="s">
        <v>9644</v>
      </c>
    </row>
    <row r="14232" spans="1:1" x14ac:dyDescent="0.25">
      <c r="A14232" s="76" t="s">
        <v>9645</v>
      </c>
    </row>
    <row r="14233" spans="1:1" x14ac:dyDescent="0.25">
      <c r="A14233" s="76" t="s">
        <v>9646</v>
      </c>
    </row>
    <row r="14234" spans="1:1" x14ac:dyDescent="0.25">
      <c r="A14234" s="76" t="s">
        <v>9647</v>
      </c>
    </row>
    <row r="14235" spans="1:1" x14ac:dyDescent="0.25">
      <c r="A14235" s="76" t="s">
        <v>9648</v>
      </c>
    </row>
    <row r="14236" spans="1:1" x14ac:dyDescent="0.25">
      <c r="A14236" s="108" t="s">
        <v>9649</v>
      </c>
    </row>
    <row r="14237" spans="1:1" x14ac:dyDescent="0.25">
      <c r="A14237" s="108" t="s">
        <v>9650</v>
      </c>
    </row>
    <row r="14238" spans="1:1" x14ac:dyDescent="0.25">
      <c r="A14238" s="29" t="s">
        <v>9651</v>
      </c>
    </row>
    <row r="14239" spans="1:1" x14ac:dyDescent="0.25">
      <c r="A14239" s="76" t="s">
        <v>9652</v>
      </c>
    </row>
    <row r="14240" spans="1:1" x14ac:dyDescent="0.25">
      <c r="A14240" s="29" t="s">
        <v>9653</v>
      </c>
    </row>
    <row r="14241" spans="1:1" x14ac:dyDescent="0.25">
      <c r="A14241" s="76" t="s">
        <v>9654</v>
      </c>
    </row>
    <row r="14242" spans="1:1" x14ac:dyDescent="0.25">
      <c r="A14242" s="76" t="s">
        <v>9655</v>
      </c>
    </row>
    <row r="14243" spans="1:1" x14ac:dyDescent="0.25">
      <c r="A14243" s="76" t="s">
        <v>9656</v>
      </c>
    </row>
    <row r="14244" spans="1:1" x14ac:dyDescent="0.25">
      <c r="A14244" s="108" t="s">
        <v>9657</v>
      </c>
    </row>
    <row r="14245" spans="1:1" x14ac:dyDescent="0.25">
      <c r="A14245" s="108" t="s">
        <v>9658</v>
      </c>
    </row>
    <row r="14246" spans="1:1" x14ac:dyDescent="0.25">
      <c r="A14246" s="29" t="s">
        <v>9659</v>
      </c>
    </row>
    <row r="14247" spans="1:1" x14ac:dyDescent="0.25">
      <c r="A14247" s="76" t="s">
        <v>9660</v>
      </c>
    </row>
    <row r="14248" spans="1:1" x14ac:dyDescent="0.25">
      <c r="A14248" s="29" t="s">
        <v>9661</v>
      </c>
    </row>
    <row r="14249" spans="1:1" x14ac:dyDescent="0.25">
      <c r="A14249" s="76" t="s">
        <v>9662</v>
      </c>
    </row>
    <row r="14250" spans="1:1" x14ac:dyDescent="0.25">
      <c r="A14250" s="76" t="s">
        <v>9663</v>
      </c>
    </row>
    <row r="14251" spans="1:1" x14ac:dyDescent="0.25">
      <c r="A14251" s="76" t="s">
        <v>9664</v>
      </c>
    </row>
    <row r="14252" spans="1:1" x14ac:dyDescent="0.25">
      <c r="A14252" s="108" t="s">
        <v>9665</v>
      </c>
    </row>
    <row r="14253" spans="1:1" x14ac:dyDescent="0.25">
      <c r="A14253" s="108" t="s">
        <v>9666</v>
      </c>
    </row>
    <row r="14254" spans="1:1" x14ac:dyDescent="0.25">
      <c r="A14254" s="29" t="s">
        <v>9667</v>
      </c>
    </row>
    <row r="14255" spans="1:1" x14ac:dyDescent="0.25">
      <c r="A14255" s="76" t="s">
        <v>9668</v>
      </c>
    </row>
    <row r="14256" spans="1:1" x14ac:dyDescent="0.25">
      <c r="A14256" s="29" t="s">
        <v>9669</v>
      </c>
    </row>
    <row r="14257" spans="1:1" x14ac:dyDescent="0.25">
      <c r="A14257" s="76" t="s">
        <v>9670</v>
      </c>
    </row>
    <row r="14258" spans="1:1" x14ac:dyDescent="0.25">
      <c r="A14258" s="76" t="s">
        <v>9671</v>
      </c>
    </row>
    <row r="14259" spans="1:1" x14ac:dyDescent="0.25">
      <c r="A14259" s="76" t="s">
        <v>9672</v>
      </c>
    </row>
    <row r="14260" spans="1:1" x14ac:dyDescent="0.25">
      <c r="A14260" s="108" t="s">
        <v>9673</v>
      </c>
    </row>
    <row r="14261" spans="1:1" x14ac:dyDescent="0.25">
      <c r="A14261" s="108" t="s">
        <v>9674</v>
      </c>
    </row>
    <row r="14262" spans="1:1" x14ac:dyDescent="0.25">
      <c r="A14262" s="29" t="s">
        <v>9675</v>
      </c>
    </row>
    <row r="14263" spans="1:1" x14ac:dyDescent="0.25">
      <c r="A14263" s="76" t="s">
        <v>9676</v>
      </c>
    </row>
    <row r="14264" spans="1:1" x14ac:dyDescent="0.25">
      <c r="A14264" s="29" t="s">
        <v>9677</v>
      </c>
    </row>
    <row r="14265" spans="1:1" x14ac:dyDescent="0.25">
      <c r="A14265" s="76" t="s">
        <v>9678</v>
      </c>
    </row>
    <row r="14266" spans="1:1" x14ac:dyDescent="0.25">
      <c r="A14266" s="76" t="s">
        <v>9679</v>
      </c>
    </row>
    <row r="14267" spans="1:1" x14ac:dyDescent="0.25">
      <c r="A14267" s="76" t="s">
        <v>9680</v>
      </c>
    </row>
    <row r="14268" spans="1:1" x14ac:dyDescent="0.25">
      <c r="A14268" s="108" t="s">
        <v>9681</v>
      </c>
    </row>
    <row r="14269" spans="1:1" x14ac:dyDescent="0.25">
      <c r="A14269" s="108" t="s">
        <v>9682</v>
      </c>
    </row>
    <row r="14270" spans="1:1" x14ac:dyDescent="0.25">
      <c r="A14270" s="29" t="s">
        <v>9683</v>
      </c>
    </row>
    <row r="14271" spans="1:1" x14ac:dyDescent="0.25">
      <c r="A14271" s="76" t="s">
        <v>9684</v>
      </c>
    </row>
    <row r="14272" spans="1:1" x14ac:dyDescent="0.25">
      <c r="A14272" s="29" t="s">
        <v>9685</v>
      </c>
    </row>
    <row r="14273" spans="1:1" x14ac:dyDescent="0.25">
      <c r="A14273" s="76" t="s">
        <v>9686</v>
      </c>
    </row>
    <row r="14274" spans="1:1" x14ac:dyDescent="0.25">
      <c r="A14274" s="76" t="s">
        <v>9687</v>
      </c>
    </row>
    <row r="14275" spans="1:1" x14ac:dyDescent="0.25">
      <c r="A14275" s="76" t="s">
        <v>9688</v>
      </c>
    </row>
    <row r="14276" spans="1:1" x14ac:dyDescent="0.25">
      <c r="A14276" s="108" t="s">
        <v>9689</v>
      </c>
    </row>
    <row r="14277" spans="1:1" x14ac:dyDescent="0.25">
      <c r="A14277" s="108" t="s">
        <v>9690</v>
      </c>
    </row>
    <row r="14278" spans="1:1" x14ac:dyDescent="0.25">
      <c r="A14278" s="29" t="s">
        <v>9691</v>
      </c>
    </row>
    <row r="14279" spans="1:1" x14ac:dyDescent="0.25">
      <c r="A14279" s="76" t="s">
        <v>9692</v>
      </c>
    </row>
    <row r="14280" spans="1:1" x14ac:dyDescent="0.25">
      <c r="A14280" s="29" t="s">
        <v>9693</v>
      </c>
    </row>
    <row r="14281" spans="1:1" x14ac:dyDescent="0.25">
      <c r="A14281" s="76" t="s">
        <v>9694</v>
      </c>
    </row>
    <row r="14282" spans="1:1" x14ac:dyDescent="0.25">
      <c r="A14282" s="29" t="s">
        <v>9695</v>
      </c>
    </row>
    <row r="14283" spans="1:1" x14ac:dyDescent="0.25">
      <c r="A14283" s="76" t="s">
        <v>9696</v>
      </c>
    </row>
    <row r="14284" spans="1:1" x14ac:dyDescent="0.25">
      <c r="A14284" s="29" t="s">
        <v>9697</v>
      </c>
    </row>
    <row r="14285" spans="1:1" x14ac:dyDescent="0.25">
      <c r="A14285" s="108" t="s">
        <v>9698</v>
      </c>
    </row>
    <row r="14286" spans="1:1" x14ac:dyDescent="0.25">
      <c r="A14286" s="76" t="s">
        <v>9699</v>
      </c>
    </row>
    <row r="14287" spans="1:1" x14ac:dyDescent="0.25">
      <c r="A14287" s="108" t="s">
        <v>9700</v>
      </c>
    </row>
    <row r="14288" spans="1:1" x14ac:dyDescent="0.25">
      <c r="A14288" s="76" t="s">
        <v>9701</v>
      </c>
    </row>
    <row r="14289" spans="1:1" x14ac:dyDescent="0.25">
      <c r="A14289" s="108" t="s">
        <v>9702</v>
      </c>
    </row>
    <row r="14290" spans="1:1" x14ac:dyDescent="0.25">
      <c r="A14290" s="76" t="s">
        <v>9703</v>
      </c>
    </row>
    <row r="14291" spans="1:1" x14ac:dyDescent="0.25">
      <c r="A14291" s="76" t="s">
        <v>9704</v>
      </c>
    </row>
    <row r="14292" spans="1:1" x14ac:dyDescent="0.25">
      <c r="A14292" s="29" t="s">
        <v>9705</v>
      </c>
    </row>
    <row r="14293" spans="1:1" x14ac:dyDescent="0.25">
      <c r="A14293" s="76" t="s">
        <v>9706</v>
      </c>
    </row>
    <row r="14294" spans="1:1" x14ac:dyDescent="0.25">
      <c r="A14294" s="29" t="s">
        <v>9707</v>
      </c>
    </row>
    <row r="14295" spans="1:1" x14ac:dyDescent="0.25">
      <c r="A14295" s="76" t="s">
        <v>9708</v>
      </c>
    </row>
    <row r="14296" spans="1:1" x14ac:dyDescent="0.25">
      <c r="A14296" s="29" t="s">
        <v>9709</v>
      </c>
    </row>
    <row r="14297" spans="1:1" x14ac:dyDescent="0.25">
      <c r="A14297" s="76" t="s">
        <v>9710</v>
      </c>
    </row>
    <row r="14298" spans="1:1" x14ac:dyDescent="0.25">
      <c r="A14298" s="29" t="s">
        <v>9711</v>
      </c>
    </row>
    <row r="14299" spans="1:1" x14ac:dyDescent="0.25">
      <c r="A14299" s="76" t="s">
        <v>9712</v>
      </c>
    </row>
    <row r="14300" spans="1:1" x14ac:dyDescent="0.25">
      <c r="A14300" s="29" t="s">
        <v>9713</v>
      </c>
    </row>
    <row r="14301" spans="1:1" x14ac:dyDescent="0.25">
      <c r="A14301" s="76" t="s">
        <v>9714</v>
      </c>
    </row>
    <row r="14302" spans="1:1" x14ac:dyDescent="0.25">
      <c r="A14302" s="29" t="s">
        <v>9715</v>
      </c>
    </row>
    <row r="14303" spans="1:1" x14ac:dyDescent="0.25">
      <c r="A14303" s="76" t="s">
        <v>9716</v>
      </c>
    </row>
    <row r="14304" spans="1:1" x14ac:dyDescent="0.25">
      <c r="A14304" s="29" t="s">
        <v>9717</v>
      </c>
    </row>
    <row r="14305" spans="1:1" x14ac:dyDescent="0.25">
      <c r="A14305" s="76" t="s">
        <v>9718</v>
      </c>
    </row>
    <row r="14306" spans="1:1" x14ac:dyDescent="0.25">
      <c r="A14306" s="29" t="s">
        <v>9719</v>
      </c>
    </row>
    <row r="14307" spans="1:1" x14ac:dyDescent="0.25">
      <c r="A14307" s="76" t="s">
        <v>9720</v>
      </c>
    </row>
    <row r="14308" spans="1:1" x14ac:dyDescent="0.25">
      <c r="A14308" s="29" t="s">
        <v>9721</v>
      </c>
    </row>
    <row r="14309" spans="1:1" x14ac:dyDescent="0.25">
      <c r="A14309" s="76" t="s">
        <v>9722</v>
      </c>
    </row>
    <row r="14310" spans="1:1" x14ac:dyDescent="0.25">
      <c r="A14310" s="29" t="s">
        <v>9723</v>
      </c>
    </row>
    <row r="14311" spans="1:1" x14ac:dyDescent="0.25">
      <c r="A14311" s="108" t="s">
        <v>9724</v>
      </c>
    </row>
    <row r="14312" spans="1:1" x14ac:dyDescent="0.25">
      <c r="A14312" s="76" t="s">
        <v>9725</v>
      </c>
    </row>
    <row r="14313" spans="1:1" x14ac:dyDescent="0.25">
      <c r="A14313" s="76" t="s">
        <v>9726</v>
      </c>
    </row>
    <row r="14314" spans="1:1" x14ac:dyDescent="0.25">
      <c r="A14314" s="29" t="s">
        <v>9727</v>
      </c>
    </row>
    <row r="14315" spans="1:1" x14ac:dyDescent="0.25">
      <c r="A14315" s="76" t="s">
        <v>9728</v>
      </c>
    </row>
    <row r="14316" spans="1:1" x14ac:dyDescent="0.25">
      <c r="A14316" s="29" t="s">
        <v>9729</v>
      </c>
    </row>
    <row r="14317" spans="1:1" x14ac:dyDescent="0.25">
      <c r="A14317" s="76" t="s">
        <v>9730</v>
      </c>
    </row>
    <row r="14318" spans="1:1" x14ac:dyDescent="0.25">
      <c r="A14318" s="29" t="s">
        <v>9731</v>
      </c>
    </row>
    <row r="14319" spans="1:1" x14ac:dyDescent="0.25">
      <c r="A14319" s="76" t="s">
        <v>9732</v>
      </c>
    </row>
    <row r="14320" spans="1:1" x14ac:dyDescent="0.25">
      <c r="A14320" s="29" t="s">
        <v>9733</v>
      </c>
    </row>
    <row r="14321" spans="1:1" x14ac:dyDescent="0.25">
      <c r="A14321" s="108" t="s">
        <v>9734</v>
      </c>
    </row>
    <row r="14322" spans="1:1" x14ac:dyDescent="0.25">
      <c r="A14322" s="76" t="s">
        <v>9735</v>
      </c>
    </row>
    <row r="14323" spans="1:1" x14ac:dyDescent="0.25">
      <c r="A14323" s="76" t="s">
        <v>9736</v>
      </c>
    </row>
    <row r="14324" spans="1:1" x14ac:dyDescent="0.25">
      <c r="A14324" s="29" t="s">
        <v>9737</v>
      </c>
    </row>
    <row r="14325" spans="1:1" x14ac:dyDescent="0.25">
      <c r="A14325" s="76" t="s">
        <v>9738</v>
      </c>
    </row>
    <row r="14326" spans="1:1" x14ac:dyDescent="0.25">
      <c r="A14326" s="29" t="s">
        <v>9739</v>
      </c>
    </row>
    <row r="14327" spans="1:1" x14ac:dyDescent="0.25">
      <c r="A14327" s="76" t="s">
        <v>9740</v>
      </c>
    </row>
    <row r="14328" spans="1:1" x14ac:dyDescent="0.25">
      <c r="A14328" s="29" t="s">
        <v>9741</v>
      </c>
    </row>
    <row r="14329" spans="1:1" x14ac:dyDescent="0.25">
      <c r="A14329" s="76" t="s">
        <v>9742</v>
      </c>
    </row>
    <row r="14330" spans="1:1" x14ac:dyDescent="0.25">
      <c r="A14330" s="29" t="s">
        <v>9743</v>
      </c>
    </row>
    <row r="14331" spans="1:1" x14ac:dyDescent="0.25">
      <c r="A14331" s="76" t="s">
        <v>9744</v>
      </c>
    </row>
    <row r="14332" spans="1:1" x14ac:dyDescent="0.25">
      <c r="A14332" s="29" t="s">
        <v>9745</v>
      </c>
    </row>
    <row r="14333" spans="1:1" x14ac:dyDescent="0.25">
      <c r="A14333" s="76" t="s">
        <v>9746</v>
      </c>
    </row>
    <row r="14334" spans="1:1" x14ac:dyDescent="0.25">
      <c r="A14334" s="29" t="s">
        <v>9747</v>
      </c>
    </row>
    <row r="14335" spans="1:1" x14ac:dyDescent="0.25">
      <c r="A14335" s="76" t="s">
        <v>9748</v>
      </c>
    </row>
    <row r="14336" spans="1:1" x14ac:dyDescent="0.25">
      <c r="A14336" s="29" t="s">
        <v>9749</v>
      </c>
    </row>
    <row r="14337" spans="1:1" x14ac:dyDescent="0.25">
      <c r="A14337" s="76" t="s">
        <v>9750</v>
      </c>
    </row>
    <row r="14338" spans="1:1" x14ac:dyDescent="0.25">
      <c r="A14338" s="76" t="s">
        <v>9751</v>
      </c>
    </row>
    <row r="14339" spans="1:1" x14ac:dyDescent="0.25">
      <c r="A14339" s="76" t="s">
        <v>9752</v>
      </c>
    </row>
    <row r="14340" spans="1:1" x14ac:dyDescent="0.25">
      <c r="A14340" s="108" t="s">
        <v>9753</v>
      </c>
    </row>
    <row r="14341" spans="1:1" x14ac:dyDescent="0.25">
      <c r="A14341" s="108" t="s">
        <v>9754</v>
      </c>
    </row>
    <row r="14342" spans="1:1" x14ac:dyDescent="0.25">
      <c r="A14342" s="29" t="s">
        <v>9755</v>
      </c>
    </row>
    <row r="14343" spans="1:1" x14ac:dyDescent="0.25">
      <c r="A14343" s="76" t="s">
        <v>9756</v>
      </c>
    </row>
    <row r="14344" spans="1:1" x14ac:dyDescent="0.25">
      <c r="A14344" s="29" t="s">
        <v>9757</v>
      </c>
    </row>
    <row r="14345" spans="1:1" x14ac:dyDescent="0.25">
      <c r="A14345" s="76" t="s">
        <v>9758</v>
      </c>
    </row>
    <row r="14346" spans="1:1" x14ac:dyDescent="0.25">
      <c r="A14346" s="76" t="s">
        <v>9759</v>
      </c>
    </row>
    <row r="14347" spans="1:1" x14ac:dyDescent="0.25">
      <c r="A14347" s="76" t="s">
        <v>9760</v>
      </c>
    </row>
    <row r="14348" spans="1:1" x14ac:dyDescent="0.25">
      <c r="A14348" s="108" t="s">
        <v>9761</v>
      </c>
    </row>
    <row r="14349" spans="1:1" x14ac:dyDescent="0.25">
      <c r="A14349" s="108" t="s">
        <v>9762</v>
      </c>
    </row>
    <row r="14350" spans="1:1" x14ac:dyDescent="0.25">
      <c r="A14350" s="29" t="s">
        <v>9763</v>
      </c>
    </row>
    <row r="14351" spans="1:1" x14ac:dyDescent="0.25">
      <c r="A14351" s="76" t="s">
        <v>9764</v>
      </c>
    </row>
    <row r="14352" spans="1:1" x14ac:dyDescent="0.25">
      <c r="A14352" s="29" t="s">
        <v>9765</v>
      </c>
    </row>
    <row r="14353" spans="1:1" x14ac:dyDescent="0.25">
      <c r="A14353" s="76" t="s">
        <v>9766</v>
      </c>
    </row>
    <row r="14354" spans="1:1" x14ac:dyDescent="0.25">
      <c r="A14354" s="76" t="s">
        <v>9767</v>
      </c>
    </row>
    <row r="14355" spans="1:1" x14ac:dyDescent="0.25">
      <c r="A14355" s="76" t="s">
        <v>9768</v>
      </c>
    </row>
    <row r="14356" spans="1:1" x14ac:dyDescent="0.25">
      <c r="A14356" s="108" t="s">
        <v>9769</v>
      </c>
    </row>
    <row r="14357" spans="1:1" x14ac:dyDescent="0.25">
      <c r="A14357" s="108" t="s">
        <v>9770</v>
      </c>
    </row>
    <row r="14358" spans="1:1" x14ac:dyDescent="0.25">
      <c r="A14358" s="29" t="s">
        <v>9771</v>
      </c>
    </row>
    <row r="14359" spans="1:1" x14ac:dyDescent="0.25">
      <c r="A14359" s="76" t="s">
        <v>9772</v>
      </c>
    </row>
    <row r="14360" spans="1:1" x14ac:dyDescent="0.25">
      <c r="A14360" s="29" t="s">
        <v>9773</v>
      </c>
    </row>
    <row r="14361" spans="1:1" x14ac:dyDescent="0.25">
      <c r="A14361" s="76" t="s">
        <v>9774</v>
      </c>
    </row>
    <row r="14362" spans="1:1" x14ac:dyDescent="0.25">
      <c r="A14362" s="76" t="s">
        <v>9775</v>
      </c>
    </row>
    <row r="14363" spans="1:1" x14ac:dyDescent="0.25">
      <c r="A14363" s="76" t="s">
        <v>9776</v>
      </c>
    </row>
    <row r="14364" spans="1:1" x14ac:dyDescent="0.25">
      <c r="A14364" s="108" t="s">
        <v>9777</v>
      </c>
    </row>
    <row r="14365" spans="1:1" x14ac:dyDescent="0.25">
      <c r="A14365" s="108" t="s">
        <v>9778</v>
      </c>
    </row>
    <row r="14366" spans="1:1" x14ac:dyDescent="0.25">
      <c r="A14366" s="29" t="s">
        <v>9779</v>
      </c>
    </row>
    <row r="14367" spans="1:1" x14ac:dyDescent="0.25">
      <c r="A14367" s="76" t="s">
        <v>9780</v>
      </c>
    </row>
    <row r="14368" spans="1:1" x14ac:dyDescent="0.25">
      <c r="A14368" s="29" t="s">
        <v>9781</v>
      </c>
    </row>
    <row r="14369" spans="1:1" x14ac:dyDescent="0.25">
      <c r="A14369" s="76" t="s">
        <v>9782</v>
      </c>
    </row>
    <row r="14370" spans="1:1" x14ac:dyDescent="0.25">
      <c r="A14370" s="76" t="s">
        <v>9783</v>
      </c>
    </row>
    <row r="14371" spans="1:1" x14ac:dyDescent="0.25">
      <c r="A14371" s="76" t="s">
        <v>9784</v>
      </c>
    </row>
    <row r="14372" spans="1:1" x14ac:dyDescent="0.25">
      <c r="A14372" s="108" t="s">
        <v>9785</v>
      </c>
    </row>
    <row r="14373" spans="1:1" x14ac:dyDescent="0.25">
      <c r="A14373" s="108" t="s">
        <v>9786</v>
      </c>
    </row>
    <row r="14374" spans="1:1" x14ac:dyDescent="0.25">
      <c r="A14374" s="29" t="s">
        <v>9787</v>
      </c>
    </row>
    <row r="14375" spans="1:1" x14ac:dyDescent="0.25">
      <c r="A14375" s="76" t="s">
        <v>9788</v>
      </c>
    </row>
    <row r="14376" spans="1:1" x14ac:dyDescent="0.25">
      <c r="A14376" s="29" t="s">
        <v>9789</v>
      </c>
    </row>
    <row r="14377" spans="1:1" x14ac:dyDescent="0.25">
      <c r="A14377" s="76" t="s">
        <v>9790</v>
      </c>
    </row>
    <row r="14378" spans="1:1" x14ac:dyDescent="0.25">
      <c r="A14378" s="76" t="s">
        <v>9791</v>
      </c>
    </row>
    <row r="14379" spans="1:1" x14ac:dyDescent="0.25">
      <c r="A14379" s="76" t="s">
        <v>9792</v>
      </c>
    </row>
    <row r="14380" spans="1:1" x14ac:dyDescent="0.25">
      <c r="A14380" s="108" t="s">
        <v>9793</v>
      </c>
    </row>
    <row r="14381" spans="1:1" x14ac:dyDescent="0.25">
      <c r="A14381" s="108" t="s">
        <v>9794</v>
      </c>
    </row>
    <row r="14382" spans="1:1" x14ac:dyDescent="0.25">
      <c r="A14382" s="29" t="s">
        <v>9795</v>
      </c>
    </row>
    <row r="14383" spans="1:1" x14ac:dyDescent="0.25">
      <c r="A14383" s="76" t="s">
        <v>9796</v>
      </c>
    </row>
    <row r="14384" spans="1:1" x14ac:dyDescent="0.25">
      <c r="A14384" s="29" t="s">
        <v>9797</v>
      </c>
    </row>
    <row r="14385" spans="1:1" x14ac:dyDescent="0.25">
      <c r="A14385" s="76" t="s">
        <v>9798</v>
      </c>
    </row>
    <row r="14386" spans="1:1" x14ac:dyDescent="0.25">
      <c r="A14386" s="29" t="s">
        <v>9799</v>
      </c>
    </row>
    <row r="14387" spans="1:1" x14ac:dyDescent="0.25">
      <c r="A14387" s="108" t="s">
        <v>9800</v>
      </c>
    </row>
    <row r="14388" spans="1:1" x14ac:dyDescent="0.25">
      <c r="A14388" s="76" t="s">
        <v>9801</v>
      </c>
    </row>
    <row r="14389" spans="1:1" x14ac:dyDescent="0.25">
      <c r="A14389" s="76" t="s">
        <v>9802</v>
      </c>
    </row>
    <row r="14390" spans="1:1" x14ac:dyDescent="0.25">
      <c r="A14390" s="29" t="s">
        <v>9803</v>
      </c>
    </row>
    <row r="14391" spans="1:1" x14ac:dyDescent="0.25">
      <c r="A14391" s="76" t="s">
        <v>9804</v>
      </c>
    </row>
    <row r="14392" spans="1:1" x14ac:dyDescent="0.25">
      <c r="A14392" s="29" t="s">
        <v>9805</v>
      </c>
    </row>
    <row r="14393" spans="1:1" x14ac:dyDescent="0.25">
      <c r="A14393" s="76" t="s">
        <v>9806</v>
      </c>
    </row>
    <row r="14394" spans="1:1" x14ac:dyDescent="0.25">
      <c r="A14394" s="29" t="s">
        <v>9807</v>
      </c>
    </row>
    <row r="14395" spans="1:1" x14ac:dyDescent="0.25">
      <c r="A14395" s="76" t="s">
        <v>9808</v>
      </c>
    </row>
    <row r="14396" spans="1:1" x14ac:dyDescent="0.25">
      <c r="A14396" s="29" t="s">
        <v>9809</v>
      </c>
    </row>
    <row r="14397" spans="1:1" x14ac:dyDescent="0.25">
      <c r="A14397" s="76" t="s">
        <v>9810</v>
      </c>
    </row>
    <row r="14398" spans="1:1" x14ac:dyDescent="0.25">
      <c r="A14398" s="76" t="s">
        <v>9811</v>
      </c>
    </row>
    <row r="14399" spans="1:1" x14ac:dyDescent="0.25">
      <c r="A14399" s="76" t="s">
        <v>9812</v>
      </c>
    </row>
    <row r="14400" spans="1:1" x14ac:dyDescent="0.25">
      <c r="A14400" s="108" t="s">
        <v>9813</v>
      </c>
    </row>
    <row r="14401" spans="1:1" x14ac:dyDescent="0.25">
      <c r="A14401" s="108" t="s">
        <v>9814</v>
      </c>
    </row>
    <row r="14402" spans="1:1" x14ac:dyDescent="0.25">
      <c r="A14402" s="29" t="s">
        <v>9815</v>
      </c>
    </row>
    <row r="14403" spans="1:1" x14ac:dyDescent="0.25">
      <c r="A14403" s="76" t="s">
        <v>9816</v>
      </c>
    </row>
    <row r="14404" spans="1:1" x14ac:dyDescent="0.25">
      <c r="A14404" s="29" t="s">
        <v>9817</v>
      </c>
    </row>
    <row r="14405" spans="1:1" x14ac:dyDescent="0.25">
      <c r="A14405" s="76" t="s">
        <v>9818</v>
      </c>
    </row>
    <row r="14406" spans="1:1" x14ac:dyDescent="0.25">
      <c r="A14406" s="76" t="s">
        <v>9819</v>
      </c>
    </row>
    <row r="14407" spans="1:1" x14ac:dyDescent="0.25">
      <c r="A14407" s="76" t="s">
        <v>9820</v>
      </c>
    </row>
    <row r="14408" spans="1:1" x14ac:dyDescent="0.25">
      <c r="A14408" s="108" t="s">
        <v>9821</v>
      </c>
    </row>
    <row r="14409" spans="1:1" x14ac:dyDescent="0.25">
      <c r="A14409" s="108" t="s">
        <v>9822</v>
      </c>
    </row>
    <row r="14410" spans="1:1" x14ac:dyDescent="0.25">
      <c r="A14410" s="29" t="s">
        <v>9823</v>
      </c>
    </row>
    <row r="14411" spans="1:1" x14ac:dyDescent="0.25">
      <c r="A14411" s="76" t="s">
        <v>9824</v>
      </c>
    </row>
    <row r="14412" spans="1:1" x14ac:dyDescent="0.25">
      <c r="A14412" s="29" t="s">
        <v>9825</v>
      </c>
    </row>
    <row r="14413" spans="1:1" x14ac:dyDescent="0.25">
      <c r="A14413" s="76" t="s">
        <v>9826</v>
      </c>
    </row>
    <row r="14414" spans="1:1" x14ac:dyDescent="0.25">
      <c r="A14414" s="76" t="s">
        <v>9827</v>
      </c>
    </row>
    <row r="14415" spans="1:1" x14ac:dyDescent="0.25">
      <c r="A14415" s="76" t="s">
        <v>9828</v>
      </c>
    </row>
    <row r="14416" spans="1:1" x14ac:dyDescent="0.25">
      <c r="A14416" s="108" t="s">
        <v>9829</v>
      </c>
    </row>
    <row r="14417" spans="1:1" x14ac:dyDescent="0.25">
      <c r="A14417" s="108" t="s">
        <v>9830</v>
      </c>
    </row>
    <row r="14418" spans="1:1" x14ac:dyDescent="0.25">
      <c r="A14418" s="29" t="s">
        <v>9831</v>
      </c>
    </row>
    <row r="14419" spans="1:1" x14ac:dyDescent="0.25">
      <c r="A14419" s="76" t="s">
        <v>9832</v>
      </c>
    </row>
    <row r="14420" spans="1:1" x14ac:dyDescent="0.25">
      <c r="A14420" s="29" t="s">
        <v>9833</v>
      </c>
    </row>
    <row r="14421" spans="1:1" x14ac:dyDescent="0.25">
      <c r="A14421" s="76" t="s">
        <v>9834</v>
      </c>
    </row>
    <row r="14422" spans="1:1" x14ac:dyDescent="0.25">
      <c r="A14422" s="76" t="s">
        <v>9835</v>
      </c>
    </row>
    <row r="14423" spans="1:1" x14ac:dyDescent="0.25">
      <c r="A14423" s="76" t="s">
        <v>9836</v>
      </c>
    </row>
    <row r="14424" spans="1:1" x14ac:dyDescent="0.25">
      <c r="A14424" s="108" t="s">
        <v>9837</v>
      </c>
    </row>
    <row r="14425" spans="1:1" x14ac:dyDescent="0.25">
      <c r="A14425" s="108" t="s">
        <v>9838</v>
      </c>
    </row>
    <row r="14426" spans="1:1" x14ac:dyDescent="0.25">
      <c r="A14426" s="29" t="s">
        <v>9839</v>
      </c>
    </row>
    <row r="14427" spans="1:1" x14ac:dyDescent="0.25">
      <c r="A14427" s="76" t="s">
        <v>9840</v>
      </c>
    </row>
    <row r="14428" spans="1:1" x14ac:dyDescent="0.25">
      <c r="A14428" s="29" t="s">
        <v>9841</v>
      </c>
    </row>
    <row r="14429" spans="1:1" x14ac:dyDescent="0.25">
      <c r="A14429" s="76" t="s">
        <v>9842</v>
      </c>
    </row>
    <row r="14430" spans="1:1" x14ac:dyDescent="0.25">
      <c r="A14430" s="76" t="s">
        <v>9843</v>
      </c>
    </row>
    <row r="14431" spans="1:1" x14ac:dyDescent="0.25">
      <c r="A14431" s="76" t="s">
        <v>9844</v>
      </c>
    </row>
    <row r="14432" spans="1:1" x14ac:dyDescent="0.25">
      <c r="A14432" s="108" t="s">
        <v>9845</v>
      </c>
    </row>
    <row r="14433" spans="1:1" x14ac:dyDescent="0.25">
      <c r="A14433" s="108" t="s">
        <v>9846</v>
      </c>
    </row>
    <row r="14434" spans="1:1" x14ac:dyDescent="0.25">
      <c r="A14434" s="29" t="s">
        <v>9847</v>
      </c>
    </row>
    <row r="14435" spans="1:1" x14ac:dyDescent="0.25">
      <c r="A14435" s="76" t="s">
        <v>9848</v>
      </c>
    </row>
    <row r="14436" spans="1:1" x14ac:dyDescent="0.25">
      <c r="A14436" s="29" t="s">
        <v>9849</v>
      </c>
    </row>
    <row r="14437" spans="1:1" x14ac:dyDescent="0.25">
      <c r="A14437" s="76" t="s">
        <v>9850</v>
      </c>
    </row>
    <row r="14438" spans="1:1" x14ac:dyDescent="0.25">
      <c r="A14438" s="76" t="s">
        <v>9851</v>
      </c>
    </row>
    <row r="14439" spans="1:1" x14ac:dyDescent="0.25">
      <c r="A14439" s="76" t="s">
        <v>9852</v>
      </c>
    </row>
    <row r="14440" spans="1:1" x14ac:dyDescent="0.25">
      <c r="A14440" s="108" t="s">
        <v>9853</v>
      </c>
    </row>
    <row r="14441" spans="1:1" x14ac:dyDescent="0.25">
      <c r="A14441" s="108" t="s">
        <v>9854</v>
      </c>
    </row>
    <row r="14442" spans="1:1" x14ac:dyDescent="0.25">
      <c r="A14442" s="29" t="s">
        <v>9855</v>
      </c>
    </row>
    <row r="14443" spans="1:1" x14ac:dyDescent="0.25">
      <c r="A14443" s="76" t="s">
        <v>9856</v>
      </c>
    </row>
    <row r="14444" spans="1:1" x14ac:dyDescent="0.25">
      <c r="A14444" s="29" t="s">
        <v>9857</v>
      </c>
    </row>
    <row r="14445" spans="1:1" x14ac:dyDescent="0.25">
      <c r="A14445" s="108" t="s">
        <v>9858</v>
      </c>
    </row>
    <row r="14446" spans="1:1" x14ac:dyDescent="0.25">
      <c r="A14446" s="76" t="s">
        <v>9859</v>
      </c>
    </row>
    <row r="14447" spans="1:1" x14ac:dyDescent="0.25">
      <c r="A14447" s="108" t="s">
        <v>9860</v>
      </c>
    </row>
    <row r="14448" spans="1:1" x14ac:dyDescent="0.25">
      <c r="A14448" s="76" t="s">
        <v>9861</v>
      </c>
    </row>
    <row r="14449" spans="1:1" x14ac:dyDescent="0.25">
      <c r="A14449" s="76" t="s">
        <v>9862</v>
      </c>
    </row>
    <row r="14450" spans="1:1" x14ac:dyDescent="0.25">
      <c r="A14450" s="76" t="s">
        <v>9863</v>
      </c>
    </row>
    <row r="14451" spans="1:1" x14ac:dyDescent="0.25">
      <c r="A14451" s="76" t="s">
        <v>9864</v>
      </c>
    </row>
    <row r="14452" spans="1:1" x14ac:dyDescent="0.25">
      <c r="A14452" s="76" t="s">
        <v>9865</v>
      </c>
    </row>
    <row r="14453" spans="1:1" x14ac:dyDescent="0.25">
      <c r="A14453" s="108" t="s">
        <v>9866</v>
      </c>
    </row>
    <row r="14454" spans="1:1" x14ac:dyDescent="0.25">
      <c r="A14454" s="108" t="s">
        <v>9867</v>
      </c>
    </row>
    <row r="14455" spans="1:1" x14ac:dyDescent="0.25">
      <c r="A14455" s="29" t="s">
        <v>9868</v>
      </c>
    </row>
    <row r="14456" spans="1:1" x14ac:dyDescent="0.25">
      <c r="A14456" s="76" t="s">
        <v>9869</v>
      </c>
    </row>
    <row r="14457" spans="1:1" x14ac:dyDescent="0.25">
      <c r="A14457" s="29" t="s">
        <v>9870</v>
      </c>
    </row>
    <row r="14458" spans="1:1" x14ac:dyDescent="0.25">
      <c r="A14458" s="76" t="s">
        <v>9871</v>
      </c>
    </row>
    <row r="14459" spans="1:1" x14ac:dyDescent="0.25">
      <c r="A14459" s="29" t="s">
        <v>9872</v>
      </c>
    </row>
    <row r="14460" spans="1:1" x14ac:dyDescent="0.25">
      <c r="A14460" s="76" t="s">
        <v>9873</v>
      </c>
    </row>
    <row r="14461" spans="1:1" x14ac:dyDescent="0.25">
      <c r="A14461" s="29" t="s">
        <v>9874</v>
      </c>
    </row>
    <row r="14462" spans="1:1" x14ac:dyDescent="0.25">
      <c r="A14462" s="108" t="s">
        <v>9875</v>
      </c>
    </row>
    <row r="14463" spans="1:1" x14ac:dyDescent="0.25">
      <c r="A14463" s="76" t="s">
        <v>9876</v>
      </c>
    </row>
    <row r="14464" spans="1:1" x14ac:dyDescent="0.25">
      <c r="A14464" s="76" t="s">
        <v>9877</v>
      </c>
    </row>
    <row r="14465" spans="1:1" x14ac:dyDescent="0.25">
      <c r="A14465" s="29" t="s">
        <v>9878</v>
      </c>
    </row>
    <row r="14466" spans="1:1" x14ac:dyDescent="0.25">
      <c r="A14466" s="76" t="s">
        <v>9879</v>
      </c>
    </row>
    <row r="14467" spans="1:1" x14ac:dyDescent="0.25">
      <c r="A14467" s="29" t="s">
        <v>9880</v>
      </c>
    </row>
    <row r="14468" spans="1:1" x14ac:dyDescent="0.25">
      <c r="A14468" s="76" t="s">
        <v>9881</v>
      </c>
    </row>
    <row r="14469" spans="1:1" x14ac:dyDescent="0.25">
      <c r="A14469" s="29" t="s">
        <v>9882</v>
      </c>
    </row>
    <row r="14470" spans="1:1" x14ac:dyDescent="0.25">
      <c r="A14470" s="76" t="s">
        <v>9883</v>
      </c>
    </row>
    <row r="14471" spans="1:1" x14ac:dyDescent="0.25">
      <c r="A14471" s="29" t="s">
        <v>9884</v>
      </c>
    </row>
    <row r="14472" spans="1:1" x14ac:dyDescent="0.25">
      <c r="A14472" s="108" t="s">
        <v>9885</v>
      </c>
    </row>
    <row r="14473" spans="1:1" x14ac:dyDescent="0.25">
      <c r="A14473" s="76" t="s">
        <v>9886</v>
      </c>
    </row>
    <row r="14474" spans="1:1" x14ac:dyDescent="0.25">
      <c r="A14474" s="76" t="s">
        <v>9887</v>
      </c>
    </row>
    <row r="14475" spans="1:1" x14ac:dyDescent="0.25">
      <c r="A14475" s="29" t="s">
        <v>9888</v>
      </c>
    </row>
    <row r="14476" spans="1:1" x14ac:dyDescent="0.25">
      <c r="A14476" s="76" t="s">
        <v>9889</v>
      </c>
    </row>
    <row r="14477" spans="1:1" x14ac:dyDescent="0.25">
      <c r="A14477" s="29" t="s">
        <v>9890</v>
      </c>
    </row>
    <row r="14478" spans="1:1" x14ac:dyDescent="0.25">
      <c r="A14478" s="76" t="s">
        <v>9891</v>
      </c>
    </row>
    <row r="14479" spans="1:1" x14ac:dyDescent="0.25">
      <c r="A14479" s="29" t="s">
        <v>9892</v>
      </c>
    </row>
    <row r="14480" spans="1:1" x14ac:dyDescent="0.25">
      <c r="A14480" s="76" t="s">
        <v>9893</v>
      </c>
    </row>
    <row r="14481" spans="1:1" x14ac:dyDescent="0.25">
      <c r="A14481" s="29" t="s">
        <v>9894</v>
      </c>
    </row>
    <row r="14482" spans="1:1" x14ac:dyDescent="0.25">
      <c r="A14482" s="108" t="s">
        <v>9895</v>
      </c>
    </row>
    <row r="14483" spans="1:1" x14ac:dyDescent="0.25">
      <c r="A14483" s="76" t="s">
        <v>9896</v>
      </c>
    </row>
    <row r="14484" spans="1:1" x14ac:dyDescent="0.25">
      <c r="A14484" s="76" t="s">
        <v>9897</v>
      </c>
    </row>
    <row r="14485" spans="1:1" x14ac:dyDescent="0.25">
      <c r="A14485" s="29" t="s">
        <v>9898</v>
      </c>
    </row>
    <row r="14486" spans="1:1" x14ac:dyDescent="0.25">
      <c r="A14486" s="76" t="s">
        <v>9899</v>
      </c>
    </row>
    <row r="14487" spans="1:1" x14ac:dyDescent="0.25">
      <c r="A14487" s="29" t="s">
        <v>9900</v>
      </c>
    </row>
    <row r="14488" spans="1:1" x14ac:dyDescent="0.25">
      <c r="A14488" s="76" t="s">
        <v>9901</v>
      </c>
    </row>
    <row r="14489" spans="1:1" x14ac:dyDescent="0.25">
      <c r="A14489" s="29" t="s">
        <v>9902</v>
      </c>
    </row>
    <row r="14490" spans="1:1" x14ac:dyDescent="0.25">
      <c r="A14490" s="76" t="s">
        <v>9903</v>
      </c>
    </row>
    <row r="14491" spans="1:1" x14ac:dyDescent="0.25">
      <c r="A14491" s="29" t="s">
        <v>9904</v>
      </c>
    </row>
    <row r="14492" spans="1:1" x14ac:dyDescent="0.25">
      <c r="A14492" s="76" t="s">
        <v>9905</v>
      </c>
    </row>
    <row r="14493" spans="1:1" x14ac:dyDescent="0.25">
      <c r="A14493" s="29" t="s">
        <v>9906</v>
      </c>
    </row>
    <row r="14494" spans="1:1" x14ac:dyDescent="0.25">
      <c r="A14494" s="76" t="s">
        <v>9907</v>
      </c>
    </row>
    <row r="14495" spans="1:1" x14ac:dyDescent="0.25">
      <c r="A14495" s="29" t="s">
        <v>9908</v>
      </c>
    </row>
    <row r="14496" spans="1:1" x14ac:dyDescent="0.25">
      <c r="A14496" s="76" t="s">
        <v>9909</v>
      </c>
    </row>
    <row r="14497" spans="1:1" x14ac:dyDescent="0.25">
      <c r="A14497" s="29" t="s">
        <v>9910</v>
      </c>
    </row>
    <row r="14498" spans="1:1" x14ac:dyDescent="0.25">
      <c r="A14498" s="108" t="s">
        <v>9911</v>
      </c>
    </row>
    <row r="14499" spans="1:1" x14ac:dyDescent="0.25">
      <c r="A14499" s="76" t="s">
        <v>9912</v>
      </c>
    </row>
    <row r="14500" spans="1:1" x14ac:dyDescent="0.25">
      <c r="A14500" s="76" t="s">
        <v>9913</v>
      </c>
    </row>
    <row r="14501" spans="1:1" x14ac:dyDescent="0.25">
      <c r="A14501" s="29" t="s">
        <v>9914</v>
      </c>
    </row>
    <row r="14502" spans="1:1" x14ac:dyDescent="0.25">
      <c r="A14502" s="76" t="s">
        <v>9915</v>
      </c>
    </row>
    <row r="14503" spans="1:1" x14ac:dyDescent="0.25">
      <c r="A14503" s="29" t="s">
        <v>9916</v>
      </c>
    </row>
    <row r="14504" spans="1:1" x14ac:dyDescent="0.25">
      <c r="A14504" s="76" t="s">
        <v>9917</v>
      </c>
    </row>
    <row r="14505" spans="1:1" x14ac:dyDescent="0.25">
      <c r="A14505" s="29" t="s">
        <v>9918</v>
      </c>
    </row>
    <row r="14506" spans="1:1" x14ac:dyDescent="0.25">
      <c r="A14506" s="76" t="s">
        <v>9919</v>
      </c>
    </row>
    <row r="14507" spans="1:1" x14ac:dyDescent="0.25">
      <c r="A14507" s="76" t="s">
        <v>9920</v>
      </c>
    </row>
    <row r="14508" spans="1:1" x14ac:dyDescent="0.25">
      <c r="A14508" s="76" t="s">
        <v>9921</v>
      </c>
    </row>
    <row r="14509" spans="1:1" x14ac:dyDescent="0.25">
      <c r="A14509" s="108" t="s">
        <v>9922</v>
      </c>
    </row>
    <row r="14510" spans="1:1" x14ac:dyDescent="0.25">
      <c r="A14510" s="108" t="s">
        <v>9923</v>
      </c>
    </row>
    <row r="14511" spans="1:1" x14ac:dyDescent="0.25">
      <c r="A14511" s="29" t="s">
        <v>9924</v>
      </c>
    </row>
    <row r="14512" spans="1:1" x14ac:dyDescent="0.25">
      <c r="A14512" s="76" t="s">
        <v>9925</v>
      </c>
    </row>
    <row r="14513" spans="1:1" x14ac:dyDescent="0.25">
      <c r="A14513" s="29" t="s">
        <v>9926</v>
      </c>
    </row>
    <row r="14514" spans="1:1" x14ac:dyDescent="0.25">
      <c r="A14514" s="76" t="s">
        <v>9927</v>
      </c>
    </row>
    <row r="14515" spans="1:1" x14ac:dyDescent="0.25">
      <c r="A14515" s="76" t="s">
        <v>9928</v>
      </c>
    </row>
    <row r="14516" spans="1:1" x14ac:dyDescent="0.25">
      <c r="A14516" s="76" t="s">
        <v>9929</v>
      </c>
    </row>
    <row r="14517" spans="1:1" x14ac:dyDescent="0.25">
      <c r="A14517" s="108" t="s">
        <v>9930</v>
      </c>
    </row>
    <row r="14518" spans="1:1" x14ac:dyDescent="0.25">
      <c r="A14518" s="108" t="s">
        <v>9931</v>
      </c>
    </row>
    <row r="14519" spans="1:1" x14ac:dyDescent="0.25">
      <c r="A14519" s="29" t="s">
        <v>9932</v>
      </c>
    </row>
    <row r="14520" spans="1:1" x14ac:dyDescent="0.25">
      <c r="A14520" s="76" t="s">
        <v>9933</v>
      </c>
    </row>
    <row r="14521" spans="1:1" x14ac:dyDescent="0.25">
      <c r="A14521" s="29" t="s">
        <v>9934</v>
      </c>
    </row>
    <row r="14522" spans="1:1" x14ac:dyDescent="0.25">
      <c r="A14522" s="76" t="s">
        <v>9935</v>
      </c>
    </row>
    <row r="14523" spans="1:1" x14ac:dyDescent="0.25">
      <c r="A14523" s="76" t="s">
        <v>9936</v>
      </c>
    </row>
    <row r="14524" spans="1:1" x14ac:dyDescent="0.25">
      <c r="A14524" s="76" t="s">
        <v>9937</v>
      </c>
    </row>
    <row r="14525" spans="1:1" x14ac:dyDescent="0.25">
      <c r="A14525" s="108" t="s">
        <v>9938</v>
      </c>
    </row>
    <row r="14526" spans="1:1" x14ac:dyDescent="0.25">
      <c r="A14526" s="108" t="s">
        <v>9939</v>
      </c>
    </row>
    <row r="14527" spans="1:1" x14ac:dyDescent="0.25">
      <c r="A14527" s="29" t="s">
        <v>9940</v>
      </c>
    </row>
    <row r="14528" spans="1:1" x14ac:dyDescent="0.25">
      <c r="A14528" s="76" t="s">
        <v>9941</v>
      </c>
    </row>
    <row r="14529" spans="1:1" x14ac:dyDescent="0.25">
      <c r="A14529" s="29" t="s">
        <v>9942</v>
      </c>
    </row>
    <row r="14530" spans="1:1" x14ac:dyDescent="0.25">
      <c r="A14530" s="76" t="s">
        <v>9943</v>
      </c>
    </row>
    <row r="14531" spans="1:1" x14ac:dyDescent="0.25">
      <c r="A14531" s="76" t="s">
        <v>9944</v>
      </c>
    </row>
    <row r="14532" spans="1:1" x14ac:dyDescent="0.25">
      <c r="A14532" s="76" t="s">
        <v>9945</v>
      </c>
    </row>
    <row r="14533" spans="1:1" x14ac:dyDescent="0.25">
      <c r="A14533" s="108" t="s">
        <v>9946</v>
      </c>
    </row>
    <row r="14534" spans="1:1" x14ac:dyDescent="0.25">
      <c r="A14534" s="108" t="s">
        <v>9947</v>
      </c>
    </row>
    <row r="14535" spans="1:1" x14ac:dyDescent="0.25">
      <c r="A14535" s="29" t="s">
        <v>9948</v>
      </c>
    </row>
    <row r="14536" spans="1:1" x14ac:dyDescent="0.25">
      <c r="A14536" s="76" t="s">
        <v>9949</v>
      </c>
    </row>
    <row r="14537" spans="1:1" x14ac:dyDescent="0.25">
      <c r="A14537" s="29" t="s">
        <v>9950</v>
      </c>
    </row>
    <row r="14538" spans="1:1" x14ac:dyDescent="0.25">
      <c r="A14538" s="76" t="s">
        <v>9951</v>
      </c>
    </row>
    <row r="14539" spans="1:1" x14ac:dyDescent="0.25">
      <c r="A14539" s="76" t="s">
        <v>9952</v>
      </c>
    </row>
    <row r="14540" spans="1:1" x14ac:dyDescent="0.25">
      <c r="A14540" s="76" t="s">
        <v>9953</v>
      </c>
    </row>
    <row r="14541" spans="1:1" x14ac:dyDescent="0.25">
      <c r="A14541" s="108" t="s">
        <v>9954</v>
      </c>
    </row>
    <row r="14542" spans="1:1" x14ac:dyDescent="0.25">
      <c r="A14542" s="108" t="s">
        <v>9955</v>
      </c>
    </row>
    <row r="14543" spans="1:1" x14ac:dyDescent="0.25">
      <c r="A14543" s="29" t="s">
        <v>9956</v>
      </c>
    </row>
    <row r="14544" spans="1:1" x14ac:dyDescent="0.25">
      <c r="A14544" s="76" t="s">
        <v>9957</v>
      </c>
    </row>
    <row r="14545" spans="1:1" x14ac:dyDescent="0.25">
      <c r="A14545" s="29" t="s">
        <v>9958</v>
      </c>
    </row>
    <row r="14546" spans="1:1" x14ac:dyDescent="0.25">
      <c r="A14546" s="76" t="s">
        <v>9959</v>
      </c>
    </row>
    <row r="14547" spans="1:1" x14ac:dyDescent="0.25">
      <c r="A14547" s="76" t="s">
        <v>9960</v>
      </c>
    </row>
    <row r="14548" spans="1:1" x14ac:dyDescent="0.25">
      <c r="A14548" s="76" t="s">
        <v>9961</v>
      </c>
    </row>
    <row r="14549" spans="1:1" x14ac:dyDescent="0.25">
      <c r="A14549" s="108" t="s">
        <v>9962</v>
      </c>
    </row>
    <row r="14550" spans="1:1" x14ac:dyDescent="0.25">
      <c r="A14550" s="108" t="s">
        <v>9963</v>
      </c>
    </row>
    <row r="14551" spans="1:1" x14ac:dyDescent="0.25">
      <c r="A14551" s="29" t="s">
        <v>9964</v>
      </c>
    </row>
    <row r="14552" spans="1:1" x14ac:dyDescent="0.25">
      <c r="A14552" s="76" t="s">
        <v>9965</v>
      </c>
    </row>
    <row r="14553" spans="1:1" x14ac:dyDescent="0.25">
      <c r="A14553" s="29" t="s">
        <v>9966</v>
      </c>
    </row>
    <row r="14554" spans="1:1" x14ac:dyDescent="0.25">
      <c r="A14554" s="76" t="s">
        <v>9967</v>
      </c>
    </row>
    <row r="14555" spans="1:1" x14ac:dyDescent="0.25">
      <c r="A14555" s="29" t="s">
        <v>9968</v>
      </c>
    </row>
    <row r="14556" spans="1:1" x14ac:dyDescent="0.25">
      <c r="A14556" s="108" t="s">
        <v>9969</v>
      </c>
    </row>
    <row r="14557" spans="1:1" x14ac:dyDescent="0.25">
      <c r="A14557" s="76" t="s">
        <v>9970</v>
      </c>
    </row>
    <row r="14558" spans="1:1" x14ac:dyDescent="0.25">
      <c r="A14558" s="76" t="s">
        <v>9971</v>
      </c>
    </row>
    <row r="14559" spans="1:1" x14ac:dyDescent="0.25">
      <c r="A14559" s="29" t="s">
        <v>9972</v>
      </c>
    </row>
    <row r="14560" spans="1:1" x14ac:dyDescent="0.25">
      <c r="A14560" s="76" t="s">
        <v>9973</v>
      </c>
    </row>
    <row r="14561" spans="1:1" x14ac:dyDescent="0.25">
      <c r="A14561" s="29" t="s">
        <v>9974</v>
      </c>
    </row>
    <row r="14562" spans="1:1" x14ac:dyDescent="0.25">
      <c r="A14562" s="76" t="s">
        <v>9975</v>
      </c>
    </row>
    <row r="14563" spans="1:1" x14ac:dyDescent="0.25">
      <c r="A14563" s="29" t="s">
        <v>9976</v>
      </c>
    </row>
    <row r="14564" spans="1:1" x14ac:dyDescent="0.25">
      <c r="A14564" s="76" t="s">
        <v>9977</v>
      </c>
    </row>
    <row r="14565" spans="1:1" x14ac:dyDescent="0.25">
      <c r="A14565" s="29" t="s">
        <v>9978</v>
      </c>
    </row>
    <row r="14566" spans="1:1" x14ac:dyDescent="0.25">
      <c r="A14566" s="76" t="s">
        <v>9979</v>
      </c>
    </row>
    <row r="14567" spans="1:1" x14ac:dyDescent="0.25">
      <c r="A14567" s="29" t="s">
        <v>9980</v>
      </c>
    </row>
    <row r="14568" spans="1:1" x14ac:dyDescent="0.25">
      <c r="A14568" s="108" t="s">
        <v>9981</v>
      </c>
    </row>
    <row r="14569" spans="1:1" x14ac:dyDescent="0.25">
      <c r="A14569" s="76" t="s">
        <v>9982</v>
      </c>
    </row>
    <row r="14570" spans="1:1" x14ac:dyDescent="0.25">
      <c r="A14570" s="76" t="s">
        <v>9983</v>
      </c>
    </row>
    <row r="14571" spans="1:1" x14ac:dyDescent="0.25">
      <c r="A14571" s="29" t="s">
        <v>9984</v>
      </c>
    </row>
    <row r="14572" spans="1:1" x14ac:dyDescent="0.25">
      <c r="A14572" s="76" t="s">
        <v>9985</v>
      </c>
    </row>
    <row r="14573" spans="1:1" x14ac:dyDescent="0.25">
      <c r="A14573" s="29" t="s">
        <v>9986</v>
      </c>
    </row>
    <row r="14574" spans="1:1" x14ac:dyDescent="0.25">
      <c r="A14574" s="76" t="s">
        <v>9987</v>
      </c>
    </row>
    <row r="14575" spans="1:1" x14ac:dyDescent="0.25">
      <c r="A14575" s="29" t="s">
        <v>9988</v>
      </c>
    </row>
    <row r="14576" spans="1:1" x14ac:dyDescent="0.25">
      <c r="A14576" s="76" t="s">
        <v>9989</v>
      </c>
    </row>
    <row r="14577" spans="1:1" x14ac:dyDescent="0.25">
      <c r="A14577" s="29" t="s">
        <v>9990</v>
      </c>
    </row>
    <row r="14578" spans="1:1" x14ac:dyDescent="0.25">
      <c r="A14578" s="108" t="s">
        <v>9991</v>
      </c>
    </row>
    <row r="14579" spans="1:1" x14ac:dyDescent="0.25">
      <c r="A14579" s="76" t="s">
        <v>9992</v>
      </c>
    </row>
    <row r="14580" spans="1:1" x14ac:dyDescent="0.25">
      <c r="A14580" s="76" t="s">
        <v>9993</v>
      </c>
    </row>
    <row r="14581" spans="1:1" x14ac:dyDescent="0.25">
      <c r="A14581" s="29" t="s">
        <v>9994</v>
      </c>
    </row>
    <row r="14582" spans="1:1" x14ac:dyDescent="0.25">
      <c r="A14582" s="76" t="s">
        <v>9995</v>
      </c>
    </row>
    <row r="14583" spans="1:1" x14ac:dyDescent="0.25">
      <c r="A14583" s="29" t="s">
        <v>9996</v>
      </c>
    </row>
    <row r="14584" spans="1:1" x14ac:dyDescent="0.25">
      <c r="A14584" s="108" t="s">
        <v>9997</v>
      </c>
    </row>
    <row r="14585" spans="1:1" x14ac:dyDescent="0.25">
      <c r="A14585" s="76" t="s">
        <v>9998</v>
      </c>
    </row>
    <row r="14586" spans="1:1" x14ac:dyDescent="0.25">
      <c r="A14586" s="108" t="s">
        <v>9999</v>
      </c>
    </row>
    <row r="14587" spans="1:1" x14ac:dyDescent="0.25">
      <c r="A14587" s="76" t="s">
        <v>10000</v>
      </c>
    </row>
    <row r="14588" spans="1:1" x14ac:dyDescent="0.25">
      <c r="A14588" s="76" t="s">
        <v>10001</v>
      </c>
    </row>
    <row r="14589" spans="1:1" x14ac:dyDescent="0.25">
      <c r="A14589" s="29" t="s">
        <v>10002</v>
      </c>
    </row>
    <row r="14590" spans="1:1" x14ac:dyDescent="0.25">
      <c r="A14590" s="76" t="s">
        <v>10003</v>
      </c>
    </row>
    <row r="14591" spans="1:1" x14ac:dyDescent="0.25">
      <c r="A14591" s="29" t="s">
        <v>10004</v>
      </c>
    </row>
    <row r="14592" spans="1:1" x14ac:dyDescent="0.25">
      <c r="A14592" s="76" t="s">
        <v>10005</v>
      </c>
    </row>
    <row r="14593" spans="1:1" x14ac:dyDescent="0.25">
      <c r="A14593" s="29" t="s">
        <v>10006</v>
      </c>
    </row>
    <row r="14594" spans="1:1" x14ac:dyDescent="0.25">
      <c r="A14594" s="76" t="s">
        <v>10007</v>
      </c>
    </row>
    <row r="14595" spans="1:1" x14ac:dyDescent="0.25">
      <c r="A14595" s="29" t="s">
        <v>10008</v>
      </c>
    </row>
    <row r="14596" spans="1:1" x14ac:dyDescent="0.25">
      <c r="A14596" s="108" t="s">
        <v>10009</v>
      </c>
    </row>
    <row r="14597" spans="1:1" x14ac:dyDescent="0.25">
      <c r="A14597" s="76" t="s">
        <v>10010</v>
      </c>
    </row>
    <row r="14598" spans="1:1" x14ac:dyDescent="0.25">
      <c r="A14598" s="76" t="s">
        <v>10011</v>
      </c>
    </row>
    <row r="14599" spans="1:1" x14ac:dyDescent="0.25">
      <c r="A14599" s="29" t="s">
        <v>10012</v>
      </c>
    </row>
    <row r="14600" spans="1:1" x14ac:dyDescent="0.25">
      <c r="A14600" s="76" t="s">
        <v>10013</v>
      </c>
    </row>
    <row r="14601" spans="1:1" x14ac:dyDescent="0.25">
      <c r="A14601" s="29" t="s">
        <v>10014</v>
      </c>
    </row>
    <row r="14602" spans="1:1" x14ac:dyDescent="0.25">
      <c r="A14602" s="76" t="s">
        <v>10015</v>
      </c>
    </row>
    <row r="14603" spans="1:1" x14ac:dyDescent="0.25">
      <c r="A14603" s="29" t="s">
        <v>10016</v>
      </c>
    </row>
    <row r="14604" spans="1:1" x14ac:dyDescent="0.25">
      <c r="A14604" s="76" t="s">
        <v>10017</v>
      </c>
    </row>
    <row r="14605" spans="1:1" x14ac:dyDescent="0.25">
      <c r="A14605" s="76" t="s">
        <v>10018</v>
      </c>
    </row>
    <row r="14606" spans="1:1" x14ac:dyDescent="0.25">
      <c r="A14606" s="76" t="s">
        <v>10019</v>
      </c>
    </row>
    <row r="14607" spans="1:1" x14ac:dyDescent="0.25">
      <c r="A14607" s="108" t="s">
        <v>10020</v>
      </c>
    </row>
    <row r="14608" spans="1:1" x14ac:dyDescent="0.25">
      <c r="A14608" s="108" t="s">
        <v>10021</v>
      </c>
    </row>
    <row r="14609" spans="1:1" x14ac:dyDescent="0.25">
      <c r="A14609" s="29" t="s">
        <v>10022</v>
      </c>
    </row>
    <row r="14610" spans="1:1" x14ac:dyDescent="0.25">
      <c r="A14610" s="76" t="s">
        <v>10023</v>
      </c>
    </row>
    <row r="14611" spans="1:1" x14ac:dyDescent="0.25">
      <c r="A14611" s="29" t="s">
        <v>10024</v>
      </c>
    </row>
    <row r="14612" spans="1:1" x14ac:dyDescent="0.25">
      <c r="A14612" s="76" t="s">
        <v>10025</v>
      </c>
    </row>
    <row r="14613" spans="1:1" x14ac:dyDescent="0.25">
      <c r="A14613" s="76" t="s">
        <v>10026</v>
      </c>
    </row>
    <row r="14614" spans="1:1" x14ac:dyDescent="0.25">
      <c r="A14614" s="76" t="s">
        <v>10027</v>
      </c>
    </row>
    <row r="14615" spans="1:1" x14ac:dyDescent="0.25">
      <c r="A14615" s="108" t="s">
        <v>10028</v>
      </c>
    </row>
    <row r="14616" spans="1:1" x14ac:dyDescent="0.25">
      <c r="A14616" s="108" t="s">
        <v>10029</v>
      </c>
    </row>
    <row r="14617" spans="1:1" x14ac:dyDescent="0.25">
      <c r="A14617" s="29" t="s">
        <v>10030</v>
      </c>
    </row>
    <row r="14618" spans="1:1" x14ac:dyDescent="0.25">
      <c r="A14618" s="76" t="s">
        <v>10031</v>
      </c>
    </row>
    <row r="14619" spans="1:1" x14ac:dyDescent="0.25">
      <c r="A14619" s="29" t="s">
        <v>10032</v>
      </c>
    </row>
    <row r="14620" spans="1:1" x14ac:dyDescent="0.25">
      <c r="A14620" s="108" t="s">
        <v>10033</v>
      </c>
    </row>
    <row r="14621" spans="1:1" x14ac:dyDescent="0.25">
      <c r="A14621" s="76" t="s">
        <v>10034</v>
      </c>
    </row>
    <row r="14622" spans="1:1" x14ac:dyDescent="0.25">
      <c r="A14622" s="76" t="s">
        <v>10035</v>
      </c>
    </row>
    <row r="14623" spans="1:1" x14ac:dyDescent="0.25">
      <c r="A14623" s="29" t="s">
        <v>10036</v>
      </c>
    </row>
    <row r="14624" spans="1:1" x14ac:dyDescent="0.25">
      <c r="A14624" s="76" t="s">
        <v>10037</v>
      </c>
    </row>
    <row r="14625" spans="1:1" x14ac:dyDescent="0.25">
      <c r="A14625" s="29" t="s">
        <v>10038</v>
      </c>
    </row>
    <row r="14626" spans="1:1" x14ac:dyDescent="0.25">
      <c r="A14626" s="76" t="s">
        <v>10039</v>
      </c>
    </row>
    <row r="14627" spans="1:1" x14ac:dyDescent="0.25">
      <c r="A14627" s="76" t="s">
        <v>10040</v>
      </c>
    </row>
    <row r="14628" spans="1:1" x14ac:dyDescent="0.25">
      <c r="A14628" s="76" t="s">
        <v>10041</v>
      </c>
    </row>
    <row r="14629" spans="1:1" x14ac:dyDescent="0.25">
      <c r="A14629" s="108" t="s">
        <v>10042</v>
      </c>
    </row>
    <row r="14630" spans="1:1" x14ac:dyDescent="0.25">
      <c r="A14630" s="108" t="s">
        <v>10043</v>
      </c>
    </row>
    <row r="14631" spans="1:1" x14ac:dyDescent="0.25">
      <c r="A14631" s="29" t="s">
        <v>10044</v>
      </c>
    </row>
    <row r="14632" spans="1:1" x14ac:dyDescent="0.25">
      <c r="A14632" s="76" t="s">
        <v>10045</v>
      </c>
    </row>
    <row r="14633" spans="1:1" x14ac:dyDescent="0.25">
      <c r="A14633" s="29" t="s">
        <v>10046</v>
      </c>
    </row>
    <row r="14634" spans="1:1" x14ac:dyDescent="0.25">
      <c r="A14634" s="76" t="s">
        <v>10047</v>
      </c>
    </row>
    <row r="14635" spans="1:1" x14ac:dyDescent="0.25">
      <c r="A14635" s="76" t="s">
        <v>10048</v>
      </c>
    </row>
    <row r="14636" spans="1:1" x14ac:dyDescent="0.25">
      <c r="A14636" s="76" t="s">
        <v>10049</v>
      </c>
    </row>
    <row r="14637" spans="1:1" x14ac:dyDescent="0.25">
      <c r="A14637" s="108" t="s">
        <v>10050</v>
      </c>
    </row>
    <row r="14638" spans="1:1" x14ac:dyDescent="0.25">
      <c r="A14638" s="108" t="s">
        <v>10051</v>
      </c>
    </row>
    <row r="14639" spans="1:1" x14ac:dyDescent="0.25">
      <c r="A14639" s="29" t="s">
        <v>10052</v>
      </c>
    </row>
    <row r="14640" spans="1:1" x14ac:dyDescent="0.25">
      <c r="A14640" s="76" t="s">
        <v>10053</v>
      </c>
    </row>
    <row r="14641" spans="1:1" x14ac:dyDescent="0.25">
      <c r="A14641" s="29" t="s">
        <v>10054</v>
      </c>
    </row>
    <row r="14642" spans="1:1" x14ac:dyDescent="0.25">
      <c r="A14642" s="76" t="s">
        <v>10055</v>
      </c>
    </row>
    <row r="14643" spans="1:1" x14ac:dyDescent="0.25">
      <c r="A14643" s="76" t="s">
        <v>10056</v>
      </c>
    </row>
    <row r="14644" spans="1:1" x14ac:dyDescent="0.25">
      <c r="A14644" s="76" t="s">
        <v>10057</v>
      </c>
    </row>
    <row r="14645" spans="1:1" x14ac:dyDescent="0.25">
      <c r="A14645" s="108" t="s">
        <v>10058</v>
      </c>
    </row>
    <row r="14646" spans="1:1" x14ac:dyDescent="0.25">
      <c r="A14646" s="108" t="s">
        <v>10059</v>
      </c>
    </row>
    <row r="14647" spans="1:1" x14ac:dyDescent="0.25">
      <c r="A14647" s="29" t="s">
        <v>10060</v>
      </c>
    </row>
    <row r="14648" spans="1:1" x14ac:dyDescent="0.25">
      <c r="A14648" s="76" t="s">
        <v>10061</v>
      </c>
    </row>
    <row r="14649" spans="1:1" x14ac:dyDescent="0.25">
      <c r="A14649" s="29" t="s">
        <v>10062</v>
      </c>
    </row>
    <row r="14650" spans="1:1" x14ac:dyDescent="0.25">
      <c r="A14650" s="76" t="s">
        <v>10063</v>
      </c>
    </row>
    <row r="14651" spans="1:1" x14ac:dyDescent="0.25">
      <c r="A14651" s="76" t="s">
        <v>10064</v>
      </c>
    </row>
    <row r="14652" spans="1:1" x14ac:dyDescent="0.25">
      <c r="A14652" s="76" t="s">
        <v>10065</v>
      </c>
    </row>
    <row r="14653" spans="1:1" x14ac:dyDescent="0.25">
      <c r="A14653" s="108" t="s">
        <v>10066</v>
      </c>
    </row>
    <row r="14654" spans="1:1" x14ac:dyDescent="0.25">
      <c r="A14654" s="108" t="s">
        <v>10067</v>
      </c>
    </row>
    <row r="14655" spans="1:1" x14ac:dyDescent="0.25">
      <c r="A14655" s="29" t="s">
        <v>10068</v>
      </c>
    </row>
    <row r="14656" spans="1:1" x14ac:dyDescent="0.25">
      <c r="A14656" s="76" t="s">
        <v>10069</v>
      </c>
    </row>
    <row r="14657" spans="1:1" x14ac:dyDescent="0.25">
      <c r="A14657" s="29" t="s">
        <v>10070</v>
      </c>
    </row>
    <row r="14658" spans="1:1" x14ac:dyDescent="0.25">
      <c r="A14658" s="76" t="s">
        <v>10071</v>
      </c>
    </row>
    <row r="14659" spans="1:1" x14ac:dyDescent="0.25">
      <c r="A14659" s="76" t="s">
        <v>10072</v>
      </c>
    </row>
    <row r="14660" spans="1:1" x14ac:dyDescent="0.25">
      <c r="A14660" s="76" t="s">
        <v>10073</v>
      </c>
    </row>
    <row r="14661" spans="1:1" x14ac:dyDescent="0.25">
      <c r="A14661" s="108" t="s">
        <v>10074</v>
      </c>
    </row>
    <row r="14662" spans="1:1" x14ac:dyDescent="0.25">
      <c r="A14662" s="108" t="s">
        <v>10075</v>
      </c>
    </row>
    <row r="14663" spans="1:1" x14ac:dyDescent="0.25">
      <c r="A14663" s="29" t="s">
        <v>10076</v>
      </c>
    </row>
    <row r="14664" spans="1:1" x14ac:dyDescent="0.25">
      <c r="A14664" s="76" t="s">
        <v>10077</v>
      </c>
    </row>
    <row r="14665" spans="1:1" x14ac:dyDescent="0.25">
      <c r="A14665" s="29" t="s">
        <v>10078</v>
      </c>
    </row>
    <row r="14666" spans="1:1" x14ac:dyDescent="0.25">
      <c r="A14666" s="76" t="s">
        <v>10079</v>
      </c>
    </row>
    <row r="14667" spans="1:1" x14ac:dyDescent="0.25">
      <c r="A14667" s="76" t="s">
        <v>10080</v>
      </c>
    </row>
    <row r="14668" spans="1:1" x14ac:dyDescent="0.25">
      <c r="A14668" s="76" t="s">
        <v>10081</v>
      </c>
    </row>
    <row r="14669" spans="1:1" x14ac:dyDescent="0.25">
      <c r="A14669" s="108" t="s">
        <v>10082</v>
      </c>
    </row>
    <row r="14670" spans="1:1" x14ac:dyDescent="0.25">
      <c r="A14670" s="108" t="s">
        <v>10083</v>
      </c>
    </row>
    <row r="14671" spans="1:1" x14ac:dyDescent="0.25">
      <c r="A14671" s="29" t="s">
        <v>10084</v>
      </c>
    </row>
    <row r="14672" spans="1:1" x14ac:dyDescent="0.25">
      <c r="A14672" s="76" t="s">
        <v>10085</v>
      </c>
    </row>
    <row r="14673" spans="1:1" x14ac:dyDescent="0.25">
      <c r="A14673" s="29" t="s">
        <v>10086</v>
      </c>
    </row>
    <row r="14674" spans="1:1" x14ac:dyDescent="0.25">
      <c r="A14674" s="29" t="s">
        <v>10087</v>
      </c>
    </row>
    <row r="14675" spans="1:1" x14ac:dyDescent="0.25">
      <c r="A14675" s="76" t="s">
        <v>10088</v>
      </c>
    </row>
    <row r="14676" spans="1:1" x14ac:dyDescent="0.25">
      <c r="A14676" s="29" t="s">
        <v>10089</v>
      </c>
    </row>
    <row r="14677" spans="1:1" x14ac:dyDescent="0.25">
      <c r="A14677" s="29" t="s">
        <v>10090</v>
      </c>
    </row>
    <row r="14678" spans="1:1" x14ac:dyDescent="0.25">
      <c r="A14678" s="76" t="s">
        <v>10091</v>
      </c>
    </row>
    <row r="14679" spans="1:1" x14ac:dyDescent="0.25">
      <c r="A14679" s="29" t="s">
        <v>10092</v>
      </c>
    </row>
    <row r="14680" spans="1:1" x14ac:dyDescent="0.25">
      <c r="A14680" s="29" t="s">
        <v>10093</v>
      </c>
    </row>
    <row r="14681" spans="1:1" x14ac:dyDescent="0.25">
      <c r="A14681" s="76" t="s">
        <v>10094</v>
      </c>
    </row>
    <row r="14682" spans="1:1" x14ac:dyDescent="0.25">
      <c r="A14682" s="29" t="s">
        <v>10095</v>
      </c>
    </row>
    <row r="14683" spans="1:1" x14ac:dyDescent="0.25">
      <c r="A14683" s="29" t="s">
        <v>10096</v>
      </c>
    </row>
    <row r="14684" spans="1:1" x14ac:dyDescent="0.25">
      <c r="A14684" s="76" t="s">
        <v>10097</v>
      </c>
    </row>
    <row r="14685" spans="1:1" x14ac:dyDescent="0.25">
      <c r="A14685" s="29" t="s">
        <v>10098</v>
      </c>
    </row>
    <row r="14686" spans="1:1" x14ac:dyDescent="0.25">
      <c r="A14686" s="29" t="s">
        <v>10099</v>
      </c>
    </row>
    <row r="14687" spans="1:1" x14ac:dyDescent="0.25">
      <c r="A14687" s="76" t="s">
        <v>10100</v>
      </c>
    </row>
    <row r="14688" spans="1:1" x14ac:dyDescent="0.25">
      <c r="A14688" s="29" t="s">
        <v>10101</v>
      </c>
    </row>
    <row r="14689" spans="1:1" x14ac:dyDescent="0.25">
      <c r="A14689" s="76" t="s">
        <v>10102</v>
      </c>
    </row>
    <row r="14690" spans="1:1" x14ac:dyDescent="0.25">
      <c r="A14690" s="76" t="s">
        <v>10103</v>
      </c>
    </row>
    <row r="14691" spans="1:1" x14ac:dyDescent="0.25">
      <c r="A14691" s="76" t="s">
        <v>10104</v>
      </c>
    </row>
    <row r="14692" spans="1:1" x14ac:dyDescent="0.25">
      <c r="A14692" s="108" t="s">
        <v>10105</v>
      </c>
    </row>
    <row r="14693" spans="1:1" x14ac:dyDescent="0.25">
      <c r="A14693" s="108" t="s">
        <v>10106</v>
      </c>
    </row>
    <row r="14694" spans="1:1" x14ac:dyDescent="0.25">
      <c r="A14694" s="29" t="s">
        <v>10107</v>
      </c>
    </row>
    <row r="14695" spans="1:1" x14ac:dyDescent="0.25">
      <c r="A14695" s="76" t="s">
        <v>10108</v>
      </c>
    </row>
    <row r="14696" spans="1:1" x14ac:dyDescent="0.25">
      <c r="A14696" s="29" t="s">
        <v>10109</v>
      </c>
    </row>
    <row r="14697" spans="1:1" x14ac:dyDescent="0.25">
      <c r="A14697" s="108" t="s">
        <v>10110</v>
      </c>
    </row>
    <row r="14698" spans="1:1" x14ac:dyDescent="0.25">
      <c r="A14698" s="76" t="s">
        <v>10111</v>
      </c>
    </row>
    <row r="14699" spans="1:1" x14ac:dyDescent="0.25">
      <c r="A14699" s="76" t="s">
        <v>10112</v>
      </c>
    </row>
    <row r="14700" spans="1:1" x14ac:dyDescent="0.25">
      <c r="A14700" s="76" t="s">
        <v>10113</v>
      </c>
    </row>
    <row r="14701" spans="1:1" x14ac:dyDescent="0.25">
      <c r="A14701" s="76" t="s">
        <v>10114</v>
      </c>
    </row>
    <row r="14702" spans="1:1" x14ac:dyDescent="0.25">
      <c r="A14702" s="108" t="s">
        <v>10115</v>
      </c>
    </row>
    <row r="14703" spans="1:1" x14ac:dyDescent="0.25">
      <c r="A14703" s="108" t="s">
        <v>10116</v>
      </c>
    </row>
    <row r="14704" spans="1:1" x14ac:dyDescent="0.25">
      <c r="A14704" s="29" t="s">
        <v>10117</v>
      </c>
    </row>
    <row r="14705" spans="1:1" x14ac:dyDescent="0.25">
      <c r="A14705" s="76" t="s">
        <v>10118</v>
      </c>
    </row>
    <row r="14706" spans="1:1" x14ac:dyDescent="0.25">
      <c r="A14706" s="29" t="s">
        <v>10119</v>
      </c>
    </row>
    <row r="14707" spans="1:1" x14ac:dyDescent="0.25">
      <c r="A14707" s="76" t="s">
        <v>10120</v>
      </c>
    </row>
    <row r="14708" spans="1:1" x14ac:dyDescent="0.25">
      <c r="A14708" s="76" t="s">
        <v>10121</v>
      </c>
    </row>
    <row r="14709" spans="1:1" x14ac:dyDescent="0.25">
      <c r="A14709" s="76" t="s">
        <v>10122</v>
      </c>
    </row>
    <row r="14710" spans="1:1" x14ac:dyDescent="0.25">
      <c r="A14710" s="108" t="s">
        <v>10123</v>
      </c>
    </row>
    <row r="14711" spans="1:1" x14ac:dyDescent="0.25">
      <c r="A14711" s="108" t="s">
        <v>10124</v>
      </c>
    </row>
    <row r="14712" spans="1:1" x14ac:dyDescent="0.25">
      <c r="A14712" s="29" t="s">
        <v>10125</v>
      </c>
    </row>
    <row r="14713" spans="1:1" x14ac:dyDescent="0.25">
      <c r="A14713" s="76" t="s">
        <v>10126</v>
      </c>
    </row>
    <row r="14714" spans="1:1" x14ac:dyDescent="0.25">
      <c r="A14714" s="29" t="s">
        <v>10127</v>
      </c>
    </row>
    <row r="14715" spans="1:1" x14ac:dyDescent="0.25">
      <c r="A14715" s="76" t="s">
        <v>10128</v>
      </c>
    </row>
    <row r="14716" spans="1:1" x14ac:dyDescent="0.25">
      <c r="A14716" s="76" t="s">
        <v>10129</v>
      </c>
    </row>
    <row r="14717" spans="1:1" x14ac:dyDescent="0.25">
      <c r="A14717" s="76" t="s">
        <v>10130</v>
      </c>
    </row>
    <row r="14718" spans="1:1" x14ac:dyDescent="0.25">
      <c r="A14718" s="108" t="s">
        <v>10131</v>
      </c>
    </row>
    <row r="14719" spans="1:1" x14ac:dyDescent="0.25">
      <c r="A14719" s="108" t="s">
        <v>10132</v>
      </c>
    </row>
    <row r="14720" spans="1:1" x14ac:dyDescent="0.25">
      <c r="A14720" s="29" t="s">
        <v>10133</v>
      </c>
    </row>
    <row r="14721" spans="1:1" x14ac:dyDescent="0.25">
      <c r="A14721" s="76" t="s">
        <v>10134</v>
      </c>
    </row>
    <row r="14722" spans="1:1" x14ac:dyDescent="0.25">
      <c r="A14722" s="29" t="s">
        <v>10135</v>
      </c>
    </row>
    <row r="14723" spans="1:1" x14ac:dyDescent="0.25">
      <c r="A14723" s="76" t="s">
        <v>10136</v>
      </c>
    </row>
    <row r="14724" spans="1:1" x14ac:dyDescent="0.25">
      <c r="A14724" s="76" t="s">
        <v>10137</v>
      </c>
    </row>
    <row r="14725" spans="1:1" x14ac:dyDescent="0.25">
      <c r="A14725" s="76" t="s">
        <v>10138</v>
      </c>
    </row>
    <row r="14726" spans="1:1" x14ac:dyDescent="0.25">
      <c r="A14726" s="108" t="s">
        <v>10139</v>
      </c>
    </row>
    <row r="14727" spans="1:1" x14ac:dyDescent="0.25">
      <c r="A14727" s="108" t="s">
        <v>10140</v>
      </c>
    </row>
    <row r="14728" spans="1:1" x14ac:dyDescent="0.25">
      <c r="A14728" s="29" t="s">
        <v>10141</v>
      </c>
    </row>
    <row r="14729" spans="1:1" x14ac:dyDescent="0.25">
      <c r="A14729" s="76" t="s">
        <v>10142</v>
      </c>
    </row>
    <row r="14730" spans="1:1" x14ac:dyDescent="0.25">
      <c r="A14730" s="29" t="s">
        <v>10143</v>
      </c>
    </row>
    <row r="14731" spans="1:1" x14ac:dyDescent="0.25">
      <c r="A14731" s="76" t="s">
        <v>10144</v>
      </c>
    </row>
    <row r="14732" spans="1:1" x14ac:dyDescent="0.25">
      <c r="A14732" s="76" t="s">
        <v>10145</v>
      </c>
    </row>
    <row r="14733" spans="1:1" x14ac:dyDescent="0.25">
      <c r="A14733" s="76" t="s">
        <v>10146</v>
      </c>
    </row>
    <row r="14734" spans="1:1" x14ac:dyDescent="0.25">
      <c r="A14734" s="108" t="s">
        <v>10147</v>
      </c>
    </row>
    <row r="14735" spans="1:1" x14ac:dyDescent="0.25">
      <c r="A14735" s="108" t="s">
        <v>10148</v>
      </c>
    </row>
    <row r="14736" spans="1:1" x14ac:dyDescent="0.25">
      <c r="A14736" s="29" t="s">
        <v>10149</v>
      </c>
    </row>
    <row r="14737" spans="1:1" x14ac:dyDescent="0.25">
      <c r="A14737" s="76" t="s">
        <v>10150</v>
      </c>
    </row>
    <row r="14738" spans="1:1" x14ac:dyDescent="0.25">
      <c r="A14738" s="29" t="s">
        <v>10151</v>
      </c>
    </row>
    <row r="14739" spans="1:1" x14ac:dyDescent="0.25">
      <c r="A14739" s="76" t="s">
        <v>10152</v>
      </c>
    </row>
    <row r="14740" spans="1:1" x14ac:dyDescent="0.25">
      <c r="A14740" s="76" t="s">
        <v>10153</v>
      </c>
    </row>
    <row r="14741" spans="1:1" x14ac:dyDescent="0.25">
      <c r="A14741" s="76" t="s">
        <v>10154</v>
      </c>
    </row>
    <row r="14742" spans="1:1" x14ac:dyDescent="0.25">
      <c r="A14742" s="108" t="s">
        <v>10155</v>
      </c>
    </row>
    <row r="14743" spans="1:1" x14ac:dyDescent="0.25">
      <c r="A14743" s="108" t="s">
        <v>10156</v>
      </c>
    </row>
    <row r="14744" spans="1:1" x14ac:dyDescent="0.25">
      <c r="A14744" s="29" t="s">
        <v>10157</v>
      </c>
    </row>
    <row r="14745" spans="1:1" x14ac:dyDescent="0.25">
      <c r="A14745" s="76" t="s">
        <v>10158</v>
      </c>
    </row>
    <row r="14746" spans="1:1" x14ac:dyDescent="0.25">
      <c r="A14746" s="29" t="s">
        <v>10159</v>
      </c>
    </row>
    <row r="14747" spans="1:1" x14ac:dyDescent="0.25">
      <c r="A14747" s="108" t="s">
        <v>10160</v>
      </c>
    </row>
    <row r="14748" spans="1:1" x14ac:dyDescent="0.25">
      <c r="A14748" s="76" t="s">
        <v>10161</v>
      </c>
    </row>
    <row r="14749" spans="1:1" x14ac:dyDescent="0.25">
      <c r="A14749" s="76" t="s">
        <v>10162</v>
      </c>
    </row>
    <row r="14750" spans="1:1" x14ac:dyDescent="0.25">
      <c r="A14750" s="76" t="s">
        <v>10163</v>
      </c>
    </row>
    <row r="14751" spans="1:1" x14ac:dyDescent="0.25">
      <c r="A14751" s="76" t="s">
        <v>10164</v>
      </c>
    </row>
    <row r="14752" spans="1:1" x14ac:dyDescent="0.25">
      <c r="A14752" s="76" t="s">
        <v>10165</v>
      </c>
    </row>
    <row r="14753" spans="1:1" x14ac:dyDescent="0.25">
      <c r="A14753" s="108" t="s">
        <v>10166</v>
      </c>
    </row>
    <row r="14754" spans="1:1" x14ac:dyDescent="0.25">
      <c r="A14754" s="108" t="s">
        <v>10167</v>
      </c>
    </row>
    <row r="14755" spans="1:1" x14ac:dyDescent="0.25">
      <c r="A14755" s="29" t="s">
        <v>10168</v>
      </c>
    </row>
    <row r="14756" spans="1:1" x14ac:dyDescent="0.25">
      <c r="A14756" s="76" t="s">
        <v>10169</v>
      </c>
    </row>
    <row r="14757" spans="1:1" x14ac:dyDescent="0.25">
      <c r="A14757" s="29" t="s">
        <v>10170</v>
      </c>
    </row>
    <row r="14758" spans="1:1" x14ac:dyDescent="0.25">
      <c r="A14758" s="76" t="s">
        <v>10171</v>
      </c>
    </row>
    <row r="14759" spans="1:1" x14ac:dyDescent="0.25">
      <c r="A14759" s="29" t="s">
        <v>10172</v>
      </c>
    </row>
    <row r="14760" spans="1:1" x14ac:dyDescent="0.25">
      <c r="A14760" s="76" t="s">
        <v>10173</v>
      </c>
    </row>
    <row r="14761" spans="1:1" x14ac:dyDescent="0.25">
      <c r="A14761" s="29" t="s">
        <v>10174</v>
      </c>
    </row>
    <row r="14762" spans="1:1" x14ac:dyDescent="0.25">
      <c r="A14762" s="76" t="s">
        <v>10175</v>
      </c>
    </row>
    <row r="14763" spans="1:1" x14ac:dyDescent="0.25">
      <c r="A14763" s="29" t="s">
        <v>10176</v>
      </c>
    </row>
    <row r="14764" spans="1:1" x14ac:dyDescent="0.25">
      <c r="A14764" s="76" t="s">
        <v>10177</v>
      </c>
    </row>
    <row r="14765" spans="1:1" x14ac:dyDescent="0.25">
      <c r="A14765" s="29" t="s">
        <v>10178</v>
      </c>
    </row>
    <row r="14766" spans="1:1" x14ac:dyDescent="0.25">
      <c r="A14766" s="76" t="s">
        <v>10179</v>
      </c>
    </row>
    <row r="14767" spans="1:1" x14ac:dyDescent="0.25">
      <c r="A14767" s="29" t="s">
        <v>10180</v>
      </c>
    </row>
    <row r="14768" spans="1:1" x14ac:dyDescent="0.25">
      <c r="A14768" s="76" t="s">
        <v>10181</v>
      </c>
    </row>
    <row r="14769" spans="1:1" x14ac:dyDescent="0.25">
      <c r="A14769" s="29" t="s">
        <v>10182</v>
      </c>
    </row>
    <row r="14770" spans="1:1" x14ac:dyDescent="0.25">
      <c r="A14770" s="76" t="s">
        <v>10183</v>
      </c>
    </row>
    <row r="14771" spans="1:1" x14ac:dyDescent="0.25">
      <c r="A14771" s="29" t="s">
        <v>10184</v>
      </c>
    </row>
    <row r="14772" spans="1:1" x14ac:dyDescent="0.25">
      <c r="A14772" s="76" t="s">
        <v>10185</v>
      </c>
    </row>
    <row r="14773" spans="1:1" x14ac:dyDescent="0.25">
      <c r="A14773" s="29" t="s">
        <v>10186</v>
      </c>
    </row>
    <row r="14774" spans="1:1" x14ac:dyDescent="0.25">
      <c r="A14774" s="76" t="s">
        <v>10187</v>
      </c>
    </row>
    <row r="14775" spans="1:1" x14ac:dyDescent="0.25">
      <c r="A14775" s="29" t="s">
        <v>10188</v>
      </c>
    </row>
    <row r="14776" spans="1:1" x14ac:dyDescent="0.25">
      <c r="A14776" s="76" t="s">
        <v>10189</v>
      </c>
    </row>
    <row r="14777" spans="1:1" x14ac:dyDescent="0.25">
      <c r="A14777" s="29" t="s">
        <v>10190</v>
      </c>
    </row>
    <row r="14778" spans="1:1" x14ac:dyDescent="0.25">
      <c r="A14778" s="108" t="s">
        <v>10191</v>
      </c>
    </row>
    <row r="14779" spans="1:1" x14ac:dyDescent="0.25">
      <c r="A14779" s="76" t="s">
        <v>10192</v>
      </c>
    </row>
    <row r="14780" spans="1:1" x14ac:dyDescent="0.25">
      <c r="A14780" s="76" t="s">
        <v>10193</v>
      </c>
    </row>
    <row r="14781" spans="1:1" x14ac:dyDescent="0.25">
      <c r="A14781" s="29" t="s">
        <v>10194</v>
      </c>
    </row>
    <row r="14782" spans="1:1" x14ac:dyDescent="0.25">
      <c r="A14782" s="76" t="s">
        <v>10195</v>
      </c>
    </row>
    <row r="14783" spans="1:1" x14ac:dyDescent="0.25">
      <c r="A14783" s="29" t="s">
        <v>10196</v>
      </c>
    </row>
    <row r="14784" spans="1:1" x14ac:dyDescent="0.25">
      <c r="A14784" s="76" t="s">
        <v>10197</v>
      </c>
    </row>
    <row r="14785" spans="1:1" x14ac:dyDescent="0.25">
      <c r="A14785" s="29" t="s">
        <v>10198</v>
      </c>
    </row>
    <row r="14786" spans="1:1" x14ac:dyDescent="0.25">
      <c r="A14786" s="76" t="s">
        <v>10199</v>
      </c>
    </row>
    <row r="14787" spans="1:1" x14ac:dyDescent="0.25">
      <c r="A14787" s="29" t="s">
        <v>10200</v>
      </c>
    </row>
    <row r="14788" spans="1:1" x14ac:dyDescent="0.25">
      <c r="A14788" s="76" t="s">
        <v>10201</v>
      </c>
    </row>
    <row r="14789" spans="1:1" x14ac:dyDescent="0.25">
      <c r="A14789" s="29" t="s">
        <v>10202</v>
      </c>
    </row>
    <row r="14790" spans="1:1" x14ac:dyDescent="0.25">
      <c r="A14790" s="76" t="s">
        <v>10203</v>
      </c>
    </row>
    <row r="14791" spans="1:1" x14ac:dyDescent="0.25">
      <c r="A14791" s="29" t="s">
        <v>10204</v>
      </c>
    </row>
    <row r="14792" spans="1:1" x14ac:dyDescent="0.25">
      <c r="A14792" s="76" t="s">
        <v>10205</v>
      </c>
    </row>
    <row r="14793" spans="1:1" x14ac:dyDescent="0.25">
      <c r="A14793" s="29" t="s">
        <v>10206</v>
      </c>
    </row>
    <row r="14794" spans="1:1" x14ac:dyDescent="0.25">
      <c r="A14794" s="76" t="s">
        <v>10207</v>
      </c>
    </row>
    <row r="14795" spans="1:1" x14ac:dyDescent="0.25">
      <c r="A14795" s="29" t="s">
        <v>10208</v>
      </c>
    </row>
    <row r="14796" spans="1:1" x14ac:dyDescent="0.25">
      <c r="A14796" s="108" t="s">
        <v>10209</v>
      </c>
    </row>
    <row r="14797" spans="1:1" x14ac:dyDescent="0.25">
      <c r="A14797" s="76" t="s">
        <v>10210</v>
      </c>
    </row>
    <row r="14798" spans="1:1" x14ac:dyDescent="0.25">
      <c r="A14798" s="76" t="s">
        <v>10211</v>
      </c>
    </row>
    <row r="14799" spans="1:1" x14ac:dyDescent="0.25">
      <c r="A14799" s="29" t="s">
        <v>10212</v>
      </c>
    </row>
    <row r="14800" spans="1:1" x14ac:dyDescent="0.25">
      <c r="A14800" s="76" t="s">
        <v>10213</v>
      </c>
    </row>
    <row r="14801" spans="1:1" x14ac:dyDescent="0.25">
      <c r="A14801" s="29" t="s">
        <v>10214</v>
      </c>
    </row>
    <row r="14802" spans="1:1" x14ac:dyDescent="0.25">
      <c r="A14802" s="76" t="s">
        <v>10215</v>
      </c>
    </row>
    <row r="14803" spans="1:1" x14ac:dyDescent="0.25">
      <c r="A14803" s="29" t="s">
        <v>10216</v>
      </c>
    </row>
    <row r="14804" spans="1:1" x14ac:dyDescent="0.25">
      <c r="A14804" s="76" t="s">
        <v>10217</v>
      </c>
    </row>
    <row r="14805" spans="1:1" x14ac:dyDescent="0.25">
      <c r="A14805" s="29" t="s">
        <v>10218</v>
      </c>
    </row>
    <row r="14806" spans="1:1" x14ac:dyDescent="0.25">
      <c r="A14806" s="76" t="s">
        <v>10219</v>
      </c>
    </row>
    <row r="14807" spans="1:1" x14ac:dyDescent="0.25">
      <c r="A14807" s="29" t="s">
        <v>10220</v>
      </c>
    </row>
    <row r="14808" spans="1:1" x14ac:dyDescent="0.25">
      <c r="A14808" s="76" t="s">
        <v>10221</v>
      </c>
    </row>
    <row r="14809" spans="1:1" x14ac:dyDescent="0.25">
      <c r="A14809" s="29" t="s">
        <v>10222</v>
      </c>
    </row>
    <row r="14810" spans="1:1" x14ac:dyDescent="0.25">
      <c r="A14810" s="76" t="s">
        <v>10223</v>
      </c>
    </row>
    <row r="14811" spans="1:1" x14ac:dyDescent="0.25">
      <c r="A14811" s="29" t="s">
        <v>10224</v>
      </c>
    </row>
    <row r="14812" spans="1:1" x14ac:dyDescent="0.25">
      <c r="A14812" s="76" t="s">
        <v>10225</v>
      </c>
    </row>
    <row r="14813" spans="1:1" x14ac:dyDescent="0.25">
      <c r="A14813" s="29" t="s">
        <v>10226</v>
      </c>
    </row>
    <row r="14814" spans="1:1" x14ac:dyDescent="0.25">
      <c r="A14814" s="76" t="s">
        <v>10227</v>
      </c>
    </row>
    <row r="14815" spans="1:1" x14ac:dyDescent="0.25">
      <c r="A14815" s="29" t="s">
        <v>10228</v>
      </c>
    </row>
    <row r="14816" spans="1:1" x14ac:dyDescent="0.25">
      <c r="A14816" s="76" t="s">
        <v>10229</v>
      </c>
    </row>
    <row r="14817" spans="1:1" x14ac:dyDescent="0.25">
      <c r="A14817" s="29" t="s">
        <v>10230</v>
      </c>
    </row>
    <row r="14818" spans="1:1" x14ac:dyDescent="0.25">
      <c r="A14818" s="76" t="s">
        <v>10231</v>
      </c>
    </row>
    <row r="14819" spans="1:1" x14ac:dyDescent="0.25">
      <c r="A14819" s="29" t="s">
        <v>10232</v>
      </c>
    </row>
    <row r="14820" spans="1:1" x14ac:dyDescent="0.25">
      <c r="A14820" s="76" t="s">
        <v>10233</v>
      </c>
    </row>
    <row r="14821" spans="1:1" x14ac:dyDescent="0.25">
      <c r="A14821" s="29" t="s">
        <v>10234</v>
      </c>
    </row>
    <row r="14822" spans="1:1" x14ac:dyDescent="0.25">
      <c r="A14822" s="76" t="s">
        <v>10235</v>
      </c>
    </row>
    <row r="14823" spans="1:1" x14ac:dyDescent="0.25">
      <c r="A14823" s="29" t="s">
        <v>10236</v>
      </c>
    </row>
    <row r="14824" spans="1:1" x14ac:dyDescent="0.25">
      <c r="A14824" s="76" t="s">
        <v>10237</v>
      </c>
    </row>
    <row r="14825" spans="1:1" x14ac:dyDescent="0.25">
      <c r="A14825" s="29" t="s">
        <v>10238</v>
      </c>
    </row>
    <row r="14826" spans="1:1" x14ac:dyDescent="0.25">
      <c r="A14826" s="76" t="s">
        <v>10239</v>
      </c>
    </row>
    <row r="14827" spans="1:1" x14ac:dyDescent="0.25">
      <c r="A14827" s="29" t="s">
        <v>10240</v>
      </c>
    </row>
    <row r="14828" spans="1:1" x14ac:dyDescent="0.25">
      <c r="A14828" s="108" t="s">
        <v>10241</v>
      </c>
    </row>
    <row r="14829" spans="1:1" x14ac:dyDescent="0.25">
      <c r="A14829" s="76" t="s">
        <v>10242</v>
      </c>
    </row>
    <row r="14830" spans="1:1" x14ac:dyDescent="0.25">
      <c r="A14830" s="76" t="s">
        <v>10243</v>
      </c>
    </row>
    <row r="14831" spans="1:1" x14ac:dyDescent="0.25">
      <c r="A14831" s="29" t="s">
        <v>10244</v>
      </c>
    </row>
    <row r="14832" spans="1:1" x14ac:dyDescent="0.25">
      <c r="A14832" s="76" t="s">
        <v>10245</v>
      </c>
    </row>
    <row r="14833" spans="1:1" x14ac:dyDescent="0.25">
      <c r="A14833" s="29" t="s">
        <v>10246</v>
      </c>
    </row>
    <row r="14834" spans="1:1" x14ac:dyDescent="0.25">
      <c r="A14834" s="76" t="s">
        <v>10247</v>
      </c>
    </row>
    <row r="14835" spans="1:1" x14ac:dyDescent="0.25">
      <c r="A14835" s="29" t="s">
        <v>10248</v>
      </c>
    </row>
    <row r="14836" spans="1:1" x14ac:dyDescent="0.25">
      <c r="A14836" s="108" t="s">
        <v>10249</v>
      </c>
    </row>
    <row r="14837" spans="1:1" x14ac:dyDescent="0.25">
      <c r="A14837" s="76" t="s">
        <v>10250</v>
      </c>
    </row>
    <row r="14838" spans="1:1" x14ac:dyDescent="0.25">
      <c r="A14838" s="76" t="s">
        <v>10251</v>
      </c>
    </row>
    <row r="14839" spans="1:1" x14ac:dyDescent="0.25">
      <c r="A14839" s="29" t="s">
        <v>10252</v>
      </c>
    </row>
    <row r="14840" spans="1:1" x14ac:dyDescent="0.25">
      <c r="A14840" s="76" t="s">
        <v>10253</v>
      </c>
    </row>
    <row r="14841" spans="1:1" x14ac:dyDescent="0.25">
      <c r="A14841" s="29" t="s">
        <v>10254</v>
      </c>
    </row>
    <row r="14842" spans="1:1" x14ac:dyDescent="0.25">
      <c r="A14842" s="76" t="s">
        <v>10255</v>
      </c>
    </row>
    <row r="14843" spans="1:1" x14ac:dyDescent="0.25">
      <c r="A14843" s="29" t="s">
        <v>10256</v>
      </c>
    </row>
    <row r="14844" spans="1:1" x14ac:dyDescent="0.25">
      <c r="A14844" s="76" t="s">
        <v>10257</v>
      </c>
    </row>
    <row r="14845" spans="1:1" x14ac:dyDescent="0.25">
      <c r="A14845" s="29" t="s">
        <v>10258</v>
      </c>
    </row>
    <row r="14846" spans="1:1" x14ac:dyDescent="0.25">
      <c r="A14846" s="76" t="s">
        <v>10259</v>
      </c>
    </row>
    <row r="14847" spans="1:1" x14ac:dyDescent="0.25">
      <c r="A14847" s="29" t="s">
        <v>10260</v>
      </c>
    </row>
    <row r="14848" spans="1:1" x14ac:dyDescent="0.25">
      <c r="A14848" s="76" t="s">
        <v>10261</v>
      </c>
    </row>
    <row r="14849" spans="1:1" x14ac:dyDescent="0.25">
      <c r="A14849" s="29" t="s">
        <v>10262</v>
      </c>
    </row>
    <row r="14850" spans="1:1" x14ac:dyDescent="0.25">
      <c r="A14850" s="76" t="s">
        <v>10263</v>
      </c>
    </row>
    <row r="14851" spans="1:1" x14ac:dyDescent="0.25">
      <c r="A14851" s="29" t="s">
        <v>10264</v>
      </c>
    </row>
    <row r="14852" spans="1:1" x14ac:dyDescent="0.25">
      <c r="A14852" s="76" t="s">
        <v>10265</v>
      </c>
    </row>
    <row r="14853" spans="1:1" x14ac:dyDescent="0.25">
      <c r="A14853" s="29" t="s">
        <v>10266</v>
      </c>
    </row>
    <row r="14854" spans="1:1" x14ac:dyDescent="0.25">
      <c r="A14854" s="76" t="s">
        <v>10267</v>
      </c>
    </row>
    <row r="14855" spans="1:1" x14ac:dyDescent="0.25">
      <c r="A14855" s="29" t="s">
        <v>10268</v>
      </c>
    </row>
    <row r="14856" spans="1:1" x14ac:dyDescent="0.25">
      <c r="A14856" s="76" t="s">
        <v>10269</v>
      </c>
    </row>
    <row r="14857" spans="1:1" x14ac:dyDescent="0.25">
      <c r="A14857" s="29" t="s">
        <v>10270</v>
      </c>
    </row>
    <row r="14858" spans="1:1" x14ac:dyDescent="0.25">
      <c r="A14858" s="108" t="s">
        <v>10271</v>
      </c>
    </row>
    <row r="14859" spans="1:1" x14ac:dyDescent="0.25">
      <c r="A14859" s="76" t="s">
        <v>10272</v>
      </c>
    </row>
    <row r="14860" spans="1:1" x14ac:dyDescent="0.25">
      <c r="A14860" s="76" t="s">
        <v>10273</v>
      </c>
    </row>
    <row r="14861" spans="1:1" x14ac:dyDescent="0.25">
      <c r="A14861" s="29" t="s">
        <v>10274</v>
      </c>
    </row>
    <row r="14862" spans="1:1" x14ac:dyDescent="0.25">
      <c r="A14862" s="76" t="s">
        <v>10275</v>
      </c>
    </row>
    <row r="14863" spans="1:1" x14ac:dyDescent="0.25">
      <c r="A14863" s="29" t="s">
        <v>10276</v>
      </c>
    </row>
    <row r="14864" spans="1:1" x14ac:dyDescent="0.25">
      <c r="A14864" s="76" t="s">
        <v>10277</v>
      </c>
    </row>
    <row r="14865" spans="1:1" x14ac:dyDescent="0.25">
      <c r="A14865" s="29" t="s">
        <v>10278</v>
      </c>
    </row>
    <row r="14866" spans="1:1" x14ac:dyDescent="0.25">
      <c r="A14866" s="76" t="s">
        <v>10279</v>
      </c>
    </row>
    <row r="14867" spans="1:1" x14ac:dyDescent="0.25">
      <c r="A14867" s="29" t="s">
        <v>10280</v>
      </c>
    </row>
    <row r="14868" spans="1:1" x14ac:dyDescent="0.25">
      <c r="A14868" s="76" t="s">
        <v>10281</v>
      </c>
    </row>
    <row r="14869" spans="1:1" x14ac:dyDescent="0.25">
      <c r="A14869" s="29" t="s">
        <v>10282</v>
      </c>
    </row>
    <row r="14870" spans="1:1" x14ac:dyDescent="0.25">
      <c r="A14870" s="108" t="s">
        <v>10283</v>
      </c>
    </row>
    <row r="14871" spans="1:1" x14ac:dyDescent="0.25">
      <c r="A14871" s="76" t="s">
        <v>10284</v>
      </c>
    </row>
    <row r="14872" spans="1:1" x14ac:dyDescent="0.25">
      <c r="A14872" s="76" t="s">
        <v>10285</v>
      </c>
    </row>
    <row r="14873" spans="1:1" x14ac:dyDescent="0.25">
      <c r="A14873" s="76" t="s">
        <v>10286</v>
      </c>
    </row>
    <row r="14874" spans="1:1" x14ac:dyDescent="0.25">
      <c r="A14874" s="76" t="s">
        <v>10287</v>
      </c>
    </row>
    <row r="14875" spans="1:1" x14ac:dyDescent="0.25">
      <c r="A14875" s="108" t="s">
        <v>10288</v>
      </c>
    </row>
    <row r="14876" spans="1:1" x14ac:dyDescent="0.25">
      <c r="A14876" s="108" t="s">
        <v>10289</v>
      </c>
    </row>
    <row r="14877" spans="1:1" x14ac:dyDescent="0.25">
      <c r="A14877" s="29" t="s">
        <v>10290</v>
      </c>
    </row>
    <row r="14878" spans="1:1" x14ac:dyDescent="0.25">
      <c r="A14878" s="76" t="s">
        <v>10291</v>
      </c>
    </row>
    <row r="14879" spans="1:1" x14ac:dyDescent="0.25">
      <c r="A14879" s="29" t="s">
        <v>10292</v>
      </c>
    </row>
    <row r="14880" spans="1:1" x14ac:dyDescent="0.25">
      <c r="A14880" s="76" t="s">
        <v>10293</v>
      </c>
    </row>
    <row r="14881" spans="1:1" x14ac:dyDescent="0.25">
      <c r="A14881" s="76" t="s">
        <v>10294</v>
      </c>
    </row>
    <row r="14882" spans="1:1" x14ac:dyDescent="0.25">
      <c r="A14882" s="76" t="s">
        <v>10295</v>
      </c>
    </row>
    <row r="14883" spans="1:1" x14ac:dyDescent="0.25">
      <c r="A14883" s="108" t="s">
        <v>10296</v>
      </c>
    </row>
    <row r="14884" spans="1:1" x14ac:dyDescent="0.25">
      <c r="A14884" s="108" t="s">
        <v>10297</v>
      </c>
    </row>
    <row r="14885" spans="1:1" x14ac:dyDescent="0.25">
      <c r="A14885" s="29" t="s">
        <v>10298</v>
      </c>
    </row>
    <row r="14886" spans="1:1" x14ac:dyDescent="0.25">
      <c r="A14886" s="76" t="s">
        <v>10299</v>
      </c>
    </row>
    <row r="14887" spans="1:1" x14ac:dyDescent="0.25">
      <c r="A14887" s="29" t="s">
        <v>10300</v>
      </c>
    </row>
    <row r="14888" spans="1:1" x14ac:dyDescent="0.25">
      <c r="A14888" s="76" t="s">
        <v>10301</v>
      </c>
    </row>
    <row r="14889" spans="1:1" x14ac:dyDescent="0.25">
      <c r="A14889" s="76" t="s">
        <v>10302</v>
      </c>
    </row>
    <row r="14890" spans="1:1" x14ac:dyDescent="0.25">
      <c r="A14890" s="76" t="s">
        <v>10303</v>
      </c>
    </row>
    <row r="14891" spans="1:1" x14ac:dyDescent="0.25">
      <c r="A14891" s="108" t="s">
        <v>10304</v>
      </c>
    </row>
    <row r="14892" spans="1:1" x14ac:dyDescent="0.25">
      <c r="A14892" s="108" t="s">
        <v>10305</v>
      </c>
    </row>
    <row r="14893" spans="1:1" x14ac:dyDescent="0.25">
      <c r="A14893" s="29" t="s">
        <v>10306</v>
      </c>
    </row>
    <row r="14894" spans="1:1" x14ac:dyDescent="0.25">
      <c r="A14894" s="76" t="s">
        <v>10307</v>
      </c>
    </row>
    <row r="14895" spans="1:1" x14ac:dyDescent="0.25">
      <c r="A14895" s="29" t="s">
        <v>10308</v>
      </c>
    </row>
    <row r="14896" spans="1:1" x14ac:dyDescent="0.25">
      <c r="A14896" s="76" t="s">
        <v>10309</v>
      </c>
    </row>
    <row r="14897" spans="1:1" x14ac:dyDescent="0.25">
      <c r="A14897" s="76" t="s">
        <v>10310</v>
      </c>
    </row>
    <row r="14898" spans="1:1" x14ac:dyDescent="0.25">
      <c r="A14898" s="76" t="s">
        <v>10311</v>
      </c>
    </row>
    <row r="14899" spans="1:1" x14ac:dyDescent="0.25">
      <c r="A14899" s="108" t="s">
        <v>10312</v>
      </c>
    </row>
    <row r="14900" spans="1:1" x14ac:dyDescent="0.25">
      <c r="A14900" s="108" t="s">
        <v>10313</v>
      </c>
    </row>
    <row r="14901" spans="1:1" x14ac:dyDescent="0.25">
      <c r="A14901" s="29" t="s">
        <v>10314</v>
      </c>
    </row>
    <row r="14902" spans="1:1" x14ac:dyDescent="0.25">
      <c r="A14902" s="76" t="s">
        <v>10315</v>
      </c>
    </row>
    <row r="14903" spans="1:1" x14ac:dyDescent="0.25">
      <c r="A14903" s="29" t="s">
        <v>10316</v>
      </c>
    </row>
    <row r="14904" spans="1:1" x14ac:dyDescent="0.25">
      <c r="A14904" s="76" t="s">
        <v>10317</v>
      </c>
    </row>
    <row r="14905" spans="1:1" x14ac:dyDescent="0.25">
      <c r="A14905" s="76" t="s">
        <v>10318</v>
      </c>
    </row>
    <row r="14906" spans="1:1" x14ac:dyDescent="0.25">
      <c r="A14906" s="76" t="s">
        <v>10319</v>
      </c>
    </row>
    <row r="14907" spans="1:1" x14ac:dyDescent="0.25">
      <c r="A14907" s="108" t="s">
        <v>10320</v>
      </c>
    </row>
    <row r="14908" spans="1:1" x14ac:dyDescent="0.25">
      <c r="A14908" s="108" t="s">
        <v>10321</v>
      </c>
    </row>
    <row r="14909" spans="1:1" x14ac:dyDescent="0.25">
      <c r="A14909" s="29" t="s">
        <v>10322</v>
      </c>
    </row>
    <row r="14910" spans="1:1" x14ac:dyDescent="0.25">
      <c r="A14910" s="76" t="s">
        <v>10323</v>
      </c>
    </row>
    <row r="14911" spans="1:1" x14ac:dyDescent="0.25">
      <c r="A14911" s="29" t="s">
        <v>10324</v>
      </c>
    </row>
    <row r="14912" spans="1:1" x14ac:dyDescent="0.25">
      <c r="A14912" s="76" t="s">
        <v>10325</v>
      </c>
    </row>
    <row r="14913" spans="1:1" x14ac:dyDescent="0.25">
      <c r="A14913" s="76" t="s">
        <v>10326</v>
      </c>
    </row>
    <row r="14914" spans="1:1" x14ac:dyDescent="0.25">
      <c r="A14914" s="76" t="s">
        <v>10327</v>
      </c>
    </row>
    <row r="14915" spans="1:1" x14ac:dyDescent="0.25">
      <c r="A14915" s="108" t="s">
        <v>10328</v>
      </c>
    </row>
    <row r="14916" spans="1:1" x14ac:dyDescent="0.25">
      <c r="A14916" s="108" t="s">
        <v>10329</v>
      </c>
    </row>
    <row r="14917" spans="1:1" x14ac:dyDescent="0.25">
      <c r="A14917" s="29" t="s">
        <v>10330</v>
      </c>
    </row>
    <row r="14918" spans="1:1" x14ac:dyDescent="0.25">
      <c r="A14918" s="76" t="s">
        <v>10331</v>
      </c>
    </row>
    <row r="14919" spans="1:1" x14ac:dyDescent="0.25">
      <c r="A14919" s="29" t="s">
        <v>10332</v>
      </c>
    </row>
    <row r="14920" spans="1:1" x14ac:dyDescent="0.25">
      <c r="A14920" s="76" t="s">
        <v>10333</v>
      </c>
    </row>
    <row r="14921" spans="1:1" x14ac:dyDescent="0.25">
      <c r="A14921" s="29" t="s">
        <v>10334</v>
      </c>
    </row>
    <row r="14922" spans="1:1" x14ac:dyDescent="0.25">
      <c r="A14922" s="76" t="s">
        <v>10335</v>
      </c>
    </row>
    <row r="14923" spans="1:1" x14ac:dyDescent="0.25">
      <c r="A14923" s="29" t="s">
        <v>10336</v>
      </c>
    </row>
    <row r="14924" spans="1:1" x14ac:dyDescent="0.25">
      <c r="A14924" s="76" t="s">
        <v>10337</v>
      </c>
    </row>
    <row r="14925" spans="1:1" x14ac:dyDescent="0.25">
      <c r="A14925" s="29" t="s">
        <v>10338</v>
      </c>
    </row>
    <row r="14926" spans="1:1" x14ac:dyDescent="0.25">
      <c r="A14926" s="76" t="s">
        <v>10339</v>
      </c>
    </row>
    <row r="14927" spans="1:1" x14ac:dyDescent="0.25">
      <c r="A14927" s="29" t="s">
        <v>10340</v>
      </c>
    </row>
    <row r="14928" spans="1:1" x14ac:dyDescent="0.25">
      <c r="A14928" s="76" t="s">
        <v>10341</v>
      </c>
    </row>
    <row r="14929" spans="1:1" x14ac:dyDescent="0.25">
      <c r="A14929" s="29" t="s">
        <v>10342</v>
      </c>
    </row>
    <row r="14930" spans="1:1" x14ac:dyDescent="0.25">
      <c r="A14930" s="76" t="s">
        <v>10343</v>
      </c>
    </row>
    <row r="14931" spans="1:1" x14ac:dyDescent="0.25">
      <c r="A14931" s="29" t="s">
        <v>10344</v>
      </c>
    </row>
    <row r="14932" spans="1:1" x14ac:dyDescent="0.25">
      <c r="A14932" s="76" t="s">
        <v>10345</v>
      </c>
    </row>
    <row r="14933" spans="1:1" x14ac:dyDescent="0.25">
      <c r="A14933" s="29" t="s">
        <v>10346</v>
      </c>
    </row>
    <row r="14934" spans="1:1" x14ac:dyDescent="0.25">
      <c r="A14934" s="108" t="s">
        <v>10347</v>
      </c>
    </row>
    <row r="14935" spans="1:1" x14ac:dyDescent="0.25">
      <c r="A14935" s="76" t="s">
        <v>10348</v>
      </c>
    </row>
    <row r="14936" spans="1:1" x14ac:dyDescent="0.25">
      <c r="A14936" s="76" t="s">
        <v>10349</v>
      </c>
    </row>
    <row r="14937" spans="1:1" x14ac:dyDescent="0.25">
      <c r="A14937" s="29" t="s">
        <v>10350</v>
      </c>
    </row>
    <row r="14938" spans="1:1" x14ac:dyDescent="0.25">
      <c r="A14938" s="76" t="s">
        <v>10351</v>
      </c>
    </row>
    <row r="14939" spans="1:1" x14ac:dyDescent="0.25">
      <c r="A14939" s="29" t="s">
        <v>10352</v>
      </c>
    </row>
    <row r="14940" spans="1:1" x14ac:dyDescent="0.25">
      <c r="A14940" s="76" t="s">
        <v>10353</v>
      </c>
    </row>
    <row r="14941" spans="1:1" x14ac:dyDescent="0.25">
      <c r="A14941" s="29" t="s">
        <v>10354</v>
      </c>
    </row>
    <row r="14942" spans="1:1" x14ac:dyDescent="0.25">
      <c r="A14942" s="76" t="s">
        <v>10355</v>
      </c>
    </row>
    <row r="14943" spans="1:1" x14ac:dyDescent="0.25">
      <c r="A14943" s="29" t="s">
        <v>10356</v>
      </c>
    </row>
    <row r="14944" spans="1:1" x14ac:dyDescent="0.25">
      <c r="A14944" s="76" t="s">
        <v>10357</v>
      </c>
    </row>
    <row r="14945" spans="1:1" x14ac:dyDescent="0.25">
      <c r="A14945" s="29" t="s">
        <v>10358</v>
      </c>
    </row>
    <row r="14946" spans="1:1" x14ac:dyDescent="0.25">
      <c r="A14946" s="76" t="s">
        <v>10359</v>
      </c>
    </row>
    <row r="14947" spans="1:1" x14ac:dyDescent="0.25">
      <c r="A14947" s="29" t="s">
        <v>10360</v>
      </c>
    </row>
    <row r="14948" spans="1:1" x14ac:dyDescent="0.25">
      <c r="A14948" s="76" t="s">
        <v>10361</v>
      </c>
    </row>
    <row r="14949" spans="1:1" x14ac:dyDescent="0.25">
      <c r="A14949" s="29" t="s">
        <v>10362</v>
      </c>
    </row>
    <row r="14950" spans="1:1" x14ac:dyDescent="0.25">
      <c r="A14950" s="76" t="s">
        <v>10363</v>
      </c>
    </row>
    <row r="14951" spans="1:1" x14ac:dyDescent="0.25">
      <c r="A14951" s="29" t="s">
        <v>10364</v>
      </c>
    </row>
    <row r="14952" spans="1:1" x14ac:dyDescent="0.25">
      <c r="A14952" s="76" t="s">
        <v>10365</v>
      </c>
    </row>
    <row r="14953" spans="1:1" x14ac:dyDescent="0.25">
      <c r="A14953" s="29" t="s">
        <v>10366</v>
      </c>
    </row>
    <row r="14954" spans="1:1" x14ac:dyDescent="0.25">
      <c r="A14954" s="76" t="s">
        <v>10367</v>
      </c>
    </row>
    <row r="14955" spans="1:1" x14ac:dyDescent="0.25">
      <c r="A14955" s="29" t="s">
        <v>10368</v>
      </c>
    </row>
    <row r="14956" spans="1:1" x14ac:dyDescent="0.25">
      <c r="A14956" s="76" t="s">
        <v>10369</v>
      </c>
    </row>
    <row r="14957" spans="1:1" x14ac:dyDescent="0.25">
      <c r="A14957" s="29" t="s">
        <v>10370</v>
      </c>
    </row>
    <row r="14958" spans="1:1" x14ac:dyDescent="0.25">
      <c r="A14958" s="76" t="s">
        <v>10371</v>
      </c>
    </row>
    <row r="14959" spans="1:1" x14ac:dyDescent="0.25">
      <c r="A14959" s="29" t="s">
        <v>10372</v>
      </c>
    </row>
    <row r="14960" spans="1:1" x14ac:dyDescent="0.25">
      <c r="A14960" s="76" t="s">
        <v>10373</v>
      </c>
    </row>
    <row r="14961" spans="1:1" x14ac:dyDescent="0.25">
      <c r="A14961" s="29" t="s">
        <v>10374</v>
      </c>
    </row>
    <row r="14962" spans="1:1" x14ac:dyDescent="0.25">
      <c r="A14962" s="76" t="s">
        <v>10375</v>
      </c>
    </row>
    <row r="14963" spans="1:1" x14ac:dyDescent="0.25">
      <c r="A14963" s="29" t="s">
        <v>10376</v>
      </c>
    </row>
    <row r="14964" spans="1:1" x14ac:dyDescent="0.25">
      <c r="A14964" s="76" t="s">
        <v>10377</v>
      </c>
    </row>
    <row r="14965" spans="1:1" x14ac:dyDescent="0.25">
      <c r="A14965" s="29" t="s">
        <v>10378</v>
      </c>
    </row>
    <row r="14966" spans="1:1" x14ac:dyDescent="0.25">
      <c r="A14966" s="76" t="s">
        <v>10379</v>
      </c>
    </row>
    <row r="14967" spans="1:1" x14ac:dyDescent="0.25">
      <c r="A14967" s="29" t="s">
        <v>10380</v>
      </c>
    </row>
    <row r="14968" spans="1:1" x14ac:dyDescent="0.25">
      <c r="A14968" s="76" t="s">
        <v>10381</v>
      </c>
    </row>
    <row r="14969" spans="1:1" x14ac:dyDescent="0.25">
      <c r="A14969" s="29" t="s">
        <v>10382</v>
      </c>
    </row>
    <row r="14970" spans="1:1" x14ac:dyDescent="0.25">
      <c r="A14970" s="108" t="s">
        <v>10383</v>
      </c>
    </row>
    <row r="14971" spans="1:1" x14ac:dyDescent="0.25">
      <c r="A14971" s="76" t="s">
        <v>10384</v>
      </c>
    </row>
    <row r="14972" spans="1:1" x14ac:dyDescent="0.25">
      <c r="A14972" s="76" t="s">
        <v>10385</v>
      </c>
    </row>
    <row r="14973" spans="1:1" x14ac:dyDescent="0.25">
      <c r="A14973" s="29" t="s">
        <v>10386</v>
      </c>
    </row>
    <row r="14974" spans="1:1" x14ac:dyDescent="0.25">
      <c r="A14974" s="76" t="s">
        <v>10387</v>
      </c>
    </row>
    <row r="14975" spans="1:1" x14ac:dyDescent="0.25">
      <c r="A14975" s="29" t="s">
        <v>10388</v>
      </c>
    </row>
    <row r="14976" spans="1:1" x14ac:dyDescent="0.25">
      <c r="A14976" s="76" t="s">
        <v>10389</v>
      </c>
    </row>
    <row r="14977" spans="1:1" x14ac:dyDescent="0.25">
      <c r="A14977" s="29" t="s">
        <v>10390</v>
      </c>
    </row>
    <row r="14978" spans="1:1" x14ac:dyDescent="0.25">
      <c r="A14978" s="76" t="s">
        <v>10391</v>
      </c>
    </row>
    <row r="14979" spans="1:1" x14ac:dyDescent="0.25">
      <c r="A14979" s="29" t="s">
        <v>10392</v>
      </c>
    </row>
    <row r="14980" spans="1:1" x14ac:dyDescent="0.25">
      <c r="A14980" s="76" t="s">
        <v>10393</v>
      </c>
    </row>
    <row r="14981" spans="1:1" x14ac:dyDescent="0.25">
      <c r="A14981" s="29" t="s">
        <v>10394</v>
      </c>
    </row>
    <row r="14982" spans="1:1" x14ac:dyDescent="0.25">
      <c r="A14982" s="108" t="s">
        <v>10395</v>
      </c>
    </row>
    <row r="14983" spans="1:1" x14ac:dyDescent="0.25">
      <c r="A14983" s="76" t="s">
        <v>10396</v>
      </c>
    </row>
    <row r="14984" spans="1:1" x14ac:dyDescent="0.25">
      <c r="A14984" s="108" t="s">
        <v>10397</v>
      </c>
    </row>
    <row r="14985" spans="1:1" x14ac:dyDescent="0.25">
      <c r="A14985" s="76" t="s">
        <v>10398</v>
      </c>
    </row>
    <row r="14986" spans="1:1" x14ac:dyDescent="0.25">
      <c r="A14986" s="108" t="s">
        <v>10399</v>
      </c>
    </row>
    <row r="14987" spans="1:1" x14ac:dyDescent="0.25">
      <c r="A14987" s="76" t="s">
        <v>10400</v>
      </c>
    </row>
    <row r="14988" spans="1:1" x14ac:dyDescent="0.25">
      <c r="A14988" s="108" t="s">
        <v>10401</v>
      </c>
    </row>
    <row r="14989" spans="1:1" x14ac:dyDescent="0.25">
      <c r="A14989" s="76" t="s">
        <v>10402</v>
      </c>
    </row>
    <row r="14990" spans="1:1" x14ac:dyDescent="0.25">
      <c r="A14990" s="108" t="s">
        <v>10403</v>
      </c>
    </row>
    <row r="14991" spans="1:1" x14ac:dyDescent="0.25">
      <c r="A14991" s="76" t="s">
        <v>10404</v>
      </c>
    </row>
    <row r="14992" spans="1:1" x14ac:dyDescent="0.25">
      <c r="A14992" s="108" t="s">
        <v>10405</v>
      </c>
    </row>
    <row r="14993" spans="1:1" x14ac:dyDescent="0.25">
      <c r="A14993" s="76" t="s">
        <v>10406</v>
      </c>
    </row>
    <row r="14994" spans="1:1" x14ac:dyDescent="0.25">
      <c r="A14994" s="108" t="s">
        <v>10407</v>
      </c>
    </row>
    <row r="14995" spans="1:1" x14ac:dyDescent="0.25">
      <c r="A14995" s="76" t="s">
        <v>10408</v>
      </c>
    </row>
    <row r="14996" spans="1:1" x14ac:dyDescent="0.25">
      <c r="A14996" s="108" t="s">
        <v>10409</v>
      </c>
    </row>
    <row r="14997" spans="1:1" x14ac:dyDescent="0.25">
      <c r="A14997" s="76" t="s">
        <v>10410</v>
      </c>
    </row>
    <row r="14998" spans="1:1" x14ac:dyDescent="0.25">
      <c r="A14998" s="108" t="s">
        <v>10411</v>
      </c>
    </row>
    <row r="14999" spans="1:1" x14ac:dyDescent="0.25">
      <c r="A14999" s="76" t="s">
        <v>10412</v>
      </c>
    </row>
    <row r="15000" spans="1:1" x14ac:dyDescent="0.25">
      <c r="A15000" s="108" t="s">
        <v>10413</v>
      </c>
    </row>
    <row r="15001" spans="1:1" x14ac:dyDescent="0.25">
      <c r="A15001" s="76" t="s">
        <v>10414</v>
      </c>
    </row>
    <row r="15002" spans="1:1" x14ac:dyDescent="0.25">
      <c r="A15002" s="29" t="s">
        <v>10415</v>
      </c>
    </row>
    <row r="15003" spans="1:1" x14ac:dyDescent="0.25">
      <c r="A15003" s="108" t="s">
        <v>10416</v>
      </c>
    </row>
    <row r="15004" spans="1:1" x14ac:dyDescent="0.25">
      <c r="A15004" s="76" t="s">
        <v>10417</v>
      </c>
    </row>
    <row r="15005" spans="1:1" x14ac:dyDescent="0.25">
      <c r="A15005" s="108" t="s">
        <v>10418</v>
      </c>
    </row>
    <row r="15006" spans="1:1" x14ac:dyDescent="0.25">
      <c r="A15006" s="76" t="s">
        <v>10419</v>
      </c>
    </row>
    <row r="15007" spans="1:1" x14ac:dyDescent="0.25">
      <c r="A15007" s="108" t="s">
        <v>10420</v>
      </c>
    </row>
    <row r="15008" spans="1:1" x14ac:dyDescent="0.25">
      <c r="A15008" s="76" t="s">
        <v>10421</v>
      </c>
    </row>
    <row r="15009" spans="1:1" x14ac:dyDescent="0.25">
      <c r="A15009" s="108" t="s">
        <v>10422</v>
      </c>
    </row>
    <row r="15010" spans="1:1" x14ac:dyDescent="0.25">
      <c r="A15010" s="76" t="s">
        <v>10423</v>
      </c>
    </row>
    <row r="15011" spans="1:1" x14ac:dyDescent="0.25">
      <c r="A15011" s="108" t="s">
        <v>10424</v>
      </c>
    </row>
    <row r="15012" spans="1:1" x14ac:dyDescent="0.25">
      <c r="A15012" s="76" t="s">
        <v>10425</v>
      </c>
    </row>
    <row r="15013" spans="1:1" x14ac:dyDescent="0.25">
      <c r="A15013" s="108" t="s">
        <v>10426</v>
      </c>
    </row>
    <row r="15014" spans="1:1" x14ac:dyDescent="0.25">
      <c r="A15014" s="76" t="s">
        <v>10427</v>
      </c>
    </row>
    <row r="15015" spans="1:1" x14ac:dyDescent="0.25">
      <c r="A15015" s="108" t="s">
        <v>10428</v>
      </c>
    </row>
    <row r="15016" spans="1:1" x14ac:dyDescent="0.25">
      <c r="A15016" s="76" t="s">
        <v>10429</v>
      </c>
    </row>
    <row r="15017" spans="1:1" x14ac:dyDescent="0.25">
      <c r="A15017" s="108" t="s">
        <v>10430</v>
      </c>
    </row>
    <row r="15018" spans="1:1" x14ac:dyDescent="0.25">
      <c r="A15018" s="76" t="s">
        <v>10431</v>
      </c>
    </row>
    <row r="15019" spans="1:1" x14ac:dyDescent="0.25">
      <c r="A15019" s="108" t="s">
        <v>10432</v>
      </c>
    </row>
    <row r="15020" spans="1:1" x14ac:dyDescent="0.25">
      <c r="A15020" s="76" t="s">
        <v>10433</v>
      </c>
    </row>
    <row r="15021" spans="1:1" x14ac:dyDescent="0.25">
      <c r="A15021" s="108" t="s">
        <v>10434</v>
      </c>
    </row>
    <row r="15022" spans="1:1" x14ac:dyDescent="0.25">
      <c r="A15022" s="76" t="s">
        <v>10435</v>
      </c>
    </row>
    <row r="15023" spans="1:1" x14ac:dyDescent="0.25">
      <c r="A15023" s="108" t="s">
        <v>10436</v>
      </c>
    </row>
    <row r="15024" spans="1:1" x14ac:dyDescent="0.25">
      <c r="A15024" s="76" t="s">
        <v>10437</v>
      </c>
    </row>
    <row r="15025" spans="1:1" x14ac:dyDescent="0.25">
      <c r="A15025" s="108" t="s">
        <v>10438</v>
      </c>
    </row>
    <row r="15026" spans="1:1" x14ac:dyDescent="0.25">
      <c r="A15026" s="76" t="s">
        <v>10439</v>
      </c>
    </row>
    <row r="15027" spans="1:1" x14ac:dyDescent="0.25">
      <c r="A15027" s="108" t="s">
        <v>10440</v>
      </c>
    </row>
    <row r="15028" spans="1:1" x14ac:dyDescent="0.25">
      <c r="A15028" s="76" t="s">
        <v>10441</v>
      </c>
    </row>
    <row r="15029" spans="1:1" x14ac:dyDescent="0.25">
      <c r="A15029" s="108" t="s">
        <v>10442</v>
      </c>
    </row>
    <row r="15030" spans="1:1" x14ac:dyDescent="0.25">
      <c r="A15030" s="76" t="s">
        <v>10443</v>
      </c>
    </row>
    <row r="15031" spans="1:1" x14ac:dyDescent="0.25">
      <c r="A15031" s="108" t="s">
        <v>10444</v>
      </c>
    </row>
    <row r="15032" spans="1:1" x14ac:dyDescent="0.25">
      <c r="A15032" s="76" t="s">
        <v>10445</v>
      </c>
    </row>
    <row r="15033" spans="1:1" x14ac:dyDescent="0.25">
      <c r="A15033" s="108" t="s">
        <v>10446</v>
      </c>
    </row>
    <row r="15034" spans="1:1" x14ac:dyDescent="0.25">
      <c r="A15034" s="76" t="s">
        <v>10447</v>
      </c>
    </row>
    <row r="15035" spans="1:1" x14ac:dyDescent="0.25">
      <c r="A15035" s="108" t="s">
        <v>10448</v>
      </c>
    </row>
    <row r="15036" spans="1:1" x14ac:dyDescent="0.25">
      <c r="A15036" s="76" t="s">
        <v>10449</v>
      </c>
    </row>
    <row r="15037" spans="1:1" x14ac:dyDescent="0.25">
      <c r="A15037" s="108" t="s">
        <v>10450</v>
      </c>
    </row>
    <row r="15038" spans="1:1" x14ac:dyDescent="0.25">
      <c r="A15038" s="76" t="s">
        <v>10451</v>
      </c>
    </row>
    <row r="15039" spans="1:1" x14ac:dyDescent="0.25">
      <c r="A15039" s="108" t="s">
        <v>10452</v>
      </c>
    </row>
    <row r="15040" spans="1:1" x14ac:dyDescent="0.25">
      <c r="A15040" s="76" t="s">
        <v>10453</v>
      </c>
    </row>
    <row r="15041" spans="1:1" x14ac:dyDescent="0.25">
      <c r="A15041" s="108" t="s">
        <v>10454</v>
      </c>
    </row>
    <row r="15042" spans="1:1" x14ac:dyDescent="0.25">
      <c r="A15042" s="76" t="s">
        <v>10455</v>
      </c>
    </row>
    <row r="15043" spans="1:1" x14ac:dyDescent="0.25">
      <c r="A15043" s="108" t="s">
        <v>10456</v>
      </c>
    </row>
    <row r="15044" spans="1:1" x14ac:dyDescent="0.25">
      <c r="A15044" s="76" t="s">
        <v>10457</v>
      </c>
    </row>
    <row r="15045" spans="1:1" x14ac:dyDescent="0.25">
      <c r="A15045" s="108" t="s">
        <v>10458</v>
      </c>
    </row>
    <row r="15046" spans="1:1" x14ac:dyDescent="0.25">
      <c r="A15046" s="76" t="s">
        <v>10459</v>
      </c>
    </row>
    <row r="15047" spans="1:1" x14ac:dyDescent="0.25">
      <c r="A15047" s="108" t="s">
        <v>10460</v>
      </c>
    </row>
    <row r="15048" spans="1:1" x14ac:dyDescent="0.25">
      <c r="A15048" s="76" t="s">
        <v>10461</v>
      </c>
    </row>
    <row r="15049" spans="1:1" x14ac:dyDescent="0.25">
      <c r="A15049" s="108" t="s">
        <v>10462</v>
      </c>
    </row>
    <row r="15050" spans="1:1" x14ac:dyDescent="0.25">
      <c r="A15050" s="76" t="s">
        <v>10463</v>
      </c>
    </row>
    <row r="15051" spans="1:1" x14ac:dyDescent="0.25">
      <c r="A15051" s="108" t="s">
        <v>10464</v>
      </c>
    </row>
    <row r="15052" spans="1:1" x14ac:dyDescent="0.25">
      <c r="A15052" s="76" t="s">
        <v>10465</v>
      </c>
    </row>
    <row r="15053" spans="1:1" x14ac:dyDescent="0.25">
      <c r="A15053" s="108" t="s">
        <v>10466</v>
      </c>
    </row>
    <row r="15054" spans="1:1" x14ac:dyDescent="0.25">
      <c r="A15054" s="76" t="s">
        <v>10467</v>
      </c>
    </row>
    <row r="15055" spans="1:1" x14ac:dyDescent="0.25">
      <c r="A15055" s="108" t="s">
        <v>10468</v>
      </c>
    </row>
    <row r="15056" spans="1:1" x14ac:dyDescent="0.25">
      <c r="A15056" s="76" t="s">
        <v>10469</v>
      </c>
    </row>
    <row r="15057" spans="1:1" x14ac:dyDescent="0.25">
      <c r="A15057" s="108" t="s">
        <v>10470</v>
      </c>
    </row>
    <row r="15058" spans="1:1" x14ac:dyDescent="0.25">
      <c r="A15058" s="76" t="s">
        <v>10471</v>
      </c>
    </row>
    <row r="15059" spans="1:1" x14ac:dyDescent="0.25">
      <c r="A15059" s="108" t="s">
        <v>10472</v>
      </c>
    </row>
    <row r="15060" spans="1:1" x14ac:dyDescent="0.25">
      <c r="A15060" s="76" t="s">
        <v>10473</v>
      </c>
    </row>
    <row r="15061" spans="1:1" x14ac:dyDescent="0.25">
      <c r="A15061" s="108" t="s">
        <v>10474</v>
      </c>
    </row>
    <row r="15062" spans="1:1" x14ac:dyDescent="0.25">
      <c r="A15062" s="76" t="s">
        <v>10475</v>
      </c>
    </row>
    <row r="15063" spans="1:1" x14ac:dyDescent="0.25">
      <c r="A15063" s="108" t="s">
        <v>10476</v>
      </c>
    </row>
    <row r="15064" spans="1:1" x14ac:dyDescent="0.25">
      <c r="A15064" s="76" t="s">
        <v>10477</v>
      </c>
    </row>
    <row r="15065" spans="1:1" x14ac:dyDescent="0.25">
      <c r="A15065" s="108" t="s">
        <v>10478</v>
      </c>
    </row>
    <row r="15066" spans="1:1" x14ac:dyDescent="0.25">
      <c r="A15066" s="76" t="s">
        <v>10479</v>
      </c>
    </row>
    <row r="15067" spans="1:1" x14ac:dyDescent="0.25">
      <c r="A15067" s="108" t="s">
        <v>10480</v>
      </c>
    </row>
    <row r="15068" spans="1:1" x14ac:dyDescent="0.25">
      <c r="A15068" s="76" t="s">
        <v>10481</v>
      </c>
    </row>
    <row r="15069" spans="1:1" x14ac:dyDescent="0.25">
      <c r="A15069" s="108" t="s">
        <v>10482</v>
      </c>
    </row>
    <row r="15070" spans="1:1" x14ac:dyDescent="0.25">
      <c r="A15070" s="76" t="s">
        <v>10483</v>
      </c>
    </row>
    <row r="15071" spans="1:1" x14ac:dyDescent="0.25">
      <c r="A15071" s="108" t="s">
        <v>10484</v>
      </c>
    </row>
    <row r="15072" spans="1:1" x14ac:dyDescent="0.25">
      <c r="A15072" s="76" t="s">
        <v>10485</v>
      </c>
    </row>
    <row r="15073" spans="1:1" x14ac:dyDescent="0.25">
      <c r="A15073" s="108" t="s">
        <v>10486</v>
      </c>
    </row>
    <row r="15074" spans="1:1" x14ac:dyDescent="0.25">
      <c r="A15074" s="76" t="s">
        <v>10487</v>
      </c>
    </row>
    <row r="15075" spans="1:1" x14ac:dyDescent="0.25">
      <c r="A15075" s="108" t="s">
        <v>10488</v>
      </c>
    </row>
    <row r="15076" spans="1:1" x14ac:dyDescent="0.25">
      <c r="A15076" s="76" t="s">
        <v>10489</v>
      </c>
    </row>
    <row r="15077" spans="1:1" x14ac:dyDescent="0.25">
      <c r="A15077" s="108" t="s">
        <v>10490</v>
      </c>
    </row>
    <row r="15078" spans="1:1" x14ac:dyDescent="0.25">
      <c r="A15078" s="76" t="s">
        <v>10491</v>
      </c>
    </row>
    <row r="15079" spans="1:1" x14ac:dyDescent="0.25">
      <c r="A15079" s="108" t="s">
        <v>10492</v>
      </c>
    </row>
    <row r="15080" spans="1:1" x14ac:dyDescent="0.25">
      <c r="A15080" s="76" t="s">
        <v>10493</v>
      </c>
    </row>
    <row r="15081" spans="1:1" x14ac:dyDescent="0.25">
      <c r="A15081" s="108" t="s">
        <v>10494</v>
      </c>
    </row>
    <row r="15082" spans="1:1" x14ac:dyDescent="0.25">
      <c r="A15082" s="76" t="s">
        <v>10495</v>
      </c>
    </row>
    <row r="15083" spans="1:1" x14ac:dyDescent="0.25">
      <c r="A15083" s="108" t="s">
        <v>10496</v>
      </c>
    </row>
    <row r="15084" spans="1:1" x14ac:dyDescent="0.25">
      <c r="A15084" s="76" t="s">
        <v>10497</v>
      </c>
    </row>
    <row r="15085" spans="1:1" x14ac:dyDescent="0.25">
      <c r="A15085" s="108" t="s">
        <v>10498</v>
      </c>
    </row>
    <row r="15086" spans="1:1" x14ac:dyDescent="0.25">
      <c r="A15086" s="76" t="s">
        <v>10499</v>
      </c>
    </row>
    <row r="15087" spans="1:1" x14ac:dyDescent="0.25">
      <c r="A15087" s="108" t="s">
        <v>10500</v>
      </c>
    </row>
    <row r="15088" spans="1:1" x14ac:dyDescent="0.25">
      <c r="A15088" s="76" t="s">
        <v>10501</v>
      </c>
    </row>
    <row r="15089" spans="1:1" x14ac:dyDescent="0.25">
      <c r="A15089" s="108" t="s">
        <v>10502</v>
      </c>
    </row>
    <row r="15090" spans="1:1" x14ac:dyDescent="0.25">
      <c r="A15090" s="76" t="s">
        <v>10503</v>
      </c>
    </row>
    <row r="15091" spans="1:1" x14ac:dyDescent="0.25">
      <c r="A15091" s="108" t="s">
        <v>10504</v>
      </c>
    </row>
    <row r="15092" spans="1:1" x14ac:dyDescent="0.25">
      <c r="A15092" s="76" t="s">
        <v>10505</v>
      </c>
    </row>
    <row r="15093" spans="1:1" x14ac:dyDescent="0.25">
      <c r="A15093" s="108" t="s">
        <v>10506</v>
      </c>
    </row>
    <row r="15094" spans="1:1" x14ac:dyDescent="0.25">
      <c r="A15094" s="76" t="s">
        <v>10507</v>
      </c>
    </row>
    <row r="15095" spans="1:1" x14ac:dyDescent="0.25">
      <c r="A15095" s="108" t="s">
        <v>10508</v>
      </c>
    </row>
    <row r="15096" spans="1:1" x14ac:dyDescent="0.25">
      <c r="A15096" s="76" t="s">
        <v>10509</v>
      </c>
    </row>
    <row r="15097" spans="1:1" x14ac:dyDescent="0.25">
      <c r="A15097" s="108" t="s">
        <v>10510</v>
      </c>
    </row>
    <row r="15098" spans="1:1" x14ac:dyDescent="0.25">
      <c r="A15098" s="76" t="s">
        <v>10511</v>
      </c>
    </row>
    <row r="15099" spans="1:1" x14ac:dyDescent="0.25">
      <c r="A15099" s="108" t="s">
        <v>10512</v>
      </c>
    </row>
    <row r="15100" spans="1:1" x14ac:dyDescent="0.25">
      <c r="A15100" s="76" t="s">
        <v>10513</v>
      </c>
    </row>
    <row r="15101" spans="1:1" x14ac:dyDescent="0.25">
      <c r="A15101" s="108" t="s">
        <v>10514</v>
      </c>
    </row>
    <row r="15102" spans="1:1" x14ac:dyDescent="0.25">
      <c r="A15102" s="76" t="s">
        <v>10515</v>
      </c>
    </row>
    <row r="15103" spans="1:1" x14ac:dyDescent="0.25">
      <c r="A15103" s="108" t="s">
        <v>10516</v>
      </c>
    </row>
    <row r="15104" spans="1:1" x14ac:dyDescent="0.25">
      <c r="A15104" s="76" t="s">
        <v>10517</v>
      </c>
    </row>
    <row r="15105" spans="1:1" x14ac:dyDescent="0.25">
      <c r="A15105" s="108" t="s">
        <v>10518</v>
      </c>
    </row>
    <row r="15106" spans="1:1" x14ac:dyDescent="0.25">
      <c r="A15106" s="76" t="s">
        <v>10519</v>
      </c>
    </row>
    <row r="15107" spans="1:1" x14ac:dyDescent="0.25">
      <c r="A15107" s="108" t="s">
        <v>10520</v>
      </c>
    </row>
    <row r="15108" spans="1:1" x14ac:dyDescent="0.25">
      <c r="A15108" s="76" t="s">
        <v>10521</v>
      </c>
    </row>
    <row r="15109" spans="1:1" x14ac:dyDescent="0.25">
      <c r="A15109" s="108" t="s">
        <v>10522</v>
      </c>
    </row>
    <row r="15110" spans="1:1" x14ac:dyDescent="0.25">
      <c r="A15110" s="76" t="s">
        <v>10523</v>
      </c>
    </row>
    <row r="15111" spans="1:1" x14ac:dyDescent="0.25">
      <c r="A15111" s="108" t="s">
        <v>10524</v>
      </c>
    </row>
    <row r="15112" spans="1:1" x14ac:dyDescent="0.25">
      <c r="A15112" s="76" t="s">
        <v>10525</v>
      </c>
    </row>
    <row r="15113" spans="1:1" x14ac:dyDescent="0.25">
      <c r="A15113" s="108" t="s">
        <v>10526</v>
      </c>
    </row>
    <row r="15114" spans="1:1" x14ac:dyDescent="0.25">
      <c r="A15114" s="76" t="s">
        <v>10527</v>
      </c>
    </row>
    <row r="15115" spans="1:1" x14ac:dyDescent="0.25">
      <c r="A15115" s="108" t="s">
        <v>10528</v>
      </c>
    </row>
    <row r="15116" spans="1:1" x14ac:dyDescent="0.25">
      <c r="A15116" s="76" t="s">
        <v>10529</v>
      </c>
    </row>
    <row r="15117" spans="1:1" x14ac:dyDescent="0.25">
      <c r="A15117" s="108" t="s">
        <v>10530</v>
      </c>
    </row>
    <row r="15118" spans="1:1" x14ac:dyDescent="0.25">
      <c r="A15118" s="76" t="s">
        <v>10531</v>
      </c>
    </row>
    <row r="15119" spans="1:1" x14ac:dyDescent="0.25">
      <c r="A15119" s="108" t="s">
        <v>10532</v>
      </c>
    </row>
    <row r="15120" spans="1:1" x14ac:dyDescent="0.25">
      <c r="A15120" s="76" t="s">
        <v>10533</v>
      </c>
    </row>
    <row r="15121" spans="1:1" x14ac:dyDescent="0.25">
      <c r="A15121" s="108" t="s">
        <v>10534</v>
      </c>
    </row>
    <row r="15122" spans="1:1" x14ac:dyDescent="0.25">
      <c r="A15122" s="76" t="s">
        <v>10535</v>
      </c>
    </row>
    <row r="15123" spans="1:1" x14ac:dyDescent="0.25">
      <c r="A15123" s="108" t="s">
        <v>10536</v>
      </c>
    </row>
    <row r="15124" spans="1:1" x14ac:dyDescent="0.25">
      <c r="A15124" s="76" t="s">
        <v>10537</v>
      </c>
    </row>
    <row r="15125" spans="1:1" x14ac:dyDescent="0.25">
      <c r="A15125" s="108" t="s">
        <v>10538</v>
      </c>
    </row>
    <row r="15126" spans="1:1" x14ac:dyDescent="0.25">
      <c r="A15126" s="76" t="s">
        <v>10539</v>
      </c>
    </row>
    <row r="15127" spans="1:1" x14ac:dyDescent="0.25">
      <c r="A15127" s="108" t="s">
        <v>10540</v>
      </c>
    </row>
    <row r="15128" spans="1:1" x14ac:dyDescent="0.25">
      <c r="A15128" s="76" t="s">
        <v>10541</v>
      </c>
    </row>
    <row r="15129" spans="1:1" x14ac:dyDescent="0.25">
      <c r="A15129" s="108" t="s">
        <v>10542</v>
      </c>
    </row>
    <row r="15130" spans="1:1" x14ac:dyDescent="0.25">
      <c r="A15130" s="76" t="s">
        <v>10543</v>
      </c>
    </row>
    <row r="15131" spans="1:1" x14ac:dyDescent="0.25">
      <c r="A15131" s="108" t="s">
        <v>10544</v>
      </c>
    </row>
    <row r="15132" spans="1:1" x14ac:dyDescent="0.25">
      <c r="A15132" s="76" t="s">
        <v>10545</v>
      </c>
    </row>
    <row r="15133" spans="1:1" x14ac:dyDescent="0.25">
      <c r="A15133" s="108" t="s">
        <v>10546</v>
      </c>
    </row>
    <row r="15134" spans="1:1" x14ac:dyDescent="0.25">
      <c r="A15134" s="76" t="s">
        <v>10547</v>
      </c>
    </row>
    <row r="15135" spans="1:1" x14ac:dyDescent="0.25">
      <c r="A15135" s="108" t="s">
        <v>10548</v>
      </c>
    </row>
    <row r="15136" spans="1:1" x14ac:dyDescent="0.25">
      <c r="A15136" s="76" t="s">
        <v>10549</v>
      </c>
    </row>
    <row r="15137" spans="1:1" x14ac:dyDescent="0.25">
      <c r="A15137" s="108" t="s">
        <v>10550</v>
      </c>
    </row>
    <row r="15138" spans="1:1" x14ac:dyDescent="0.25">
      <c r="A15138" s="76" t="s">
        <v>10551</v>
      </c>
    </row>
    <row r="15139" spans="1:1" x14ac:dyDescent="0.25">
      <c r="A15139" s="108" t="s">
        <v>10552</v>
      </c>
    </row>
    <row r="15140" spans="1:1" x14ac:dyDescent="0.25">
      <c r="A15140" s="76" t="s">
        <v>10553</v>
      </c>
    </row>
    <row r="15141" spans="1:1" x14ac:dyDescent="0.25">
      <c r="A15141" s="108" t="s">
        <v>10554</v>
      </c>
    </row>
    <row r="15142" spans="1:1" x14ac:dyDescent="0.25">
      <c r="A15142" s="76" t="s">
        <v>10555</v>
      </c>
    </row>
    <row r="15143" spans="1:1" x14ac:dyDescent="0.25">
      <c r="A15143" s="108" t="s">
        <v>10556</v>
      </c>
    </row>
    <row r="15144" spans="1:1" x14ac:dyDescent="0.25">
      <c r="A15144" s="76" t="s">
        <v>10557</v>
      </c>
    </row>
    <row r="15145" spans="1:1" x14ac:dyDescent="0.25">
      <c r="A15145" s="108" t="s">
        <v>10558</v>
      </c>
    </row>
    <row r="15146" spans="1:1" x14ac:dyDescent="0.25">
      <c r="A15146" s="76" t="s">
        <v>10559</v>
      </c>
    </row>
    <row r="15147" spans="1:1" x14ac:dyDescent="0.25">
      <c r="A15147" s="108" t="s">
        <v>10560</v>
      </c>
    </row>
    <row r="15148" spans="1:1" x14ac:dyDescent="0.25">
      <c r="A15148" s="76" t="s">
        <v>10561</v>
      </c>
    </row>
    <row r="15149" spans="1:1" x14ac:dyDescent="0.25">
      <c r="A15149" s="108" t="s">
        <v>10562</v>
      </c>
    </row>
    <row r="15150" spans="1:1" x14ac:dyDescent="0.25">
      <c r="A15150" s="76" t="s">
        <v>10563</v>
      </c>
    </row>
    <row r="15151" spans="1:1" x14ac:dyDescent="0.25">
      <c r="A15151" s="108" t="s">
        <v>10564</v>
      </c>
    </row>
    <row r="15152" spans="1:1" x14ac:dyDescent="0.25">
      <c r="A15152" s="76" t="s">
        <v>10565</v>
      </c>
    </row>
    <row r="15153" spans="1:1" x14ac:dyDescent="0.25">
      <c r="A15153" s="108" t="s">
        <v>10566</v>
      </c>
    </row>
    <row r="15154" spans="1:1" x14ac:dyDescent="0.25">
      <c r="A15154" s="76" t="s">
        <v>10567</v>
      </c>
    </row>
    <row r="15155" spans="1:1" x14ac:dyDescent="0.25">
      <c r="A15155" s="108" t="s">
        <v>10568</v>
      </c>
    </row>
    <row r="15156" spans="1:1" x14ac:dyDescent="0.25">
      <c r="A15156" s="76" t="s">
        <v>10569</v>
      </c>
    </row>
    <row r="15157" spans="1:1" x14ac:dyDescent="0.25">
      <c r="A15157" s="108" t="s">
        <v>10570</v>
      </c>
    </row>
    <row r="15158" spans="1:1" x14ac:dyDescent="0.25">
      <c r="A15158" s="76" t="s">
        <v>10571</v>
      </c>
    </row>
    <row r="15159" spans="1:1" x14ac:dyDescent="0.25">
      <c r="A15159" s="108" t="s">
        <v>10572</v>
      </c>
    </row>
    <row r="15160" spans="1:1" x14ac:dyDescent="0.25">
      <c r="A15160" s="76" t="s">
        <v>10573</v>
      </c>
    </row>
    <row r="15161" spans="1:1" x14ac:dyDescent="0.25">
      <c r="A15161" s="108" t="s">
        <v>10574</v>
      </c>
    </row>
    <row r="15162" spans="1:1" x14ac:dyDescent="0.25">
      <c r="A15162" s="76" t="s">
        <v>10575</v>
      </c>
    </row>
    <row r="15163" spans="1:1" x14ac:dyDescent="0.25">
      <c r="A15163" s="108" t="s">
        <v>10576</v>
      </c>
    </row>
    <row r="15164" spans="1:1" x14ac:dyDescent="0.25">
      <c r="A15164" s="76" t="s">
        <v>10577</v>
      </c>
    </row>
    <row r="15165" spans="1:1" x14ac:dyDescent="0.25">
      <c r="A15165" s="108" t="s">
        <v>10578</v>
      </c>
    </row>
    <row r="15166" spans="1:1" x14ac:dyDescent="0.25">
      <c r="A15166" s="76" t="s">
        <v>10579</v>
      </c>
    </row>
    <row r="15167" spans="1:1" x14ac:dyDescent="0.25">
      <c r="A15167" s="108" t="s">
        <v>10580</v>
      </c>
    </row>
    <row r="15168" spans="1:1" x14ac:dyDescent="0.25">
      <c r="A15168" s="76" t="s">
        <v>10581</v>
      </c>
    </row>
    <row r="15169" spans="1:1" x14ac:dyDescent="0.25">
      <c r="A15169" s="108" t="s">
        <v>10582</v>
      </c>
    </row>
    <row r="15170" spans="1:1" x14ac:dyDescent="0.25">
      <c r="A15170" s="76" t="s">
        <v>10583</v>
      </c>
    </row>
    <row r="15171" spans="1:1" x14ac:dyDescent="0.25">
      <c r="A15171" s="108" t="s">
        <v>10584</v>
      </c>
    </row>
    <row r="15172" spans="1:1" x14ac:dyDescent="0.25">
      <c r="A15172" s="76" t="s">
        <v>10585</v>
      </c>
    </row>
    <row r="15173" spans="1:1" x14ac:dyDescent="0.25">
      <c r="A15173" s="108" t="s">
        <v>10586</v>
      </c>
    </row>
    <row r="15174" spans="1:1" x14ac:dyDescent="0.25">
      <c r="A15174" s="76" t="s">
        <v>10587</v>
      </c>
    </row>
    <row r="15175" spans="1:1" x14ac:dyDescent="0.25">
      <c r="A15175" s="108" t="s">
        <v>10588</v>
      </c>
    </row>
    <row r="15176" spans="1:1" x14ac:dyDescent="0.25">
      <c r="A15176" s="76" t="s">
        <v>10589</v>
      </c>
    </row>
    <row r="15177" spans="1:1" x14ac:dyDescent="0.25">
      <c r="A15177" s="108" t="s">
        <v>10590</v>
      </c>
    </row>
    <row r="15178" spans="1:1" x14ac:dyDescent="0.25">
      <c r="A15178" s="76" t="s">
        <v>10591</v>
      </c>
    </row>
    <row r="15179" spans="1:1" x14ac:dyDescent="0.25">
      <c r="A15179" s="108" t="s">
        <v>10592</v>
      </c>
    </row>
    <row r="15180" spans="1:1" x14ac:dyDescent="0.25">
      <c r="A15180" s="76" t="s">
        <v>10593</v>
      </c>
    </row>
    <row r="15181" spans="1:1" x14ac:dyDescent="0.25">
      <c r="A15181" s="108" t="s">
        <v>10594</v>
      </c>
    </row>
    <row r="15182" spans="1:1" x14ac:dyDescent="0.25">
      <c r="A15182" s="76" t="s">
        <v>10595</v>
      </c>
    </row>
    <row r="15183" spans="1:1" x14ac:dyDescent="0.25">
      <c r="A15183" s="108" t="s">
        <v>10596</v>
      </c>
    </row>
    <row r="15184" spans="1:1" x14ac:dyDescent="0.25">
      <c r="A15184" s="76" t="s">
        <v>10597</v>
      </c>
    </row>
    <row r="15185" spans="1:1" x14ac:dyDescent="0.25">
      <c r="A15185" s="108" t="s">
        <v>10598</v>
      </c>
    </row>
    <row r="15186" spans="1:1" x14ac:dyDescent="0.25">
      <c r="A15186" s="76" t="s">
        <v>10599</v>
      </c>
    </row>
    <row r="15187" spans="1:1" x14ac:dyDescent="0.25">
      <c r="A15187" s="108" t="s">
        <v>10600</v>
      </c>
    </row>
    <row r="15188" spans="1:1" x14ac:dyDescent="0.25">
      <c r="A15188" s="76" t="s">
        <v>10601</v>
      </c>
    </row>
    <row r="15189" spans="1:1" x14ac:dyDescent="0.25">
      <c r="A15189" s="108" t="s">
        <v>10602</v>
      </c>
    </row>
    <row r="15190" spans="1:1" x14ac:dyDescent="0.25">
      <c r="A15190" s="76" t="s">
        <v>10603</v>
      </c>
    </row>
    <row r="15191" spans="1:1" x14ac:dyDescent="0.25">
      <c r="A15191" s="108" t="s">
        <v>10604</v>
      </c>
    </row>
    <row r="15192" spans="1:1" x14ac:dyDescent="0.25">
      <c r="A15192" s="76" t="s">
        <v>10605</v>
      </c>
    </row>
    <row r="15193" spans="1:1" x14ac:dyDescent="0.25">
      <c r="A15193" s="108" t="s">
        <v>10606</v>
      </c>
    </row>
    <row r="15194" spans="1:1" x14ac:dyDescent="0.25">
      <c r="A15194" s="76" t="s">
        <v>10607</v>
      </c>
    </row>
    <row r="15195" spans="1:1" x14ac:dyDescent="0.25">
      <c r="A15195" s="108" t="s">
        <v>10608</v>
      </c>
    </row>
    <row r="15196" spans="1:1" x14ac:dyDescent="0.25">
      <c r="A15196" s="76" t="s">
        <v>10609</v>
      </c>
    </row>
    <row r="15197" spans="1:1" x14ac:dyDescent="0.25">
      <c r="A15197" s="108" t="s">
        <v>10610</v>
      </c>
    </row>
    <row r="15198" spans="1:1" x14ac:dyDescent="0.25">
      <c r="A15198" s="76" t="s">
        <v>10611</v>
      </c>
    </row>
    <row r="15199" spans="1:1" x14ac:dyDescent="0.25">
      <c r="A15199" s="108" t="s">
        <v>10612</v>
      </c>
    </row>
    <row r="15200" spans="1:1" x14ac:dyDescent="0.25">
      <c r="A15200" s="76" t="s">
        <v>10613</v>
      </c>
    </row>
    <row r="15201" spans="1:1" x14ac:dyDescent="0.25">
      <c r="A15201" s="108" t="s">
        <v>10614</v>
      </c>
    </row>
    <row r="15202" spans="1:1" x14ac:dyDescent="0.25">
      <c r="A15202" s="76" t="s">
        <v>10615</v>
      </c>
    </row>
    <row r="15203" spans="1:1" x14ac:dyDescent="0.25">
      <c r="A15203" s="108" t="s">
        <v>10616</v>
      </c>
    </row>
    <row r="15204" spans="1:1" x14ac:dyDescent="0.25">
      <c r="A15204" s="76" t="s">
        <v>10617</v>
      </c>
    </row>
    <row r="15205" spans="1:1" x14ac:dyDescent="0.25">
      <c r="A15205" s="108" t="s">
        <v>10618</v>
      </c>
    </row>
    <row r="15206" spans="1:1" x14ac:dyDescent="0.25">
      <c r="A15206" s="76" t="s">
        <v>10619</v>
      </c>
    </row>
    <row r="15207" spans="1:1" x14ac:dyDescent="0.25">
      <c r="A15207" s="108" t="s">
        <v>10620</v>
      </c>
    </row>
    <row r="15208" spans="1:1" x14ac:dyDescent="0.25">
      <c r="A15208" s="76" t="s">
        <v>10621</v>
      </c>
    </row>
    <row r="15209" spans="1:1" x14ac:dyDescent="0.25">
      <c r="A15209" s="108" t="s">
        <v>10622</v>
      </c>
    </row>
    <row r="15210" spans="1:1" x14ac:dyDescent="0.25">
      <c r="A15210" s="76" t="s">
        <v>10623</v>
      </c>
    </row>
    <row r="15211" spans="1:1" x14ac:dyDescent="0.25">
      <c r="A15211" s="108" t="s">
        <v>10624</v>
      </c>
    </row>
    <row r="15212" spans="1:1" x14ac:dyDescent="0.25">
      <c r="A15212" s="76" t="s">
        <v>10625</v>
      </c>
    </row>
    <row r="15213" spans="1:1" x14ac:dyDescent="0.25">
      <c r="A15213" s="108" t="s">
        <v>10626</v>
      </c>
    </row>
    <row r="15214" spans="1:1" x14ac:dyDescent="0.25">
      <c r="A15214" s="76" t="s">
        <v>10627</v>
      </c>
    </row>
    <row r="15215" spans="1:1" x14ac:dyDescent="0.25">
      <c r="A15215" s="108" t="s">
        <v>10628</v>
      </c>
    </row>
    <row r="15216" spans="1:1" x14ac:dyDescent="0.25">
      <c r="A15216" s="76" t="s">
        <v>10629</v>
      </c>
    </row>
    <row r="15217" spans="1:1" x14ac:dyDescent="0.25">
      <c r="A15217" s="108" t="s">
        <v>10630</v>
      </c>
    </row>
    <row r="15218" spans="1:1" x14ac:dyDescent="0.25">
      <c r="A15218" s="76" t="s">
        <v>10631</v>
      </c>
    </row>
    <row r="15219" spans="1:1" x14ac:dyDescent="0.25">
      <c r="A15219" s="108" t="s">
        <v>10632</v>
      </c>
    </row>
    <row r="15220" spans="1:1" x14ac:dyDescent="0.25">
      <c r="A15220" s="76" t="s">
        <v>10633</v>
      </c>
    </row>
    <row r="15221" spans="1:1" x14ac:dyDescent="0.25">
      <c r="A15221" s="108" t="s">
        <v>10634</v>
      </c>
    </row>
    <row r="15222" spans="1:1" x14ac:dyDescent="0.25">
      <c r="A15222" s="76" t="s">
        <v>10635</v>
      </c>
    </row>
    <row r="15223" spans="1:1" x14ac:dyDescent="0.25">
      <c r="A15223" s="108" t="s">
        <v>10636</v>
      </c>
    </row>
    <row r="15224" spans="1:1" x14ac:dyDescent="0.25">
      <c r="A15224" s="76" t="s">
        <v>10637</v>
      </c>
    </row>
    <row r="15225" spans="1:1" x14ac:dyDescent="0.25">
      <c r="A15225" s="108" t="s">
        <v>10638</v>
      </c>
    </row>
    <row r="15226" spans="1:1" x14ac:dyDescent="0.25">
      <c r="A15226" s="76" t="s">
        <v>10639</v>
      </c>
    </row>
    <row r="15227" spans="1:1" x14ac:dyDescent="0.25">
      <c r="A15227" s="108" t="s">
        <v>10640</v>
      </c>
    </row>
    <row r="15228" spans="1:1" x14ac:dyDescent="0.25">
      <c r="A15228" s="76" t="s">
        <v>10641</v>
      </c>
    </row>
    <row r="15229" spans="1:1" x14ac:dyDescent="0.25">
      <c r="A15229" s="108" t="s">
        <v>10642</v>
      </c>
    </row>
    <row r="15230" spans="1:1" x14ac:dyDescent="0.25">
      <c r="A15230" s="76" t="s">
        <v>10643</v>
      </c>
    </row>
    <row r="15231" spans="1:1" x14ac:dyDescent="0.25">
      <c r="A15231" s="108" t="s">
        <v>10644</v>
      </c>
    </row>
    <row r="15232" spans="1:1" x14ac:dyDescent="0.25">
      <c r="A15232" s="76" t="s">
        <v>10645</v>
      </c>
    </row>
    <row r="15233" spans="1:1" x14ac:dyDescent="0.25">
      <c r="A15233" s="108" t="s">
        <v>10646</v>
      </c>
    </row>
    <row r="15234" spans="1:1" x14ac:dyDescent="0.25">
      <c r="A15234" s="76" t="s">
        <v>10647</v>
      </c>
    </row>
    <row r="15235" spans="1:1" x14ac:dyDescent="0.25">
      <c r="A15235" s="108" t="s">
        <v>10648</v>
      </c>
    </row>
    <row r="15236" spans="1:1" x14ac:dyDescent="0.25">
      <c r="A15236" s="76" t="s">
        <v>10649</v>
      </c>
    </row>
    <row r="15237" spans="1:1" x14ac:dyDescent="0.25">
      <c r="A15237" s="108" t="s">
        <v>10650</v>
      </c>
    </row>
    <row r="15238" spans="1:1" x14ac:dyDescent="0.25">
      <c r="A15238" s="76" t="s">
        <v>10651</v>
      </c>
    </row>
    <row r="15239" spans="1:1" x14ac:dyDescent="0.25">
      <c r="A15239" s="108" t="s">
        <v>10652</v>
      </c>
    </row>
    <row r="15240" spans="1:1" x14ac:dyDescent="0.25">
      <c r="A15240" s="76" t="s">
        <v>10653</v>
      </c>
    </row>
    <row r="15241" spans="1:1" x14ac:dyDescent="0.25">
      <c r="A15241" s="108" t="s">
        <v>10654</v>
      </c>
    </row>
    <row r="15242" spans="1:1" x14ac:dyDescent="0.25">
      <c r="A15242" s="76" t="s">
        <v>10655</v>
      </c>
    </row>
    <row r="15243" spans="1:1" x14ac:dyDescent="0.25">
      <c r="A15243" s="108" t="s">
        <v>10656</v>
      </c>
    </row>
    <row r="15244" spans="1:1" x14ac:dyDescent="0.25">
      <c r="A15244" s="76" t="s">
        <v>10657</v>
      </c>
    </row>
    <row r="15245" spans="1:1" x14ac:dyDescent="0.25">
      <c r="A15245" s="108" t="s">
        <v>10658</v>
      </c>
    </row>
    <row r="15246" spans="1:1" x14ac:dyDescent="0.25">
      <c r="A15246" s="76" t="s">
        <v>10659</v>
      </c>
    </row>
    <row r="15247" spans="1:1" x14ac:dyDescent="0.25">
      <c r="A15247" s="108" t="s">
        <v>10660</v>
      </c>
    </row>
    <row r="15248" spans="1:1" x14ac:dyDescent="0.25">
      <c r="A15248" s="76" t="s">
        <v>10661</v>
      </c>
    </row>
    <row r="15249" spans="1:1" x14ac:dyDescent="0.25">
      <c r="A15249" s="108" t="s">
        <v>10662</v>
      </c>
    </row>
    <row r="15250" spans="1:1" x14ac:dyDescent="0.25">
      <c r="A15250" s="76" t="s">
        <v>10663</v>
      </c>
    </row>
    <row r="15251" spans="1:1" x14ac:dyDescent="0.25">
      <c r="A15251" s="108" t="s">
        <v>10664</v>
      </c>
    </row>
    <row r="15252" spans="1:1" x14ac:dyDescent="0.25">
      <c r="A15252" s="76" t="s">
        <v>10665</v>
      </c>
    </row>
    <row r="15253" spans="1:1" x14ac:dyDescent="0.25">
      <c r="A15253" s="108" t="s">
        <v>10666</v>
      </c>
    </row>
    <row r="15254" spans="1:1" x14ac:dyDescent="0.25">
      <c r="A15254" s="76" t="s">
        <v>10667</v>
      </c>
    </row>
    <row r="15255" spans="1:1" x14ac:dyDescent="0.25">
      <c r="A15255" s="108" t="s">
        <v>10668</v>
      </c>
    </row>
    <row r="15256" spans="1:1" x14ac:dyDescent="0.25">
      <c r="A15256" s="76" t="s">
        <v>10669</v>
      </c>
    </row>
    <row r="15257" spans="1:1" x14ac:dyDescent="0.25">
      <c r="A15257" s="108" t="s">
        <v>10670</v>
      </c>
    </row>
    <row r="15258" spans="1:1" x14ac:dyDescent="0.25">
      <c r="A15258" s="76" t="s">
        <v>10671</v>
      </c>
    </row>
    <row r="15259" spans="1:1" x14ac:dyDescent="0.25">
      <c r="A15259" s="108" t="s">
        <v>10672</v>
      </c>
    </row>
    <row r="15260" spans="1:1" x14ac:dyDescent="0.25">
      <c r="A15260" s="76" t="s">
        <v>10673</v>
      </c>
    </row>
    <row r="15261" spans="1:1" x14ac:dyDescent="0.25">
      <c r="A15261" s="108" t="s">
        <v>10674</v>
      </c>
    </row>
    <row r="15262" spans="1:1" x14ac:dyDescent="0.25">
      <c r="A15262" s="76" t="s">
        <v>10675</v>
      </c>
    </row>
    <row r="15263" spans="1:1" x14ac:dyDescent="0.25">
      <c r="A15263" s="108" t="s">
        <v>10676</v>
      </c>
    </row>
    <row r="15264" spans="1:1" x14ac:dyDescent="0.25">
      <c r="A15264" s="76" t="s">
        <v>10677</v>
      </c>
    </row>
    <row r="15265" spans="1:1" x14ac:dyDescent="0.25">
      <c r="A15265" s="108" t="s">
        <v>10678</v>
      </c>
    </row>
    <row r="15266" spans="1:1" x14ac:dyDescent="0.25">
      <c r="A15266" s="76" t="s">
        <v>10679</v>
      </c>
    </row>
    <row r="15267" spans="1:1" x14ac:dyDescent="0.25">
      <c r="A15267" s="108" t="s">
        <v>10680</v>
      </c>
    </row>
    <row r="15268" spans="1:1" x14ac:dyDescent="0.25">
      <c r="A15268" s="76" t="s">
        <v>10681</v>
      </c>
    </row>
    <row r="15269" spans="1:1" x14ac:dyDescent="0.25">
      <c r="A15269" s="108" t="s">
        <v>10682</v>
      </c>
    </row>
    <row r="15270" spans="1:1" x14ac:dyDescent="0.25">
      <c r="A15270" s="76" t="s">
        <v>10683</v>
      </c>
    </row>
    <row r="15271" spans="1:1" x14ac:dyDescent="0.25">
      <c r="A15271" s="108" t="s">
        <v>10684</v>
      </c>
    </row>
    <row r="15272" spans="1:1" x14ac:dyDescent="0.25">
      <c r="A15272" s="76" t="s">
        <v>10685</v>
      </c>
    </row>
    <row r="15273" spans="1:1" x14ac:dyDescent="0.25">
      <c r="A15273" s="108" t="s">
        <v>10686</v>
      </c>
    </row>
    <row r="15274" spans="1:1" x14ac:dyDescent="0.25">
      <c r="A15274" s="76" t="s">
        <v>10687</v>
      </c>
    </row>
    <row r="15275" spans="1:1" x14ac:dyDescent="0.25">
      <c r="A15275" s="108" t="s">
        <v>10688</v>
      </c>
    </row>
    <row r="15276" spans="1:1" x14ac:dyDescent="0.25">
      <c r="A15276" s="76" t="s">
        <v>10689</v>
      </c>
    </row>
    <row r="15277" spans="1:1" x14ac:dyDescent="0.25">
      <c r="A15277" s="108" t="s">
        <v>10690</v>
      </c>
    </row>
    <row r="15278" spans="1:1" x14ac:dyDescent="0.25">
      <c r="A15278" s="76" t="s">
        <v>10691</v>
      </c>
    </row>
    <row r="15279" spans="1:1" x14ac:dyDescent="0.25">
      <c r="A15279" s="108" t="s">
        <v>10692</v>
      </c>
    </row>
    <row r="15280" spans="1:1" x14ac:dyDescent="0.25">
      <c r="A15280" s="76" t="s">
        <v>10693</v>
      </c>
    </row>
    <row r="15281" spans="1:1" x14ac:dyDescent="0.25">
      <c r="A15281" s="108" t="s">
        <v>10694</v>
      </c>
    </row>
    <row r="15282" spans="1:1" x14ac:dyDescent="0.25">
      <c r="A15282" s="76" t="s">
        <v>10695</v>
      </c>
    </row>
    <row r="15283" spans="1:1" x14ac:dyDescent="0.25">
      <c r="A15283" s="108" t="s">
        <v>10696</v>
      </c>
    </row>
    <row r="15284" spans="1:1" x14ac:dyDescent="0.25">
      <c r="A15284" s="76" t="s">
        <v>10697</v>
      </c>
    </row>
    <row r="15285" spans="1:1" x14ac:dyDescent="0.25">
      <c r="A15285" s="108" t="s">
        <v>10698</v>
      </c>
    </row>
    <row r="15286" spans="1:1" x14ac:dyDescent="0.25">
      <c r="A15286" s="76" t="s">
        <v>10699</v>
      </c>
    </row>
    <row r="15287" spans="1:1" x14ac:dyDescent="0.25">
      <c r="A15287" s="108" t="s">
        <v>10700</v>
      </c>
    </row>
    <row r="15288" spans="1:1" x14ac:dyDescent="0.25">
      <c r="A15288" s="76" t="s">
        <v>10701</v>
      </c>
    </row>
    <row r="15289" spans="1:1" x14ac:dyDescent="0.25">
      <c r="A15289" s="108" t="s">
        <v>10702</v>
      </c>
    </row>
    <row r="15290" spans="1:1" x14ac:dyDescent="0.25">
      <c r="A15290" s="76" t="s">
        <v>10703</v>
      </c>
    </row>
    <row r="15291" spans="1:1" x14ac:dyDescent="0.25">
      <c r="A15291" s="108" t="s">
        <v>10704</v>
      </c>
    </row>
    <row r="15292" spans="1:1" x14ac:dyDescent="0.25">
      <c r="A15292" s="76" t="s">
        <v>10705</v>
      </c>
    </row>
    <row r="15293" spans="1:1" x14ac:dyDescent="0.25">
      <c r="A15293" s="108" t="s">
        <v>10706</v>
      </c>
    </row>
    <row r="15294" spans="1:1" x14ac:dyDescent="0.25">
      <c r="A15294" s="76" t="s">
        <v>10707</v>
      </c>
    </row>
    <row r="15295" spans="1:1" x14ac:dyDescent="0.25">
      <c r="A15295" s="108" t="s">
        <v>10708</v>
      </c>
    </row>
    <row r="15296" spans="1:1" x14ac:dyDescent="0.25">
      <c r="A15296" s="76" t="s">
        <v>10709</v>
      </c>
    </row>
    <row r="15297" spans="1:1" x14ac:dyDescent="0.25">
      <c r="A15297" s="108" t="s">
        <v>10710</v>
      </c>
    </row>
    <row r="15298" spans="1:1" x14ac:dyDescent="0.25">
      <c r="A15298" s="76" t="s">
        <v>10711</v>
      </c>
    </row>
    <row r="15299" spans="1:1" x14ac:dyDescent="0.25">
      <c r="A15299" s="108" t="s">
        <v>10712</v>
      </c>
    </row>
    <row r="15300" spans="1:1" x14ac:dyDescent="0.25">
      <c r="A15300" s="76" t="s">
        <v>10713</v>
      </c>
    </row>
    <row r="15301" spans="1:1" x14ac:dyDescent="0.25">
      <c r="A15301" s="108" t="s">
        <v>10714</v>
      </c>
    </row>
    <row r="15302" spans="1:1" x14ac:dyDescent="0.25">
      <c r="A15302" s="76" t="s">
        <v>10715</v>
      </c>
    </row>
    <row r="15303" spans="1:1" x14ac:dyDescent="0.25">
      <c r="A15303" s="108" t="s">
        <v>10716</v>
      </c>
    </row>
    <row r="15304" spans="1:1" x14ac:dyDescent="0.25">
      <c r="A15304" s="76" t="s">
        <v>10717</v>
      </c>
    </row>
    <row r="15305" spans="1:1" x14ac:dyDescent="0.25">
      <c r="A15305" s="108" t="s">
        <v>10718</v>
      </c>
    </row>
    <row r="15306" spans="1:1" x14ac:dyDescent="0.25">
      <c r="A15306" s="76" t="s">
        <v>10719</v>
      </c>
    </row>
    <row r="15307" spans="1:1" x14ac:dyDescent="0.25">
      <c r="A15307" s="108" t="s">
        <v>10720</v>
      </c>
    </row>
    <row r="15308" spans="1:1" x14ac:dyDescent="0.25">
      <c r="A15308" s="76" t="s">
        <v>10721</v>
      </c>
    </row>
    <row r="15309" spans="1:1" x14ac:dyDescent="0.25">
      <c r="A15309" s="108" t="s">
        <v>10722</v>
      </c>
    </row>
    <row r="15310" spans="1:1" x14ac:dyDescent="0.25">
      <c r="A15310" s="76" t="s">
        <v>10723</v>
      </c>
    </row>
    <row r="15311" spans="1:1" x14ac:dyDescent="0.25">
      <c r="A15311" s="108" t="s">
        <v>10724</v>
      </c>
    </row>
    <row r="15312" spans="1:1" x14ac:dyDescent="0.25">
      <c r="A15312" s="76" t="s">
        <v>10725</v>
      </c>
    </row>
    <row r="15313" spans="1:1" x14ac:dyDescent="0.25">
      <c r="A15313" s="108" t="s">
        <v>10726</v>
      </c>
    </row>
    <row r="15314" spans="1:1" x14ac:dyDescent="0.25">
      <c r="A15314" s="76" t="s">
        <v>10727</v>
      </c>
    </row>
    <row r="15315" spans="1:1" x14ac:dyDescent="0.25">
      <c r="A15315" s="108" t="s">
        <v>10728</v>
      </c>
    </row>
    <row r="15316" spans="1:1" x14ac:dyDescent="0.25">
      <c r="A15316" s="76" t="s">
        <v>10729</v>
      </c>
    </row>
    <row r="15317" spans="1:1" x14ac:dyDescent="0.25">
      <c r="A15317" s="108" t="s">
        <v>10730</v>
      </c>
    </row>
    <row r="15318" spans="1:1" x14ac:dyDescent="0.25">
      <c r="A15318" s="76" t="s">
        <v>10731</v>
      </c>
    </row>
    <row r="15319" spans="1:1" x14ac:dyDescent="0.25">
      <c r="A15319" s="108" t="s">
        <v>10732</v>
      </c>
    </row>
    <row r="15320" spans="1:1" x14ac:dyDescent="0.25">
      <c r="A15320" s="76" t="s">
        <v>10733</v>
      </c>
    </row>
    <row r="15321" spans="1:1" x14ac:dyDescent="0.25">
      <c r="A15321" s="108" t="s">
        <v>10734</v>
      </c>
    </row>
    <row r="15322" spans="1:1" x14ac:dyDescent="0.25">
      <c r="A15322" s="76" t="s">
        <v>10735</v>
      </c>
    </row>
    <row r="15323" spans="1:1" x14ac:dyDescent="0.25">
      <c r="A15323" s="108" t="s">
        <v>10736</v>
      </c>
    </row>
    <row r="15324" spans="1:1" x14ac:dyDescent="0.25">
      <c r="A15324" s="76" t="s">
        <v>10737</v>
      </c>
    </row>
    <row r="15325" spans="1:1" x14ac:dyDescent="0.25">
      <c r="A15325" s="108" t="s">
        <v>10738</v>
      </c>
    </row>
    <row r="15326" spans="1:1" x14ac:dyDescent="0.25">
      <c r="A15326" s="76" t="s">
        <v>10739</v>
      </c>
    </row>
    <row r="15327" spans="1:1" x14ac:dyDescent="0.25">
      <c r="A15327" s="108" t="s">
        <v>10740</v>
      </c>
    </row>
    <row r="15328" spans="1:1" x14ac:dyDescent="0.25">
      <c r="A15328" s="76" t="s">
        <v>10741</v>
      </c>
    </row>
    <row r="15329" spans="1:1" x14ac:dyDescent="0.25">
      <c r="A15329" s="108" t="s">
        <v>10742</v>
      </c>
    </row>
    <row r="15330" spans="1:1" x14ac:dyDescent="0.25">
      <c r="A15330" s="76" t="s">
        <v>10743</v>
      </c>
    </row>
    <row r="15331" spans="1:1" x14ac:dyDescent="0.25">
      <c r="A15331" s="108" t="s">
        <v>10744</v>
      </c>
    </row>
    <row r="15332" spans="1:1" x14ac:dyDescent="0.25">
      <c r="A15332" s="76" t="s">
        <v>10745</v>
      </c>
    </row>
    <row r="15333" spans="1:1" x14ac:dyDescent="0.25">
      <c r="A15333" s="108" t="s">
        <v>10746</v>
      </c>
    </row>
    <row r="15334" spans="1:1" x14ac:dyDescent="0.25">
      <c r="A15334" s="76" t="s">
        <v>10747</v>
      </c>
    </row>
    <row r="15335" spans="1:1" x14ac:dyDescent="0.25">
      <c r="A15335" s="108" t="s">
        <v>10748</v>
      </c>
    </row>
    <row r="15336" spans="1:1" x14ac:dyDescent="0.25">
      <c r="A15336" s="76" t="s">
        <v>10749</v>
      </c>
    </row>
    <row r="15337" spans="1:1" x14ac:dyDescent="0.25">
      <c r="A15337" s="108" t="s">
        <v>10750</v>
      </c>
    </row>
    <row r="15338" spans="1:1" x14ac:dyDescent="0.25">
      <c r="A15338" s="76" t="s">
        <v>10751</v>
      </c>
    </row>
    <row r="15339" spans="1:1" x14ac:dyDescent="0.25">
      <c r="A15339" s="108" t="s">
        <v>10752</v>
      </c>
    </row>
    <row r="15340" spans="1:1" x14ac:dyDescent="0.25">
      <c r="A15340" s="76" t="s">
        <v>10753</v>
      </c>
    </row>
    <row r="15341" spans="1:1" x14ac:dyDescent="0.25">
      <c r="A15341" s="108" t="s">
        <v>10754</v>
      </c>
    </row>
    <row r="15342" spans="1:1" x14ac:dyDescent="0.25">
      <c r="A15342" s="76" t="s">
        <v>10755</v>
      </c>
    </row>
    <row r="15343" spans="1:1" x14ac:dyDescent="0.25">
      <c r="A15343" s="108" t="s">
        <v>10756</v>
      </c>
    </row>
    <row r="15344" spans="1:1" x14ac:dyDescent="0.25">
      <c r="A15344" s="76" t="s">
        <v>10757</v>
      </c>
    </row>
    <row r="15345" spans="1:1" x14ac:dyDescent="0.25">
      <c r="A15345" s="108" t="s">
        <v>10758</v>
      </c>
    </row>
    <row r="15346" spans="1:1" x14ac:dyDescent="0.25">
      <c r="A15346" s="76" t="s">
        <v>10759</v>
      </c>
    </row>
    <row r="15347" spans="1:1" x14ac:dyDescent="0.25">
      <c r="A15347" s="108" t="s">
        <v>10760</v>
      </c>
    </row>
    <row r="15348" spans="1:1" x14ac:dyDescent="0.25">
      <c r="A15348" s="76" t="s">
        <v>10761</v>
      </c>
    </row>
    <row r="15349" spans="1:1" x14ac:dyDescent="0.25">
      <c r="A15349" s="108" t="s">
        <v>10762</v>
      </c>
    </row>
    <row r="15350" spans="1:1" x14ac:dyDescent="0.25">
      <c r="A15350" s="76" t="s">
        <v>10763</v>
      </c>
    </row>
    <row r="15351" spans="1:1" x14ac:dyDescent="0.25">
      <c r="A15351" s="108" t="s">
        <v>10764</v>
      </c>
    </row>
    <row r="15352" spans="1:1" x14ac:dyDescent="0.25">
      <c r="A15352" s="76" t="s">
        <v>10765</v>
      </c>
    </row>
    <row r="15353" spans="1:1" x14ac:dyDescent="0.25">
      <c r="A15353" s="108" t="s">
        <v>10766</v>
      </c>
    </row>
    <row r="15354" spans="1:1" x14ac:dyDescent="0.25">
      <c r="A15354" s="76" t="s">
        <v>10767</v>
      </c>
    </row>
    <row r="15355" spans="1:1" x14ac:dyDescent="0.25">
      <c r="A15355" s="108" t="s">
        <v>10768</v>
      </c>
    </row>
    <row r="15356" spans="1:1" x14ac:dyDescent="0.25">
      <c r="A15356" s="76" t="s">
        <v>10769</v>
      </c>
    </row>
    <row r="15357" spans="1:1" x14ac:dyDescent="0.25">
      <c r="A15357" s="108" t="s">
        <v>10770</v>
      </c>
    </row>
    <row r="15358" spans="1:1" x14ac:dyDescent="0.25">
      <c r="A15358" s="76" t="s">
        <v>10771</v>
      </c>
    </row>
    <row r="15359" spans="1:1" x14ac:dyDescent="0.25">
      <c r="A15359" s="108" t="s">
        <v>10772</v>
      </c>
    </row>
    <row r="15360" spans="1:1" x14ac:dyDescent="0.25">
      <c r="A15360" s="76" t="s">
        <v>10773</v>
      </c>
    </row>
    <row r="15361" spans="1:1" x14ac:dyDescent="0.25">
      <c r="A15361" s="108" t="s">
        <v>10774</v>
      </c>
    </row>
    <row r="15362" spans="1:1" x14ac:dyDescent="0.25">
      <c r="A15362" s="76" t="s">
        <v>10775</v>
      </c>
    </row>
    <row r="15363" spans="1:1" x14ac:dyDescent="0.25">
      <c r="A15363" s="108" t="s">
        <v>10776</v>
      </c>
    </row>
    <row r="15364" spans="1:1" x14ac:dyDescent="0.25">
      <c r="A15364" s="76" t="s">
        <v>10777</v>
      </c>
    </row>
    <row r="15365" spans="1:1" x14ac:dyDescent="0.25">
      <c r="A15365" s="108" t="s">
        <v>10778</v>
      </c>
    </row>
    <row r="15366" spans="1:1" x14ac:dyDescent="0.25">
      <c r="A15366" s="76" t="s">
        <v>10779</v>
      </c>
    </row>
    <row r="15367" spans="1:1" x14ac:dyDescent="0.25">
      <c r="A15367" s="108" t="s">
        <v>10780</v>
      </c>
    </row>
    <row r="15368" spans="1:1" x14ac:dyDescent="0.25">
      <c r="A15368" s="76" t="s">
        <v>10781</v>
      </c>
    </row>
    <row r="15369" spans="1:1" x14ac:dyDescent="0.25">
      <c r="A15369" s="108" t="s">
        <v>10782</v>
      </c>
    </row>
    <row r="15370" spans="1:1" x14ac:dyDescent="0.25">
      <c r="A15370" s="76" t="s">
        <v>10783</v>
      </c>
    </row>
    <row r="15371" spans="1:1" x14ac:dyDescent="0.25">
      <c r="A15371" s="108" t="s">
        <v>10784</v>
      </c>
    </row>
    <row r="15372" spans="1:1" x14ac:dyDescent="0.25">
      <c r="A15372" s="76" t="s">
        <v>10785</v>
      </c>
    </row>
    <row r="15373" spans="1:1" x14ac:dyDescent="0.25">
      <c r="A15373" s="108" t="s">
        <v>10786</v>
      </c>
    </row>
    <row r="15374" spans="1:1" x14ac:dyDescent="0.25">
      <c r="A15374" s="76" t="s">
        <v>10787</v>
      </c>
    </row>
    <row r="15375" spans="1:1" x14ac:dyDescent="0.25">
      <c r="A15375" s="108" t="s">
        <v>10788</v>
      </c>
    </row>
    <row r="15376" spans="1:1" x14ac:dyDescent="0.25">
      <c r="A15376" s="76" t="s">
        <v>10789</v>
      </c>
    </row>
    <row r="15377" spans="1:1" x14ac:dyDescent="0.25">
      <c r="A15377" s="108" t="s">
        <v>10790</v>
      </c>
    </row>
    <row r="15378" spans="1:1" x14ac:dyDescent="0.25">
      <c r="A15378" s="76" t="s">
        <v>10791</v>
      </c>
    </row>
    <row r="15379" spans="1:1" x14ac:dyDescent="0.25">
      <c r="A15379" s="108" t="s">
        <v>10792</v>
      </c>
    </row>
    <row r="15380" spans="1:1" x14ac:dyDescent="0.25">
      <c r="A15380" s="76" t="s">
        <v>10793</v>
      </c>
    </row>
    <row r="15381" spans="1:1" x14ac:dyDescent="0.25">
      <c r="A15381" s="108" t="s">
        <v>10794</v>
      </c>
    </row>
    <row r="15382" spans="1:1" x14ac:dyDescent="0.25">
      <c r="A15382" s="76" t="s">
        <v>10795</v>
      </c>
    </row>
    <row r="15383" spans="1:1" x14ac:dyDescent="0.25">
      <c r="A15383" s="108" t="s">
        <v>10796</v>
      </c>
    </row>
    <row r="15384" spans="1:1" x14ac:dyDescent="0.25">
      <c r="A15384" s="76" t="s">
        <v>10797</v>
      </c>
    </row>
    <row r="15385" spans="1:1" x14ac:dyDescent="0.25">
      <c r="A15385" s="108" t="s">
        <v>10798</v>
      </c>
    </row>
    <row r="15386" spans="1:1" x14ac:dyDescent="0.25">
      <c r="A15386" s="76" t="s">
        <v>10799</v>
      </c>
    </row>
    <row r="15387" spans="1:1" x14ac:dyDescent="0.25">
      <c r="A15387" s="108" t="s">
        <v>10800</v>
      </c>
    </row>
    <row r="15388" spans="1:1" x14ac:dyDescent="0.25">
      <c r="A15388" s="76" t="s">
        <v>10801</v>
      </c>
    </row>
    <row r="15389" spans="1:1" x14ac:dyDescent="0.25">
      <c r="A15389" s="108" t="s">
        <v>10802</v>
      </c>
    </row>
    <row r="15390" spans="1:1" x14ac:dyDescent="0.25">
      <c r="A15390" s="76" t="s">
        <v>10803</v>
      </c>
    </row>
    <row r="15391" spans="1:1" x14ac:dyDescent="0.25">
      <c r="A15391" s="108" t="s">
        <v>10804</v>
      </c>
    </row>
    <row r="15392" spans="1:1" x14ac:dyDescent="0.25">
      <c r="A15392" s="76" t="s">
        <v>10805</v>
      </c>
    </row>
    <row r="15393" spans="1:1" x14ac:dyDescent="0.25">
      <c r="A15393" s="108" t="s">
        <v>10806</v>
      </c>
    </row>
    <row r="15394" spans="1:1" x14ac:dyDescent="0.25">
      <c r="A15394" s="76" t="s">
        <v>10807</v>
      </c>
    </row>
    <row r="15395" spans="1:1" x14ac:dyDescent="0.25">
      <c r="A15395" s="108" t="s">
        <v>10808</v>
      </c>
    </row>
    <row r="15396" spans="1:1" x14ac:dyDescent="0.25">
      <c r="A15396" s="76" t="s">
        <v>10809</v>
      </c>
    </row>
    <row r="15397" spans="1:1" x14ac:dyDescent="0.25">
      <c r="A15397" s="108" t="s">
        <v>10810</v>
      </c>
    </row>
    <row r="15398" spans="1:1" x14ac:dyDescent="0.25">
      <c r="A15398" s="76" t="s">
        <v>10811</v>
      </c>
    </row>
    <row r="15399" spans="1:1" x14ac:dyDescent="0.25">
      <c r="A15399" s="108" t="s">
        <v>10812</v>
      </c>
    </row>
    <row r="15400" spans="1:1" x14ac:dyDescent="0.25">
      <c r="A15400" s="76" t="s">
        <v>10813</v>
      </c>
    </row>
    <row r="15401" spans="1:1" x14ac:dyDescent="0.25">
      <c r="A15401" s="108" t="s">
        <v>10814</v>
      </c>
    </row>
    <row r="15402" spans="1:1" x14ac:dyDescent="0.25">
      <c r="A15402" s="76" t="s">
        <v>10815</v>
      </c>
    </row>
    <row r="15403" spans="1:1" x14ac:dyDescent="0.25">
      <c r="A15403" s="108" t="s">
        <v>10816</v>
      </c>
    </row>
    <row r="15404" spans="1:1" x14ac:dyDescent="0.25">
      <c r="A15404" s="76" t="s">
        <v>10817</v>
      </c>
    </row>
    <row r="15405" spans="1:1" x14ac:dyDescent="0.25">
      <c r="A15405" s="108" t="s">
        <v>10818</v>
      </c>
    </row>
    <row r="15406" spans="1:1" x14ac:dyDescent="0.25">
      <c r="A15406" s="76" t="s">
        <v>10819</v>
      </c>
    </row>
    <row r="15407" spans="1:1" x14ac:dyDescent="0.25">
      <c r="A15407" s="108" t="s">
        <v>10820</v>
      </c>
    </row>
    <row r="15408" spans="1:1" x14ac:dyDescent="0.25">
      <c r="A15408" s="76" t="s">
        <v>10821</v>
      </c>
    </row>
    <row r="15409" spans="1:1" x14ac:dyDescent="0.25">
      <c r="A15409" s="108" t="s">
        <v>10822</v>
      </c>
    </row>
    <row r="15410" spans="1:1" x14ac:dyDescent="0.25">
      <c r="A15410" s="76" t="s">
        <v>10823</v>
      </c>
    </row>
    <row r="15411" spans="1:1" x14ac:dyDescent="0.25">
      <c r="A15411" s="108" t="s">
        <v>10824</v>
      </c>
    </row>
    <row r="15412" spans="1:1" x14ac:dyDescent="0.25">
      <c r="A15412" s="76" t="s">
        <v>10825</v>
      </c>
    </row>
    <row r="15413" spans="1:1" x14ac:dyDescent="0.25">
      <c r="A15413" s="108" t="s">
        <v>10826</v>
      </c>
    </row>
    <row r="15414" spans="1:1" x14ac:dyDescent="0.25">
      <c r="A15414" s="76" t="s">
        <v>10827</v>
      </c>
    </row>
    <row r="15415" spans="1:1" x14ac:dyDescent="0.25">
      <c r="A15415" s="108" t="s">
        <v>10828</v>
      </c>
    </row>
    <row r="15416" spans="1:1" x14ac:dyDescent="0.25">
      <c r="A15416" s="76" t="s">
        <v>10829</v>
      </c>
    </row>
    <row r="15417" spans="1:1" x14ac:dyDescent="0.25">
      <c r="A15417" s="108" t="s">
        <v>10830</v>
      </c>
    </row>
    <row r="15418" spans="1:1" x14ac:dyDescent="0.25">
      <c r="A15418" s="76" t="s">
        <v>10831</v>
      </c>
    </row>
    <row r="15419" spans="1:1" x14ac:dyDescent="0.25">
      <c r="A15419" s="108" t="s">
        <v>10832</v>
      </c>
    </row>
    <row r="15420" spans="1:1" x14ac:dyDescent="0.25">
      <c r="A15420" s="76" t="s">
        <v>10833</v>
      </c>
    </row>
    <row r="15421" spans="1:1" x14ac:dyDescent="0.25">
      <c r="A15421" s="108" t="s">
        <v>10834</v>
      </c>
    </row>
    <row r="15422" spans="1:1" x14ac:dyDescent="0.25">
      <c r="A15422" s="76" t="s">
        <v>10835</v>
      </c>
    </row>
    <row r="15423" spans="1:1" x14ac:dyDescent="0.25">
      <c r="A15423" s="108" t="s">
        <v>10836</v>
      </c>
    </row>
    <row r="15424" spans="1:1" x14ac:dyDescent="0.25">
      <c r="A15424" s="76" t="s">
        <v>10837</v>
      </c>
    </row>
    <row r="15425" spans="1:1" x14ac:dyDescent="0.25">
      <c r="A15425" s="108" t="s">
        <v>10838</v>
      </c>
    </row>
    <row r="15426" spans="1:1" x14ac:dyDescent="0.25">
      <c r="A15426" s="76" t="s">
        <v>10839</v>
      </c>
    </row>
    <row r="15427" spans="1:1" x14ac:dyDescent="0.25">
      <c r="A15427" s="108" t="s">
        <v>10840</v>
      </c>
    </row>
    <row r="15428" spans="1:1" x14ac:dyDescent="0.25">
      <c r="A15428" s="76" t="s">
        <v>10841</v>
      </c>
    </row>
    <row r="15429" spans="1:1" x14ac:dyDescent="0.25">
      <c r="A15429" s="108" t="s">
        <v>10842</v>
      </c>
    </row>
    <row r="15430" spans="1:1" x14ac:dyDescent="0.25">
      <c r="A15430" s="76" t="s">
        <v>10843</v>
      </c>
    </row>
    <row r="15431" spans="1:1" x14ac:dyDescent="0.25">
      <c r="A15431" s="108" t="s">
        <v>10844</v>
      </c>
    </row>
    <row r="15432" spans="1:1" x14ac:dyDescent="0.25">
      <c r="A15432" s="76" t="s">
        <v>10845</v>
      </c>
    </row>
    <row r="15433" spans="1:1" x14ac:dyDescent="0.25">
      <c r="A15433" s="108" t="s">
        <v>10846</v>
      </c>
    </row>
    <row r="15434" spans="1:1" x14ac:dyDescent="0.25">
      <c r="A15434" s="76" t="s">
        <v>10847</v>
      </c>
    </row>
    <row r="15435" spans="1:1" x14ac:dyDescent="0.25">
      <c r="A15435" s="108" t="s">
        <v>10848</v>
      </c>
    </row>
    <row r="15436" spans="1:1" x14ac:dyDescent="0.25">
      <c r="A15436" s="76" t="s">
        <v>10849</v>
      </c>
    </row>
    <row r="15437" spans="1:1" x14ac:dyDescent="0.25">
      <c r="A15437" s="108" t="s">
        <v>10850</v>
      </c>
    </row>
    <row r="15438" spans="1:1" x14ac:dyDescent="0.25">
      <c r="A15438" s="76" t="s">
        <v>10851</v>
      </c>
    </row>
    <row r="15439" spans="1:1" x14ac:dyDescent="0.25">
      <c r="A15439" s="108" t="s">
        <v>10852</v>
      </c>
    </row>
    <row r="15440" spans="1:1" x14ac:dyDescent="0.25">
      <c r="A15440" s="76" t="s">
        <v>10853</v>
      </c>
    </row>
    <row r="15441" spans="1:1" x14ac:dyDescent="0.25">
      <c r="A15441" s="108" t="s">
        <v>10854</v>
      </c>
    </row>
    <row r="15442" spans="1:1" x14ac:dyDescent="0.25">
      <c r="A15442" s="76" t="s">
        <v>10855</v>
      </c>
    </row>
    <row r="15443" spans="1:1" x14ac:dyDescent="0.25">
      <c r="A15443" s="108" t="s">
        <v>10856</v>
      </c>
    </row>
    <row r="15444" spans="1:1" x14ac:dyDescent="0.25">
      <c r="A15444" s="76" t="s">
        <v>10857</v>
      </c>
    </row>
    <row r="15445" spans="1:1" x14ac:dyDescent="0.25">
      <c r="A15445" s="108" t="s">
        <v>10858</v>
      </c>
    </row>
    <row r="15446" spans="1:1" x14ac:dyDescent="0.25">
      <c r="A15446" s="76" t="s">
        <v>10859</v>
      </c>
    </row>
    <row r="15447" spans="1:1" x14ac:dyDescent="0.25">
      <c r="A15447" s="108" t="s">
        <v>10860</v>
      </c>
    </row>
    <row r="15448" spans="1:1" x14ac:dyDescent="0.25">
      <c r="A15448" s="76" t="s">
        <v>10861</v>
      </c>
    </row>
    <row r="15449" spans="1:1" x14ac:dyDescent="0.25">
      <c r="A15449" s="108" t="s">
        <v>10862</v>
      </c>
    </row>
    <row r="15450" spans="1:1" x14ac:dyDescent="0.25">
      <c r="A15450" s="76" t="s">
        <v>10863</v>
      </c>
    </row>
    <row r="15451" spans="1:1" x14ac:dyDescent="0.25">
      <c r="A15451" s="108" t="s">
        <v>10864</v>
      </c>
    </row>
    <row r="15452" spans="1:1" x14ac:dyDescent="0.25">
      <c r="A15452" s="76" t="s">
        <v>10865</v>
      </c>
    </row>
    <row r="15453" spans="1:1" x14ac:dyDescent="0.25">
      <c r="A15453" s="108" t="s">
        <v>10866</v>
      </c>
    </row>
    <row r="15454" spans="1:1" x14ac:dyDescent="0.25">
      <c r="A15454" s="76" t="s">
        <v>10867</v>
      </c>
    </row>
    <row r="15455" spans="1:1" x14ac:dyDescent="0.25">
      <c r="A15455" s="108" t="s">
        <v>10868</v>
      </c>
    </row>
    <row r="15456" spans="1:1" x14ac:dyDescent="0.25">
      <c r="A15456" s="76" t="s">
        <v>10869</v>
      </c>
    </row>
    <row r="15457" spans="1:1" x14ac:dyDescent="0.25">
      <c r="A15457" s="108" t="s">
        <v>10870</v>
      </c>
    </row>
    <row r="15458" spans="1:1" x14ac:dyDescent="0.25">
      <c r="A15458" s="76" t="s">
        <v>10871</v>
      </c>
    </row>
    <row r="15459" spans="1:1" x14ac:dyDescent="0.25">
      <c r="A15459" s="108" t="s">
        <v>10872</v>
      </c>
    </row>
    <row r="15460" spans="1:1" x14ac:dyDescent="0.25">
      <c r="A15460" s="76" t="s">
        <v>10873</v>
      </c>
    </row>
    <row r="15461" spans="1:1" x14ac:dyDescent="0.25">
      <c r="A15461" s="108" t="s">
        <v>10874</v>
      </c>
    </row>
    <row r="15462" spans="1:1" x14ac:dyDescent="0.25">
      <c r="A15462" s="76" t="s">
        <v>10875</v>
      </c>
    </row>
    <row r="15463" spans="1:1" x14ac:dyDescent="0.25">
      <c r="A15463" s="108" t="s">
        <v>10876</v>
      </c>
    </row>
    <row r="15464" spans="1:1" x14ac:dyDescent="0.25">
      <c r="A15464" s="76" t="s">
        <v>10877</v>
      </c>
    </row>
    <row r="15465" spans="1:1" x14ac:dyDescent="0.25">
      <c r="A15465" s="108" t="s">
        <v>10878</v>
      </c>
    </row>
    <row r="15466" spans="1:1" x14ac:dyDescent="0.25">
      <c r="A15466" s="76" t="s">
        <v>10879</v>
      </c>
    </row>
    <row r="15467" spans="1:1" x14ac:dyDescent="0.25">
      <c r="A15467" s="108" t="s">
        <v>10880</v>
      </c>
    </row>
    <row r="15468" spans="1:1" x14ac:dyDescent="0.25">
      <c r="A15468" s="76" t="s">
        <v>10881</v>
      </c>
    </row>
    <row r="15469" spans="1:1" x14ac:dyDescent="0.25">
      <c r="A15469" s="108" t="s">
        <v>10882</v>
      </c>
    </row>
    <row r="15470" spans="1:1" x14ac:dyDescent="0.25">
      <c r="A15470" s="76" t="s">
        <v>10883</v>
      </c>
    </row>
    <row r="15471" spans="1:1" x14ac:dyDescent="0.25">
      <c r="A15471" s="108" t="s">
        <v>10884</v>
      </c>
    </row>
    <row r="15472" spans="1:1" x14ac:dyDescent="0.25">
      <c r="A15472" s="76" t="s">
        <v>10885</v>
      </c>
    </row>
    <row r="15473" spans="1:1" x14ac:dyDescent="0.25">
      <c r="A15473" s="108" t="s">
        <v>10886</v>
      </c>
    </row>
    <row r="15474" spans="1:1" x14ac:dyDescent="0.25">
      <c r="A15474" s="76" t="s">
        <v>10887</v>
      </c>
    </row>
    <row r="15475" spans="1:1" x14ac:dyDescent="0.25">
      <c r="A15475" s="108" t="s">
        <v>10888</v>
      </c>
    </row>
    <row r="15476" spans="1:1" x14ac:dyDescent="0.25">
      <c r="A15476" s="76" t="s">
        <v>10889</v>
      </c>
    </row>
    <row r="15477" spans="1:1" x14ac:dyDescent="0.25">
      <c r="A15477" s="108" t="s">
        <v>10890</v>
      </c>
    </row>
    <row r="15478" spans="1:1" x14ac:dyDescent="0.25">
      <c r="A15478" s="76" t="s">
        <v>10891</v>
      </c>
    </row>
    <row r="15479" spans="1:1" x14ac:dyDescent="0.25">
      <c r="A15479" s="108" t="s">
        <v>10892</v>
      </c>
    </row>
    <row r="15480" spans="1:1" x14ac:dyDescent="0.25">
      <c r="A15480" s="76" t="s">
        <v>10893</v>
      </c>
    </row>
    <row r="15481" spans="1:1" x14ac:dyDescent="0.25">
      <c r="A15481" s="108" t="s">
        <v>10894</v>
      </c>
    </row>
    <row r="15482" spans="1:1" x14ac:dyDescent="0.25">
      <c r="A15482" s="76" t="s">
        <v>10895</v>
      </c>
    </row>
    <row r="15483" spans="1:1" x14ac:dyDescent="0.25">
      <c r="A15483" s="108" t="s">
        <v>10896</v>
      </c>
    </row>
    <row r="15484" spans="1:1" x14ac:dyDescent="0.25">
      <c r="A15484" s="76" t="s">
        <v>10897</v>
      </c>
    </row>
    <row r="15485" spans="1:1" x14ac:dyDescent="0.25">
      <c r="A15485" s="108" t="s">
        <v>10898</v>
      </c>
    </row>
    <row r="15486" spans="1:1" x14ac:dyDescent="0.25">
      <c r="A15486" s="76" t="s">
        <v>10899</v>
      </c>
    </row>
    <row r="15487" spans="1:1" x14ac:dyDescent="0.25">
      <c r="A15487" s="108" t="s">
        <v>10900</v>
      </c>
    </row>
    <row r="15488" spans="1:1" x14ac:dyDescent="0.25">
      <c r="A15488" s="76" t="s">
        <v>10901</v>
      </c>
    </row>
    <row r="15489" spans="1:1" x14ac:dyDescent="0.25">
      <c r="A15489" s="108" t="s">
        <v>10902</v>
      </c>
    </row>
    <row r="15490" spans="1:1" x14ac:dyDescent="0.25">
      <c r="A15490" s="76" t="s">
        <v>10903</v>
      </c>
    </row>
    <row r="15491" spans="1:1" x14ac:dyDescent="0.25">
      <c r="A15491" s="108" t="s">
        <v>10904</v>
      </c>
    </row>
    <row r="15492" spans="1:1" x14ac:dyDescent="0.25">
      <c r="A15492" s="76" t="s">
        <v>10905</v>
      </c>
    </row>
    <row r="15493" spans="1:1" x14ac:dyDescent="0.25">
      <c r="A15493" s="108" t="s">
        <v>10906</v>
      </c>
    </row>
    <row r="15494" spans="1:1" x14ac:dyDescent="0.25">
      <c r="A15494" s="76" t="s">
        <v>10907</v>
      </c>
    </row>
    <row r="15495" spans="1:1" x14ac:dyDescent="0.25">
      <c r="A15495" s="108" t="s">
        <v>10908</v>
      </c>
    </row>
    <row r="15496" spans="1:1" x14ac:dyDescent="0.25">
      <c r="A15496" s="76" t="s">
        <v>10909</v>
      </c>
    </row>
    <row r="15497" spans="1:1" x14ac:dyDescent="0.25">
      <c r="A15497" s="108" t="s">
        <v>10910</v>
      </c>
    </row>
    <row r="15498" spans="1:1" x14ac:dyDescent="0.25">
      <c r="A15498" s="76" t="s">
        <v>10911</v>
      </c>
    </row>
    <row r="15499" spans="1:1" x14ac:dyDescent="0.25">
      <c r="A15499" s="108" t="s">
        <v>10912</v>
      </c>
    </row>
    <row r="15500" spans="1:1" x14ac:dyDescent="0.25">
      <c r="A15500" s="76" t="s">
        <v>10913</v>
      </c>
    </row>
    <row r="15501" spans="1:1" x14ac:dyDescent="0.25">
      <c r="A15501" s="108" t="s">
        <v>10914</v>
      </c>
    </row>
    <row r="15502" spans="1:1" x14ac:dyDescent="0.25">
      <c r="A15502" s="76" t="s">
        <v>10915</v>
      </c>
    </row>
    <row r="15503" spans="1:1" x14ac:dyDescent="0.25">
      <c r="A15503" s="108" t="s">
        <v>10916</v>
      </c>
    </row>
    <row r="15504" spans="1:1" x14ac:dyDescent="0.25">
      <c r="A15504" s="76" t="s">
        <v>10917</v>
      </c>
    </row>
    <row r="15505" spans="1:1" x14ac:dyDescent="0.25">
      <c r="A15505" s="108" t="s">
        <v>10918</v>
      </c>
    </row>
    <row r="15506" spans="1:1" x14ac:dyDescent="0.25">
      <c r="A15506" s="76" t="s">
        <v>10919</v>
      </c>
    </row>
    <row r="15507" spans="1:1" x14ac:dyDescent="0.25">
      <c r="A15507" s="108" t="s">
        <v>10920</v>
      </c>
    </row>
    <row r="15508" spans="1:1" x14ac:dyDescent="0.25">
      <c r="A15508" s="76" t="s">
        <v>10921</v>
      </c>
    </row>
    <row r="15509" spans="1:1" x14ac:dyDescent="0.25">
      <c r="A15509" s="108" t="s">
        <v>10922</v>
      </c>
    </row>
    <row r="15510" spans="1:1" x14ac:dyDescent="0.25">
      <c r="A15510" s="76" t="s">
        <v>10923</v>
      </c>
    </row>
    <row r="15511" spans="1:1" x14ac:dyDescent="0.25">
      <c r="A15511" s="108" t="s">
        <v>10924</v>
      </c>
    </row>
    <row r="15512" spans="1:1" x14ac:dyDescent="0.25">
      <c r="A15512" s="76" t="s">
        <v>10925</v>
      </c>
    </row>
    <row r="15513" spans="1:1" x14ac:dyDescent="0.25">
      <c r="A15513" s="108" t="s">
        <v>10926</v>
      </c>
    </row>
    <row r="15514" spans="1:1" x14ac:dyDescent="0.25">
      <c r="A15514" s="76" t="s">
        <v>10927</v>
      </c>
    </row>
    <row r="15515" spans="1:1" x14ac:dyDescent="0.25">
      <c r="A15515" s="108" t="s">
        <v>10928</v>
      </c>
    </row>
    <row r="15516" spans="1:1" x14ac:dyDescent="0.25">
      <c r="A15516" s="76" t="s">
        <v>10929</v>
      </c>
    </row>
    <row r="15517" spans="1:1" x14ac:dyDescent="0.25">
      <c r="A15517" s="108" t="s">
        <v>10930</v>
      </c>
    </row>
    <row r="15518" spans="1:1" x14ac:dyDescent="0.25">
      <c r="A15518" s="76" t="s">
        <v>10931</v>
      </c>
    </row>
    <row r="15519" spans="1:1" x14ac:dyDescent="0.25">
      <c r="A15519" s="108" t="s">
        <v>10932</v>
      </c>
    </row>
    <row r="15520" spans="1:1" x14ac:dyDescent="0.25">
      <c r="A15520" s="76" t="s">
        <v>10933</v>
      </c>
    </row>
    <row r="15521" spans="1:1" x14ac:dyDescent="0.25">
      <c r="A15521" s="108" t="s">
        <v>10934</v>
      </c>
    </row>
    <row r="15522" spans="1:1" x14ac:dyDescent="0.25">
      <c r="A15522" s="76" t="s">
        <v>10935</v>
      </c>
    </row>
    <row r="15523" spans="1:1" x14ac:dyDescent="0.25">
      <c r="A15523" s="108" t="s">
        <v>10936</v>
      </c>
    </row>
    <row r="15524" spans="1:1" x14ac:dyDescent="0.25">
      <c r="A15524" s="76" t="s">
        <v>10937</v>
      </c>
    </row>
    <row r="15525" spans="1:1" x14ac:dyDescent="0.25">
      <c r="A15525" s="108" t="s">
        <v>10938</v>
      </c>
    </row>
    <row r="15526" spans="1:1" x14ac:dyDescent="0.25">
      <c r="A15526" s="76" t="s">
        <v>10939</v>
      </c>
    </row>
    <row r="15527" spans="1:1" x14ac:dyDescent="0.25">
      <c r="A15527" s="108" t="s">
        <v>10940</v>
      </c>
    </row>
    <row r="15528" spans="1:1" x14ac:dyDescent="0.25">
      <c r="A15528" s="76" t="s">
        <v>10941</v>
      </c>
    </row>
    <row r="15529" spans="1:1" x14ac:dyDescent="0.25">
      <c r="A15529" s="108" t="s">
        <v>10942</v>
      </c>
    </row>
    <row r="15530" spans="1:1" x14ac:dyDescent="0.25">
      <c r="A15530" s="76" t="s">
        <v>10943</v>
      </c>
    </row>
    <row r="15531" spans="1:1" x14ac:dyDescent="0.25">
      <c r="A15531" s="108" t="s">
        <v>10944</v>
      </c>
    </row>
    <row r="15532" spans="1:1" x14ac:dyDescent="0.25">
      <c r="A15532" s="76" t="s">
        <v>10945</v>
      </c>
    </row>
    <row r="15533" spans="1:1" x14ac:dyDescent="0.25">
      <c r="A15533" s="108" t="s">
        <v>10946</v>
      </c>
    </row>
    <row r="15534" spans="1:1" x14ac:dyDescent="0.25">
      <c r="A15534" s="76" t="s">
        <v>10947</v>
      </c>
    </row>
    <row r="15535" spans="1:1" x14ac:dyDescent="0.25">
      <c r="A15535" s="108" t="s">
        <v>10948</v>
      </c>
    </row>
    <row r="15536" spans="1:1" x14ac:dyDescent="0.25">
      <c r="A15536" s="76" t="s">
        <v>10949</v>
      </c>
    </row>
    <row r="15537" spans="1:1" x14ac:dyDescent="0.25">
      <c r="A15537" s="108" t="s">
        <v>10950</v>
      </c>
    </row>
    <row r="15538" spans="1:1" x14ac:dyDescent="0.25">
      <c r="A15538" s="76" t="s">
        <v>10951</v>
      </c>
    </row>
    <row r="15539" spans="1:1" x14ac:dyDescent="0.25">
      <c r="A15539" s="108" t="s">
        <v>10952</v>
      </c>
    </row>
    <row r="15540" spans="1:1" x14ac:dyDescent="0.25">
      <c r="A15540" s="76" t="s">
        <v>10953</v>
      </c>
    </row>
    <row r="15541" spans="1:1" x14ac:dyDescent="0.25">
      <c r="A15541" s="108" t="s">
        <v>10954</v>
      </c>
    </row>
    <row r="15542" spans="1:1" x14ac:dyDescent="0.25">
      <c r="A15542" s="76" t="s">
        <v>10955</v>
      </c>
    </row>
    <row r="15543" spans="1:1" x14ac:dyDescent="0.25">
      <c r="A15543" s="108" t="s">
        <v>10956</v>
      </c>
    </row>
    <row r="15544" spans="1:1" x14ac:dyDescent="0.25">
      <c r="A15544" s="76" t="s">
        <v>10957</v>
      </c>
    </row>
    <row r="15545" spans="1:1" x14ac:dyDescent="0.25">
      <c r="A15545" s="108" t="s">
        <v>10958</v>
      </c>
    </row>
    <row r="15546" spans="1:1" x14ac:dyDescent="0.25">
      <c r="A15546" s="76" t="s">
        <v>10959</v>
      </c>
    </row>
    <row r="15547" spans="1:1" x14ac:dyDescent="0.25">
      <c r="A15547" s="108" t="s">
        <v>10960</v>
      </c>
    </row>
    <row r="15548" spans="1:1" x14ac:dyDescent="0.25">
      <c r="A15548" s="76" t="s">
        <v>10961</v>
      </c>
    </row>
    <row r="15549" spans="1:1" x14ac:dyDescent="0.25">
      <c r="A15549" s="108" t="s">
        <v>10962</v>
      </c>
    </row>
    <row r="15550" spans="1:1" x14ac:dyDescent="0.25">
      <c r="A15550" s="76" t="s">
        <v>10963</v>
      </c>
    </row>
    <row r="15551" spans="1:1" x14ac:dyDescent="0.25">
      <c r="A15551" s="108" t="s">
        <v>10964</v>
      </c>
    </row>
    <row r="15552" spans="1:1" x14ac:dyDescent="0.25">
      <c r="A15552" s="76" t="s">
        <v>10965</v>
      </c>
    </row>
    <row r="15553" spans="1:1" x14ac:dyDescent="0.25">
      <c r="A15553" s="108" t="s">
        <v>10966</v>
      </c>
    </row>
    <row r="15554" spans="1:1" x14ac:dyDescent="0.25">
      <c r="A15554" s="76" t="s">
        <v>10967</v>
      </c>
    </row>
    <row r="15555" spans="1:1" x14ac:dyDescent="0.25">
      <c r="A15555" s="108" t="s">
        <v>10968</v>
      </c>
    </row>
    <row r="15556" spans="1:1" x14ac:dyDescent="0.25">
      <c r="A15556" s="76" t="s">
        <v>10969</v>
      </c>
    </row>
    <row r="15557" spans="1:1" x14ac:dyDescent="0.25">
      <c r="A15557" s="108" t="s">
        <v>10970</v>
      </c>
    </row>
    <row r="15558" spans="1:1" x14ac:dyDescent="0.25">
      <c r="A15558" s="76" t="s">
        <v>10971</v>
      </c>
    </row>
    <row r="15559" spans="1:1" x14ac:dyDescent="0.25">
      <c r="A15559" s="108" t="s">
        <v>10972</v>
      </c>
    </row>
    <row r="15560" spans="1:1" x14ac:dyDescent="0.25">
      <c r="A15560" s="76" t="s">
        <v>10973</v>
      </c>
    </row>
    <row r="15561" spans="1:1" x14ac:dyDescent="0.25">
      <c r="A15561" s="108" t="s">
        <v>10974</v>
      </c>
    </row>
    <row r="15562" spans="1:1" x14ac:dyDescent="0.25">
      <c r="A15562" s="76" t="s">
        <v>10975</v>
      </c>
    </row>
    <row r="15563" spans="1:1" x14ac:dyDescent="0.25">
      <c r="A15563" s="108" t="s">
        <v>10976</v>
      </c>
    </row>
    <row r="15564" spans="1:1" x14ac:dyDescent="0.25">
      <c r="A15564" s="76" t="s">
        <v>10977</v>
      </c>
    </row>
    <row r="15565" spans="1:1" x14ac:dyDescent="0.25">
      <c r="A15565" s="108" t="s">
        <v>10978</v>
      </c>
    </row>
    <row r="15566" spans="1:1" x14ac:dyDescent="0.25">
      <c r="A15566" s="76" t="s">
        <v>10979</v>
      </c>
    </row>
    <row r="15567" spans="1:1" x14ac:dyDescent="0.25">
      <c r="A15567" s="108" t="s">
        <v>10980</v>
      </c>
    </row>
    <row r="15568" spans="1:1" x14ac:dyDescent="0.25">
      <c r="A15568" s="76" t="s">
        <v>10981</v>
      </c>
    </row>
    <row r="15569" spans="1:1" x14ac:dyDescent="0.25">
      <c r="A15569" s="108" t="s">
        <v>10982</v>
      </c>
    </row>
    <row r="15570" spans="1:1" x14ac:dyDescent="0.25">
      <c r="A15570" s="76" t="s">
        <v>10983</v>
      </c>
    </row>
    <row r="15571" spans="1:1" x14ac:dyDescent="0.25">
      <c r="A15571" s="108" t="s">
        <v>10984</v>
      </c>
    </row>
    <row r="15572" spans="1:1" x14ac:dyDescent="0.25">
      <c r="A15572" s="76" t="s">
        <v>10985</v>
      </c>
    </row>
    <row r="15573" spans="1:1" x14ac:dyDescent="0.25">
      <c r="A15573" s="108" t="s">
        <v>10986</v>
      </c>
    </row>
    <row r="15574" spans="1:1" x14ac:dyDescent="0.25">
      <c r="A15574" s="76" t="s">
        <v>10987</v>
      </c>
    </row>
    <row r="15575" spans="1:1" x14ac:dyDescent="0.25">
      <c r="A15575" s="108" t="s">
        <v>10988</v>
      </c>
    </row>
    <row r="15576" spans="1:1" x14ac:dyDescent="0.25">
      <c r="A15576" s="76" t="s">
        <v>10989</v>
      </c>
    </row>
    <row r="15577" spans="1:1" x14ac:dyDescent="0.25">
      <c r="A15577" s="108" t="s">
        <v>10990</v>
      </c>
    </row>
    <row r="15578" spans="1:1" x14ac:dyDescent="0.25">
      <c r="A15578" s="76" t="s">
        <v>10991</v>
      </c>
    </row>
    <row r="15579" spans="1:1" x14ac:dyDescent="0.25">
      <c r="A15579" s="108" t="s">
        <v>10992</v>
      </c>
    </row>
    <row r="15580" spans="1:1" x14ac:dyDescent="0.25">
      <c r="A15580" s="76" t="s">
        <v>10993</v>
      </c>
    </row>
    <row r="15581" spans="1:1" x14ac:dyDescent="0.25">
      <c r="A15581" s="108" t="s">
        <v>10994</v>
      </c>
    </row>
    <row r="15582" spans="1:1" x14ac:dyDescent="0.25">
      <c r="A15582" s="76" t="s">
        <v>10995</v>
      </c>
    </row>
    <row r="15583" spans="1:1" x14ac:dyDescent="0.25">
      <c r="A15583" s="108" t="s">
        <v>10996</v>
      </c>
    </row>
    <row r="15584" spans="1:1" x14ac:dyDescent="0.25">
      <c r="A15584" s="76" t="s">
        <v>10997</v>
      </c>
    </row>
    <row r="15585" spans="1:1" x14ac:dyDescent="0.25">
      <c r="A15585" s="108" t="s">
        <v>10998</v>
      </c>
    </row>
    <row r="15586" spans="1:1" x14ac:dyDescent="0.25">
      <c r="A15586" s="76" t="s">
        <v>10999</v>
      </c>
    </row>
    <row r="15587" spans="1:1" x14ac:dyDescent="0.25">
      <c r="A15587" s="108" t="s">
        <v>11000</v>
      </c>
    </row>
    <row r="15588" spans="1:1" x14ac:dyDescent="0.25">
      <c r="A15588" s="76" t="s">
        <v>11001</v>
      </c>
    </row>
    <row r="15589" spans="1:1" x14ac:dyDescent="0.25">
      <c r="A15589" s="108" t="s">
        <v>11002</v>
      </c>
    </row>
    <row r="15590" spans="1:1" x14ac:dyDescent="0.25">
      <c r="A15590" s="76" t="s">
        <v>11003</v>
      </c>
    </row>
    <row r="15591" spans="1:1" x14ac:dyDescent="0.25">
      <c r="A15591" s="108" t="s">
        <v>11004</v>
      </c>
    </row>
    <row r="15592" spans="1:1" x14ac:dyDescent="0.25">
      <c r="A15592" s="76" t="s">
        <v>11005</v>
      </c>
    </row>
    <row r="15593" spans="1:1" x14ac:dyDescent="0.25">
      <c r="A15593" s="108" t="s">
        <v>11006</v>
      </c>
    </row>
    <row r="15594" spans="1:1" x14ac:dyDescent="0.25">
      <c r="A15594" s="76" t="s">
        <v>11007</v>
      </c>
    </row>
    <row r="15595" spans="1:1" x14ac:dyDescent="0.25">
      <c r="A15595" s="108" t="s">
        <v>11008</v>
      </c>
    </row>
    <row r="15596" spans="1:1" x14ac:dyDescent="0.25">
      <c r="A15596" s="76" t="s">
        <v>11009</v>
      </c>
    </row>
    <row r="15597" spans="1:1" x14ac:dyDescent="0.25">
      <c r="A15597" s="108" t="s">
        <v>11010</v>
      </c>
    </row>
    <row r="15598" spans="1:1" x14ac:dyDescent="0.25">
      <c r="A15598" s="76" t="s">
        <v>11011</v>
      </c>
    </row>
    <row r="15599" spans="1:1" x14ac:dyDescent="0.25">
      <c r="A15599" s="108" t="s">
        <v>11012</v>
      </c>
    </row>
    <row r="15600" spans="1:1" x14ac:dyDescent="0.25">
      <c r="A15600" s="76" t="s">
        <v>11013</v>
      </c>
    </row>
    <row r="15601" spans="1:1" x14ac:dyDescent="0.25">
      <c r="A15601" s="108" t="s">
        <v>11014</v>
      </c>
    </row>
    <row r="15602" spans="1:1" x14ac:dyDescent="0.25">
      <c r="A15602" s="76" t="s">
        <v>11015</v>
      </c>
    </row>
    <row r="15603" spans="1:1" x14ac:dyDescent="0.25">
      <c r="A15603" s="108" t="s">
        <v>11016</v>
      </c>
    </row>
    <row r="15604" spans="1:1" x14ac:dyDescent="0.25">
      <c r="A15604" s="76" t="s">
        <v>11017</v>
      </c>
    </row>
    <row r="15605" spans="1:1" x14ac:dyDescent="0.25">
      <c r="A15605" s="108" t="s">
        <v>11018</v>
      </c>
    </row>
    <row r="15606" spans="1:1" x14ac:dyDescent="0.25">
      <c r="A15606" s="76" t="s">
        <v>11019</v>
      </c>
    </row>
    <row r="15607" spans="1:1" x14ac:dyDescent="0.25">
      <c r="A15607" s="108" t="s">
        <v>11020</v>
      </c>
    </row>
    <row r="15608" spans="1:1" x14ac:dyDescent="0.25">
      <c r="A15608" s="76" t="s">
        <v>11021</v>
      </c>
    </row>
    <row r="15609" spans="1:1" x14ac:dyDescent="0.25">
      <c r="A15609" s="108" t="s">
        <v>11022</v>
      </c>
    </row>
    <row r="15610" spans="1:1" x14ac:dyDescent="0.25">
      <c r="A15610" s="76" t="s">
        <v>11023</v>
      </c>
    </row>
    <row r="15611" spans="1:1" x14ac:dyDescent="0.25">
      <c r="A15611" s="108" t="s">
        <v>11024</v>
      </c>
    </row>
    <row r="15612" spans="1:1" x14ac:dyDescent="0.25">
      <c r="A15612" s="76" t="s">
        <v>11025</v>
      </c>
    </row>
    <row r="15613" spans="1:1" x14ac:dyDescent="0.25">
      <c r="A15613" s="108" t="s">
        <v>11026</v>
      </c>
    </row>
    <row r="15614" spans="1:1" x14ac:dyDescent="0.25">
      <c r="A15614" s="76" t="s">
        <v>11027</v>
      </c>
    </row>
    <row r="15615" spans="1:1" x14ac:dyDescent="0.25">
      <c r="A15615" s="108" t="s">
        <v>11028</v>
      </c>
    </row>
    <row r="15616" spans="1:1" x14ac:dyDescent="0.25">
      <c r="A15616" s="76" t="s">
        <v>11029</v>
      </c>
    </row>
    <row r="15617" spans="1:1" x14ac:dyDescent="0.25">
      <c r="A15617" s="108" t="s">
        <v>11030</v>
      </c>
    </row>
    <row r="15618" spans="1:1" x14ac:dyDescent="0.25">
      <c r="A15618" s="76" t="s">
        <v>11031</v>
      </c>
    </row>
    <row r="15619" spans="1:1" x14ac:dyDescent="0.25">
      <c r="A15619" s="108" t="s">
        <v>11032</v>
      </c>
    </row>
    <row r="15620" spans="1:1" x14ac:dyDescent="0.25">
      <c r="A15620" s="76" t="s">
        <v>11033</v>
      </c>
    </row>
    <row r="15621" spans="1:1" x14ac:dyDescent="0.25">
      <c r="A15621" s="108" t="s">
        <v>11034</v>
      </c>
    </row>
    <row r="15622" spans="1:1" x14ac:dyDescent="0.25">
      <c r="A15622" s="76" t="s">
        <v>11035</v>
      </c>
    </row>
    <row r="15623" spans="1:1" x14ac:dyDescent="0.25">
      <c r="A15623" s="108" t="s">
        <v>11036</v>
      </c>
    </row>
    <row r="15624" spans="1:1" x14ac:dyDescent="0.25">
      <c r="A15624" s="76" t="s">
        <v>11037</v>
      </c>
    </row>
    <row r="15625" spans="1:1" x14ac:dyDescent="0.25">
      <c r="A15625" s="108" t="s">
        <v>11038</v>
      </c>
    </row>
    <row r="15626" spans="1:1" x14ac:dyDescent="0.25">
      <c r="A15626" s="76" t="s">
        <v>11039</v>
      </c>
    </row>
    <row r="15627" spans="1:1" x14ac:dyDescent="0.25">
      <c r="A15627" s="108" t="s">
        <v>11040</v>
      </c>
    </row>
    <row r="15628" spans="1:1" x14ac:dyDescent="0.25">
      <c r="A15628" s="76" t="s">
        <v>11041</v>
      </c>
    </row>
    <row r="15629" spans="1:1" x14ac:dyDescent="0.25">
      <c r="A15629" s="108" t="s">
        <v>11042</v>
      </c>
    </row>
    <row r="15630" spans="1:1" x14ac:dyDescent="0.25">
      <c r="A15630" s="76" t="s">
        <v>11043</v>
      </c>
    </row>
    <row r="15631" spans="1:1" x14ac:dyDescent="0.25">
      <c r="A15631" s="108" t="s">
        <v>11044</v>
      </c>
    </row>
    <row r="15632" spans="1:1" x14ac:dyDescent="0.25">
      <c r="A15632" s="76" t="s">
        <v>11045</v>
      </c>
    </row>
    <row r="15633" spans="1:1" x14ac:dyDescent="0.25">
      <c r="A15633" s="108" t="s">
        <v>11046</v>
      </c>
    </row>
    <row r="15634" spans="1:1" x14ac:dyDescent="0.25">
      <c r="A15634" s="76" t="s">
        <v>11047</v>
      </c>
    </row>
    <row r="15635" spans="1:1" x14ac:dyDescent="0.25">
      <c r="A15635" s="108" t="s">
        <v>11048</v>
      </c>
    </row>
    <row r="15636" spans="1:1" x14ac:dyDescent="0.25">
      <c r="A15636" s="76" t="s">
        <v>11049</v>
      </c>
    </row>
    <row r="15637" spans="1:1" x14ac:dyDescent="0.25">
      <c r="A15637" s="108" t="s">
        <v>11050</v>
      </c>
    </row>
    <row r="15638" spans="1:1" x14ac:dyDescent="0.25">
      <c r="A15638" s="76" t="s">
        <v>11051</v>
      </c>
    </row>
    <row r="15639" spans="1:1" x14ac:dyDescent="0.25">
      <c r="A15639" s="108" t="s">
        <v>11052</v>
      </c>
    </row>
    <row r="15640" spans="1:1" x14ac:dyDescent="0.25">
      <c r="A15640" s="76" t="s">
        <v>11053</v>
      </c>
    </row>
    <row r="15641" spans="1:1" x14ac:dyDescent="0.25">
      <c r="A15641" s="108" t="s">
        <v>11054</v>
      </c>
    </row>
    <row r="15642" spans="1:1" x14ac:dyDescent="0.25">
      <c r="A15642" s="76" t="s">
        <v>11055</v>
      </c>
    </row>
    <row r="15643" spans="1:1" x14ac:dyDescent="0.25">
      <c r="A15643" s="108" t="s">
        <v>11056</v>
      </c>
    </row>
    <row r="15644" spans="1:1" x14ac:dyDescent="0.25">
      <c r="A15644" s="76" t="s">
        <v>11057</v>
      </c>
    </row>
    <row r="15645" spans="1:1" x14ac:dyDescent="0.25">
      <c r="A15645" s="108" t="s">
        <v>11058</v>
      </c>
    </row>
    <row r="15646" spans="1:1" x14ac:dyDescent="0.25">
      <c r="A15646" s="76" t="s">
        <v>11059</v>
      </c>
    </row>
    <row r="15647" spans="1:1" x14ac:dyDescent="0.25">
      <c r="A15647" s="108" t="s">
        <v>11060</v>
      </c>
    </row>
    <row r="15648" spans="1:1" x14ac:dyDescent="0.25">
      <c r="A15648" s="76" t="s">
        <v>11061</v>
      </c>
    </row>
    <row r="15649" spans="1:1" x14ac:dyDescent="0.25">
      <c r="A15649" s="108" t="s">
        <v>11062</v>
      </c>
    </row>
    <row r="15650" spans="1:1" x14ac:dyDescent="0.25">
      <c r="A15650" s="76" t="s">
        <v>11063</v>
      </c>
    </row>
    <row r="15651" spans="1:1" x14ac:dyDescent="0.25">
      <c r="A15651" s="108" t="s">
        <v>11064</v>
      </c>
    </row>
    <row r="15652" spans="1:1" x14ac:dyDescent="0.25">
      <c r="A15652" s="76" t="s">
        <v>11065</v>
      </c>
    </row>
    <row r="15653" spans="1:1" x14ac:dyDescent="0.25">
      <c r="A15653" s="108" t="s">
        <v>11066</v>
      </c>
    </row>
    <row r="15654" spans="1:1" x14ac:dyDescent="0.25">
      <c r="A15654" s="76" t="s">
        <v>11067</v>
      </c>
    </row>
    <row r="15655" spans="1:1" x14ac:dyDescent="0.25">
      <c r="A15655" s="108" t="s">
        <v>11068</v>
      </c>
    </row>
    <row r="15656" spans="1:1" x14ac:dyDescent="0.25">
      <c r="A15656" s="76" t="s">
        <v>11069</v>
      </c>
    </row>
    <row r="15657" spans="1:1" x14ac:dyDescent="0.25">
      <c r="A15657" s="108" t="s">
        <v>11070</v>
      </c>
    </row>
    <row r="15658" spans="1:1" x14ac:dyDescent="0.25">
      <c r="A15658" s="76" t="s">
        <v>11071</v>
      </c>
    </row>
    <row r="15659" spans="1:1" x14ac:dyDescent="0.25">
      <c r="A15659" s="108" t="s">
        <v>11072</v>
      </c>
    </row>
    <row r="15660" spans="1:1" x14ac:dyDescent="0.25">
      <c r="A15660" s="76" t="s">
        <v>11073</v>
      </c>
    </row>
    <row r="15661" spans="1:1" x14ac:dyDescent="0.25">
      <c r="A15661" s="108" t="s">
        <v>11074</v>
      </c>
    </row>
    <row r="15662" spans="1:1" x14ac:dyDescent="0.25">
      <c r="A15662" s="76" t="s">
        <v>11075</v>
      </c>
    </row>
    <row r="15663" spans="1:1" x14ac:dyDescent="0.25">
      <c r="A15663" s="108" t="s">
        <v>11076</v>
      </c>
    </row>
    <row r="15664" spans="1:1" x14ac:dyDescent="0.25">
      <c r="A15664" s="76" t="s">
        <v>11077</v>
      </c>
    </row>
    <row r="15665" spans="1:1" x14ac:dyDescent="0.25">
      <c r="A15665" s="108" t="s">
        <v>11078</v>
      </c>
    </row>
    <row r="15666" spans="1:1" x14ac:dyDescent="0.25">
      <c r="A15666" s="76" t="s">
        <v>11079</v>
      </c>
    </row>
    <row r="15667" spans="1:1" x14ac:dyDescent="0.25">
      <c r="A15667" s="108" t="s">
        <v>11080</v>
      </c>
    </row>
    <row r="15668" spans="1:1" x14ac:dyDescent="0.25">
      <c r="A15668" s="76" t="s">
        <v>11081</v>
      </c>
    </row>
    <row r="15669" spans="1:1" x14ac:dyDescent="0.25">
      <c r="A15669" s="108" t="s">
        <v>11082</v>
      </c>
    </row>
    <row r="15670" spans="1:1" x14ac:dyDescent="0.25">
      <c r="A15670" s="76" t="s">
        <v>11083</v>
      </c>
    </row>
    <row r="15671" spans="1:1" x14ac:dyDescent="0.25">
      <c r="A15671" s="108" t="s">
        <v>11084</v>
      </c>
    </row>
    <row r="15672" spans="1:1" x14ac:dyDescent="0.25">
      <c r="A15672" s="76" t="s">
        <v>11085</v>
      </c>
    </row>
    <row r="15673" spans="1:1" x14ac:dyDescent="0.25">
      <c r="A15673" s="108" t="s">
        <v>11086</v>
      </c>
    </row>
    <row r="15674" spans="1:1" x14ac:dyDescent="0.25">
      <c r="A15674" s="76" t="s">
        <v>11087</v>
      </c>
    </row>
    <row r="15675" spans="1:1" x14ac:dyDescent="0.25">
      <c r="A15675" s="108" t="s">
        <v>11088</v>
      </c>
    </row>
    <row r="15676" spans="1:1" x14ac:dyDescent="0.25">
      <c r="A15676" s="76" t="s">
        <v>11089</v>
      </c>
    </row>
    <row r="15677" spans="1:1" x14ac:dyDescent="0.25">
      <c r="A15677" s="108" t="s">
        <v>11090</v>
      </c>
    </row>
    <row r="15678" spans="1:1" x14ac:dyDescent="0.25">
      <c r="A15678" s="76" t="s">
        <v>11091</v>
      </c>
    </row>
    <row r="15679" spans="1:1" x14ac:dyDescent="0.25">
      <c r="A15679" s="108" t="s">
        <v>11092</v>
      </c>
    </row>
    <row r="15680" spans="1:1" x14ac:dyDescent="0.25">
      <c r="A15680" s="76" t="s">
        <v>11093</v>
      </c>
    </row>
    <row r="15681" spans="1:1" x14ac:dyDescent="0.25">
      <c r="A15681" s="108" t="s">
        <v>11094</v>
      </c>
    </row>
    <row r="15682" spans="1:1" x14ac:dyDescent="0.25">
      <c r="A15682" s="76" t="s">
        <v>11095</v>
      </c>
    </row>
    <row r="15683" spans="1:1" x14ac:dyDescent="0.25">
      <c r="A15683" s="108" t="s">
        <v>11096</v>
      </c>
    </row>
    <row r="15684" spans="1:1" x14ac:dyDescent="0.25">
      <c r="A15684" s="76" t="s">
        <v>11097</v>
      </c>
    </row>
    <row r="15685" spans="1:1" x14ac:dyDescent="0.25">
      <c r="A15685" s="108" t="s">
        <v>11098</v>
      </c>
    </row>
    <row r="15686" spans="1:1" x14ac:dyDescent="0.25">
      <c r="A15686" s="76" t="s">
        <v>11099</v>
      </c>
    </row>
    <row r="15687" spans="1:1" x14ac:dyDescent="0.25">
      <c r="A15687" s="108" t="s">
        <v>11100</v>
      </c>
    </row>
    <row r="15688" spans="1:1" x14ac:dyDescent="0.25">
      <c r="A15688" s="76" t="s">
        <v>11101</v>
      </c>
    </row>
    <row r="15689" spans="1:1" x14ac:dyDescent="0.25">
      <c r="A15689" s="108" t="s">
        <v>11102</v>
      </c>
    </row>
    <row r="15690" spans="1:1" x14ac:dyDescent="0.25">
      <c r="A15690" s="76" t="s">
        <v>11103</v>
      </c>
    </row>
    <row r="15691" spans="1:1" x14ac:dyDescent="0.25">
      <c r="A15691" s="108" t="s">
        <v>11104</v>
      </c>
    </row>
    <row r="15692" spans="1:1" x14ac:dyDescent="0.25">
      <c r="A15692" s="76" t="s">
        <v>11105</v>
      </c>
    </row>
    <row r="15693" spans="1:1" x14ac:dyDescent="0.25">
      <c r="A15693" s="108" t="s">
        <v>11106</v>
      </c>
    </row>
    <row r="15694" spans="1:1" x14ac:dyDescent="0.25">
      <c r="A15694" s="76" t="s">
        <v>11107</v>
      </c>
    </row>
    <row r="15695" spans="1:1" x14ac:dyDescent="0.25">
      <c r="A15695" s="108" t="s">
        <v>11108</v>
      </c>
    </row>
    <row r="15696" spans="1:1" x14ac:dyDescent="0.25">
      <c r="A15696" s="76" t="s">
        <v>11109</v>
      </c>
    </row>
    <row r="15697" spans="1:1" x14ac:dyDescent="0.25">
      <c r="A15697" s="108" t="s">
        <v>11110</v>
      </c>
    </row>
    <row r="15698" spans="1:1" x14ac:dyDescent="0.25">
      <c r="A15698" s="76" t="s">
        <v>11111</v>
      </c>
    </row>
    <row r="15699" spans="1:1" x14ac:dyDescent="0.25">
      <c r="A15699" s="108" t="s">
        <v>11112</v>
      </c>
    </row>
    <row r="15700" spans="1:1" x14ac:dyDescent="0.25">
      <c r="A15700" s="76" t="s">
        <v>11113</v>
      </c>
    </row>
    <row r="15701" spans="1:1" x14ac:dyDescent="0.25">
      <c r="A15701" s="108" t="s">
        <v>11114</v>
      </c>
    </row>
    <row r="15702" spans="1:1" x14ac:dyDescent="0.25">
      <c r="A15702" s="76" t="s">
        <v>11115</v>
      </c>
    </row>
    <row r="15703" spans="1:1" x14ac:dyDescent="0.25">
      <c r="A15703" s="108" t="s">
        <v>11116</v>
      </c>
    </row>
    <row r="15704" spans="1:1" x14ac:dyDescent="0.25">
      <c r="A15704" s="76" t="s">
        <v>11117</v>
      </c>
    </row>
    <row r="15705" spans="1:1" x14ac:dyDescent="0.25">
      <c r="A15705" s="108" t="s">
        <v>11118</v>
      </c>
    </row>
    <row r="15706" spans="1:1" x14ac:dyDescent="0.25">
      <c r="A15706" s="76" t="s">
        <v>11119</v>
      </c>
    </row>
    <row r="15707" spans="1:1" x14ac:dyDescent="0.25">
      <c r="A15707" s="108" t="s">
        <v>11120</v>
      </c>
    </row>
    <row r="15708" spans="1:1" x14ac:dyDescent="0.25">
      <c r="A15708" s="76" t="s">
        <v>11121</v>
      </c>
    </row>
    <row r="15709" spans="1:1" x14ac:dyDescent="0.25">
      <c r="A15709" s="108" t="s">
        <v>11122</v>
      </c>
    </row>
    <row r="15710" spans="1:1" x14ac:dyDescent="0.25">
      <c r="A15710" s="76" t="s">
        <v>11123</v>
      </c>
    </row>
    <row r="15711" spans="1:1" x14ac:dyDescent="0.25">
      <c r="A15711" s="108" t="s">
        <v>11124</v>
      </c>
    </row>
    <row r="15712" spans="1:1" x14ac:dyDescent="0.25">
      <c r="A15712" s="76" t="s">
        <v>11125</v>
      </c>
    </row>
    <row r="15713" spans="1:1" x14ac:dyDescent="0.25">
      <c r="A15713" s="108" t="s">
        <v>11126</v>
      </c>
    </row>
    <row r="15714" spans="1:1" x14ac:dyDescent="0.25">
      <c r="A15714" s="76" t="s">
        <v>11127</v>
      </c>
    </row>
    <row r="15715" spans="1:1" x14ac:dyDescent="0.25">
      <c r="A15715" s="108" t="s">
        <v>11128</v>
      </c>
    </row>
    <row r="15716" spans="1:1" x14ac:dyDescent="0.25">
      <c r="A15716" s="76" t="s">
        <v>11129</v>
      </c>
    </row>
    <row r="15717" spans="1:1" x14ac:dyDescent="0.25">
      <c r="A15717" s="108" t="s">
        <v>11130</v>
      </c>
    </row>
    <row r="15718" spans="1:1" x14ac:dyDescent="0.25">
      <c r="A15718" s="76" t="s">
        <v>11131</v>
      </c>
    </row>
    <row r="15719" spans="1:1" x14ac:dyDescent="0.25">
      <c r="A15719" s="108" t="s">
        <v>11132</v>
      </c>
    </row>
    <row r="15720" spans="1:1" x14ac:dyDescent="0.25">
      <c r="A15720" s="76" t="s">
        <v>11133</v>
      </c>
    </row>
    <row r="15721" spans="1:1" x14ac:dyDescent="0.25">
      <c r="A15721" s="108" t="s">
        <v>11134</v>
      </c>
    </row>
    <row r="15722" spans="1:1" x14ac:dyDescent="0.25">
      <c r="A15722" s="76" t="s">
        <v>11135</v>
      </c>
    </row>
    <row r="15723" spans="1:1" x14ac:dyDescent="0.25">
      <c r="A15723" s="108" t="s">
        <v>11136</v>
      </c>
    </row>
    <row r="15724" spans="1:1" x14ac:dyDescent="0.25">
      <c r="A15724" s="76" t="s">
        <v>11137</v>
      </c>
    </row>
    <row r="15725" spans="1:1" x14ac:dyDescent="0.25">
      <c r="A15725" s="108" t="s">
        <v>11138</v>
      </c>
    </row>
    <row r="15726" spans="1:1" x14ac:dyDescent="0.25">
      <c r="A15726" s="76" t="s">
        <v>11139</v>
      </c>
    </row>
    <row r="15727" spans="1:1" x14ac:dyDescent="0.25">
      <c r="A15727" s="108" t="s">
        <v>11140</v>
      </c>
    </row>
    <row r="15728" spans="1:1" x14ac:dyDescent="0.25">
      <c r="A15728" s="76" t="s">
        <v>11141</v>
      </c>
    </row>
    <row r="15729" spans="1:1" x14ac:dyDescent="0.25">
      <c r="A15729" s="108" t="s">
        <v>11142</v>
      </c>
    </row>
    <row r="15730" spans="1:1" x14ac:dyDescent="0.25">
      <c r="A15730" s="76" t="s">
        <v>11143</v>
      </c>
    </row>
    <row r="15731" spans="1:1" x14ac:dyDescent="0.25">
      <c r="A15731" s="108" t="s">
        <v>11144</v>
      </c>
    </row>
    <row r="15732" spans="1:1" x14ac:dyDescent="0.25">
      <c r="A15732" s="76" t="s">
        <v>11145</v>
      </c>
    </row>
    <row r="15733" spans="1:1" x14ac:dyDescent="0.25">
      <c r="A15733" s="108" t="s">
        <v>11146</v>
      </c>
    </row>
    <row r="15734" spans="1:1" x14ac:dyDescent="0.25">
      <c r="A15734" s="76" t="s">
        <v>11147</v>
      </c>
    </row>
    <row r="15735" spans="1:1" x14ac:dyDescent="0.25">
      <c r="A15735" s="108" t="s">
        <v>11148</v>
      </c>
    </row>
    <row r="15736" spans="1:1" x14ac:dyDescent="0.25">
      <c r="A15736" s="76" t="s">
        <v>11149</v>
      </c>
    </row>
    <row r="15737" spans="1:1" x14ac:dyDescent="0.25">
      <c r="A15737" s="108" t="s">
        <v>11150</v>
      </c>
    </row>
    <row r="15738" spans="1:1" x14ac:dyDescent="0.25">
      <c r="A15738" s="76" t="s">
        <v>11151</v>
      </c>
    </row>
    <row r="15739" spans="1:1" x14ac:dyDescent="0.25">
      <c r="A15739" s="108" t="s">
        <v>11152</v>
      </c>
    </row>
    <row r="15740" spans="1:1" x14ac:dyDescent="0.25">
      <c r="A15740" s="76" t="s">
        <v>11153</v>
      </c>
    </row>
    <row r="15741" spans="1:1" x14ac:dyDescent="0.25">
      <c r="A15741" s="108" t="s">
        <v>11154</v>
      </c>
    </row>
    <row r="15742" spans="1:1" x14ac:dyDescent="0.25">
      <c r="A15742" s="76" t="s">
        <v>11155</v>
      </c>
    </row>
    <row r="15743" spans="1:1" x14ac:dyDescent="0.25">
      <c r="A15743" s="108" t="s">
        <v>11156</v>
      </c>
    </row>
    <row r="15744" spans="1:1" x14ac:dyDescent="0.25">
      <c r="A15744" s="76" t="s">
        <v>11157</v>
      </c>
    </row>
    <row r="15745" spans="1:1" x14ac:dyDescent="0.25">
      <c r="A15745" s="108" t="s">
        <v>11158</v>
      </c>
    </row>
    <row r="15746" spans="1:1" x14ac:dyDescent="0.25">
      <c r="A15746" s="76" t="s">
        <v>11159</v>
      </c>
    </row>
    <row r="15747" spans="1:1" x14ac:dyDescent="0.25">
      <c r="A15747" s="108" t="s">
        <v>11160</v>
      </c>
    </row>
    <row r="15748" spans="1:1" x14ac:dyDescent="0.25">
      <c r="A15748" s="76" t="s">
        <v>11161</v>
      </c>
    </row>
    <row r="15749" spans="1:1" x14ac:dyDescent="0.25">
      <c r="A15749" s="108" t="s">
        <v>11162</v>
      </c>
    </row>
    <row r="15750" spans="1:1" x14ac:dyDescent="0.25">
      <c r="A15750" s="76" t="s">
        <v>11163</v>
      </c>
    </row>
    <row r="15751" spans="1:1" x14ac:dyDescent="0.25">
      <c r="A15751" s="108" t="s">
        <v>11164</v>
      </c>
    </row>
    <row r="15752" spans="1:1" x14ac:dyDescent="0.25">
      <c r="A15752" s="76" t="s">
        <v>11165</v>
      </c>
    </row>
    <row r="15753" spans="1:1" x14ac:dyDescent="0.25">
      <c r="A15753" s="108" t="s">
        <v>11166</v>
      </c>
    </row>
    <row r="15754" spans="1:1" x14ac:dyDescent="0.25">
      <c r="A15754" s="76" t="s">
        <v>11167</v>
      </c>
    </row>
    <row r="15755" spans="1:1" x14ac:dyDescent="0.25">
      <c r="A15755" s="108" t="s">
        <v>11168</v>
      </c>
    </row>
    <row r="15756" spans="1:1" x14ac:dyDescent="0.25">
      <c r="A15756" s="76" t="s">
        <v>11169</v>
      </c>
    </row>
    <row r="15757" spans="1:1" x14ac:dyDescent="0.25">
      <c r="A15757" s="108" t="s">
        <v>11170</v>
      </c>
    </row>
    <row r="15758" spans="1:1" x14ac:dyDescent="0.25">
      <c r="A15758" s="76" t="s">
        <v>11171</v>
      </c>
    </row>
    <row r="15759" spans="1:1" x14ac:dyDescent="0.25">
      <c r="A15759" s="108" t="s">
        <v>11172</v>
      </c>
    </row>
    <row r="15760" spans="1:1" x14ac:dyDescent="0.25">
      <c r="A15760" s="76" t="s">
        <v>11173</v>
      </c>
    </row>
    <row r="15761" spans="1:1" x14ac:dyDescent="0.25">
      <c r="A15761" s="108" t="s">
        <v>11174</v>
      </c>
    </row>
    <row r="15762" spans="1:1" x14ac:dyDescent="0.25">
      <c r="A15762" s="76" t="s">
        <v>11175</v>
      </c>
    </row>
    <row r="15763" spans="1:1" x14ac:dyDescent="0.25">
      <c r="A15763" s="108" t="s">
        <v>11176</v>
      </c>
    </row>
    <row r="15764" spans="1:1" x14ac:dyDescent="0.25">
      <c r="A15764" s="76" t="s">
        <v>11177</v>
      </c>
    </row>
    <row r="15765" spans="1:1" x14ac:dyDescent="0.25">
      <c r="A15765" s="108" t="s">
        <v>11178</v>
      </c>
    </row>
    <row r="15766" spans="1:1" x14ac:dyDescent="0.25">
      <c r="A15766" s="76" t="s">
        <v>11179</v>
      </c>
    </row>
    <row r="15767" spans="1:1" x14ac:dyDescent="0.25">
      <c r="A15767" s="108" t="s">
        <v>11180</v>
      </c>
    </row>
    <row r="15768" spans="1:1" x14ac:dyDescent="0.25">
      <c r="A15768" s="76" t="s">
        <v>11181</v>
      </c>
    </row>
    <row r="15769" spans="1:1" x14ac:dyDescent="0.25">
      <c r="A15769" s="108" t="s">
        <v>11182</v>
      </c>
    </row>
    <row r="15770" spans="1:1" x14ac:dyDescent="0.25">
      <c r="A15770" s="76" t="s">
        <v>11183</v>
      </c>
    </row>
    <row r="15771" spans="1:1" x14ac:dyDescent="0.25">
      <c r="A15771" s="108" t="s">
        <v>11184</v>
      </c>
    </row>
    <row r="15772" spans="1:1" x14ac:dyDescent="0.25">
      <c r="A15772" s="76" t="s">
        <v>11185</v>
      </c>
    </row>
    <row r="15773" spans="1:1" x14ac:dyDescent="0.25">
      <c r="A15773" s="108" t="s">
        <v>11186</v>
      </c>
    </row>
    <row r="15774" spans="1:1" x14ac:dyDescent="0.25">
      <c r="A15774" s="76" t="s">
        <v>11187</v>
      </c>
    </row>
    <row r="15775" spans="1:1" x14ac:dyDescent="0.25">
      <c r="A15775" s="108" t="s">
        <v>11188</v>
      </c>
    </row>
    <row r="15776" spans="1:1" x14ac:dyDescent="0.25">
      <c r="A15776" s="76" t="s">
        <v>11189</v>
      </c>
    </row>
    <row r="15777" spans="1:1" x14ac:dyDescent="0.25">
      <c r="A15777" s="108" t="s">
        <v>11190</v>
      </c>
    </row>
    <row r="15778" spans="1:1" x14ac:dyDescent="0.25">
      <c r="A15778" s="76" t="s">
        <v>11191</v>
      </c>
    </row>
    <row r="15779" spans="1:1" x14ac:dyDescent="0.25">
      <c r="A15779" s="108" t="s">
        <v>11192</v>
      </c>
    </row>
    <row r="15780" spans="1:1" x14ac:dyDescent="0.25">
      <c r="A15780" s="76" t="s">
        <v>11193</v>
      </c>
    </row>
    <row r="15781" spans="1:1" x14ac:dyDescent="0.25">
      <c r="A15781" s="108" t="s">
        <v>11194</v>
      </c>
    </row>
    <row r="15782" spans="1:1" x14ac:dyDescent="0.25">
      <c r="A15782" s="76" t="s">
        <v>11195</v>
      </c>
    </row>
    <row r="15783" spans="1:1" x14ac:dyDescent="0.25">
      <c r="A15783" s="108" t="s">
        <v>11196</v>
      </c>
    </row>
    <row r="15784" spans="1:1" x14ac:dyDescent="0.25">
      <c r="A15784" s="76" t="s">
        <v>11197</v>
      </c>
    </row>
    <row r="15785" spans="1:1" x14ac:dyDescent="0.25">
      <c r="A15785" s="108" t="s">
        <v>11198</v>
      </c>
    </row>
    <row r="15786" spans="1:1" x14ac:dyDescent="0.25">
      <c r="A15786" s="76" t="s">
        <v>11199</v>
      </c>
    </row>
    <row r="15787" spans="1:1" x14ac:dyDescent="0.25">
      <c r="A15787" s="108" t="s">
        <v>11200</v>
      </c>
    </row>
    <row r="15788" spans="1:1" x14ac:dyDescent="0.25">
      <c r="A15788" s="76" t="s">
        <v>11201</v>
      </c>
    </row>
    <row r="15789" spans="1:1" x14ac:dyDescent="0.25">
      <c r="A15789" s="108" t="s">
        <v>11202</v>
      </c>
    </row>
    <row r="15790" spans="1:1" x14ac:dyDescent="0.25">
      <c r="A15790" s="76" t="s">
        <v>11203</v>
      </c>
    </row>
    <row r="15791" spans="1:1" x14ac:dyDescent="0.25">
      <c r="A15791" s="108" t="s">
        <v>11204</v>
      </c>
    </row>
    <row r="15792" spans="1:1" x14ac:dyDescent="0.25">
      <c r="A15792" s="76" t="s">
        <v>11205</v>
      </c>
    </row>
    <row r="15793" spans="1:1" x14ac:dyDescent="0.25">
      <c r="A15793" s="108" t="s">
        <v>11206</v>
      </c>
    </row>
    <row r="15794" spans="1:1" x14ac:dyDescent="0.25">
      <c r="A15794" s="76" t="s">
        <v>11207</v>
      </c>
    </row>
    <row r="15795" spans="1:1" x14ac:dyDescent="0.25">
      <c r="A15795" s="108" t="s">
        <v>11208</v>
      </c>
    </row>
    <row r="15796" spans="1:1" x14ac:dyDescent="0.25">
      <c r="A15796" s="76" t="s">
        <v>11209</v>
      </c>
    </row>
    <row r="15797" spans="1:1" x14ac:dyDescent="0.25">
      <c r="A15797" s="108" t="s">
        <v>11210</v>
      </c>
    </row>
    <row r="15798" spans="1:1" x14ac:dyDescent="0.25">
      <c r="A15798" s="76" t="s">
        <v>11211</v>
      </c>
    </row>
    <row r="15799" spans="1:1" x14ac:dyDescent="0.25">
      <c r="A15799" s="108" t="s">
        <v>11212</v>
      </c>
    </row>
    <row r="15800" spans="1:1" x14ac:dyDescent="0.25">
      <c r="A15800" s="76" t="s">
        <v>11213</v>
      </c>
    </row>
    <row r="15801" spans="1:1" x14ac:dyDescent="0.25">
      <c r="A15801" s="108" t="s">
        <v>11214</v>
      </c>
    </row>
    <row r="15802" spans="1:1" x14ac:dyDescent="0.25">
      <c r="A15802" s="76" t="s">
        <v>11215</v>
      </c>
    </row>
    <row r="15803" spans="1:1" x14ac:dyDescent="0.25">
      <c r="A15803" s="108" t="s">
        <v>11216</v>
      </c>
    </row>
    <row r="15804" spans="1:1" x14ac:dyDescent="0.25">
      <c r="A15804" s="76" t="s">
        <v>11217</v>
      </c>
    </row>
    <row r="15805" spans="1:1" x14ac:dyDescent="0.25">
      <c r="A15805" s="108" t="s">
        <v>11218</v>
      </c>
    </row>
    <row r="15806" spans="1:1" x14ac:dyDescent="0.25">
      <c r="A15806" s="76" t="s">
        <v>11219</v>
      </c>
    </row>
    <row r="15807" spans="1:1" x14ac:dyDescent="0.25">
      <c r="A15807" s="108" t="s">
        <v>11220</v>
      </c>
    </row>
    <row r="15808" spans="1:1" x14ac:dyDescent="0.25">
      <c r="A15808" s="76" t="s">
        <v>11221</v>
      </c>
    </row>
    <row r="15809" spans="1:1" x14ac:dyDescent="0.25">
      <c r="A15809" s="108" t="s">
        <v>11222</v>
      </c>
    </row>
    <row r="15810" spans="1:1" x14ac:dyDescent="0.25">
      <c r="A15810" s="76" t="s">
        <v>11223</v>
      </c>
    </row>
    <row r="15811" spans="1:1" x14ac:dyDescent="0.25">
      <c r="A15811" s="108" t="s">
        <v>11224</v>
      </c>
    </row>
    <row r="15812" spans="1:1" x14ac:dyDescent="0.25">
      <c r="A15812" s="76" t="s">
        <v>11225</v>
      </c>
    </row>
    <row r="15813" spans="1:1" x14ac:dyDescent="0.25">
      <c r="A15813" s="108" t="s">
        <v>11226</v>
      </c>
    </row>
    <row r="15814" spans="1:1" x14ac:dyDescent="0.25">
      <c r="A15814" s="76" t="s">
        <v>11227</v>
      </c>
    </row>
    <row r="15815" spans="1:1" x14ac:dyDescent="0.25">
      <c r="A15815" s="108" t="s">
        <v>11228</v>
      </c>
    </row>
    <row r="15816" spans="1:1" x14ac:dyDescent="0.25">
      <c r="A15816" s="76" t="s">
        <v>11229</v>
      </c>
    </row>
    <row r="15817" spans="1:1" x14ac:dyDescent="0.25">
      <c r="A15817" s="108" t="s">
        <v>11230</v>
      </c>
    </row>
    <row r="15818" spans="1:1" x14ac:dyDescent="0.25">
      <c r="A15818" s="76" t="s">
        <v>11231</v>
      </c>
    </row>
    <row r="15819" spans="1:1" x14ac:dyDescent="0.25">
      <c r="A15819" s="108" t="s">
        <v>11232</v>
      </c>
    </row>
    <row r="15820" spans="1:1" x14ac:dyDescent="0.25">
      <c r="A15820" s="76" t="s">
        <v>11233</v>
      </c>
    </row>
    <row r="15821" spans="1:1" x14ac:dyDescent="0.25">
      <c r="A15821" s="108" t="s">
        <v>11234</v>
      </c>
    </row>
    <row r="15822" spans="1:1" x14ac:dyDescent="0.25">
      <c r="A15822" s="76" t="s">
        <v>11235</v>
      </c>
    </row>
    <row r="15823" spans="1:1" x14ac:dyDescent="0.25">
      <c r="A15823" s="108" t="s">
        <v>11236</v>
      </c>
    </row>
    <row r="15824" spans="1:1" x14ac:dyDescent="0.25">
      <c r="A15824" s="76" t="s">
        <v>11237</v>
      </c>
    </row>
    <row r="15825" spans="1:1" x14ac:dyDescent="0.25">
      <c r="A15825" s="108" t="s">
        <v>11238</v>
      </c>
    </row>
    <row r="15826" spans="1:1" x14ac:dyDescent="0.25">
      <c r="A15826" s="76" t="s">
        <v>11239</v>
      </c>
    </row>
    <row r="15827" spans="1:1" x14ac:dyDescent="0.25">
      <c r="A15827" s="108" t="s">
        <v>11240</v>
      </c>
    </row>
    <row r="15828" spans="1:1" x14ac:dyDescent="0.25">
      <c r="A15828" s="76" t="s">
        <v>11241</v>
      </c>
    </row>
    <row r="15829" spans="1:1" x14ac:dyDescent="0.25">
      <c r="A15829" s="108" t="s">
        <v>11242</v>
      </c>
    </row>
    <row r="15830" spans="1:1" x14ac:dyDescent="0.25">
      <c r="A15830" s="76" t="s">
        <v>11243</v>
      </c>
    </row>
    <row r="15831" spans="1:1" x14ac:dyDescent="0.25">
      <c r="A15831" s="108" t="s">
        <v>11244</v>
      </c>
    </row>
    <row r="15832" spans="1:1" x14ac:dyDescent="0.25">
      <c r="A15832" s="76" t="s">
        <v>11245</v>
      </c>
    </row>
    <row r="15833" spans="1:1" x14ac:dyDescent="0.25">
      <c r="A15833" s="108" t="s">
        <v>11246</v>
      </c>
    </row>
    <row r="15834" spans="1:1" x14ac:dyDescent="0.25">
      <c r="A15834" s="76" t="s">
        <v>11247</v>
      </c>
    </row>
    <row r="15835" spans="1:1" x14ac:dyDescent="0.25">
      <c r="A15835" s="108" t="s">
        <v>11248</v>
      </c>
    </row>
    <row r="15836" spans="1:1" x14ac:dyDescent="0.25">
      <c r="A15836" s="76" t="s">
        <v>11249</v>
      </c>
    </row>
    <row r="15837" spans="1:1" x14ac:dyDescent="0.25">
      <c r="A15837" s="108" t="s">
        <v>11250</v>
      </c>
    </row>
    <row r="15838" spans="1:1" x14ac:dyDescent="0.25">
      <c r="A15838" s="76" t="s">
        <v>11251</v>
      </c>
    </row>
    <row r="15839" spans="1:1" x14ac:dyDescent="0.25">
      <c r="A15839" s="108" t="s">
        <v>11252</v>
      </c>
    </row>
    <row r="15840" spans="1:1" x14ac:dyDescent="0.25">
      <c r="A15840" s="76" t="s">
        <v>11253</v>
      </c>
    </row>
    <row r="15841" spans="1:1" x14ac:dyDescent="0.25">
      <c r="A15841" s="108" t="s">
        <v>11254</v>
      </c>
    </row>
    <row r="15842" spans="1:1" x14ac:dyDescent="0.25">
      <c r="A15842" s="76" t="s">
        <v>11255</v>
      </c>
    </row>
    <row r="15843" spans="1:1" x14ac:dyDescent="0.25">
      <c r="A15843" s="108" t="s">
        <v>11256</v>
      </c>
    </row>
    <row r="15844" spans="1:1" x14ac:dyDescent="0.25">
      <c r="A15844" s="76" t="s">
        <v>11257</v>
      </c>
    </row>
    <row r="15845" spans="1:1" x14ac:dyDescent="0.25">
      <c r="A15845" s="108" t="s">
        <v>11258</v>
      </c>
    </row>
    <row r="15846" spans="1:1" x14ac:dyDescent="0.25">
      <c r="A15846" s="76" t="s">
        <v>11259</v>
      </c>
    </row>
    <row r="15847" spans="1:1" x14ac:dyDescent="0.25">
      <c r="A15847" s="108" t="s">
        <v>11260</v>
      </c>
    </row>
    <row r="15848" spans="1:1" x14ac:dyDescent="0.25">
      <c r="A15848" s="76" t="s">
        <v>11261</v>
      </c>
    </row>
    <row r="15849" spans="1:1" x14ac:dyDescent="0.25">
      <c r="A15849" s="108" t="s">
        <v>11262</v>
      </c>
    </row>
    <row r="15850" spans="1:1" x14ac:dyDescent="0.25">
      <c r="A15850" s="76" t="s">
        <v>11263</v>
      </c>
    </row>
    <row r="15851" spans="1:1" x14ac:dyDescent="0.25">
      <c r="A15851" s="108" t="s">
        <v>11264</v>
      </c>
    </row>
    <row r="15852" spans="1:1" x14ac:dyDescent="0.25">
      <c r="A15852" s="76" t="s">
        <v>11265</v>
      </c>
    </row>
    <row r="15853" spans="1:1" x14ac:dyDescent="0.25">
      <c r="A15853" s="108" t="s">
        <v>11266</v>
      </c>
    </row>
    <row r="15854" spans="1:1" x14ac:dyDescent="0.25">
      <c r="A15854" s="76" t="s">
        <v>11267</v>
      </c>
    </row>
    <row r="15855" spans="1:1" x14ac:dyDescent="0.25">
      <c r="A15855" s="108" t="s">
        <v>11268</v>
      </c>
    </row>
    <row r="15856" spans="1:1" x14ac:dyDescent="0.25">
      <c r="A15856" s="76" t="s">
        <v>11269</v>
      </c>
    </row>
    <row r="15857" spans="1:1" x14ac:dyDescent="0.25">
      <c r="A15857" s="108" t="s">
        <v>11270</v>
      </c>
    </row>
    <row r="15858" spans="1:1" x14ac:dyDescent="0.25">
      <c r="A15858" s="76" t="s">
        <v>11271</v>
      </c>
    </row>
    <row r="15859" spans="1:1" x14ac:dyDescent="0.25">
      <c r="A15859" s="108" t="s">
        <v>11272</v>
      </c>
    </row>
    <row r="15860" spans="1:1" x14ac:dyDescent="0.25">
      <c r="A15860" s="76" t="s">
        <v>11273</v>
      </c>
    </row>
    <row r="15861" spans="1:1" x14ac:dyDescent="0.25">
      <c r="A15861" s="108" t="s">
        <v>11274</v>
      </c>
    </row>
    <row r="15862" spans="1:1" x14ac:dyDescent="0.25">
      <c r="A15862" s="76" t="s">
        <v>11275</v>
      </c>
    </row>
    <row r="15863" spans="1:1" x14ac:dyDescent="0.25">
      <c r="A15863" s="108" t="s">
        <v>11276</v>
      </c>
    </row>
    <row r="15864" spans="1:1" x14ac:dyDescent="0.25">
      <c r="A15864" s="76" t="s">
        <v>11277</v>
      </c>
    </row>
    <row r="15865" spans="1:1" x14ac:dyDescent="0.25">
      <c r="A15865" s="108" t="s">
        <v>11278</v>
      </c>
    </row>
    <row r="15866" spans="1:1" x14ac:dyDescent="0.25">
      <c r="A15866" s="76" t="s">
        <v>11279</v>
      </c>
    </row>
    <row r="15867" spans="1:1" x14ac:dyDescent="0.25">
      <c r="A15867" s="108" t="s">
        <v>11280</v>
      </c>
    </row>
    <row r="15868" spans="1:1" x14ac:dyDescent="0.25">
      <c r="A15868" s="76" t="s">
        <v>11281</v>
      </c>
    </row>
    <row r="15869" spans="1:1" x14ac:dyDescent="0.25">
      <c r="A15869" s="108" t="s">
        <v>11282</v>
      </c>
    </row>
    <row r="15870" spans="1:1" x14ac:dyDescent="0.25">
      <c r="A15870" s="76" t="s">
        <v>11283</v>
      </c>
    </row>
    <row r="15871" spans="1:1" x14ac:dyDescent="0.25">
      <c r="A15871" s="108" t="s">
        <v>11284</v>
      </c>
    </row>
    <row r="15872" spans="1:1" x14ac:dyDescent="0.25">
      <c r="A15872" s="76" t="s">
        <v>11285</v>
      </c>
    </row>
    <row r="15873" spans="1:1" x14ac:dyDescent="0.25">
      <c r="A15873" s="108" t="s">
        <v>11286</v>
      </c>
    </row>
    <row r="15874" spans="1:1" x14ac:dyDescent="0.25">
      <c r="A15874" s="76" t="s">
        <v>11287</v>
      </c>
    </row>
    <row r="15875" spans="1:1" x14ac:dyDescent="0.25">
      <c r="A15875" s="108" t="s">
        <v>11288</v>
      </c>
    </row>
    <row r="15876" spans="1:1" x14ac:dyDescent="0.25">
      <c r="A15876" s="76" t="s">
        <v>11289</v>
      </c>
    </row>
    <row r="15877" spans="1:1" x14ac:dyDescent="0.25">
      <c r="A15877" s="108" t="s">
        <v>11290</v>
      </c>
    </row>
    <row r="15878" spans="1:1" x14ac:dyDescent="0.25">
      <c r="A15878" s="76" t="s">
        <v>11291</v>
      </c>
    </row>
    <row r="15879" spans="1:1" x14ac:dyDescent="0.25">
      <c r="A15879" s="108" t="s">
        <v>11292</v>
      </c>
    </row>
    <row r="15880" spans="1:1" x14ac:dyDescent="0.25">
      <c r="A15880" s="76" t="s">
        <v>11293</v>
      </c>
    </row>
    <row r="15881" spans="1:1" x14ac:dyDescent="0.25">
      <c r="A15881" s="108" t="s">
        <v>11294</v>
      </c>
    </row>
    <row r="15882" spans="1:1" x14ac:dyDescent="0.25">
      <c r="A15882" s="76" t="s">
        <v>11295</v>
      </c>
    </row>
    <row r="15883" spans="1:1" x14ac:dyDescent="0.25">
      <c r="A15883" s="108" t="s">
        <v>11296</v>
      </c>
    </row>
    <row r="15884" spans="1:1" x14ac:dyDescent="0.25">
      <c r="A15884" s="76" t="s">
        <v>11297</v>
      </c>
    </row>
    <row r="15885" spans="1:1" x14ac:dyDescent="0.25">
      <c r="A15885" s="108" t="s">
        <v>11298</v>
      </c>
    </row>
    <row r="15886" spans="1:1" x14ac:dyDescent="0.25">
      <c r="A15886" s="76" t="s">
        <v>11299</v>
      </c>
    </row>
    <row r="15887" spans="1:1" x14ac:dyDescent="0.25">
      <c r="A15887" s="108" t="s">
        <v>11300</v>
      </c>
    </row>
    <row r="15888" spans="1:1" x14ac:dyDescent="0.25">
      <c r="A15888" s="76" t="s">
        <v>11301</v>
      </c>
    </row>
    <row r="15889" spans="1:1" x14ac:dyDescent="0.25">
      <c r="A15889" s="108" t="s">
        <v>11302</v>
      </c>
    </row>
    <row r="15890" spans="1:1" x14ac:dyDescent="0.25">
      <c r="A15890" s="76" t="s">
        <v>11303</v>
      </c>
    </row>
    <row r="15891" spans="1:1" x14ac:dyDescent="0.25">
      <c r="A15891" s="108" t="s">
        <v>11304</v>
      </c>
    </row>
    <row r="15892" spans="1:1" x14ac:dyDescent="0.25">
      <c r="A15892" s="76" t="s">
        <v>11305</v>
      </c>
    </row>
    <row r="15893" spans="1:1" x14ac:dyDescent="0.25">
      <c r="A15893" s="108" t="s">
        <v>11306</v>
      </c>
    </row>
    <row r="15894" spans="1:1" x14ac:dyDescent="0.25">
      <c r="A15894" s="76" t="s">
        <v>11307</v>
      </c>
    </row>
    <row r="15895" spans="1:1" x14ac:dyDescent="0.25">
      <c r="A15895" s="108" t="s">
        <v>11308</v>
      </c>
    </row>
    <row r="15896" spans="1:1" x14ac:dyDescent="0.25">
      <c r="A15896" s="76" t="s">
        <v>11309</v>
      </c>
    </row>
    <row r="15897" spans="1:1" x14ac:dyDescent="0.25">
      <c r="A15897" s="108" t="s">
        <v>11310</v>
      </c>
    </row>
    <row r="15898" spans="1:1" x14ac:dyDescent="0.25">
      <c r="A15898" s="76" t="s">
        <v>11311</v>
      </c>
    </row>
    <row r="15899" spans="1:1" x14ac:dyDescent="0.25">
      <c r="A15899" s="108" t="s">
        <v>11312</v>
      </c>
    </row>
    <row r="15900" spans="1:1" x14ac:dyDescent="0.25">
      <c r="A15900" s="76" t="s">
        <v>11313</v>
      </c>
    </row>
    <row r="15901" spans="1:1" x14ac:dyDescent="0.25">
      <c r="A15901" s="108" t="s">
        <v>11314</v>
      </c>
    </row>
    <row r="15902" spans="1:1" x14ac:dyDescent="0.25">
      <c r="A15902" s="76" t="s">
        <v>11315</v>
      </c>
    </row>
    <row r="15903" spans="1:1" x14ac:dyDescent="0.25">
      <c r="A15903" s="108" t="s">
        <v>11316</v>
      </c>
    </row>
    <row r="15904" spans="1:1" x14ac:dyDescent="0.25">
      <c r="A15904" s="76" t="s">
        <v>11317</v>
      </c>
    </row>
    <row r="15905" spans="1:1" x14ac:dyDescent="0.25">
      <c r="A15905" s="108" t="s">
        <v>11318</v>
      </c>
    </row>
    <row r="15906" spans="1:1" x14ac:dyDescent="0.25">
      <c r="A15906" s="76" t="s">
        <v>11319</v>
      </c>
    </row>
    <row r="15907" spans="1:1" x14ac:dyDescent="0.25">
      <c r="A15907" s="108" t="s">
        <v>11320</v>
      </c>
    </row>
    <row r="15908" spans="1:1" x14ac:dyDescent="0.25">
      <c r="A15908" s="76" t="s">
        <v>11321</v>
      </c>
    </row>
    <row r="15909" spans="1:1" x14ac:dyDescent="0.25">
      <c r="A15909" s="108" t="s">
        <v>11322</v>
      </c>
    </row>
    <row r="15910" spans="1:1" x14ac:dyDescent="0.25">
      <c r="A15910" s="76" t="s">
        <v>11323</v>
      </c>
    </row>
    <row r="15911" spans="1:1" x14ac:dyDescent="0.25">
      <c r="A15911" s="108" t="s">
        <v>11324</v>
      </c>
    </row>
    <row r="15912" spans="1:1" x14ac:dyDescent="0.25">
      <c r="A15912" s="76" t="s">
        <v>11325</v>
      </c>
    </row>
    <row r="15913" spans="1:1" x14ac:dyDescent="0.25">
      <c r="A15913" s="108" t="s">
        <v>11326</v>
      </c>
    </row>
    <row r="15914" spans="1:1" x14ac:dyDescent="0.25">
      <c r="A15914" s="76" t="s">
        <v>11327</v>
      </c>
    </row>
    <row r="15915" spans="1:1" x14ac:dyDescent="0.25">
      <c r="A15915" s="108" t="s">
        <v>11328</v>
      </c>
    </row>
    <row r="15916" spans="1:1" x14ac:dyDescent="0.25">
      <c r="A15916" s="76" t="s">
        <v>11329</v>
      </c>
    </row>
    <row r="15917" spans="1:1" x14ac:dyDescent="0.25">
      <c r="A15917" s="108" t="s">
        <v>11330</v>
      </c>
    </row>
    <row r="15918" spans="1:1" x14ac:dyDescent="0.25">
      <c r="A15918" s="76" t="s">
        <v>11331</v>
      </c>
    </row>
    <row r="15919" spans="1:1" x14ac:dyDescent="0.25">
      <c r="A15919" s="108" t="s">
        <v>11332</v>
      </c>
    </row>
    <row r="15920" spans="1:1" x14ac:dyDescent="0.25">
      <c r="A15920" s="76" t="s">
        <v>11333</v>
      </c>
    </row>
    <row r="15921" spans="1:1" x14ac:dyDescent="0.25">
      <c r="A15921" s="108" t="s">
        <v>11334</v>
      </c>
    </row>
    <row r="15922" spans="1:1" x14ac:dyDescent="0.25">
      <c r="A15922" s="76" t="s">
        <v>11335</v>
      </c>
    </row>
    <row r="15923" spans="1:1" x14ac:dyDescent="0.25">
      <c r="A15923" s="108" t="s">
        <v>11336</v>
      </c>
    </row>
    <row r="15924" spans="1:1" x14ac:dyDescent="0.25">
      <c r="A15924" s="76" t="s">
        <v>11337</v>
      </c>
    </row>
    <row r="15925" spans="1:1" x14ac:dyDescent="0.25">
      <c r="A15925" s="108" t="s">
        <v>11338</v>
      </c>
    </row>
    <row r="15926" spans="1:1" x14ac:dyDescent="0.25">
      <c r="A15926" s="76" t="s">
        <v>11339</v>
      </c>
    </row>
    <row r="15927" spans="1:1" x14ac:dyDescent="0.25">
      <c r="A15927" s="108" t="s">
        <v>11340</v>
      </c>
    </row>
    <row r="15928" spans="1:1" x14ac:dyDescent="0.25">
      <c r="A15928" s="76" t="s">
        <v>11341</v>
      </c>
    </row>
    <row r="15929" spans="1:1" x14ac:dyDescent="0.25">
      <c r="A15929" s="108" t="s">
        <v>11342</v>
      </c>
    </row>
    <row r="15930" spans="1:1" x14ac:dyDescent="0.25">
      <c r="A15930" s="76" t="s">
        <v>11343</v>
      </c>
    </row>
    <row r="15931" spans="1:1" x14ac:dyDescent="0.25">
      <c r="A15931" s="108" t="s">
        <v>11344</v>
      </c>
    </row>
    <row r="15932" spans="1:1" x14ac:dyDescent="0.25">
      <c r="A15932" s="76" t="s">
        <v>11345</v>
      </c>
    </row>
    <row r="15933" spans="1:1" x14ac:dyDescent="0.25">
      <c r="A15933" s="108" t="s">
        <v>11346</v>
      </c>
    </row>
    <row r="15934" spans="1:1" x14ac:dyDescent="0.25">
      <c r="A15934" s="76" t="s">
        <v>11347</v>
      </c>
    </row>
    <row r="15935" spans="1:1" x14ac:dyDescent="0.25">
      <c r="A15935" s="108" t="s">
        <v>11348</v>
      </c>
    </row>
    <row r="15936" spans="1:1" x14ac:dyDescent="0.25">
      <c r="A15936" s="76" t="s">
        <v>11349</v>
      </c>
    </row>
    <row r="15937" spans="1:1" x14ac:dyDescent="0.25">
      <c r="A15937" s="108" t="s">
        <v>11350</v>
      </c>
    </row>
    <row r="15938" spans="1:1" x14ac:dyDescent="0.25">
      <c r="A15938" s="76" t="s">
        <v>11351</v>
      </c>
    </row>
    <row r="15939" spans="1:1" x14ac:dyDescent="0.25">
      <c r="A15939" s="108" t="s">
        <v>11352</v>
      </c>
    </row>
    <row r="15940" spans="1:1" x14ac:dyDescent="0.25">
      <c r="A15940" s="76" t="s">
        <v>11353</v>
      </c>
    </row>
    <row r="15941" spans="1:1" x14ac:dyDescent="0.25">
      <c r="A15941" s="108" t="s">
        <v>11354</v>
      </c>
    </row>
    <row r="15942" spans="1:1" x14ac:dyDescent="0.25">
      <c r="A15942" s="76" t="s">
        <v>11355</v>
      </c>
    </row>
    <row r="15943" spans="1:1" x14ac:dyDescent="0.25">
      <c r="A15943" s="108" t="s">
        <v>11356</v>
      </c>
    </row>
    <row r="15944" spans="1:1" x14ac:dyDescent="0.25">
      <c r="A15944" s="76" t="s">
        <v>11357</v>
      </c>
    </row>
    <row r="15945" spans="1:1" x14ac:dyDescent="0.25">
      <c r="A15945" s="108" t="s">
        <v>11358</v>
      </c>
    </row>
    <row r="15946" spans="1:1" x14ac:dyDescent="0.25">
      <c r="A15946" s="76" t="s">
        <v>11359</v>
      </c>
    </row>
    <row r="15947" spans="1:1" x14ac:dyDescent="0.25">
      <c r="A15947" s="108" t="s">
        <v>11360</v>
      </c>
    </row>
    <row r="15948" spans="1:1" x14ac:dyDescent="0.25">
      <c r="A15948" s="76" t="s">
        <v>11361</v>
      </c>
    </row>
    <row r="15949" spans="1:1" x14ac:dyDescent="0.25">
      <c r="A15949" s="108" t="s">
        <v>11362</v>
      </c>
    </row>
    <row r="15950" spans="1:1" x14ac:dyDescent="0.25">
      <c r="A15950" s="76" t="s">
        <v>11363</v>
      </c>
    </row>
    <row r="15951" spans="1:1" x14ac:dyDescent="0.25">
      <c r="A15951" s="108" t="s">
        <v>11364</v>
      </c>
    </row>
    <row r="15952" spans="1:1" x14ac:dyDescent="0.25">
      <c r="A15952" s="76" t="s">
        <v>11365</v>
      </c>
    </row>
    <row r="15953" spans="1:1" x14ac:dyDescent="0.25">
      <c r="A15953" s="108" t="s">
        <v>11366</v>
      </c>
    </row>
    <row r="15954" spans="1:1" x14ac:dyDescent="0.25">
      <c r="A15954" s="76" t="s">
        <v>11367</v>
      </c>
    </row>
    <row r="15955" spans="1:1" x14ac:dyDescent="0.25">
      <c r="A15955" s="108" t="s">
        <v>11368</v>
      </c>
    </row>
    <row r="15956" spans="1:1" x14ac:dyDescent="0.25">
      <c r="A15956" s="76" t="s">
        <v>11369</v>
      </c>
    </row>
    <row r="15957" spans="1:1" x14ac:dyDescent="0.25">
      <c r="A15957" s="108" t="s">
        <v>11370</v>
      </c>
    </row>
    <row r="15958" spans="1:1" x14ac:dyDescent="0.25">
      <c r="A15958" s="76" t="s">
        <v>11371</v>
      </c>
    </row>
    <row r="15959" spans="1:1" x14ac:dyDescent="0.25">
      <c r="A15959" s="108" t="s">
        <v>11372</v>
      </c>
    </row>
    <row r="15960" spans="1:1" x14ac:dyDescent="0.25">
      <c r="A15960" s="76" t="s">
        <v>11373</v>
      </c>
    </row>
    <row r="15961" spans="1:1" x14ac:dyDescent="0.25">
      <c r="A15961" s="108" t="s">
        <v>11374</v>
      </c>
    </row>
    <row r="15962" spans="1:1" x14ac:dyDescent="0.25">
      <c r="A15962" s="76" t="s">
        <v>11375</v>
      </c>
    </row>
    <row r="15963" spans="1:1" x14ac:dyDescent="0.25">
      <c r="A15963" s="108" t="s">
        <v>11376</v>
      </c>
    </row>
    <row r="15964" spans="1:1" x14ac:dyDescent="0.25">
      <c r="A15964" s="76" t="s">
        <v>11377</v>
      </c>
    </row>
    <row r="15965" spans="1:1" x14ac:dyDescent="0.25">
      <c r="A15965" s="108" t="s">
        <v>11378</v>
      </c>
    </row>
    <row r="15966" spans="1:1" x14ac:dyDescent="0.25">
      <c r="A15966" s="76" t="s">
        <v>11379</v>
      </c>
    </row>
    <row r="15967" spans="1:1" x14ac:dyDescent="0.25">
      <c r="A15967" s="108" t="s">
        <v>11380</v>
      </c>
    </row>
    <row r="15968" spans="1:1" x14ac:dyDescent="0.25">
      <c r="A15968" s="76" t="s">
        <v>11381</v>
      </c>
    </row>
    <row r="15969" spans="1:1" x14ac:dyDescent="0.25">
      <c r="A15969" s="108" t="s">
        <v>11382</v>
      </c>
    </row>
    <row r="15970" spans="1:1" x14ac:dyDescent="0.25">
      <c r="A15970" s="76" t="s">
        <v>11383</v>
      </c>
    </row>
    <row r="15971" spans="1:1" x14ac:dyDescent="0.25">
      <c r="A15971" s="108" t="s">
        <v>11384</v>
      </c>
    </row>
    <row r="15972" spans="1:1" x14ac:dyDescent="0.25">
      <c r="A15972" s="76" t="s">
        <v>11385</v>
      </c>
    </row>
    <row r="15973" spans="1:1" x14ac:dyDescent="0.25">
      <c r="A15973" s="108" t="s">
        <v>11386</v>
      </c>
    </row>
    <row r="15974" spans="1:1" x14ac:dyDescent="0.25">
      <c r="A15974" s="76" t="s">
        <v>11387</v>
      </c>
    </row>
    <row r="15975" spans="1:1" x14ac:dyDescent="0.25">
      <c r="A15975" s="108" t="s">
        <v>11388</v>
      </c>
    </row>
    <row r="15976" spans="1:1" x14ac:dyDescent="0.25">
      <c r="A15976" s="76" t="s">
        <v>11389</v>
      </c>
    </row>
    <row r="15977" spans="1:1" x14ac:dyDescent="0.25">
      <c r="A15977" s="108" t="s">
        <v>11390</v>
      </c>
    </row>
    <row r="15978" spans="1:1" x14ac:dyDescent="0.25">
      <c r="A15978" s="76" t="s">
        <v>11391</v>
      </c>
    </row>
    <row r="15979" spans="1:1" x14ac:dyDescent="0.25">
      <c r="A15979" s="108" t="s">
        <v>11392</v>
      </c>
    </row>
    <row r="15980" spans="1:1" x14ac:dyDescent="0.25">
      <c r="A15980" s="76" t="s">
        <v>11393</v>
      </c>
    </row>
    <row r="15981" spans="1:1" x14ac:dyDescent="0.25">
      <c r="A15981" s="108" t="s">
        <v>11394</v>
      </c>
    </row>
    <row r="15982" spans="1:1" x14ac:dyDescent="0.25">
      <c r="A15982" s="76" t="s">
        <v>11395</v>
      </c>
    </row>
    <row r="15983" spans="1:1" x14ac:dyDescent="0.25">
      <c r="A15983" s="108" t="s">
        <v>11396</v>
      </c>
    </row>
    <row r="15984" spans="1:1" x14ac:dyDescent="0.25">
      <c r="A15984" s="76" t="s">
        <v>11397</v>
      </c>
    </row>
    <row r="15985" spans="1:1" x14ac:dyDescent="0.25">
      <c r="A15985" s="108" t="s">
        <v>11398</v>
      </c>
    </row>
    <row r="15986" spans="1:1" x14ac:dyDescent="0.25">
      <c r="A15986" s="76" t="s">
        <v>11399</v>
      </c>
    </row>
    <row r="15987" spans="1:1" x14ac:dyDescent="0.25">
      <c r="A15987" s="108" t="s">
        <v>11400</v>
      </c>
    </row>
    <row r="15988" spans="1:1" x14ac:dyDescent="0.25">
      <c r="A15988" s="76" t="s">
        <v>11401</v>
      </c>
    </row>
    <row r="15989" spans="1:1" x14ac:dyDescent="0.25">
      <c r="A15989" s="108" t="s">
        <v>11402</v>
      </c>
    </row>
    <row r="15990" spans="1:1" x14ac:dyDescent="0.25">
      <c r="A15990" s="76" t="s">
        <v>11403</v>
      </c>
    </row>
    <row r="15991" spans="1:1" x14ac:dyDescent="0.25">
      <c r="A15991" s="108" t="s">
        <v>11404</v>
      </c>
    </row>
    <row r="15992" spans="1:1" x14ac:dyDescent="0.25">
      <c r="A15992" s="76" t="s">
        <v>11405</v>
      </c>
    </row>
    <row r="15993" spans="1:1" x14ac:dyDescent="0.25">
      <c r="A15993" s="108" t="s">
        <v>11406</v>
      </c>
    </row>
    <row r="15994" spans="1:1" x14ac:dyDescent="0.25">
      <c r="A15994" s="76" t="s">
        <v>11407</v>
      </c>
    </row>
    <row r="15995" spans="1:1" x14ac:dyDescent="0.25">
      <c r="A15995" s="108" t="s">
        <v>11408</v>
      </c>
    </row>
    <row r="15996" spans="1:1" x14ac:dyDescent="0.25">
      <c r="A15996" s="76" t="s">
        <v>11409</v>
      </c>
    </row>
    <row r="15997" spans="1:1" x14ac:dyDescent="0.25">
      <c r="A15997" s="108" t="s">
        <v>11410</v>
      </c>
    </row>
    <row r="15998" spans="1:1" x14ac:dyDescent="0.25">
      <c r="A15998" s="76" t="s">
        <v>11411</v>
      </c>
    </row>
    <row r="15999" spans="1:1" x14ac:dyDescent="0.25">
      <c r="A15999" s="108" t="s">
        <v>11412</v>
      </c>
    </row>
    <row r="16000" spans="1:1" x14ac:dyDescent="0.25">
      <c r="A16000" s="76" t="s">
        <v>11413</v>
      </c>
    </row>
    <row r="16001" spans="1:1" x14ac:dyDescent="0.25">
      <c r="A16001" s="108" t="s">
        <v>11414</v>
      </c>
    </row>
    <row r="16002" spans="1:1" x14ac:dyDescent="0.25">
      <c r="A16002" s="76" t="s">
        <v>11415</v>
      </c>
    </row>
    <row r="16003" spans="1:1" x14ac:dyDescent="0.25">
      <c r="A16003" s="108" t="s">
        <v>11416</v>
      </c>
    </row>
    <row r="16004" spans="1:1" x14ac:dyDescent="0.25">
      <c r="A16004" s="76" t="s">
        <v>11417</v>
      </c>
    </row>
    <row r="16005" spans="1:1" x14ac:dyDescent="0.25">
      <c r="A16005" s="108" t="s">
        <v>11418</v>
      </c>
    </row>
    <row r="16006" spans="1:1" x14ac:dyDescent="0.25">
      <c r="A16006" s="76" t="s">
        <v>11419</v>
      </c>
    </row>
    <row r="16007" spans="1:1" x14ac:dyDescent="0.25">
      <c r="A16007" s="108" t="s">
        <v>11420</v>
      </c>
    </row>
    <row r="16008" spans="1:1" x14ac:dyDescent="0.25">
      <c r="A16008" s="76" t="s">
        <v>11421</v>
      </c>
    </row>
    <row r="16009" spans="1:1" x14ac:dyDescent="0.25">
      <c r="A16009" s="108" t="s">
        <v>11422</v>
      </c>
    </row>
    <row r="16010" spans="1:1" x14ac:dyDescent="0.25">
      <c r="A16010" s="76" t="s">
        <v>11423</v>
      </c>
    </row>
    <row r="16011" spans="1:1" x14ac:dyDescent="0.25">
      <c r="A16011" s="108" t="s">
        <v>11424</v>
      </c>
    </row>
    <row r="16012" spans="1:1" x14ac:dyDescent="0.25">
      <c r="A16012" s="76" t="s">
        <v>11425</v>
      </c>
    </row>
    <row r="16013" spans="1:1" x14ac:dyDescent="0.25">
      <c r="A16013" s="108" t="s">
        <v>11426</v>
      </c>
    </row>
    <row r="16014" spans="1:1" x14ac:dyDescent="0.25">
      <c r="A16014" s="76" t="s">
        <v>11427</v>
      </c>
    </row>
    <row r="16015" spans="1:1" x14ac:dyDescent="0.25">
      <c r="A16015" s="108" t="s">
        <v>11428</v>
      </c>
    </row>
    <row r="16016" spans="1:1" x14ac:dyDescent="0.25">
      <c r="A16016" s="76" t="s">
        <v>11429</v>
      </c>
    </row>
    <row r="16017" spans="1:1" x14ac:dyDescent="0.25">
      <c r="A16017" s="108" t="s">
        <v>11430</v>
      </c>
    </row>
    <row r="16018" spans="1:1" x14ac:dyDescent="0.25">
      <c r="A16018" s="76" t="s">
        <v>11431</v>
      </c>
    </row>
    <row r="16019" spans="1:1" x14ac:dyDescent="0.25">
      <c r="A16019" s="108" t="s">
        <v>11432</v>
      </c>
    </row>
    <row r="16020" spans="1:1" x14ac:dyDescent="0.25">
      <c r="A16020" s="76" t="s">
        <v>11433</v>
      </c>
    </row>
    <row r="16021" spans="1:1" x14ac:dyDescent="0.25">
      <c r="A16021" s="108" t="s">
        <v>11434</v>
      </c>
    </row>
    <row r="16022" spans="1:1" x14ac:dyDescent="0.25">
      <c r="A16022" s="76" t="s">
        <v>11435</v>
      </c>
    </row>
    <row r="16023" spans="1:1" x14ac:dyDescent="0.25">
      <c r="A16023" s="108" t="s">
        <v>11436</v>
      </c>
    </row>
    <row r="16024" spans="1:1" x14ac:dyDescent="0.25">
      <c r="A16024" s="76" t="s">
        <v>11437</v>
      </c>
    </row>
    <row r="16025" spans="1:1" x14ac:dyDescent="0.25">
      <c r="A16025" s="108" t="s">
        <v>11438</v>
      </c>
    </row>
    <row r="16026" spans="1:1" x14ac:dyDescent="0.25">
      <c r="A16026" s="76" t="s">
        <v>11439</v>
      </c>
    </row>
    <row r="16027" spans="1:1" x14ac:dyDescent="0.25">
      <c r="A16027" s="108" t="s">
        <v>11440</v>
      </c>
    </row>
    <row r="16028" spans="1:1" x14ac:dyDescent="0.25">
      <c r="A16028" s="76" t="s">
        <v>11441</v>
      </c>
    </row>
    <row r="16029" spans="1:1" x14ac:dyDescent="0.25">
      <c r="A16029" s="108" t="s">
        <v>11442</v>
      </c>
    </row>
    <row r="16030" spans="1:1" x14ac:dyDescent="0.25">
      <c r="A16030" s="76" t="s">
        <v>11443</v>
      </c>
    </row>
    <row r="16031" spans="1:1" x14ac:dyDescent="0.25">
      <c r="A16031" s="108" t="s">
        <v>11444</v>
      </c>
    </row>
    <row r="16032" spans="1:1" x14ac:dyDescent="0.25">
      <c r="A16032" s="76" t="s">
        <v>11445</v>
      </c>
    </row>
    <row r="16033" spans="1:1" x14ac:dyDescent="0.25">
      <c r="A16033" s="108" t="s">
        <v>11446</v>
      </c>
    </row>
    <row r="16034" spans="1:1" x14ac:dyDescent="0.25">
      <c r="A16034" s="76" t="s">
        <v>11447</v>
      </c>
    </row>
    <row r="16035" spans="1:1" x14ac:dyDescent="0.25">
      <c r="A16035" s="108" t="s">
        <v>11448</v>
      </c>
    </row>
    <row r="16036" spans="1:1" x14ac:dyDescent="0.25">
      <c r="A16036" s="76" t="s">
        <v>11449</v>
      </c>
    </row>
    <row r="16037" spans="1:1" x14ac:dyDescent="0.25">
      <c r="A16037" s="108" t="s">
        <v>11450</v>
      </c>
    </row>
    <row r="16038" spans="1:1" x14ac:dyDescent="0.25">
      <c r="A16038" s="76" t="s">
        <v>11451</v>
      </c>
    </row>
    <row r="16039" spans="1:1" x14ac:dyDescent="0.25">
      <c r="A16039" s="108" t="s">
        <v>11452</v>
      </c>
    </row>
    <row r="16040" spans="1:1" x14ac:dyDescent="0.25">
      <c r="A16040" s="76" t="s">
        <v>11453</v>
      </c>
    </row>
    <row r="16041" spans="1:1" x14ac:dyDescent="0.25">
      <c r="A16041" s="108" t="s">
        <v>11454</v>
      </c>
    </row>
    <row r="16042" spans="1:1" x14ac:dyDescent="0.25">
      <c r="A16042" s="76" t="s">
        <v>11455</v>
      </c>
    </row>
    <row r="16043" spans="1:1" x14ac:dyDescent="0.25">
      <c r="A16043" s="108" t="s">
        <v>11456</v>
      </c>
    </row>
    <row r="16044" spans="1:1" x14ac:dyDescent="0.25">
      <c r="A16044" s="76" t="s">
        <v>11457</v>
      </c>
    </row>
    <row r="16045" spans="1:1" x14ac:dyDescent="0.25">
      <c r="A16045" s="108" t="s">
        <v>11458</v>
      </c>
    </row>
    <row r="16046" spans="1:1" x14ac:dyDescent="0.25">
      <c r="A16046" s="76" t="s">
        <v>11459</v>
      </c>
    </row>
    <row r="16047" spans="1:1" x14ac:dyDescent="0.25">
      <c r="A16047" s="108" t="s">
        <v>11460</v>
      </c>
    </row>
    <row r="16048" spans="1:1" x14ac:dyDescent="0.25">
      <c r="A16048" s="76" t="s">
        <v>11461</v>
      </c>
    </row>
    <row r="16049" spans="1:1" x14ac:dyDescent="0.25">
      <c r="A16049" s="108" t="s">
        <v>11462</v>
      </c>
    </row>
    <row r="16050" spans="1:1" x14ac:dyDescent="0.25">
      <c r="A16050" s="76" t="s">
        <v>11463</v>
      </c>
    </row>
    <row r="16051" spans="1:1" x14ac:dyDescent="0.25">
      <c r="A16051" s="108" t="s">
        <v>11464</v>
      </c>
    </row>
    <row r="16052" spans="1:1" x14ac:dyDescent="0.25">
      <c r="A16052" s="76" t="s">
        <v>11465</v>
      </c>
    </row>
    <row r="16053" spans="1:1" x14ac:dyDescent="0.25">
      <c r="A16053" s="108" t="s">
        <v>11466</v>
      </c>
    </row>
    <row r="16054" spans="1:1" x14ac:dyDescent="0.25">
      <c r="A16054" s="76" t="s">
        <v>11467</v>
      </c>
    </row>
    <row r="16055" spans="1:1" x14ac:dyDescent="0.25">
      <c r="A16055" s="108" t="s">
        <v>11468</v>
      </c>
    </row>
    <row r="16056" spans="1:1" x14ac:dyDescent="0.25">
      <c r="A16056" s="76" t="s">
        <v>11469</v>
      </c>
    </row>
    <row r="16057" spans="1:1" x14ac:dyDescent="0.25">
      <c r="A16057" s="108" t="s">
        <v>11470</v>
      </c>
    </row>
    <row r="16058" spans="1:1" x14ac:dyDescent="0.25">
      <c r="A16058" s="76" t="s">
        <v>11471</v>
      </c>
    </row>
    <row r="16059" spans="1:1" x14ac:dyDescent="0.25">
      <c r="A16059" s="108" t="s">
        <v>11472</v>
      </c>
    </row>
    <row r="16060" spans="1:1" x14ac:dyDescent="0.25">
      <c r="A16060" s="76" t="s">
        <v>11473</v>
      </c>
    </row>
    <row r="16061" spans="1:1" x14ac:dyDescent="0.25">
      <c r="A16061" s="108" t="s">
        <v>11474</v>
      </c>
    </row>
    <row r="16062" spans="1:1" x14ac:dyDescent="0.25">
      <c r="A16062" s="76" t="s">
        <v>11475</v>
      </c>
    </row>
    <row r="16063" spans="1:1" x14ac:dyDescent="0.25">
      <c r="A16063" s="108" t="s">
        <v>11476</v>
      </c>
    </row>
    <row r="16064" spans="1:1" x14ac:dyDescent="0.25">
      <c r="A16064" s="76" t="s">
        <v>11477</v>
      </c>
    </row>
    <row r="16065" spans="1:1" x14ac:dyDescent="0.25">
      <c r="A16065" s="108" t="s">
        <v>11478</v>
      </c>
    </row>
    <row r="16066" spans="1:1" x14ac:dyDescent="0.25">
      <c r="A16066" s="76" t="s">
        <v>11479</v>
      </c>
    </row>
    <row r="16067" spans="1:1" x14ac:dyDescent="0.25">
      <c r="A16067" s="108" t="s">
        <v>11480</v>
      </c>
    </row>
    <row r="16068" spans="1:1" x14ac:dyDescent="0.25">
      <c r="A16068" s="76" t="s">
        <v>11481</v>
      </c>
    </row>
    <row r="16069" spans="1:1" x14ac:dyDescent="0.25">
      <c r="A16069" s="108" t="s">
        <v>11482</v>
      </c>
    </row>
    <row r="16070" spans="1:1" x14ac:dyDescent="0.25">
      <c r="A16070" s="76" t="s">
        <v>11483</v>
      </c>
    </row>
    <row r="16071" spans="1:1" x14ac:dyDescent="0.25">
      <c r="A16071" s="108" t="s">
        <v>11484</v>
      </c>
    </row>
    <row r="16072" spans="1:1" x14ac:dyDescent="0.25">
      <c r="A16072" s="76" t="s">
        <v>11485</v>
      </c>
    </row>
    <row r="16073" spans="1:1" x14ac:dyDescent="0.25">
      <c r="A16073" s="108" t="s">
        <v>11486</v>
      </c>
    </row>
    <row r="16074" spans="1:1" x14ac:dyDescent="0.25">
      <c r="A16074" s="76" t="s">
        <v>11487</v>
      </c>
    </row>
    <row r="16075" spans="1:1" x14ac:dyDescent="0.25">
      <c r="A16075" s="108" t="s">
        <v>11488</v>
      </c>
    </row>
    <row r="16076" spans="1:1" x14ac:dyDescent="0.25">
      <c r="A16076" s="76" t="s">
        <v>11489</v>
      </c>
    </row>
    <row r="16077" spans="1:1" x14ac:dyDescent="0.25">
      <c r="A16077" s="108" t="s">
        <v>11490</v>
      </c>
    </row>
    <row r="16078" spans="1:1" x14ac:dyDescent="0.25">
      <c r="A16078" s="76" t="s">
        <v>11491</v>
      </c>
    </row>
    <row r="16079" spans="1:1" x14ac:dyDescent="0.25">
      <c r="A16079" s="108" t="s">
        <v>11492</v>
      </c>
    </row>
    <row r="16080" spans="1:1" x14ac:dyDescent="0.25">
      <c r="A16080" s="76" t="s">
        <v>11493</v>
      </c>
    </row>
    <row r="16081" spans="1:1" x14ac:dyDescent="0.25">
      <c r="A16081" s="108" t="s">
        <v>11494</v>
      </c>
    </row>
    <row r="16082" spans="1:1" x14ac:dyDescent="0.25">
      <c r="A16082" s="76" t="s">
        <v>11495</v>
      </c>
    </row>
    <row r="16083" spans="1:1" x14ac:dyDescent="0.25">
      <c r="A16083" s="108" t="s">
        <v>11496</v>
      </c>
    </row>
    <row r="16084" spans="1:1" x14ac:dyDescent="0.25">
      <c r="A16084" s="76" t="s">
        <v>11497</v>
      </c>
    </row>
    <row r="16085" spans="1:1" x14ac:dyDescent="0.25">
      <c r="A16085" s="108" t="s">
        <v>11498</v>
      </c>
    </row>
    <row r="16086" spans="1:1" x14ac:dyDescent="0.25">
      <c r="A16086" s="76" t="s">
        <v>11499</v>
      </c>
    </row>
    <row r="16087" spans="1:1" x14ac:dyDescent="0.25">
      <c r="A16087" s="108" t="s">
        <v>11500</v>
      </c>
    </row>
    <row r="16088" spans="1:1" x14ac:dyDescent="0.25">
      <c r="A16088" s="76" t="s">
        <v>11501</v>
      </c>
    </row>
    <row r="16089" spans="1:1" x14ac:dyDescent="0.25">
      <c r="A16089" s="108" t="s">
        <v>11502</v>
      </c>
    </row>
    <row r="16090" spans="1:1" x14ac:dyDescent="0.25">
      <c r="A16090" s="76" t="s">
        <v>11503</v>
      </c>
    </row>
    <row r="16091" spans="1:1" x14ac:dyDescent="0.25">
      <c r="A16091" s="108" t="s">
        <v>11504</v>
      </c>
    </row>
    <row r="16092" spans="1:1" x14ac:dyDescent="0.25">
      <c r="A16092" s="76" t="s">
        <v>11505</v>
      </c>
    </row>
    <row r="16093" spans="1:1" x14ac:dyDescent="0.25">
      <c r="A16093" s="108" t="s">
        <v>11506</v>
      </c>
    </row>
    <row r="16094" spans="1:1" x14ac:dyDescent="0.25">
      <c r="A16094" s="76" t="s">
        <v>11507</v>
      </c>
    </row>
    <row r="16095" spans="1:1" x14ac:dyDescent="0.25">
      <c r="A16095" s="108" t="s">
        <v>11508</v>
      </c>
    </row>
    <row r="16096" spans="1:1" x14ac:dyDescent="0.25">
      <c r="A16096" s="76" t="s">
        <v>11509</v>
      </c>
    </row>
    <row r="16097" spans="1:1" x14ac:dyDescent="0.25">
      <c r="A16097" s="108" t="s">
        <v>11510</v>
      </c>
    </row>
    <row r="16098" spans="1:1" x14ac:dyDescent="0.25">
      <c r="A16098" s="76" t="s">
        <v>11511</v>
      </c>
    </row>
    <row r="16099" spans="1:1" x14ac:dyDescent="0.25">
      <c r="A16099" s="108" t="s">
        <v>11512</v>
      </c>
    </row>
    <row r="16100" spans="1:1" x14ac:dyDescent="0.25">
      <c r="A16100" s="76" t="s">
        <v>11513</v>
      </c>
    </row>
    <row r="16101" spans="1:1" x14ac:dyDescent="0.25">
      <c r="A16101" s="108" t="s">
        <v>11514</v>
      </c>
    </row>
    <row r="16102" spans="1:1" x14ac:dyDescent="0.25">
      <c r="A16102" s="76" t="s">
        <v>11515</v>
      </c>
    </row>
    <row r="16103" spans="1:1" x14ac:dyDescent="0.25">
      <c r="A16103" s="108" t="s">
        <v>11516</v>
      </c>
    </row>
    <row r="16104" spans="1:1" x14ac:dyDescent="0.25">
      <c r="A16104" s="76" t="s">
        <v>11517</v>
      </c>
    </row>
    <row r="16105" spans="1:1" x14ac:dyDescent="0.25">
      <c r="A16105" s="108" t="s">
        <v>11518</v>
      </c>
    </row>
    <row r="16106" spans="1:1" x14ac:dyDescent="0.25">
      <c r="A16106" s="76" t="s">
        <v>11519</v>
      </c>
    </row>
    <row r="16107" spans="1:1" x14ac:dyDescent="0.25">
      <c r="A16107" s="108" t="s">
        <v>11520</v>
      </c>
    </row>
    <row r="16108" spans="1:1" x14ac:dyDescent="0.25">
      <c r="A16108" s="76" t="s">
        <v>11521</v>
      </c>
    </row>
    <row r="16109" spans="1:1" x14ac:dyDescent="0.25">
      <c r="A16109" s="108" t="s">
        <v>11522</v>
      </c>
    </row>
    <row r="16110" spans="1:1" x14ac:dyDescent="0.25">
      <c r="A16110" s="76" t="s">
        <v>11523</v>
      </c>
    </row>
    <row r="16111" spans="1:1" x14ac:dyDescent="0.25">
      <c r="A16111" s="108" t="s">
        <v>11524</v>
      </c>
    </row>
    <row r="16112" spans="1:1" x14ac:dyDescent="0.25">
      <c r="A16112" s="76" t="s">
        <v>11525</v>
      </c>
    </row>
    <row r="16113" spans="1:1" x14ac:dyDescent="0.25">
      <c r="A16113" s="108" t="s">
        <v>11526</v>
      </c>
    </row>
    <row r="16114" spans="1:1" x14ac:dyDescent="0.25">
      <c r="A16114" s="76" t="s">
        <v>11527</v>
      </c>
    </row>
    <row r="16115" spans="1:1" x14ac:dyDescent="0.25">
      <c r="A16115" s="108" t="s">
        <v>11528</v>
      </c>
    </row>
    <row r="16116" spans="1:1" x14ac:dyDescent="0.25">
      <c r="A16116" s="76" t="s">
        <v>11529</v>
      </c>
    </row>
    <row r="16117" spans="1:1" x14ac:dyDescent="0.25">
      <c r="A16117" s="108" t="s">
        <v>11530</v>
      </c>
    </row>
    <row r="16118" spans="1:1" x14ac:dyDescent="0.25">
      <c r="A16118" s="76" t="s">
        <v>11531</v>
      </c>
    </row>
    <row r="16119" spans="1:1" x14ac:dyDescent="0.25">
      <c r="A16119" s="108" t="s">
        <v>11532</v>
      </c>
    </row>
    <row r="16120" spans="1:1" x14ac:dyDescent="0.25">
      <c r="A16120" s="76" t="s">
        <v>11533</v>
      </c>
    </row>
    <row r="16121" spans="1:1" x14ac:dyDescent="0.25">
      <c r="A16121" s="108" t="s">
        <v>11534</v>
      </c>
    </row>
    <row r="16122" spans="1:1" x14ac:dyDescent="0.25">
      <c r="A16122" s="76" t="s">
        <v>11535</v>
      </c>
    </row>
    <row r="16123" spans="1:1" x14ac:dyDescent="0.25">
      <c r="A16123" s="108" t="s">
        <v>11536</v>
      </c>
    </row>
    <row r="16124" spans="1:1" x14ac:dyDescent="0.25">
      <c r="A16124" s="76" t="s">
        <v>11537</v>
      </c>
    </row>
    <row r="16125" spans="1:1" x14ac:dyDescent="0.25">
      <c r="A16125" s="108" t="s">
        <v>11538</v>
      </c>
    </row>
    <row r="16126" spans="1:1" x14ac:dyDescent="0.25">
      <c r="A16126" s="76" t="s">
        <v>11539</v>
      </c>
    </row>
    <row r="16127" spans="1:1" x14ac:dyDescent="0.25">
      <c r="A16127" s="108" t="s">
        <v>11540</v>
      </c>
    </row>
    <row r="16128" spans="1:1" x14ac:dyDescent="0.25">
      <c r="A16128" s="76" t="s">
        <v>11541</v>
      </c>
    </row>
    <row r="16129" spans="1:1" x14ac:dyDescent="0.25">
      <c r="A16129" s="108" t="s">
        <v>11542</v>
      </c>
    </row>
    <row r="16130" spans="1:1" x14ac:dyDescent="0.25">
      <c r="A16130" s="76" t="s">
        <v>11543</v>
      </c>
    </row>
    <row r="16131" spans="1:1" x14ac:dyDescent="0.25">
      <c r="A16131" s="108" t="s">
        <v>11544</v>
      </c>
    </row>
    <row r="16132" spans="1:1" x14ac:dyDescent="0.25">
      <c r="A16132" s="76" t="s">
        <v>11545</v>
      </c>
    </row>
    <row r="16133" spans="1:1" x14ac:dyDescent="0.25">
      <c r="A16133" s="108" t="s">
        <v>11546</v>
      </c>
    </row>
    <row r="16134" spans="1:1" x14ac:dyDescent="0.25">
      <c r="A16134" s="76" t="s">
        <v>11547</v>
      </c>
    </row>
    <row r="16135" spans="1:1" x14ac:dyDescent="0.25">
      <c r="A16135" s="108" t="s">
        <v>11548</v>
      </c>
    </row>
    <row r="16136" spans="1:1" x14ac:dyDescent="0.25">
      <c r="A16136" s="76" t="s">
        <v>11549</v>
      </c>
    </row>
    <row r="16137" spans="1:1" x14ac:dyDescent="0.25">
      <c r="A16137" s="108" t="s">
        <v>11550</v>
      </c>
    </row>
    <row r="16138" spans="1:1" x14ac:dyDescent="0.25">
      <c r="A16138" s="76" t="s">
        <v>11551</v>
      </c>
    </row>
    <row r="16139" spans="1:1" x14ac:dyDescent="0.25">
      <c r="A16139" s="108" t="s">
        <v>11552</v>
      </c>
    </row>
    <row r="16140" spans="1:1" x14ac:dyDescent="0.25">
      <c r="A16140" s="76" t="s">
        <v>11553</v>
      </c>
    </row>
    <row r="16141" spans="1:1" x14ac:dyDescent="0.25">
      <c r="A16141" s="108" t="s">
        <v>11554</v>
      </c>
    </row>
    <row r="16142" spans="1:1" x14ac:dyDescent="0.25">
      <c r="A16142" s="76" t="s">
        <v>11555</v>
      </c>
    </row>
    <row r="16143" spans="1:1" x14ac:dyDescent="0.25">
      <c r="A16143" s="108" t="s">
        <v>11556</v>
      </c>
    </row>
    <row r="16144" spans="1:1" x14ac:dyDescent="0.25">
      <c r="A16144" s="76" t="s">
        <v>11557</v>
      </c>
    </row>
    <row r="16145" spans="1:1" x14ac:dyDescent="0.25">
      <c r="A16145" s="108" t="s">
        <v>11558</v>
      </c>
    </row>
    <row r="16146" spans="1:1" x14ac:dyDescent="0.25">
      <c r="A16146" s="76" t="s">
        <v>11559</v>
      </c>
    </row>
    <row r="16147" spans="1:1" x14ac:dyDescent="0.25">
      <c r="A16147" s="108" t="s">
        <v>11560</v>
      </c>
    </row>
    <row r="16148" spans="1:1" x14ac:dyDescent="0.25">
      <c r="A16148" s="76" t="s">
        <v>11561</v>
      </c>
    </row>
    <row r="16149" spans="1:1" x14ac:dyDescent="0.25">
      <c r="A16149" s="108" t="s">
        <v>11562</v>
      </c>
    </row>
    <row r="16150" spans="1:1" x14ac:dyDescent="0.25">
      <c r="A16150" s="76" t="s">
        <v>11563</v>
      </c>
    </row>
    <row r="16151" spans="1:1" x14ac:dyDescent="0.25">
      <c r="A16151" s="108" t="s">
        <v>11564</v>
      </c>
    </row>
    <row r="16152" spans="1:1" x14ac:dyDescent="0.25">
      <c r="A16152" s="76" t="s">
        <v>11565</v>
      </c>
    </row>
    <row r="16153" spans="1:1" x14ac:dyDescent="0.25">
      <c r="A16153" s="108" t="s">
        <v>11566</v>
      </c>
    </row>
    <row r="16154" spans="1:1" x14ac:dyDescent="0.25">
      <c r="A16154" s="76" t="s">
        <v>11567</v>
      </c>
    </row>
    <row r="16155" spans="1:1" x14ac:dyDescent="0.25">
      <c r="A16155" s="108" t="s">
        <v>11568</v>
      </c>
    </row>
    <row r="16156" spans="1:1" x14ac:dyDescent="0.25">
      <c r="A16156" s="76" t="s">
        <v>11569</v>
      </c>
    </row>
    <row r="16157" spans="1:1" x14ac:dyDescent="0.25">
      <c r="A16157" s="108" t="s">
        <v>11570</v>
      </c>
    </row>
    <row r="16158" spans="1:1" x14ac:dyDescent="0.25">
      <c r="A16158" s="76" t="s">
        <v>11571</v>
      </c>
    </row>
    <row r="16159" spans="1:1" x14ac:dyDescent="0.25">
      <c r="A16159" s="108" t="s">
        <v>11572</v>
      </c>
    </row>
    <row r="16160" spans="1:1" x14ac:dyDescent="0.25">
      <c r="A16160" s="76" t="s">
        <v>11573</v>
      </c>
    </row>
    <row r="16161" spans="1:1" x14ac:dyDescent="0.25">
      <c r="A16161" s="108" t="s">
        <v>11574</v>
      </c>
    </row>
    <row r="16162" spans="1:1" x14ac:dyDescent="0.25">
      <c r="A16162" s="76" t="s">
        <v>11575</v>
      </c>
    </row>
    <row r="16163" spans="1:1" x14ac:dyDescent="0.25">
      <c r="A16163" s="108" t="s">
        <v>11576</v>
      </c>
    </row>
    <row r="16164" spans="1:1" x14ac:dyDescent="0.25">
      <c r="A16164" s="76" t="s">
        <v>11577</v>
      </c>
    </row>
    <row r="16165" spans="1:1" x14ac:dyDescent="0.25">
      <c r="A16165" s="108" t="s">
        <v>11578</v>
      </c>
    </row>
    <row r="16166" spans="1:1" x14ac:dyDescent="0.25">
      <c r="A16166" s="76" t="s">
        <v>11579</v>
      </c>
    </row>
    <row r="16167" spans="1:1" x14ac:dyDescent="0.25">
      <c r="A16167" s="108" t="s">
        <v>11580</v>
      </c>
    </row>
    <row r="16168" spans="1:1" x14ac:dyDescent="0.25">
      <c r="A16168" s="76" t="s">
        <v>11581</v>
      </c>
    </row>
    <row r="16169" spans="1:1" x14ac:dyDescent="0.25">
      <c r="A16169" s="108" t="s">
        <v>11582</v>
      </c>
    </row>
    <row r="16170" spans="1:1" x14ac:dyDescent="0.25">
      <c r="A16170" s="76" t="s">
        <v>11583</v>
      </c>
    </row>
    <row r="16171" spans="1:1" x14ac:dyDescent="0.25">
      <c r="A16171" s="108" t="s">
        <v>11584</v>
      </c>
    </row>
    <row r="16172" spans="1:1" x14ac:dyDescent="0.25">
      <c r="A16172" s="76" t="s">
        <v>11585</v>
      </c>
    </row>
    <row r="16173" spans="1:1" x14ac:dyDescent="0.25">
      <c r="A16173" s="108" t="s">
        <v>11586</v>
      </c>
    </row>
    <row r="16174" spans="1:1" x14ac:dyDescent="0.25">
      <c r="A16174" s="76" t="s">
        <v>11587</v>
      </c>
    </row>
    <row r="16175" spans="1:1" x14ac:dyDescent="0.25">
      <c r="A16175" s="108" t="s">
        <v>11588</v>
      </c>
    </row>
    <row r="16176" spans="1:1" x14ac:dyDescent="0.25">
      <c r="A16176" s="76" t="s">
        <v>11589</v>
      </c>
    </row>
    <row r="16177" spans="1:1" x14ac:dyDescent="0.25">
      <c r="A16177" s="108" t="s">
        <v>11590</v>
      </c>
    </row>
    <row r="16178" spans="1:1" x14ac:dyDescent="0.25">
      <c r="A16178" s="76" t="s">
        <v>11591</v>
      </c>
    </row>
    <row r="16179" spans="1:1" x14ac:dyDescent="0.25">
      <c r="A16179" s="108" t="s">
        <v>11592</v>
      </c>
    </row>
    <row r="16180" spans="1:1" x14ac:dyDescent="0.25">
      <c r="A16180" s="76" t="s">
        <v>11593</v>
      </c>
    </row>
    <row r="16181" spans="1:1" x14ac:dyDescent="0.25">
      <c r="A16181" s="108" t="s">
        <v>11594</v>
      </c>
    </row>
    <row r="16182" spans="1:1" x14ac:dyDescent="0.25">
      <c r="A16182" s="76" t="s">
        <v>11595</v>
      </c>
    </row>
    <row r="16183" spans="1:1" x14ac:dyDescent="0.25">
      <c r="A16183" s="108" t="s">
        <v>11596</v>
      </c>
    </row>
    <row r="16184" spans="1:1" x14ac:dyDescent="0.25">
      <c r="A16184" s="76" t="s">
        <v>11597</v>
      </c>
    </row>
    <row r="16185" spans="1:1" x14ac:dyDescent="0.25">
      <c r="A16185" s="108" t="s">
        <v>11598</v>
      </c>
    </row>
    <row r="16186" spans="1:1" x14ac:dyDescent="0.25">
      <c r="A16186" s="76" t="s">
        <v>11599</v>
      </c>
    </row>
    <row r="16187" spans="1:1" x14ac:dyDescent="0.25">
      <c r="A16187" s="108" t="s">
        <v>11600</v>
      </c>
    </row>
    <row r="16188" spans="1:1" x14ac:dyDescent="0.25">
      <c r="A16188" s="76" t="s">
        <v>11601</v>
      </c>
    </row>
    <row r="16189" spans="1:1" x14ac:dyDescent="0.25">
      <c r="A16189" s="108" t="s">
        <v>11602</v>
      </c>
    </row>
    <row r="16190" spans="1:1" x14ac:dyDescent="0.25">
      <c r="A16190" s="76" t="s">
        <v>11603</v>
      </c>
    </row>
    <row r="16191" spans="1:1" x14ac:dyDescent="0.25">
      <c r="A16191" s="108" t="s">
        <v>11604</v>
      </c>
    </row>
    <row r="16192" spans="1:1" x14ac:dyDescent="0.25">
      <c r="A16192" s="76" t="s">
        <v>11605</v>
      </c>
    </row>
    <row r="16193" spans="1:1" x14ac:dyDescent="0.25">
      <c r="A16193" s="108" t="s">
        <v>11606</v>
      </c>
    </row>
    <row r="16194" spans="1:1" x14ac:dyDescent="0.25">
      <c r="A16194" s="76" t="s">
        <v>11607</v>
      </c>
    </row>
    <row r="16195" spans="1:1" x14ac:dyDescent="0.25">
      <c r="A16195" s="108" t="s">
        <v>11608</v>
      </c>
    </row>
    <row r="16196" spans="1:1" x14ac:dyDescent="0.25">
      <c r="A16196" s="76" t="s">
        <v>11609</v>
      </c>
    </row>
    <row r="16197" spans="1:1" x14ac:dyDescent="0.25">
      <c r="A16197" s="108" t="s">
        <v>11610</v>
      </c>
    </row>
    <row r="16198" spans="1:1" x14ac:dyDescent="0.25">
      <c r="A16198" s="76" t="s">
        <v>11611</v>
      </c>
    </row>
    <row r="16199" spans="1:1" x14ac:dyDescent="0.25">
      <c r="A16199" s="29" t="s">
        <v>11612</v>
      </c>
    </row>
    <row r="16200" spans="1:1" x14ac:dyDescent="0.25">
      <c r="A16200" s="29" t="s">
        <v>11613</v>
      </c>
    </row>
    <row r="16201" spans="1:1" x14ac:dyDescent="0.25">
      <c r="A16201" s="108" t="s">
        <v>11614</v>
      </c>
    </row>
    <row r="16202" spans="1:1" x14ac:dyDescent="0.25">
      <c r="A16202" s="76" t="s">
        <v>11615</v>
      </c>
    </row>
    <row r="16203" spans="1:1" x14ac:dyDescent="0.25">
      <c r="A16203" s="108" t="s">
        <v>11616</v>
      </c>
    </row>
    <row r="16204" spans="1:1" x14ac:dyDescent="0.25">
      <c r="A16204" s="76" t="s">
        <v>11617</v>
      </c>
    </row>
    <row r="16205" spans="1:1" x14ac:dyDescent="0.25">
      <c r="A16205" s="108" t="s">
        <v>11618</v>
      </c>
    </row>
    <row r="16206" spans="1:1" x14ac:dyDescent="0.25">
      <c r="A16206" s="76" t="s">
        <v>11619</v>
      </c>
    </row>
    <row r="16207" spans="1:1" x14ac:dyDescent="0.25">
      <c r="A16207" s="108" t="s">
        <v>11620</v>
      </c>
    </row>
    <row r="16208" spans="1:1" x14ac:dyDescent="0.25">
      <c r="A16208" s="76" t="s">
        <v>11621</v>
      </c>
    </row>
    <row r="16209" spans="1:1" x14ac:dyDescent="0.25">
      <c r="A16209" s="108" t="s">
        <v>11622</v>
      </c>
    </row>
    <row r="16210" spans="1:1" x14ac:dyDescent="0.25">
      <c r="A16210" s="76" t="s">
        <v>11623</v>
      </c>
    </row>
    <row r="16211" spans="1:1" x14ac:dyDescent="0.25">
      <c r="A16211" s="108" t="s">
        <v>11624</v>
      </c>
    </row>
    <row r="16212" spans="1:1" x14ac:dyDescent="0.25">
      <c r="A16212" s="76" t="s">
        <v>11625</v>
      </c>
    </row>
    <row r="16213" spans="1:1" x14ac:dyDescent="0.25">
      <c r="A16213" s="108" t="s">
        <v>11626</v>
      </c>
    </row>
    <row r="16214" spans="1:1" x14ac:dyDescent="0.25">
      <c r="A16214" s="76" t="s">
        <v>11627</v>
      </c>
    </row>
    <row r="16215" spans="1:1" x14ac:dyDescent="0.25">
      <c r="A16215" s="108" t="s">
        <v>11628</v>
      </c>
    </row>
    <row r="16216" spans="1:1" x14ac:dyDescent="0.25">
      <c r="A16216" s="76" t="s">
        <v>11629</v>
      </c>
    </row>
    <row r="16217" spans="1:1" x14ac:dyDescent="0.25">
      <c r="A16217" s="108" t="s">
        <v>11630</v>
      </c>
    </row>
    <row r="16218" spans="1:1" x14ac:dyDescent="0.25">
      <c r="A16218" s="76" t="s">
        <v>11631</v>
      </c>
    </row>
    <row r="16219" spans="1:1" x14ac:dyDescent="0.25">
      <c r="A16219" s="108" t="s">
        <v>11632</v>
      </c>
    </row>
    <row r="16220" spans="1:1" x14ac:dyDescent="0.25">
      <c r="A16220" s="76" t="s">
        <v>11633</v>
      </c>
    </row>
    <row r="16221" spans="1:1" x14ac:dyDescent="0.25">
      <c r="A16221" s="108" t="s">
        <v>11634</v>
      </c>
    </row>
    <row r="16222" spans="1:1" x14ac:dyDescent="0.25">
      <c r="A16222" s="76" t="s">
        <v>11635</v>
      </c>
    </row>
    <row r="16223" spans="1:1" x14ac:dyDescent="0.25">
      <c r="A16223" s="108" t="s">
        <v>11636</v>
      </c>
    </row>
    <row r="16224" spans="1:1" x14ac:dyDescent="0.25">
      <c r="A16224" s="76" t="s">
        <v>11637</v>
      </c>
    </row>
    <row r="16225" spans="1:1" x14ac:dyDescent="0.25">
      <c r="A16225" s="108" t="s">
        <v>11638</v>
      </c>
    </row>
    <row r="16226" spans="1:1" x14ac:dyDescent="0.25">
      <c r="A16226" s="76" t="s">
        <v>11639</v>
      </c>
    </row>
    <row r="16227" spans="1:1" x14ac:dyDescent="0.25">
      <c r="A16227" s="108" t="s">
        <v>11640</v>
      </c>
    </row>
    <row r="16228" spans="1:1" x14ac:dyDescent="0.25">
      <c r="A16228" s="76" t="s">
        <v>11641</v>
      </c>
    </row>
    <row r="16229" spans="1:1" x14ac:dyDescent="0.25">
      <c r="A16229" s="108" t="s">
        <v>11642</v>
      </c>
    </row>
    <row r="16230" spans="1:1" x14ac:dyDescent="0.25">
      <c r="A16230" s="76" t="s">
        <v>11643</v>
      </c>
    </row>
    <row r="16231" spans="1:1" x14ac:dyDescent="0.25">
      <c r="A16231" s="108" t="s">
        <v>11644</v>
      </c>
    </row>
    <row r="16232" spans="1:1" x14ac:dyDescent="0.25">
      <c r="A16232" s="76" t="s">
        <v>11645</v>
      </c>
    </row>
    <row r="16233" spans="1:1" x14ac:dyDescent="0.25">
      <c r="A16233" s="108" t="s">
        <v>11646</v>
      </c>
    </row>
    <row r="16234" spans="1:1" x14ac:dyDescent="0.25">
      <c r="A16234" s="76" t="s">
        <v>11647</v>
      </c>
    </row>
    <row r="16235" spans="1:1" x14ac:dyDescent="0.25">
      <c r="A16235" s="108" t="s">
        <v>11648</v>
      </c>
    </row>
    <row r="16236" spans="1:1" x14ac:dyDescent="0.25">
      <c r="A16236" s="76" t="s">
        <v>11649</v>
      </c>
    </row>
    <row r="16237" spans="1:1" x14ac:dyDescent="0.25">
      <c r="A16237" s="108" t="s">
        <v>11650</v>
      </c>
    </row>
    <row r="16238" spans="1:1" x14ac:dyDescent="0.25">
      <c r="A16238" s="76" t="s">
        <v>11651</v>
      </c>
    </row>
    <row r="16239" spans="1:1" x14ac:dyDescent="0.25">
      <c r="A16239" s="108" t="s">
        <v>11652</v>
      </c>
    </row>
    <row r="16240" spans="1:1" x14ac:dyDescent="0.25">
      <c r="A16240" s="76" t="s">
        <v>11653</v>
      </c>
    </row>
    <row r="16241" spans="1:1" x14ac:dyDescent="0.25">
      <c r="A16241" s="108" t="s">
        <v>11654</v>
      </c>
    </row>
    <row r="16242" spans="1:1" x14ac:dyDescent="0.25">
      <c r="A16242" s="76" t="s">
        <v>11655</v>
      </c>
    </row>
    <row r="16243" spans="1:1" x14ac:dyDescent="0.25">
      <c r="A16243" s="108" t="s">
        <v>11656</v>
      </c>
    </row>
    <row r="16244" spans="1:1" x14ac:dyDescent="0.25">
      <c r="A16244" s="76" t="s">
        <v>11657</v>
      </c>
    </row>
    <row r="16245" spans="1:1" x14ac:dyDescent="0.25">
      <c r="A16245" s="108" t="s">
        <v>11658</v>
      </c>
    </row>
    <row r="16246" spans="1:1" x14ac:dyDescent="0.25">
      <c r="A16246" s="76" t="s">
        <v>11659</v>
      </c>
    </row>
    <row r="16247" spans="1:1" x14ac:dyDescent="0.25">
      <c r="A16247" s="108" t="s">
        <v>11660</v>
      </c>
    </row>
    <row r="16248" spans="1:1" x14ac:dyDescent="0.25">
      <c r="A16248" s="76" t="s">
        <v>11661</v>
      </c>
    </row>
    <row r="16249" spans="1:1" x14ac:dyDescent="0.25">
      <c r="A16249" s="108" t="s">
        <v>11662</v>
      </c>
    </row>
    <row r="16250" spans="1:1" x14ac:dyDescent="0.25">
      <c r="A16250" s="76" t="s">
        <v>11663</v>
      </c>
    </row>
    <row r="16251" spans="1:1" x14ac:dyDescent="0.25">
      <c r="A16251" s="108" t="s">
        <v>11664</v>
      </c>
    </row>
    <row r="16252" spans="1:1" x14ac:dyDescent="0.25">
      <c r="A16252" s="76" t="s">
        <v>11665</v>
      </c>
    </row>
    <row r="16253" spans="1:1" x14ac:dyDescent="0.25">
      <c r="A16253" s="108" t="s">
        <v>11666</v>
      </c>
    </row>
    <row r="16254" spans="1:1" x14ac:dyDescent="0.25">
      <c r="A16254" s="76" t="s">
        <v>11667</v>
      </c>
    </row>
    <row r="16255" spans="1:1" x14ac:dyDescent="0.25">
      <c r="A16255" s="108" t="s">
        <v>11668</v>
      </c>
    </row>
    <row r="16256" spans="1:1" x14ac:dyDescent="0.25">
      <c r="A16256" s="76" t="s">
        <v>11669</v>
      </c>
    </row>
    <row r="16257" spans="1:1" x14ac:dyDescent="0.25">
      <c r="A16257" s="108" t="s">
        <v>11670</v>
      </c>
    </row>
    <row r="16258" spans="1:1" x14ac:dyDescent="0.25">
      <c r="A16258" s="76" t="s">
        <v>11671</v>
      </c>
    </row>
    <row r="16259" spans="1:1" x14ac:dyDescent="0.25">
      <c r="A16259" s="108" t="s">
        <v>11672</v>
      </c>
    </row>
    <row r="16260" spans="1:1" x14ac:dyDescent="0.25">
      <c r="A16260" s="76" t="s">
        <v>11673</v>
      </c>
    </row>
    <row r="16261" spans="1:1" x14ac:dyDescent="0.25">
      <c r="A16261" s="108" t="s">
        <v>11674</v>
      </c>
    </row>
    <row r="16262" spans="1:1" x14ac:dyDescent="0.25">
      <c r="A16262" s="76" t="s">
        <v>11675</v>
      </c>
    </row>
    <row r="16263" spans="1:1" x14ac:dyDescent="0.25">
      <c r="A16263" s="108" t="s">
        <v>11676</v>
      </c>
    </row>
    <row r="16264" spans="1:1" x14ac:dyDescent="0.25">
      <c r="A16264" s="76" t="s">
        <v>11677</v>
      </c>
    </row>
    <row r="16265" spans="1:1" x14ac:dyDescent="0.25">
      <c r="A16265" s="108" t="s">
        <v>11678</v>
      </c>
    </row>
    <row r="16266" spans="1:1" x14ac:dyDescent="0.25">
      <c r="A16266" s="76" t="s">
        <v>11679</v>
      </c>
    </row>
    <row r="16267" spans="1:1" x14ac:dyDescent="0.25">
      <c r="A16267" s="108" t="s">
        <v>11680</v>
      </c>
    </row>
    <row r="16268" spans="1:1" x14ac:dyDescent="0.25">
      <c r="A16268" s="76" t="s">
        <v>11681</v>
      </c>
    </row>
    <row r="16269" spans="1:1" x14ac:dyDescent="0.25">
      <c r="A16269" s="108" t="s">
        <v>11682</v>
      </c>
    </row>
    <row r="16270" spans="1:1" x14ac:dyDescent="0.25">
      <c r="A16270" s="76" t="s">
        <v>11683</v>
      </c>
    </row>
    <row r="16271" spans="1:1" x14ac:dyDescent="0.25">
      <c r="A16271" s="108" t="s">
        <v>11684</v>
      </c>
    </row>
    <row r="16272" spans="1:1" x14ac:dyDescent="0.25">
      <c r="A16272" s="76" t="s">
        <v>11685</v>
      </c>
    </row>
    <row r="16273" spans="1:1" x14ac:dyDescent="0.25">
      <c r="A16273" s="108" t="s">
        <v>11686</v>
      </c>
    </row>
    <row r="16274" spans="1:1" x14ac:dyDescent="0.25">
      <c r="A16274" s="76" t="s">
        <v>11687</v>
      </c>
    </row>
    <row r="16275" spans="1:1" x14ac:dyDescent="0.25">
      <c r="A16275" s="108" t="s">
        <v>11688</v>
      </c>
    </row>
    <row r="16276" spans="1:1" x14ac:dyDescent="0.25">
      <c r="A16276" s="76" t="s">
        <v>11689</v>
      </c>
    </row>
    <row r="16277" spans="1:1" x14ac:dyDescent="0.25">
      <c r="A16277" s="108" t="s">
        <v>11690</v>
      </c>
    </row>
    <row r="16278" spans="1:1" x14ac:dyDescent="0.25">
      <c r="A16278" s="76" t="s">
        <v>11691</v>
      </c>
    </row>
    <row r="16279" spans="1:1" x14ac:dyDescent="0.25">
      <c r="A16279" s="108" t="s">
        <v>11692</v>
      </c>
    </row>
    <row r="16280" spans="1:1" x14ac:dyDescent="0.25">
      <c r="A16280" s="76" t="s">
        <v>11693</v>
      </c>
    </row>
    <row r="16281" spans="1:1" x14ac:dyDescent="0.25">
      <c r="A16281" s="108" t="s">
        <v>11694</v>
      </c>
    </row>
    <row r="16282" spans="1:1" x14ac:dyDescent="0.25">
      <c r="A16282" s="76" t="s">
        <v>11695</v>
      </c>
    </row>
    <row r="16283" spans="1:1" x14ac:dyDescent="0.25">
      <c r="A16283" s="108" t="s">
        <v>11696</v>
      </c>
    </row>
    <row r="16284" spans="1:1" x14ac:dyDescent="0.25">
      <c r="A16284" s="76" t="s">
        <v>11697</v>
      </c>
    </row>
    <row r="16285" spans="1:1" x14ac:dyDescent="0.25">
      <c r="A16285" s="108" t="s">
        <v>11698</v>
      </c>
    </row>
    <row r="16286" spans="1:1" x14ac:dyDescent="0.25">
      <c r="A16286" s="76" t="s">
        <v>11699</v>
      </c>
    </row>
    <row r="16287" spans="1:1" x14ac:dyDescent="0.25">
      <c r="A16287" s="108" t="s">
        <v>11700</v>
      </c>
    </row>
    <row r="16288" spans="1:1" x14ac:dyDescent="0.25">
      <c r="A16288" s="76" t="s">
        <v>11701</v>
      </c>
    </row>
    <row r="16289" spans="1:1" x14ac:dyDescent="0.25">
      <c r="A16289" s="108" t="s">
        <v>11702</v>
      </c>
    </row>
    <row r="16290" spans="1:1" x14ac:dyDescent="0.25">
      <c r="A16290" s="76" t="s">
        <v>11703</v>
      </c>
    </row>
    <row r="16291" spans="1:1" x14ac:dyDescent="0.25">
      <c r="A16291" s="108" t="s">
        <v>11704</v>
      </c>
    </row>
    <row r="16292" spans="1:1" x14ac:dyDescent="0.25">
      <c r="A16292" s="76" t="s">
        <v>11705</v>
      </c>
    </row>
    <row r="16293" spans="1:1" x14ac:dyDescent="0.25">
      <c r="A16293" s="108" t="s">
        <v>11706</v>
      </c>
    </row>
    <row r="16294" spans="1:1" x14ac:dyDescent="0.25">
      <c r="A16294" s="76" t="s">
        <v>11707</v>
      </c>
    </row>
    <row r="16295" spans="1:1" x14ac:dyDescent="0.25">
      <c r="A16295" s="108" t="s">
        <v>11708</v>
      </c>
    </row>
    <row r="16296" spans="1:1" x14ac:dyDescent="0.25">
      <c r="A16296" s="76" t="s">
        <v>11709</v>
      </c>
    </row>
    <row r="16297" spans="1:1" x14ac:dyDescent="0.25">
      <c r="A16297" s="108" t="s">
        <v>11710</v>
      </c>
    </row>
    <row r="16298" spans="1:1" x14ac:dyDescent="0.25">
      <c r="A16298" s="76" t="s">
        <v>11711</v>
      </c>
    </row>
    <row r="16299" spans="1:1" x14ac:dyDescent="0.25">
      <c r="A16299" s="108" t="s">
        <v>11712</v>
      </c>
    </row>
    <row r="16300" spans="1:1" x14ac:dyDescent="0.25">
      <c r="A16300" s="76" t="s">
        <v>11713</v>
      </c>
    </row>
    <row r="16301" spans="1:1" x14ac:dyDescent="0.25">
      <c r="A16301" s="108" t="s">
        <v>11714</v>
      </c>
    </row>
    <row r="16302" spans="1:1" x14ac:dyDescent="0.25">
      <c r="A16302" s="76" t="s">
        <v>11715</v>
      </c>
    </row>
    <row r="16303" spans="1:1" x14ac:dyDescent="0.25">
      <c r="A16303" s="108" t="s">
        <v>11716</v>
      </c>
    </row>
    <row r="16304" spans="1:1" x14ac:dyDescent="0.25">
      <c r="A16304" s="76" t="s">
        <v>11717</v>
      </c>
    </row>
    <row r="16305" spans="1:1" x14ac:dyDescent="0.25">
      <c r="A16305" s="108" t="s">
        <v>11718</v>
      </c>
    </row>
    <row r="16306" spans="1:1" x14ac:dyDescent="0.25">
      <c r="A16306" s="76" t="s">
        <v>11719</v>
      </c>
    </row>
    <row r="16307" spans="1:1" x14ac:dyDescent="0.25">
      <c r="A16307" s="108" t="s">
        <v>11720</v>
      </c>
    </row>
    <row r="16308" spans="1:1" x14ac:dyDescent="0.25">
      <c r="A16308" s="76" t="s">
        <v>11721</v>
      </c>
    </row>
    <row r="16309" spans="1:1" x14ac:dyDescent="0.25">
      <c r="A16309" s="108" t="s">
        <v>11722</v>
      </c>
    </row>
    <row r="16310" spans="1:1" x14ac:dyDescent="0.25">
      <c r="A16310" s="76" t="s">
        <v>11723</v>
      </c>
    </row>
    <row r="16311" spans="1:1" x14ac:dyDescent="0.25">
      <c r="A16311" s="108" t="s">
        <v>11724</v>
      </c>
    </row>
    <row r="16312" spans="1:1" x14ac:dyDescent="0.25">
      <c r="A16312" s="76" t="s">
        <v>11725</v>
      </c>
    </row>
    <row r="16313" spans="1:1" x14ac:dyDescent="0.25">
      <c r="A16313" s="108" t="s">
        <v>11726</v>
      </c>
    </row>
    <row r="16314" spans="1:1" x14ac:dyDescent="0.25">
      <c r="A16314" s="76" t="s">
        <v>11727</v>
      </c>
    </row>
    <row r="16315" spans="1:1" x14ac:dyDescent="0.25">
      <c r="A16315" s="108" t="s">
        <v>11728</v>
      </c>
    </row>
    <row r="16316" spans="1:1" x14ac:dyDescent="0.25">
      <c r="A16316" s="76" t="s">
        <v>11729</v>
      </c>
    </row>
    <row r="16317" spans="1:1" x14ac:dyDescent="0.25">
      <c r="A16317" s="108" t="s">
        <v>11730</v>
      </c>
    </row>
    <row r="16318" spans="1:1" x14ac:dyDescent="0.25">
      <c r="A16318" s="76" t="s">
        <v>11731</v>
      </c>
    </row>
    <row r="16319" spans="1:1" x14ac:dyDescent="0.25">
      <c r="A16319" s="108" t="s">
        <v>11732</v>
      </c>
    </row>
    <row r="16320" spans="1:1" x14ac:dyDescent="0.25">
      <c r="A16320" s="76" t="s">
        <v>11733</v>
      </c>
    </row>
    <row r="16321" spans="1:1" x14ac:dyDescent="0.25">
      <c r="A16321" s="108" t="s">
        <v>11734</v>
      </c>
    </row>
    <row r="16322" spans="1:1" x14ac:dyDescent="0.25">
      <c r="A16322" s="76" t="s">
        <v>11735</v>
      </c>
    </row>
    <row r="16323" spans="1:1" x14ac:dyDescent="0.25">
      <c r="A16323" s="108" t="s">
        <v>11736</v>
      </c>
    </row>
    <row r="16324" spans="1:1" x14ac:dyDescent="0.25">
      <c r="A16324" s="76" t="s">
        <v>11737</v>
      </c>
    </row>
    <row r="16325" spans="1:1" x14ac:dyDescent="0.25">
      <c r="A16325" s="108" t="s">
        <v>11738</v>
      </c>
    </row>
    <row r="16326" spans="1:1" x14ac:dyDescent="0.25">
      <c r="A16326" s="76" t="s">
        <v>11739</v>
      </c>
    </row>
    <row r="16327" spans="1:1" x14ac:dyDescent="0.25">
      <c r="A16327" s="108" t="s">
        <v>11740</v>
      </c>
    </row>
    <row r="16328" spans="1:1" x14ac:dyDescent="0.25">
      <c r="A16328" s="76" t="s">
        <v>11741</v>
      </c>
    </row>
    <row r="16329" spans="1:1" x14ac:dyDescent="0.25">
      <c r="A16329" s="108" t="s">
        <v>11742</v>
      </c>
    </row>
    <row r="16330" spans="1:1" x14ac:dyDescent="0.25">
      <c r="A16330" s="76" t="s">
        <v>11743</v>
      </c>
    </row>
    <row r="16331" spans="1:1" x14ac:dyDescent="0.25">
      <c r="A16331" s="108" t="s">
        <v>11744</v>
      </c>
    </row>
    <row r="16332" spans="1:1" x14ac:dyDescent="0.25">
      <c r="A16332" s="76" t="s">
        <v>11745</v>
      </c>
    </row>
    <row r="16333" spans="1:1" x14ac:dyDescent="0.25">
      <c r="A16333" s="108" t="s">
        <v>11746</v>
      </c>
    </row>
    <row r="16334" spans="1:1" x14ac:dyDescent="0.25">
      <c r="A16334" s="76" t="s">
        <v>11747</v>
      </c>
    </row>
    <row r="16335" spans="1:1" x14ac:dyDescent="0.25">
      <c r="A16335" s="108" t="s">
        <v>11748</v>
      </c>
    </row>
    <row r="16336" spans="1:1" x14ac:dyDescent="0.25">
      <c r="A16336" s="76" t="s">
        <v>11749</v>
      </c>
    </row>
    <row r="16337" spans="1:1" x14ac:dyDescent="0.25">
      <c r="A16337" s="108" t="s">
        <v>11750</v>
      </c>
    </row>
    <row r="16338" spans="1:1" x14ac:dyDescent="0.25">
      <c r="A16338" s="76" t="s">
        <v>11751</v>
      </c>
    </row>
    <row r="16339" spans="1:1" x14ac:dyDescent="0.25">
      <c r="A16339" s="108" t="s">
        <v>11752</v>
      </c>
    </row>
    <row r="16340" spans="1:1" x14ac:dyDescent="0.25">
      <c r="A16340" s="76" t="s">
        <v>11753</v>
      </c>
    </row>
    <row r="16341" spans="1:1" x14ac:dyDescent="0.25">
      <c r="A16341" s="108" t="s">
        <v>11754</v>
      </c>
    </row>
    <row r="16342" spans="1:1" x14ac:dyDescent="0.25">
      <c r="A16342" s="76" t="s">
        <v>11755</v>
      </c>
    </row>
    <row r="16343" spans="1:1" x14ac:dyDescent="0.25">
      <c r="A16343" s="108" t="s">
        <v>11756</v>
      </c>
    </row>
    <row r="16344" spans="1:1" x14ac:dyDescent="0.25">
      <c r="A16344" s="76" t="s">
        <v>11757</v>
      </c>
    </row>
    <row r="16345" spans="1:1" x14ac:dyDescent="0.25">
      <c r="A16345" s="108" t="s">
        <v>11758</v>
      </c>
    </row>
    <row r="16346" spans="1:1" x14ac:dyDescent="0.25">
      <c r="A16346" s="76" t="s">
        <v>11759</v>
      </c>
    </row>
    <row r="16347" spans="1:1" x14ac:dyDescent="0.25">
      <c r="A16347" s="108" t="s">
        <v>11760</v>
      </c>
    </row>
    <row r="16348" spans="1:1" x14ac:dyDescent="0.25">
      <c r="A16348" s="76" t="s">
        <v>11761</v>
      </c>
    </row>
    <row r="16349" spans="1:1" x14ac:dyDescent="0.25">
      <c r="A16349" s="108" t="s">
        <v>11762</v>
      </c>
    </row>
    <row r="16350" spans="1:1" x14ac:dyDescent="0.25">
      <c r="A16350" s="76" t="s">
        <v>11763</v>
      </c>
    </row>
    <row r="16351" spans="1:1" x14ac:dyDescent="0.25">
      <c r="A16351" s="108" t="s">
        <v>11764</v>
      </c>
    </row>
    <row r="16352" spans="1:1" x14ac:dyDescent="0.25">
      <c r="A16352" s="76" t="s">
        <v>11765</v>
      </c>
    </row>
    <row r="16353" spans="1:1" x14ac:dyDescent="0.25">
      <c r="A16353" s="108" t="s">
        <v>11766</v>
      </c>
    </row>
    <row r="16354" spans="1:1" x14ac:dyDescent="0.25">
      <c r="A16354" s="76" t="s">
        <v>11767</v>
      </c>
    </row>
    <row r="16355" spans="1:1" x14ac:dyDescent="0.25">
      <c r="A16355" s="108" t="s">
        <v>11768</v>
      </c>
    </row>
    <row r="16356" spans="1:1" x14ac:dyDescent="0.25">
      <c r="A16356" s="76" t="s">
        <v>11769</v>
      </c>
    </row>
    <row r="16357" spans="1:1" x14ac:dyDescent="0.25">
      <c r="A16357" s="108" t="s">
        <v>11770</v>
      </c>
    </row>
    <row r="16358" spans="1:1" x14ac:dyDescent="0.25">
      <c r="A16358" s="76" t="s">
        <v>11771</v>
      </c>
    </row>
    <row r="16359" spans="1:1" x14ac:dyDescent="0.25">
      <c r="A16359" s="108" t="s">
        <v>11772</v>
      </c>
    </row>
    <row r="16360" spans="1:1" x14ac:dyDescent="0.25">
      <c r="A16360" s="76" t="s">
        <v>11773</v>
      </c>
    </row>
    <row r="16361" spans="1:1" x14ac:dyDescent="0.25">
      <c r="A16361" s="108" t="s">
        <v>11774</v>
      </c>
    </row>
    <row r="16362" spans="1:1" x14ac:dyDescent="0.25">
      <c r="A16362" s="76" t="s">
        <v>11775</v>
      </c>
    </row>
    <row r="16363" spans="1:1" x14ac:dyDescent="0.25">
      <c r="A16363" s="108" t="s">
        <v>11776</v>
      </c>
    </row>
    <row r="16364" spans="1:1" x14ac:dyDescent="0.25">
      <c r="A16364" s="76" t="s">
        <v>11777</v>
      </c>
    </row>
    <row r="16365" spans="1:1" x14ac:dyDescent="0.25">
      <c r="A16365" s="108" t="s">
        <v>11778</v>
      </c>
    </row>
    <row r="16366" spans="1:1" x14ac:dyDescent="0.25">
      <c r="A16366" s="76" t="s">
        <v>11779</v>
      </c>
    </row>
    <row r="16367" spans="1:1" x14ac:dyDescent="0.25">
      <c r="A16367" s="108" t="s">
        <v>11780</v>
      </c>
    </row>
    <row r="16368" spans="1:1" x14ac:dyDescent="0.25">
      <c r="A16368" s="76" t="s">
        <v>11781</v>
      </c>
    </row>
    <row r="16369" spans="1:1" x14ac:dyDescent="0.25">
      <c r="A16369" s="108" t="s">
        <v>11782</v>
      </c>
    </row>
    <row r="16370" spans="1:1" x14ac:dyDescent="0.25">
      <c r="A16370" s="76" t="s">
        <v>11783</v>
      </c>
    </row>
    <row r="16371" spans="1:1" x14ac:dyDescent="0.25">
      <c r="A16371" s="108" t="s">
        <v>11784</v>
      </c>
    </row>
    <row r="16372" spans="1:1" x14ac:dyDescent="0.25">
      <c r="A16372" s="76" t="s">
        <v>11785</v>
      </c>
    </row>
    <row r="16373" spans="1:1" x14ac:dyDescent="0.25">
      <c r="A16373" s="108" t="s">
        <v>11786</v>
      </c>
    </row>
    <row r="16374" spans="1:1" x14ac:dyDescent="0.25">
      <c r="A16374" s="76" t="s">
        <v>11787</v>
      </c>
    </row>
    <row r="16375" spans="1:1" x14ac:dyDescent="0.25">
      <c r="A16375" s="108" t="s">
        <v>11788</v>
      </c>
    </row>
    <row r="16376" spans="1:1" x14ac:dyDescent="0.25">
      <c r="A16376" s="76" t="s">
        <v>11789</v>
      </c>
    </row>
    <row r="16377" spans="1:1" x14ac:dyDescent="0.25">
      <c r="A16377" s="108" t="s">
        <v>11790</v>
      </c>
    </row>
    <row r="16378" spans="1:1" x14ac:dyDescent="0.25">
      <c r="A16378" s="76" t="s">
        <v>11791</v>
      </c>
    </row>
    <row r="16379" spans="1:1" x14ac:dyDescent="0.25">
      <c r="A16379" s="108" t="s">
        <v>11792</v>
      </c>
    </row>
    <row r="16380" spans="1:1" x14ac:dyDescent="0.25">
      <c r="A16380" s="76" t="s">
        <v>11793</v>
      </c>
    </row>
    <row r="16381" spans="1:1" x14ac:dyDescent="0.25">
      <c r="A16381" s="108" t="s">
        <v>11794</v>
      </c>
    </row>
    <row r="16382" spans="1:1" x14ac:dyDescent="0.25">
      <c r="A16382" s="76" t="s">
        <v>11795</v>
      </c>
    </row>
    <row r="16383" spans="1:1" x14ac:dyDescent="0.25">
      <c r="A16383" s="108" t="s">
        <v>11796</v>
      </c>
    </row>
    <row r="16384" spans="1:1" x14ac:dyDescent="0.25">
      <c r="A16384" s="76" t="s">
        <v>11797</v>
      </c>
    </row>
    <row r="16385" spans="1:1" x14ac:dyDescent="0.25">
      <c r="A16385" s="108" t="s">
        <v>11798</v>
      </c>
    </row>
    <row r="16386" spans="1:1" x14ac:dyDescent="0.25">
      <c r="A16386" s="76" t="s">
        <v>11799</v>
      </c>
    </row>
    <row r="16387" spans="1:1" x14ac:dyDescent="0.25">
      <c r="A16387" s="108" t="s">
        <v>11800</v>
      </c>
    </row>
    <row r="16388" spans="1:1" x14ac:dyDescent="0.25">
      <c r="A16388" s="76" t="s">
        <v>11801</v>
      </c>
    </row>
    <row r="16389" spans="1:1" x14ac:dyDescent="0.25">
      <c r="A16389" s="108" t="s">
        <v>11802</v>
      </c>
    </row>
    <row r="16390" spans="1:1" x14ac:dyDescent="0.25">
      <c r="A16390" s="76" t="s">
        <v>11803</v>
      </c>
    </row>
    <row r="16391" spans="1:1" x14ac:dyDescent="0.25">
      <c r="A16391" s="108" t="s">
        <v>11804</v>
      </c>
    </row>
    <row r="16392" spans="1:1" x14ac:dyDescent="0.25">
      <c r="A16392" s="76" t="s">
        <v>11805</v>
      </c>
    </row>
    <row r="16393" spans="1:1" x14ac:dyDescent="0.25">
      <c r="A16393" s="108" t="s">
        <v>11806</v>
      </c>
    </row>
    <row r="16394" spans="1:1" x14ac:dyDescent="0.25">
      <c r="A16394" s="76" t="s">
        <v>11807</v>
      </c>
    </row>
    <row r="16395" spans="1:1" x14ac:dyDescent="0.25">
      <c r="A16395" s="108" t="s">
        <v>11808</v>
      </c>
    </row>
    <row r="16396" spans="1:1" x14ac:dyDescent="0.25">
      <c r="A16396" s="76" t="s">
        <v>11809</v>
      </c>
    </row>
    <row r="16397" spans="1:1" x14ac:dyDescent="0.25">
      <c r="A16397" s="108" t="s">
        <v>11810</v>
      </c>
    </row>
    <row r="16398" spans="1:1" x14ac:dyDescent="0.25">
      <c r="A16398" s="76" t="s">
        <v>11811</v>
      </c>
    </row>
    <row r="16399" spans="1:1" x14ac:dyDescent="0.25">
      <c r="A16399" s="108" t="s">
        <v>11812</v>
      </c>
    </row>
    <row r="16400" spans="1:1" x14ac:dyDescent="0.25">
      <c r="A16400" s="76" t="s">
        <v>11813</v>
      </c>
    </row>
    <row r="16401" spans="1:1" x14ac:dyDescent="0.25">
      <c r="A16401" s="108" t="s">
        <v>11814</v>
      </c>
    </row>
    <row r="16402" spans="1:1" x14ac:dyDescent="0.25">
      <c r="A16402" s="76" t="s">
        <v>11815</v>
      </c>
    </row>
    <row r="16403" spans="1:1" x14ac:dyDescent="0.25">
      <c r="A16403" s="108" t="s">
        <v>11816</v>
      </c>
    </row>
    <row r="16404" spans="1:1" x14ac:dyDescent="0.25">
      <c r="A16404" s="76" t="s">
        <v>11817</v>
      </c>
    </row>
    <row r="16405" spans="1:1" x14ac:dyDescent="0.25">
      <c r="A16405" s="108" t="s">
        <v>11818</v>
      </c>
    </row>
    <row r="16406" spans="1:1" x14ac:dyDescent="0.25">
      <c r="A16406" s="76" t="s">
        <v>11819</v>
      </c>
    </row>
    <row r="16407" spans="1:1" x14ac:dyDescent="0.25">
      <c r="A16407" s="108" t="s">
        <v>11820</v>
      </c>
    </row>
    <row r="16408" spans="1:1" x14ac:dyDescent="0.25">
      <c r="A16408" s="76" t="s">
        <v>11821</v>
      </c>
    </row>
    <row r="16409" spans="1:1" x14ac:dyDescent="0.25">
      <c r="A16409" s="108" t="s">
        <v>11822</v>
      </c>
    </row>
    <row r="16410" spans="1:1" x14ac:dyDescent="0.25">
      <c r="A16410" s="76" t="s">
        <v>11823</v>
      </c>
    </row>
    <row r="16411" spans="1:1" x14ac:dyDescent="0.25">
      <c r="A16411" s="108" t="s">
        <v>11824</v>
      </c>
    </row>
    <row r="16412" spans="1:1" x14ac:dyDescent="0.25">
      <c r="A16412" s="76" t="s">
        <v>11825</v>
      </c>
    </row>
    <row r="16413" spans="1:1" x14ac:dyDescent="0.25">
      <c r="A16413" s="108" t="s">
        <v>11826</v>
      </c>
    </row>
    <row r="16414" spans="1:1" x14ac:dyDescent="0.25">
      <c r="A16414" s="76" t="s">
        <v>11827</v>
      </c>
    </row>
    <row r="16415" spans="1:1" x14ac:dyDescent="0.25">
      <c r="A16415" s="108" t="s">
        <v>11828</v>
      </c>
    </row>
    <row r="16416" spans="1:1" x14ac:dyDescent="0.25">
      <c r="A16416" s="76" t="s">
        <v>11829</v>
      </c>
    </row>
    <row r="16417" spans="1:1" x14ac:dyDescent="0.25">
      <c r="A16417" s="108" t="s">
        <v>11830</v>
      </c>
    </row>
    <row r="16418" spans="1:1" x14ac:dyDescent="0.25">
      <c r="A16418" s="76" t="s">
        <v>11831</v>
      </c>
    </row>
    <row r="16419" spans="1:1" x14ac:dyDescent="0.25">
      <c r="A16419" s="108" t="s">
        <v>11832</v>
      </c>
    </row>
    <row r="16420" spans="1:1" x14ac:dyDescent="0.25">
      <c r="A16420" s="76" t="s">
        <v>11833</v>
      </c>
    </row>
    <row r="16421" spans="1:1" x14ac:dyDescent="0.25">
      <c r="A16421" s="108" t="s">
        <v>11834</v>
      </c>
    </row>
    <row r="16422" spans="1:1" x14ac:dyDescent="0.25">
      <c r="A16422" s="76" t="s">
        <v>11835</v>
      </c>
    </row>
    <row r="16423" spans="1:1" x14ac:dyDescent="0.25">
      <c r="A16423" s="108" t="s">
        <v>11836</v>
      </c>
    </row>
    <row r="16424" spans="1:1" x14ac:dyDescent="0.25">
      <c r="A16424" s="76" t="s">
        <v>11837</v>
      </c>
    </row>
    <row r="16425" spans="1:1" x14ac:dyDescent="0.25">
      <c r="A16425" s="108" t="s">
        <v>11838</v>
      </c>
    </row>
    <row r="16426" spans="1:1" x14ac:dyDescent="0.25">
      <c r="A16426" s="76" t="s">
        <v>11839</v>
      </c>
    </row>
    <row r="16427" spans="1:1" x14ac:dyDescent="0.25">
      <c r="A16427" s="108" t="s">
        <v>11840</v>
      </c>
    </row>
    <row r="16428" spans="1:1" x14ac:dyDescent="0.25">
      <c r="A16428" s="76" t="s">
        <v>11841</v>
      </c>
    </row>
    <row r="16429" spans="1:1" x14ac:dyDescent="0.25">
      <c r="A16429" s="108" t="s">
        <v>11842</v>
      </c>
    </row>
    <row r="16430" spans="1:1" x14ac:dyDescent="0.25">
      <c r="A16430" s="76" t="s">
        <v>11843</v>
      </c>
    </row>
    <row r="16431" spans="1:1" x14ac:dyDescent="0.25">
      <c r="A16431" s="108" t="s">
        <v>11844</v>
      </c>
    </row>
    <row r="16432" spans="1:1" x14ac:dyDescent="0.25">
      <c r="A16432" s="76" t="s">
        <v>11845</v>
      </c>
    </row>
    <row r="16433" spans="1:1" x14ac:dyDescent="0.25">
      <c r="A16433" s="108" t="s">
        <v>11846</v>
      </c>
    </row>
    <row r="16434" spans="1:1" x14ac:dyDescent="0.25">
      <c r="A16434" s="76" t="s">
        <v>11847</v>
      </c>
    </row>
    <row r="16435" spans="1:1" x14ac:dyDescent="0.25">
      <c r="A16435" s="108" t="s">
        <v>11848</v>
      </c>
    </row>
    <row r="16436" spans="1:1" x14ac:dyDescent="0.25">
      <c r="A16436" s="76" t="s">
        <v>11849</v>
      </c>
    </row>
    <row r="16437" spans="1:1" x14ac:dyDescent="0.25">
      <c r="A16437" s="108" t="s">
        <v>11850</v>
      </c>
    </row>
    <row r="16438" spans="1:1" x14ac:dyDescent="0.25">
      <c r="A16438" s="76" t="s">
        <v>11851</v>
      </c>
    </row>
    <row r="16439" spans="1:1" x14ac:dyDescent="0.25">
      <c r="A16439" s="108" t="s">
        <v>11852</v>
      </c>
    </row>
    <row r="16440" spans="1:1" x14ac:dyDescent="0.25">
      <c r="A16440" s="76" t="s">
        <v>11853</v>
      </c>
    </row>
    <row r="16441" spans="1:1" x14ac:dyDescent="0.25">
      <c r="A16441" s="108" t="s">
        <v>11854</v>
      </c>
    </row>
    <row r="16442" spans="1:1" x14ac:dyDescent="0.25">
      <c r="A16442" s="76" t="s">
        <v>11855</v>
      </c>
    </row>
    <row r="16443" spans="1:1" x14ac:dyDescent="0.25">
      <c r="A16443" s="108" t="s">
        <v>11856</v>
      </c>
    </row>
    <row r="16444" spans="1:1" x14ac:dyDescent="0.25">
      <c r="A16444" s="76" t="s">
        <v>11857</v>
      </c>
    </row>
    <row r="16445" spans="1:1" x14ac:dyDescent="0.25">
      <c r="A16445" s="108" t="s">
        <v>11858</v>
      </c>
    </row>
    <row r="16446" spans="1:1" x14ac:dyDescent="0.25">
      <c r="A16446" s="76" t="s">
        <v>11859</v>
      </c>
    </row>
    <row r="16447" spans="1:1" x14ac:dyDescent="0.25">
      <c r="A16447" s="108" t="s">
        <v>11860</v>
      </c>
    </row>
    <row r="16448" spans="1:1" x14ac:dyDescent="0.25">
      <c r="A16448" s="76" t="s">
        <v>11861</v>
      </c>
    </row>
    <row r="16449" spans="1:1" x14ac:dyDescent="0.25">
      <c r="A16449" s="108" t="s">
        <v>11862</v>
      </c>
    </row>
    <row r="16450" spans="1:1" x14ac:dyDescent="0.25">
      <c r="A16450" s="76" t="s">
        <v>11863</v>
      </c>
    </row>
    <row r="16451" spans="1:1" x14ac:dyDescent="0.25">
      <c r="A16451" s="108" t="s">
        <v>11864</v>
      </c>
    </row>
    <row r="16452" spans="1:1" x14ac:dyDescent="0.25">
      <c r="A16452" s="76" t="s">
        <v>11865</v>
      </c>
    </row>
    <row r="16453" spans="1:1" x14ac:dyDescent="0.25">
      <c r="A16453" s="108" t="s">
        <v>11866</v>
      </c>
    </row>
    <row r="16454" spans="1:1" x14ac:dyDescent="0.25">
      <c r="A16454" s="76" t="s">
        <v>11867</v>
      </c>
    </row>
    <row r="16455" spans="1:1" x14ac:dyDescent="0.25">
      <c r="A16455" s="108" t="s">
        <v>11868</v>
      </c>
    </row>
    <row r="16456" spans="1:1" x14ac:dyDescent="0.25">
      <c r="A16456" s="76" t="s">
        <v>11869</v>
      </c>
    </row>
    <row r="16457" spans="1:1" x14ac:dyDescent="0.25">
      <c r="A16457" s="108" t="s">
        <v>11870</v>
      </c>
    </row>
    <row r="16458" spans="1:1" x14ac:dyDescent="0.25">
      <c r="A16458" s="76" t="s">
        <v>11871</v>
      </c>
    </row>
    <row r="16459" spans="1:1" x14ac:dyDescent="0.25">
      <c r="A16459" s="108" t="s">
        <v>11872</v>
      </c>
    </row>
    <row r="16460" spans="1:1" x14ac:dyDescent="0.25">
      <c r="A16460" s="76" t="s">
        <v>11873</v>
      </c>
    </row>
    <row r="16461" spans="1:1" x14ac:dyDescent="0.25">
      <c r="A16461" s="108" t="s">
        <v>11874</v>
      </c>
    </row>
    <row r="16462" spans="1:1" x14ac:dyDescent="0.25">
      <c r="A16462" s="76" t="s">
        <v>11875</v>
      </c>
    </row>
    <row r="16463" spans="1:1" x14ac:dyDescent="0.25">
      <c r="A16463" s="108" t="s">
        <v>11876</v>
      </c>
    </row>
    <row r="16464" spans="1:1" x14ac:dyDescent="0.25">
      <c r="A16464" s="76" t="s">
        <v>11877</v>
      </c>
    </row>
    <row r="16465" spans="1:1" x14ac:dyDescent="0.25">
      <c r="A16465" s="108" t="s">
        <v>11878</v>
      </c>
    </row>
    <row r="16466" spans="1:1" x14ac:dyDescent="0.25">
      <c r="A16466" s="76" t="s">
        <v>11879</v>
      </c>
    </row>
    <row r="16467" spans="1:1" x14ac:dyDescent="0.25">
      <c r="A16467" s="108" t="s">
        <v>11880</v>
      </c>
    </row>
    <row r="16468" spans="1:1" x14ac:dyDescent="0.25">
      <c r="A16468" s="76" t="s">
        <v>11881</v>
      </c>
    </row>
    <row r="16469" spans="1:1" x14ac:dyDescent="0.25">
      <c r="A16469" s="108" t="s">
        <v>11882</v>
      </c>
    </row>
    <row r="16470" spans="1:1" x14ac:dyDescent="0.25">
      <c r="A16470" s="76" t="s">
        <v>11883</v>
      </c>
    </row>
    <row r="16471" spans="1:1" x14ac:dyDescent="0.25">
      <c r="A16471" s="108" t="s">
        <v>11884</v>
      </c>
    </row>
    <row r="16472" spans="1:1" x14ac:dyDescent="0.25">
      <c r="A16472" s="76" t="s">
        <v>11885</v>
      </c>
    </row>
    <row r="16473" spans="1:1" x14ac:dyDescent="0.25">
      <c r="A16473" s="108" t="s">
        <v>11886</v>
      </c>
    </row>
    <row r="16474" spans="1:1" x14ac:dyDescent="0.25">
      <c r="A16474" s="76" t="s">
        <v>11887</v>
      </c>
    </row>
    <row r="16475" spans="1:1" x14ac:dyDescent="0.25">
      <c r="A16475" s="108" t="s">
        <v>11888</v>
      </c>
    </row>
    <row r="16476" spans="1:1" x14ac:dyDescent="0.25">
      <c r="A16476" s="76" t="s">
        <v>11889</v>
      </c>
    </row>
    <row r="16477" spans="1:1" x14ac:dyDescent="0.25">
      <c r="A16477" s="108" t="s">
        <v>11890</v>
      </c>
    </row>
    <row r="16478" spans="1:1" x14ac:dyDescent="0.25">
      <c r="A16478" s="76" t="s">
        <v>11891</v>
      </c>
    </row>
    <row r="16479" spans="1:1" x14ac:dyDescent="0.25">
      <c r="A16479" s="108" t="s">
        <v>11892</v>
      </c>
    </row>
    <row r="16480" spans="1:1" x14ac:dyDescent="0.25">
      <c r="A16480" s="76" t="s">
        <v>11893</v>
      </c>
    </row>
    <row r="16481" spans="1:1" x14ac:dyDescent="0.25">
      <c r="A16481" s="108" t="s">
        <v>11894</v>
      </c>
    </row>
    <row r="16482" spans="1:1" x14ac:dyDescent="0.25">
      <c r="A16482" s="76" t="s">
        <v>11895</v>
      </c>
    </row>
    <row r="16483" spans="1:1" x14ac:dyDescent="0.25">
      <c r="A16483" s="108" t="s">
        <v>11896</v>
      </c>
    </row>
    <row r="16484" spans="1:1" x14ac:dyDescent="0.25">
      <c r="A16484" s="76" t="s">
        <v>11897</v>
      </c>
    </row>
    <row r="16485" spans="1:1" x14ac:dyDescent="0.25">
      <c r="A16485" s="108" t="s">
        <v>11898</v>
      </c>
    </row>
    <row r="16486" spans="1:1" x14ac:dyDescent="0.25">
      <c r="A16486" s="76" t="s">
        <v>11899</v>
      </c>
    </row>
    <row r="16487" spans="1:1" x14ac:dyDescent="0.25">
      <c r="A16487" s="108" t="s">
        <v>11900</v>
      </c>
    </row>
    <row r="16488" spans="1:1" x14ac:dyDescent="0.25">
      <c r="A16488" s="76" t="s">
        <v>11901</v>
      </c>
    </row>
    <row r="16489" spans="1:1" x14ac:dyDescent="0.25">
      <c r="A16489" s="108" t="s">
        <v>11902</v>
      </c>
    </row>
    <row r="16490" spans="1:1" x14ac:dyDescent="0.25">
      <c r="A16490" s="76" t="s">
        <v>11903</v>
      </c>
    </row>
    <row r="16491" spans="1:1" x14ac:dyDescent="0.25">
      <c r="A16491" s="108" t="s">
        <v>11904</v>
      </c>
    </row>
    <row r="16492" spans="1:1" x14ac:dyDescent="0.25">
      <c r="A16492" s="76" t="s">
        <v>11905</v>
      </c>
    </row>
    <row r="16493" spans="1:1" x14ac:dyDescent="0.25">
      <c r="A16493" s="108" t="s">
        <v>11906</v>
      </c>
    </row>
    <row r="16494" spans="1:1" x14ac:dyDescent="0.25">
      <c r="A16494" s="76" t="s">
        <v>11907</v>
      </c>
    </row>
    <row r="16495" spans="1:1" x14ac:dyDescent="0.25">
      <c r="A16495" s="108" t="s">
        <v>11908</v>
      </c>
    </row>
    <row r="16496" spans="1:1" x14ac:dyDescent="0.25">
      <c r="A16496" s="76" t="s">
        <v>11909</v>
      </c>
    </row>
    <row r="16497" spans="1:1" x14ac:dyDescent="0.25">
      <c r="A16497" s="108" t="s">
        <v>11910</v>
      </c>
    </row>
    <row r="16498" spans="1:1" x14ac:dyDescent="0.25">
      <c r="A16498" s="76" t="s">
        <v>11911</v>
      </c>
    </row>
    <row r="16499" spans="1:1" x14ac:dyDescent="0.25">
      <c r="A16499" s="108" t="s">
        <v>11912</v>
      </c>
    </row>
    <row r="16500" spans="1:1" x14ac:dyDescent="0.25">
      <c r="A16500" s="76" t="s">
        <v>11913</v>
      </c>
    </row>
    <row r="16501" spans="1:1" x14ac:dyDescent="0.25">
      <c r="A16501" s="108" t="s">
        <v>11914</v>
      </c>
    </row>
    <row r="16502" spans="1:1" x14ac:dyDescent="0.25">
      <c r="A16502" s="76" t="s">
        <v>11915</v>
      </c>
    </row>
    <row r="16503" spans="1:1" x14ac:dyDescent="0.25">
      <c r="A16503" s="108" t="s">
        <v>11916</v>
      </c>
    </row>
    <row r="16504" spans="1:1" x14ac:dyDescent="0.25">
      <c r="A16504" s="76" t="s">
        <v>11917</v>
      </c>
    </row>
    <row r="16505" spans="1:1" x14ac:dyDescent="0.25">
      <c r="A16505" s="108" t="s">
        <v>11918</v>
      </c>
    </row>
    <row r="16506" spans="1:1" x14ac:dyDescent="0.25">
      <c r="A16506" s="76" t="s">
        <v>11919</v>
      </c>
    </row>
    <row r="16507" spans="1:1" x14ac:dyDescent="0.25">
      <c r="A16507" s="108" t="s">
        <v>11920</v>
      </c>
    </row>
    <row r="16508" spans="1:1" x14ac:dyDescent="0.25">
      <c r="A16508" s="76" t="s">
        <v>11921</v>
      </c>
    </row>
    <row r="16509" spans="1:1" x14ac:dyDescent="0.25">
      <c r="A16509" s="108" t="s">
        <v>11922</v>
      </c>
    </row>
    <row r="16510" spans="1:1" x14ac:dyDescent="0.25">
      <c r="A16510" s="76" t="s">
        <v>11923</v>
      </c>
    </row>
    <row r="16511" spans="1:1" x14ac:dyDescent="0.25">
      <c r="A16511" s="108" t="s">
        <v>11924</v>
      </c>
    </row>
    <row r="16512" spans="1:1" x14ac:dyDescent="0.25">
      <c r="A16512" s="76" t="s">
        <v>11925</v>
      </c>
    </row>
    <row r="16513" spans="1:1" x14ac:dyDescent="0.25">
      <c r="A16513" s="108" t="s">
        <v>11926</v>
      </c>
    </row>
    <row r="16514" spans="1:1" x14ac:dyDescent="0.25">
      <c r="A16514" s="76" t="s">
        <v>11927</v>
      </c>
    </row>
    <row r="16515" spans="1:1" x14ac:dyDescent="0.25">
      <c r="A16515" s="108" t="s">
        <v>11928</v>
      </c>
    </row>
    <row r="16516" spans="1:1" x14ac:dyDescent="0.25">
      <c r="A16516" s="76" t="s">
        <v>11929</v>
      </c>
    </row>
    <row r="16517" spans="1:1" x14ac:dyDescent="0.25">
      <c r="A16517" s="108" t="s">
        <v>11930</v>
      </c>
    </row>
    <row r="16518" spans="1:1" x14ac:dyDescent="0.25">
      <c r="A16518" s="76" t="s">
        <v>11931</v>
      </c>
    </row>
    <row r="16519" spans="1:1" x14ac:dyDescent="0.25">
      <c r="A16519" s="108" t="s">
        <v>11932</v>
      </c>
    </row>
    <row r="16520" spans="1:1" x14ac:dyDescent="0.25">
      <c r="A16520" s="76" t="s">
        <v>11933</v>
      </c>
    </row>
    <row r="16521" spans="1:1" x14ac:dyDescent="0.25">
      <c r="A16521" s="108" t="s">
        <v>11934</v>
      </c>
    </row>
    <row r="16522" spans="1:1" x14ac:dyDescent="0.25">
      <c r="A16522" s="76" t="s">
        <v>11935</v>
      </c>
    </row>
    <row r="16523" spans="1:1" x14ac:dyDescent="0.25">
      <c r="A16523" s="108" t="s">
        <v>11936</v>
      </c>
    </row>
    <row r="16524" spans="1:1" x14ac:dyDescent="0.25">
      <c r="A16524" s="76" t="s">
        <v>11937</v>
      </c>
    </row>
    <row r="16525" spans="1:1" x14ac:dyDescent="0.25">
      <c r="A16525" s="108" t="s">
        <v>11938</v>
      </c>
    </row>
    <row r="16526" spans="1:1" x14ac:dyDescent="0.25">
      <c r="A16526" s="76" t="s">
        <v>11939</v>
      </c>
    </row>
    <row r="16527" spans="1:1" x14ac:dyDescent="0.25">
      <c r="A16527" s="108" t="s">
        <v>11940</v>
      </c>
    </row>
    <row r="16528" spans="1:1" x14ac:dyDescent="0.25">
      <c r="A16528" s="76" t="s">
        <v>11941</v>
      </c>
    </row>
    <row r="16529" spans="1:1" x14ac:dyDescent="0.25">
      <c r="A16529" s="108" t="s">
        <v>11942</v>
      </c>
    </row>
    <row r="16530" spans="1:1" x14ac:dyDescent="0.25">
      <c r="A16530" s="76" t="s">
        <v>11943</v>
      </c>
    </row>
    <row r="16531" spans="1:1" x14ac:dyDescent="0.25">
      <c r="A16531" s="108" t="s">
        <v>11944</v>
      </c>
    </row>
    <row r="16532" spans="1:1" x14ac:dyDescent="0.25">
      <c r="A16532" s="76" t="s">
        <v>11945</v>
      </c>
    </row>
    <row r="16533" spans="1:1" x14ac:dyDescent="0.25">
      <c r="A16533" s="108" t="s">
        <v>11946</v>
      </c>
    </row>
    <row r="16534" spans="1:1" x14ac:dyDescent="0.25">
      <c r="A16534" s="76" t="s">
        <v>11947</v>
      </c>
    </row>
    <row r="16535" spans="1:1" x14ac:dyDescent="0.25">
      <c r="A16535" s="108" t="s">
        <v>11948</v>
      </c>
    </row>
    <row r="16536" spans="1:1" x14ac:dyDescent="0.25">
      <c r="A16536" s="76" t="s">
        <v>11949</v>
      </c>
    </row>
    <row r="16537" spans="1:1" x14ac:dyDescent="0.25">
      <c r="A16537" s="108" t="s">
        <v>11950</v>
      </c>
    </row>
    <row r="16538" spans="1:1" x14ac:dyDescent="0.25">
      <c r="A16538" s="76" t="s">
        <v>11951</v>
      </c>
    </row>
    <row r="16539" spans="1:1" x14ac:dyDescent="0.25">
      <c r="A16539" s="108" t="s">
        <v>11952</v>
      </c>
    </row>
    <row r="16540" spans="1:1" x14ac:dyDescent="0.25">
      <c r="A16540" s="76" t="s">
        <v>11953</v>
      </c>
    </row>
    <row r="16541" spans="1:1" x14ac:dyDescent="0.25">
      <c r="A16541" s="108" t="s">
        <v>11954</v>
      </c>
    </row>
    <row r="16542" spans="1:1" x14ac:dyDescent="0.25">
      <c r="A16542" s="76" t="s">
        <v>11955</v>
      </c>
    </row>
    <row r="16543" spans="1:1" x14ac:dyDescent="0.25">
      <c r="A16543" s="108" t="s">
        <v>11956</v>
      </c>
    </row>
    <row r="16544" spans="1:1" x14ac:dyDescent="0.25">
      <c r="A16544" s="76" t="s">
        <v>11957</v>
      </c>
    </row>
    <row r="16545" spans="1:1" x14ac:dyDescent="0.25">
      <c r="A16545" s="108" t="s">
        <v>11958</v>
      </c>
    </row>
    <row r="16546" spans="1:1" x14ac:dyDescent="0.25">
      <c r="A16546" s="76" t="s">
        <v>11959</v>
      </c>
    </row>
    <row r="16547" spans="1:1" x14ac:dyDescent="0.25">
      <c r="A16547" s="108" t="s">
        <v>11960</v>
      </c>
    </row>
    <row r="16548" spans="1:1" x14ac:dyDescent="0.25">
      <c r="A16548" s="76" t="s">
        <v>11961</v>
      </c>
    </row>
    <row r="16549" spans="1:1" x14ac:dyDescent="0.25">
      <c r="A16549" s="108" t="s">
        <v>11962</v>
      </c>
    </row>
    <row r="16550" spans="1:1" x14ac:dyDescent="0.25">
      <c r="A16550" s="76" t="s">
        <v>11963</v>
      </c>
    </row>
    <row r="16551" spans="1:1" x14ac:dyDescent="0.25">
      <c r="A16551" s="108" t="s">
        <v>11964</v>
      </c>
    </row>
    <row r="16552" spans="1:1" x14ac:dyDescent="0.25">
      <c r="A16552" s="76" t="s">
        <v>11965</v>
      </c>
    </row>
    <row r="16553" spans="1:1" x14ac:dyDescent="0.25">
      <c r="A16553" s="108" t="s">
        <v>11966</v>
      </c>
    </row>
    <row r="16554" spans="1:1" x14ac:dyDescent="0.25">
      <c r="A16554" s="76" t="s">
        <v>11967</v>
      </c>
    </row>
    <row r="16555" spans="1:1" x14ac:dyDescent="0.25">
      <c r="A16555" s="108" t="s">
        <v>11968</v>
      </c>
    </row>
    <row r="16556" spans="1:1" x14ac:dyDescent="0.25">
      <c r="A16556" s="76" t="s">
        <v>11969</v>
      </c>
    </row>
    <row r="16557" spans="1:1" x14ac:dyDescent="0.25">
      <c r="A16557" s="108" t="s">
        <v>11970</v>
      </c>
    </row>
    <row r="16558" spans="1:1" x14ac:dyDescent="0.25">
      <c r="A16558" s="76" t="s">
        <v>11971</v>
      </c>
    </row>
    <row r="16559" spans="1:1" x14ac:dyDescent="0.25">
      <c r="A16559" s="108" t="s">
        <v>11972</v>
      </c>
    </row>
    <row r="16560" spans="1:1" x14ac:dyDescent="0.25">
      <c r="A16560" s="76" t="s">
        <v>11973</v>
      </c>
    </row>
    <row r="16561" spans="1:1" x14ac:dyDescent="0.25">
      <c r="A16561" s="108" t="s">
        <v>11974</v>
      </c>
    </row>
    <row r="16562" spans="1:1" x14ac:dyDescent="0.25">
      <c r="A16562" s="76" t="s">
        <v>11975</v>
      </c>
    </row>
    <row r="16563" spans="1:1" x14ac:dyDescent="0.25">
      <c r="A16563" s="108" t="s">
        <v>11976</v>
      </c>
    </row>
    <row r="16564" spans="1:1" x14ac:dyDescent="0.25">
      <c r="A16564" s="76" t="s">
        <v>11977</v>
      </c>
    </row>
    <row r="16565" spans="1:1" x14ac:dyDescent="0.25">
      <c r="A16565" s="108" t="s">
        <v>11978</v>
      </c>
    </row>
    <row r="16566" spans="1:1" x14ac:dyDescent="0.25">
      <c r="A16566" s="76" t="s">
        <v>11979</v>
      </c>
    </row>
    <row r="16567" spans="1:1" x14ac:dyDescent="0.25">
      <c r="A16567" s="108" t="s">
        <v>11980</v>
      </c>
    </row>
    <row r="16568" spans="1:1" x14ac:dyDescent="0.25">
      <c r="A16568" s="76" t="s">
        <v>11981</v>
      </c>
    </row>
    <row r="16569" spans="1:1" x14ac:dyDescent="0.25">
      <c r="A16569" s="108" t="s">
        <v>11982</v>
      </c>
    </row>
    <row r="16570" spans="1:1" x14ac:dyDescent="0.25">
      <c r="A16570" s="76" t="s">
        <v>11983</v>
      </c>
    </row>
    <row r="16571" spans="1:1" x14ac:dyDescent="0.25">
      <c r="A16571" s="108" t="s">
        <v>11984</v>
      </c>
    </row>
    <row r="16572" spans="1:1" x14ac:dyDescent="0.25">
      <c r="A16572" s="76" t="s">
        <v>11985</v>
      </c>
    </row>
    <row r="16573" spans="1:1" x14ac:dyDescent="0.25">
      <c r="A16573" s="108" t="s">
        <v>11986</v>
      </c>
    </row>
    <row r="16574" spans="1:1" x14ac:dyDescent="0.25">
      <c r="A16574" s="76" t="s">
        <v>11987</v>
      </c>
    </row>
    <row r="16575" spans="1:1" x14ac:dyDescent="0.25">
      <c r="A16575" s="108" t="s">
        <v>11988</v>
      </c>
    </row>
    <row r="16576" spans="1:1" x14ac:dyDescent="0.25">
      <c r="A16576" s="76" t="s">
        <v>11989</v>
      </c>
    </row>
    <row r="16577" spans="1:1" x14ac:dyDescent="0.25">
      <c r="A16577" s="108" t="s">
        <v>11990</v>
      </c>
    </row>
    <row r="16578" spans="1:1" x14ac:dyDescent="0.25">
      <c r="A16578" s="76" t="s">
        <v>11991</v>
      </c>
    </row>
    <row r="16579" spans="1:1" x14ac:dyDescent="0.25">
      <c r="A16579" s="108" t="s">
        <v>11992</v>
      </c>
    </row>
    <row r="16580" spans="1:1" x14ac:dyDescent="0.25">
      <c r="A16580" s="76" t="s">
        <v>11993</v>
      </c>
    </row>
    <row r="16581" spans="1:1" x14ac:dyDescent="0.25">
      <c r="A16581" s="108" t="s">
        <v>11994</v>
      </c>
    </row>
    <row r="16582" spans="1:1" x14ac:dyDescent="0.25">
      <c r="A16582" s="76" t="s">
        <v>11995</v>
      </c>
    </row>
    <row r="16583" spans="1:1" x14ac:dyDescent="0.25">
      <c r="A16583" s="108" t="s">
        <v>11996</v>
      </c>
    </row>
    <row r="16584" spans="1:1" x14ac:dyDescent="0.25">
      <c r="A16584" s="76" t="s">
        <v>11997</v>
      </c>
    </row>
    <row r="16585" spans="1:1" x14ac:dyDescent="0.25">
      <c r="A16585" s="108" t="s">
        <v>11998</v>
      </c>
    </row>
    <row r="16586" spans="1:1" x14ac:dyDescent="0.25">
      <c r="A16586" s="76" t="s">
        <v>11999</v>
      </c>
    </row>
    <row r="16587" spans="1:1" x14ac:dyDescent="0.25">
      <c r="A16587" s="108" t="s">
        <v>12000</v>
      </c>
    </row>
    <row r="16588" spans="1:1" x14ac:dyDescent="0.25">
      <c r="A16588" s="76" t="s">
        <v>12001</v>
      </c>
    </row>
    <row r="16589" spans="1:1" x14ac:dyDescent="0.25">
      <c r="A16589" s="108" t="s">
        <v>12002</v>
      </c>
    </row>
    <row r="16590" spans="1:1" x14ac:dyDescent="0.25">
      <c r="A16590" s="76" t="s">
        <v>12003</v>
      </c>
    </row>
    <row r="16591" spans="1:1" x14ac:dyDescent="0.25">
      <c r="A16591" s="108" t="s">
        <v>12004</v>
      </c>
    </row>
    <row r="16592" spans="1:1" x14ac:dyDescent="0.25">
      <c r="A16592" s="76" t="s">
        <v>12005</v>
      </c>
    </row>
    <row r="16593" spans="1:1" x14ac:dyDescent="0.25">
      <c r="A16593" s="108" t="s">
        <v>12006</v>
      </c>
    </row>
    <row r="16594" spans="1:1" x14ac:dyDescent="0.25">
      <c r="A16594" s="76" t="s">
        <v>12007</v>
      </c>
    </row>
    <row r="16595" spans="1:1" x14ac:dyDescent="0.25">
      <c r="A16595" s="108" t="s">
        <v>12008</v>
      </c>
    </row>
    <row r="16596" spans="1:1" x14ac:dyDescent="0.25">
      <c r="A16596" s="76" t="s">
        <v>12009</v>
      </c>
    </row>
    <row r="16597" spans="1:1" x14ac:dyDescent="0.25">
      <c r="A16597" s="108" t="s">
        <v>12010</v>
      </c>
    </row>
    <row r="16598" spans="1:1" x14ac:dyDescent="0.25">
      <c r="A16598" s="76" t="s">
        <v>12011</v>
      </c>
    </row>
    <row r="16599" spans="1:1" x14ac:dyDescent="0.25">
      <c r="A16599" s="108" t="s">
        <v>12012</v>
      </c>
    </row>
    <row r="16600" spans="1:1" x14ac:dyDescent="0.25">
      <c r="A16600" s="76" t="s">
        <v>12013</v>
      </c>
    </row>
    <row r="16601" spans="1:1" x14ac:dyDescent="0.25">
      <c r="A16601" s="108" t="s">
        <v>12014</v>
      </c>
    </row>
    <row r="16602" spans="1:1" x14ac:dyDescent="0.25">
      <c r="A16602" s="76" t="s">
        <v>12015</v>
      </c>
    </row>
    <row r="16603" spans="1:1" x14ac:dyDescent="0.25">
      <c r="A16603" s="108" t="s">
        <v>12016</v>
      </c>
    </row>
    <row r="16604" spans="1:1" x14ac:dyDescent="0.25">
      <c r="A16604" s="76" t="s">
        <v>12017</v>
      </c>
    </row>
    <row r="16605" spans="1:1" x14ac:dyDescent="0.25">
      <c r="A16605" s="108" t="s">
        <v>12018</v>
      </c>
    </row>
    <row r="16606" spans="1:1" x14ac:dyDescent="0.25">
      <c r="A16606" s="76" t="s">
        <v>12019</v>
      </c>
    </row>
    <row r="16607" spans="1:1" x14ac:dyDescent="0.25">
      <c r="A16607" s="108" t="s">
        <v>12020</v>
      </c>
    </row>
    <row r="16608" spans="1:1" x14ac:dyDescent="0.25">
      <c r="A16608" s="76" t="s">
        <v>12021</v>
      </c>
    </row>
    <row r="16609" spans="1:1" x14ac:dyDescent="0.25">
      <c r="A16609" s="108" t="s">
        <v>12022</v>
      </c>
    </row>
    <row r="16610" spans="1:1" x14ac:dyDescent="0.25">
      <c r="A16610" s="76" t="s">
        <v>12023</v>
      </c>
    </row>
    <row r="16611" spans="1:1" x14ac:dyDescent="0.25">
      <c r="A16611" s="108" t="s">
        <v>12024</v>
      </c>
    </row>
    <row r="16612" spans="1:1" x14ac:dyDescent="0.25">
      <c r="A16612" s="76" t="s">
        <v>12025</v>
      </c>
    </row>
    <row r="16613" spans="1:1" x14ac:dyDescent="0.25">
      <c r="A16613" s="108" t="s">
        <v>12026</v>
      </c>
    </row>
    <row r="16614" spans="1:1" x14ac:dyDescent="0.25">
      <c r="A16614" s="76" t="s">
        <v>12027</v>
      </c>
    </row>
    <row r="16615" spans="1:1" x14ac:dyDescent="0.25">
      <c r="A16615" s="108" t="s">
        <v>12028</v>
      </c>
    </row>
    <row r="16616" spans="1:1" x14ac:dyDescent="0.25">
      <c r="A16616" s="76" t="s">
        <v>12029</v>
      </c>
    </row>
    <row r="16617" spans="1:1" x14ac:dyDescent="0.25">
      <c r="A16617" s="108" t="s">
        <v>12030</v>
      </c>
    </row>
    <row r="16618" spans="1:1" x14ac:dyDescent="0.25">
      <c r="A16618" s="76" t="s">
        <v>12031</v>
      </c>
    </row>
    <row r="16619" spans="1:1" x14ac:dyDescent="0.25">
      <c r="A16619" s="108" t="s">
        <v>12032</v>
      </c>
    </row>
    <row r="16620" spans="1:1" x14ac:dyDescent="0.25">
      <c r="A16620" s="76" t="s">
        <v>12033</v>
      </c>
    </row>
    <row r="16621" spans="1:1" x14ac:dyDescent="0.25">
      <c r="A16621" s="108" t="s">
        <v>12034</v>
      </c>
    </row>
    <row r="16622" spans="1:1" x14ac:dyDescent="0.25">
      <c r="A16622" s="76" t="s">
        <v>12035</v>
      </c>
    </row>
    <row r="16623" spans="1:1" x14ac:dyDescent="0.25">
      <c r="A16623" s="108" t="s">
        <v>12036</v>
      </c>
    </row>
    <row r="16624" spans="1:1" x14ac:dyDescent="0.25">
      <c r="A16624" s="76" t="s">
        <v>12037</v>
      </c>
    </row>
    <row r="16625" spans="1:1" x14ac:dyDescent="0.25">
      <c r="A16625" s="108" t="s">
        <v>12038</v>
      </c>
    </row>
    <row r="16626" spans="1:1" x14ac:dyDescent="0.25">
      <c r="A16626" s="76" t="s">
        <v>12039</v>
      </c>
    </row>
    <row r="16627" spans="1:1" x14ac:dyDescent="0.25">
      <c r="A16627" s="108" t="s">
        <v>12040</v>
      </c>
    </row>
    <row r="16628" spans="1:1" x14ac:dyDescent="0.25">
      <c r="A16628" s="76" t="s">
        <v>12041</v>
      </c>
    </row>
    <row r="16629" spans="1:1" x14ac:dyDescent="0.25">
      <c r="A16629" s="108" t="s">
        <v>12042</v>
      </c>
    </row>
    <row r="16630" spans="1:1" x14ac:dyDescent="0.25">
      <c r="A16630" s="76" t="s">
        <v>12043</v>
      </c>
    </row>
    <row r="16631" spans="1:1" x14ac:dyDescent="0.25">
      <c r="A16631" s="108" t="s">
        <v>12044</v>
      </c>
    </row>
    <row r="16632" spans="1:1" x14ac:dyDescent="0.25">
      <c r="A16632" s="76" t="s">
        <v>12045</v>
      </c>
    </row>
    <row r="16633" spans="1:1" x14ac:dyDescent="0.25">
      <c r="A16633" s="108" t="s">
        <v>12046</v>
      </c>
    </row>
    <row r="16634" spans="1:1" x14ac:dyDescent="0.25">
      <c r="A16634" s="76" t="s">
        <v>12047</v>
      </c>
    </row>
    <row r="16635" spans="1:1" x14ac:dyDescent="0.25">
      <c r="A16635" s="108" t="s">
        <v>12048</v>
      </c>
    </row>
    <row r="16636" spans="1:1" x14ac:dyDescent="0.25">
      <c r="A16636" s="76" t="s">
        <v>12049</v>
      </c>
    </row>
    <row r="16637" spans="1:1" x14ac:dyDescent="0.25">
      <c r="A16637" s="108" t="s">
        <v>12050</v>
      </c>
    </row>
    <row r="16638" spans="1:1" x14ac:dyDescent="0.25">
      <c r="A16638" s="76" t="s">
        <v>12051</v>
      </c>
    </row>
    <row r="16639" spans="1:1" x14ac:dyDescent="0.25">
      <c r="A16639" s="108" t="s">
        <v>12052</v>
      </c>
    </row>
    <row r="16640" spans="1:1" x14ac:dyDescent="0.25">
      <c r="A16640" s="76" t="s">
        <v>12053</v>
      </c>
    </row>
    <row r="16641" spans="1:1" x14ac:dyDescent="0.25">
      <c r="A16641" s="108" t="s">
        <v>12054</v>
      </c>
    </row>
    <row r="16642" spans="1:1" x14ac:dyDescent="0.25">
      <c r="A16642" s="76" t="s">
        <v>12055</v>
      </c>
    </row>
    <row r="16643" spans="1:1" x14ac:dyDescent="0.25">
      <c r="A16643" s="108" t="s">
        <v>12056</v>
      </c>
    </row>
    <row r="16644" spans="1:1" x14ac:dyDescent="0.25">
      <c r="A16644" s="76" t="s">
        <v>12057</v>
      </c>
    </row>
    <row r="16645" spans="1:1" x14ac:dyDescent="0.25">
      <c r="A16645" s="108" t="s">
        <v>12058</v>
      </c>
    </row>
    <row r="16646" spans="1:1" x14ac:dyDescent="0.25">
      <c r="A16646" s="76" t="s">
        <v>12059</v>
      </c>
    </row>
    <row r="16647" spans="1:1" x14ac:dyDescent="0.25">
      <c r="A16647" s="108" t="s">
        <v>12060</v>
      </c>
    </row>
    <row r="16648" spans="1:1" x14ac:dyDescent="0.25">
      <c r="A16648" s="76" t="s">
        <v>12061</v>
      </c>
    </row>
    <row r="16649" spans="1:1" x14ac:dyDescent="0.25">
      <c r="A16649" s="108" t="s">
        <v>12062</v>
      </c>
    </row>
    <row r="16650" spans="1:1" x14ac:dyDescent="0.25">
      <c r="A16650" s="76" t="s">
        <v>12063</v>
      </c>
    </row>
    <row r="16651" spans="1:1" x14ac:dyDescent="0.25">
      <c r="A16651" s="108" t="s">
        <v>12064</v>
      </c>
    </row>
    <row r="16652" spans="1:1" x14ac:dyDescent="0.25">
      <c r="A16652" s="76" t="s">
        <v>12065</v>
      </c>
    </row>
    <row r="16653" spans="1:1" x14ac:dyDescent="0.25">
      <c r="A16653" s="108" t="s">
        <v>12066</v>
      </c>
    </row>
    <row r="16654" spans="1:1" x14ac:dyDescent="0.25">
      <c r="A16654" s="76" t="s">
        <v>12067</v>
      </c>
    </row>
    <row r="16655" spans="1:1" x14ac:dyDescent="0.25">
      <c r="A16655" s="108" t="s">
        <v>12068</v>
      </c>
    </row>
    <row r="16656" spans="1:1" x14ac:dyDescent="0.25">
      <c r="A16656" s="76" t="s">
        <v>12069</v>
      </c>
    </row>
    <row r="16657" spans="1:1" x14ac:dyDescent="0.25">
      <c r="A16657" s="108" t="s">
        <v>12070</v>
      </c>
    </row>
    <row r="16658" spans="1:1" x14ac:dyDescent="0.25">
      <c r="A16658" s="76" t="s">
        <v>12071</v>
      </c>
    </row>
    <row r="16659" spans="1:1" x14ac:dyDescent="0.25">
      <c r="A16659" s="108" t="s">
        <v>12072</v>
      </c>
    </row>
    <row r="16660" spans="1:1" x14ac:dyDescent="0.25">
      <c r="A16660" s="76" t="s">
        <v>12073</v>
      </c>
    </row>
    <row r="16661" spans="1:1" x14ac:dyDescent="0.25">
      <c r="A16661" s="108" t="s">
        <v>12074</v>
      </c>
    </row>
    <row r="16662" spans="1:1" x14ac:dyDescent="0.25">
      <c r="A16662" s="76" t="s">
        <v>12075</v>
      </c>
    </row>
    <row r="16663" spans="1:1" x14ac:dyDescent="0.25">
      <c r="A16663" s="108" t="s">
        <v>12076</v>
      </c>
    </row>
    <row r="16664" spans="1:1" x14ac:dyDescent="0.25">
      <c r="A16664" s="76" t="s">
        <v>12077</v>
      </c>
    </row>
    <row r="16665" spans="1:1" x14ac:dyDescent="0.25">
      <c r="A16665" s="108" t="s">
        <v>12078</v>
      </c>
    </row>
    <row r="16666" spans="1:1" x14ac:dyDescent="0.25">
      <c r="A16666" s="76" t="s">
        <v>12079</v>
      </c>
    </row>
    <row r="16667" spans="1:1" x14ac:dyDescent="0.25">
      <c r="A16667" s="108" t="s">
        <v>12080</v>
      </c>
    </row>
    <row r="16668" spans="1:1" x14ac:dyDescent="0.25">
      <c r="A16668" s="76" t="s">
        <v>12081</v>
      </c>
    </row>
    <row r="16669" spans="1:1" x14ac:dyDescent="0.25">
      <c r="A16669" s="108" t="s">
        <v>12082</v>
      </c>
    </row>
    <row r="16670" spans="1:1" x14ac:dyDescent="0.25">
      <c r="A16670" s="76" t="s">
        <v>12083</v>
      </c>
    </row>
    <row r="16671" spans="1:1" x14ac:dyDescent="0.25">
      <c r="A16671" s="108" t="s">
        <v>12084</v>
      </c>
    </row>
    <row r="16672" spans="1:1" x14ac:dyDescent="0.25">
      <c r="A16672" s="76" t="s">
        <v>12085</v>
      </c>
    </row>
    <row r="16673" spans="1:1" x14ac:dyDescent="0.25">
      <c r="A16673" s="108" t="s">
        <v>12086</v>
      </c>
    </row>
    <row r="16674" spans="1:1" x14ac:dyDescent="0.25">
      <c r="A16674" s="76" t="s">
        <v>12087</v>
      </c>
    </row>
    <row r="16675" spans="1:1" x14ac:dyDescent="0.25">
      <c r="A16675" s="108" t="s">
        <v>12088</v>
      </c>
    </row>
    <row r="16676" spans="1:1" x14ac:dyDescent="0.25">
      <c r="A16676" s="76" t="s">
        <v>12089</v>
      </c>
    </row>
    <row r="16677" spans="1:1" x14ac:dyDescent="0.25">
      <c r="A16677" s="108" t="s">
        <v>12090</v>
      </c>
    </row>
    <row r="16678" spans="1:1" x14ac:dyDescent="0.25">
      <c r="A16678" s="76" t="s">
        <v>12091</v>
      </c>
    </row>
    <row r="16679" spans="1:1" x14ac:dyDescent="0.25">
      <c r="A16679" s="108" t="s">
        <v>12092</v>
      </c>
    </row>
    <row r="16680" spans="1:1" x14ac:dyDescent="0.25">
      <c r="A16680" s="76" t="s">
        <v>12093</v>
      </c>
    </row>
    <row r="16681" spans="1:1" x14ac:dyDescent="0.25">
      <c r="A16681" s="108" t="s">
        <v>12094</v>
      </c>
    </row>
    <row r="16682" spans="1:1" x14ac:dyDescent="0.25">
      <c r="A16682" s="76" t="s">
        <v>12095</v>
      </c>
    </row>
    <row r="16683" spans="1:1" x14ac:dyDescent="0.25">
      <c r="A16683" s="108" t="s">
        <v>12096</v>
      </c>
    </row>
    <row r="16684" spans="1:1" x14ac:dyDescent="0.25">
      <c r="A16684" s="76" t="s">
        <v>12097</v>
      </c>
    </row>
    <row r="16685" spans="1:1" x14ac:dyDescent="0.25">
      <c r="A16685" s="108" t="s">
        <v>12098</v>
      </c>
    </row>
    <row r="16686" spans="1:1" x14ac:dyDescent="0.25">
      <c r="A16686" s="76" t="s">
        <v>12099</v>
      </c>
    </row>
    <row r="16687" spans="1:1" x14ac:dyDescent="0.25">
      <c r="A16687" s="108" t="s">
        <v>12100</v>
      </c>
    </row>
    <row r="16688" spans="1:1" x14ac:dyDescent="0.25">
      <c r="A16688" s="76" t="s">
        <v>12101</v>
      </c>
    </row>
    <row r="16689" spans="1:1" x14ac:dyDescent="0.25">
      <c r="A16689" s="108" t="s">
        <v>12102</v>
      </c>
    </row>
    <row r="16690" spans="1:1" x14ac:dyDescent="0.25">
      <c r="A16690" s="76" t="s">
        <v>12103</v>
      </c>
    </row>
    <row r="16691" spans="1:1" x14ac:dyDescent="0.25">
      <c r="A16691" s="108" t="s">
        <v>12104</v>
      </c>
    </row>
    <row r="16692" spans="1:1" x14ac:dyDescent="0.25">
      <c r="A16692" s="76" t="s">
        <v>12105</v>
      </c>
    </row>
    <row r="16693" spans="1:1" x14ac:dyDescent="0.25">
      <c r="A16693" s="108" t="s">
        <v>12106</v>
      </c>
    </row>
    <row r="16694" spans="1:1" x14ac:dyDescent="0.25">
      <c r="A16694" s="76" t="s">
        <v>12107</v>
      </c>
    </row>
    <row r="16695" spans="1:1" x14ac:dyDescent="0.25">
      <c r="A16695" s="108" t="s">
        <v>12108</v>
      </c>
    </row>
    <row r="16696" spans="1:1" x14ac:dyDescent="0.25">
      <c r="A16696" s="76" t="s">
        <v>12109</v>
      </c>
    </row>
    <row r="16697" spans="1:1" x14ac:dyDescent="0.25">
      <c r="A16697" s="108" t="s">
        <v>12110</v>
      </c>
    </row>
    <row r="16698" spans="1:1" x14ac:dyDescent="0.25">
      <c r="A16698" s="76" t="s">
        <v>12111</v>
      </c>
    </row>
    <row r="16699" spans="1:1" x14ac:dyDescent="0.25">
      <c r="A16699" s="108" t="s">
        <v>12112</v>
      </c>
    </row>
    <row r="16700" spans="1:1" x14ac:dyDescent="0.25">
      <c r="A16700" s="76" t="s">
        <v>12113</v>
      </c>
    </row>
    <row r="16701" spans="1:1" x14ac:dyDescent="0.25">
      <c r="A16701" s="108" t="s">
        <v>12114</v>
      </c>
    </row>
    <row r="16702" spans="1:1" x14ac:dyDescent="0.25">
      <c r="A16702" s="76" t="s">
        <v>12115</v>
      </c>
    </row>
    <row r="16703" spans="1:1" x14ac:dyDescent="0.25">
      <c r="A16703" s="108" t="s">
        <v>12116</v>
      </c>
    </row>
    <row r="16704" spans="1:1" x14ac:dyDescent="0.25">
      <c r="A16704" s="76" t="s">
        <v>12117</v>
      </c>
    </row>
    <row r="16705" spans="1:1" x14ac:dyDescent="0.25">
      <c r="A16705" s="108" t="s">
        <v>12118</v>
      </c>
    </row>
    <row r="16706" spans="1:1" x14ac:dyDescent="0.25">
      <c r="A16706" s="76" t="s">
        <v>12119</v>
      </c>
    </row>
    <row r="16707" spans="1:1" x14ac:dyDescent="0.25">
      <c r="A16707" s="108" t="s">
        <v>12120</v>
      </c>
    </row>
    <row r="16708" spans="1:1" x14ac:dyDescent="0.25">
      <c r="A16708" s="76" t="s">
        <v>12121</v>
      </c>
    </row>
    <row r="16709" spans="1:1" x14ac:dyDescent="0.25">
      <c r="A16709" s="108" t="s">
        <v>12122</v>
      </c>
    </row>
    <row r="16710" spans="1:1" x14ac:dyDescent="0.25">
      <c r="A16710" s="76" t="s">
        <v>12123</v>
      </c>
    </row>
    <row r="16711" spans="1:1" x14ac:dyDescent="0.25">
      <c r="A16711" s="108" t="s">
        <v>12124</v>
      </c>
    </row>
    <row r="16712" spans="1:1" x14ac:dyDescent="0.25">
      <c r="A16712" s="76" t="s">
        <v>12125</v>
      </c>
    </row>
    <row r="16713" spans="1:1" x14ac:dyDescent="0.25">
      <c r="A16713" s="108" t="s">
        <v>12126</v>
      </c>
    </row>
    <row r="16714" spans="1:1" x14ac:dyDescent="0.25">
      <c r="A16714" s="76" t="s">
        <v>12127</v>
      </c>
    </row>
    <row r="16715" spans="1:1" x14ac:dyDescent="0.25">
      <c r="A16715" s="108" t="s">
        <v>12128</v>
      </c>
    </row>
    <row r="16716" spans="1:1" x14ac:dyDescent="0.25">
      <c r="A16716" s="76" t="s">
        <v>12129</v>
      </c>
    </row>
    <row r="16717" spans="1:1" x14ac:dyDescent="0.25">
      <c r="A16717" s="108" t="s">
        <v>12130</v>
      </c>
    </row>
    <row r="16718" spans="1:1" x14ac:dyDescent="0.25">
      <c r="A16718" s="76" t="s">
        <v>12131</v>
      </c>
    </row>
    <row r="16719" spans="1:1" x14ac:dyDescent="0.25">
      <c r="A16719" s="108" t="s">
        <v>12132</v>
      </c>
    </row>
    <row r="16720" spans="1:1" x14ac:dyDescent="0.25">
      <c r="A16720" s="76" t="s">
        <v>12133</v>
      </c>
    </row>
    <row r="16721" spans="1:1" x14ac:dyDescent="0.25">
      <c r="A16721" s="108" t="s">
        <v>12134</v>
      </c>
    </row>
    <row r="16722" spans="1:1" x14ac:dyDescent="0.25">
      <c r="A16722" s="76" t="s">
        <v>12135</v>
      </c>
    </row>
    <row r="16723" spans="1:1" x14ac:dyDescent="0.25">
      <c r="A16723" s="108" t="s">
        <v>12136</v>
      </c>
    </row>
    <row r="16724" spans="1:1" x14ac:dyDescent="0.25">
      <c r="A16724" s="76" t="s">
        <v>12137</v>
      </c>
    </row>
    <row r="16725" spans="1:1" x14ac:dyDescent="0.25">
      <c r="A16725" s="108" t="s">
        <v>12138</v>
      </c>
    </row>
    <row r="16726" spans="1:1" x14ac:dyDescent="0.25">
      <c r="A16726" s="76" t="s">
        <v>12139</v>
      </c>
    </row>
    <row r="16727" spans="1:1" x14ac:dyDescent="0.25">
      <c r="A16727" s="108" t="s">
        <v>12140</v>
      </c>
    </row>
    <row r="16728" spans="1:1" x14ac:dyDescent="0.25">
      <c r="A16728" s="76" t="s">
        <v>12141</v>
      </c>
    </row>
    <row r="16729" spans="1:1" x14ac:dyDescent="0.25">
      <c r="A16729" s="108" t="s">
        <v>12142</v>
      </c>
    </row>
    <row r="16730" spans="1:1" x14ac:dyDescent="0.25">
      <c r="A16730" s="76" t="s">
        <v>12143</v>
      </c>
    </row>
    <row r="16731" spans="1:1" x14ac:dyDescent="0.25">
      <c r="A16731" s="108" t="s">
        <v>12144</v>
      </c>
    </row>
    <row r="16732" spans="1:1" x14ac:dyDescent="0.25">
      <c r="A16732" s="76" t="s">
        <v>12145</v>
      </c>
    </row>
    <row r="16733" spans="1:1" x14ac:dyDescent="0.25">
      <c r="A16733" s="108" t="s">
        <v>12146</v>
      </c>
    </row>
    <row r="16734" spans="1:1" x14ac:dyDescent="0.25">
      <c r="A16734" s="76" t="s">
        <v>12147</v>
      </c>
    </row>
    <row r="16735" spans="1:1" x14ac:dyDescent="0.25">
      <c r="A16735" s="108" t="s">
        <v>12148</v>
      </c>
    </row>
    <row r="16736" spans="1:1" x14ac:dyDescent="0.25">
      <c r="A16736" s="76" t="s">
        <v>12149</v>
      </c>
    </row>
    <row r="16737" spans="1:1" x14ac:dyDescent="0.25">
      <c r="A16737" s="108" t="s">
        <v>12150</v>
      </c>
    </row>
    <row r="16738" spans="1:1" x14ac:dyDescent="0.25">
      <c r="A16738" s="76" t="s">
        <v>12151</v>
      </c>
    </row>
    <row r="16739" spans="1:1" x14ac:dyDescent="0.25">
      <c r="A16739" s="108" t="s">
        <v>12152</v>
      </c>
    </row>
    <row r="16740" spans="1:1" x14ac:dyDescent="0.25">
      <c r="A16740" s="76" t="s">
        <v>12153</v>
      </c>
    </row>
    <row r="16741" spans="1:1" x14ac:dyDescent="0.25">
      <c r="A16741" s="108" t="s">
        <v>12154</v>
      </c>
    </row>
    <row r="16742" spans="1:1" x14ac:dyDescent="0.25">
      <c r="A16742" s="76" t="s">
        <v>12155</v>
      </c>
    </row>
    <row r="16743" spans="1:1" x14ac:dyDescent="0.25">
      <c r="A16743" s="108" t="s">
        <v>12156</v>
      </c>
    </row>
    <row r="16744" spans="1:1" x14ac:dyDescent="0.25">
      <c r="A16744" s="76" t="s">
        <v>12157</v>
      </c>
    </row>
    <row r="16745" spans="1:1" x14ac:dyDescent="0.25">
      <c r="A16745" s="108" t="s">
        <v>12158</v>
      </c>
    </row>
    <row r="16746" spans="1:1" x14ac:dyDescent="0.25">
      <c r="A16746" s="76" t="s">
        <v>12159</v>
      </c>
    </row>
    <row r="16747" spans="1:1" x14ac:dyDescent="0.25">
      <c r="A16747" s="108" t="s">
        <v>12160</v>
      </c>
    </row>
    <row r="16748" spans="1:1" x14ac:dyDescent="0.25">
      <c r="A16748" s="76" t="s">
        <v>12161</v>
      </c>
    </row>
    <row r="16749" spans="1:1" x14ac:dyDescent="0.25">
      <c r="A16749" s="108" t="s">
        <v>12162</v>
      </c>
    </row>
    <row r="16750" spans="1:1" x14ac:dyDescent="0.25">
      <c r="A16750" s="76" t="s">
        <v>12163</v>
      </c>
    </row>
    <row r="16751" spans="1:1" x14ac:dyDescent="0.25">
      <c r="A16751" s="108" t="s">
        <v>12164</v>
      </c>
    </row>
    <row r="16752" spans="1:1" x14ac:dyDescent="0.25">
      <c r="A16752" s="76" t="s">
        <v>12165</v>
      </c>
    </row>
    <row r="16753" spans="1:1" x14ac:dyDescent="0.25">
      <c r="A16753" s="108" t="s">
        <v>12166</v>
      </c>
    </row>
    <row r="16754" spans="1:1" x14ac:dyDescent="0.25">
      <c r="A16754" s="76" t="s">
        <v>12167</v>
      </c>
    </row>
    <row r="16755" spans="1:1" x14ac:dyDescent="0.25">
      <c r="A16755" s="108" t="s">
        <v>12168</v>
      </c>
    </row>
    <row r="16756" spans="1:1" x14ac:dyDescent="0.25">
      <c r="A16756" s="76" t="s">
        <v>12169</v>
      </c>
    </row>
    <row r="16757" spans="1:1" x14ac:dyDescent="0.25">
      <c r="A16757" s="108" t="s">
        <v>12170</v>
      </c>
    </row>
    <row r="16758" spans="1:1" x14ac:dyDescent="0.25">
      <c r="A16758" s="76" t="s">
        <v>12171</v>
      </c>
    </row>
    <row r="16759" spans="1:1" x14ac:dyDescent="0.25">
      <c r="A16759" s="108" t="s">
        <v>12172</v>
      </c>
    </row>
    <row r="16760" spans="1:1" x14ac:dyDescent="0.25">
      <c r="A16760" s="76" t="s">
        <v>12173</v>
      </c>
    </row>
    <row r="16761" spans="1:1" x14ac:dyDescent="0.25">
      <c r="A16761" s="108" t="s">
        <v>12174</v>
      </c>
    </row>
    <row r="16762" spans="1:1" x14ac:dyDescent="0.25">
      <c r="A16762" s="76" t="s">
        <v>12175</v>
      </c>
    </row>
    <row r="16763" spans="1:1" x14ac:dyDescent="0.25">
      <c r="A16763" s="108" t="s">
        <v>12176</v>
      </c>
    </row>
    <row r="16764" spans="1:1" x14ac:dyDescent="0.25">
      <c r="A16764" s="76" t="s">
        <v>12177</v>
      </c>
    </row>
    <row r="16765" spans="1:1" x14ac:dyDescent="0.25">
      <c r="A16765" s="108" t="s">
        <v>12178</v>
      </c>
    </row>
    <row r="16766" spans="1:1" x14ac:dyDescent="0.25">
      <c r="A16766" s="76" t="s">
        <v>12179</v>
      </c>
    </row>
    <row r="16767" spans="1:1" x14ac:dyDescent="0.25">
      <c r="A16767" s="108" t="s">
        <v>12180</v>
      </c>
    </row>
    <row r="16768" spans="1:1" x14ac:dyDescent="0.25">
      <c r="A16768" s="76" t="s">
        <v>12181</v>
      </c>
    </row>
    <row r="16769" spans="1:1" x14ac:dyDescent="0.25">
      <c r="A16769" s="108" t="s">
        <v>12182</v>
      </c>
    </row>
    <row r="16770" spans="1:1" x14ac:dyDescent="0.25">
      <c r="A16770" s="76" t="s">
        <v>12183</v>
      </c>
    </row>
    <row r="16771" spans="1:1" x14ac:dyDescent="0.25">
      <c r="A16771" s="108" t="s">
        <v>12184</v>
      </c>
    </row>
    <row r="16772" spans="1:1" x14ac:dyDescent="0.25">
      <c r="A16772" s="76" t="s">
        <v>12185</v>
      </c>
    </row>
    <row r="16773" spans="1:1" x14ac:dyDescent="0.25">
      <c r="A16773" s="108" t="s">
        <v>12186</v>
      </c>
    </row>
    <row r="16774" spans="1:1" x14ac:dyDescent="0.25">
      <c r="A16774" s="76" t="s">
        <v>12187</v>
      </c>
    </row>
    <row r="16775" spans="1:1" x14ac:dyDescent="0.25">
      <c r="A16775" s="108" t="s">
        <v>12188</v>
      </c>
    </row>
    <row r="16776" spans="1:1" x14ac:dyDescent="0.25">
      <c r="A16776" s="76" t="s">
        <v>12189</v>
      </c>
    </row>
    <row r="16777" spans="1:1" x14ac:dyDescent="0.25">
      <c r="A16777" s="108" t="s">
        <v>12190</v>
      </c>
    </row>
    <row r="16778" spans="1:1" x14ac:dyDescent="0.25">
      <c r="A16778" s="76" t="s">
        <v>12191</v>
      </c>
    </row>
    <row r="16779" spans="1:1" x14ac:dyDescent="0.25">
      <c r="A16779" s="108" t="s">
        <v>12192</v>
      </c>
    </row>
    <row r="16780" spans="1:1" x14ac:dyDescent="0.25">
      <c r="A16780" s="76" t="s">
        <v>12193</v>
      </c>
    </row>
    <row r="16781" spans="1:1" x14ac:dyDescent="0.25">
      <c r="A16781" s="108" t="s">
        <v>12194</v>
      </c>
    </row>
    <row r="16782" spans="1:1" x14ac:dyDescent="0.25">
      <c r="A16782" s="76" t="s">
        <v>12195</v>
      </c>
    </row>
    <row r="16783" spans="1:1" x14ac:dyDescent="0.25">
      <c r="A16783" s="108" t="s">
        <v>12196</v>
      </c>
    </row>
    <row r="16784" spans="1:1" x14ac:dyDescent="0.25">
      <c r="A16784" s="76" t="s">
        <v>12197</v>
      </c>
    </row>
    <row r="16785" spans="1:1" x14ac:dyDescent="0.25">
      <c r="A16785" s="108" t="s">
        <v>12198</v>
      </c>
    </row>
    <row r="16786" spans="1:1" x14ac:dyDescent="0.25">
      <c r="A16786" s="76" t="s">
        <v>12199</v>
      </c>
    </row>
    <row r="16787" spans="1:1" x14ac:dyDescent="0.25">
      <c r="A16787" s="108" t="s">
        <v>12200</v>
      </c>
    </row>
    <row r="16788" spans="1:1" x14ac:dyDescent="0.25">
      <c r="A16788" s="76" t="s">
        <v>12201</v>
      </c>
    </row>
    <row r="16789" spans="1:1" x14ac:dyDescent="0.25">
      <c r="A16789" s="108" t="s">
        <v>12202</v>
      </c>
    </row>
    <row r="16790" spans="1:1" x14ac:dyDescent="0.25">
      <c r="A16790" s="76" t="s">
        <v>12203</v>
      </c>
    </row>
    <row r="16791" spans="1:1" x14ac:dyDescent="0.25">
      <c r="A16791" s="108" t="s">
        <v>12204</v>
      </c>
    </row>
    <row r="16792" spans="1:1" x14ac:dyDescent="0.25">
      <c r="A16792" s="76" t="s">
        <v>12205</v>
      </c>
    </row>
    <row r="16793" spans="1:1" x14ac:dyDescent="0.25">
      <c r="A16793" s="108" t="s">
        <v>12206</v>
      </c>
    </row>
    <row r="16794" spans="1:1" x14ac:dyDescent="0.25">
      <c r="A16794" s="76" t="s">
        <v>12207</v>
      </c>
    </row>
    <row r="16795" spans="1:1" x14ac:dyDescent="0.25">
      <c r="A16795" s="108" t="s">
        <v>12208</v>
      </c>
    </row>
    <row r="16796" spans="1:1" x14ac:dyDescent="0.25">
      <c r="A16796" s="76" t="s">
        <v>12209</v>
      </c>
    </row>
    <row r="16797" spans="1:1" x14ac:dyDescent="0.25">
      <c r="A16797" s="108" t="s">
        <v>12210</v>
      </c>
    </row>
    <row r="16798" spans="1:1" x14ac:dyDescent="0.25">
      <c r="A16798" s="76" t="s">
        <v>12211</v>
      </c>
    </row>
    <row r="16799" spans="1:1" x14ac:dyDescent="0.25">
      <c r="A16799" s="108" t="s">
        <v>12212</v>
      </c>
    </row>
    <row r="16800" spans="1:1" x14ac:dyDescent="0.25">
      <c r="A16800" s="76" t="s">
        <v>12213</v>
      </c>
    </row>
    <row r="16801" spans="1:1" x14ac:dyDescent="0.25">
      <c r="A16801" s="108" t="s">
        <v>12214</v>
      </c>
    </row>
    <row r="16802" spans="1:1" x14ac:dyDescent="0.25">
      <c r="A16802" s="76" t="s">
        <v>12215</v>
      </c>
    </row>
    <row r="16803" spans="1:1" x14ac:dyDescent="0.25">
      <c r="A16803" s="108" t="s">
        <v>12216</v>
      </c>
    </row>
    <row r="16804" spans="1:1" x14ac:dyDescent="0.25">
      <c r="A16804" s="76" t="s">
        <v>12217</v>
      </c>
    </row>
    <row r="16805" spans="1:1" x14ac:dyDescent="0.25">
      <c r="A16805" s="108" t="s">
        <v>12218</v>
      </c>
    </row>
    <row r="16806" spans="1:1" x14ac:dyDescent="0.25">
      <c r="A16806" s="76" t="s">
        <v>12219</v>
      </c>
    </row>
    <row r="16807" spans="1:1" x14ac:dyDescent="0.25">
      <c r="A16807" s="108" t="s">
        <v>12220</v>
      </c>
    </row>
    <row r="16808" spans="1:1" x14ac:dyDescent="0.25">
      <c r="A16808" s="76" t="s">
        <v>12221</v>
      </c>
    </row>
    <row r="16809" spans="1:1" x14ac:dyDescent="0.25">
      <c r="A16809" s="108" t="s">
        <v>12222</v>
      </c>
    </row>
    <row r="16810" spans="1:1" x14ac:dyDescent="0.25">
      <c r="A16810" s="76" t="s">
        <v>12223</v>
      </c>
    </row>
    <row r="16811" spans="1:1" x14ac:dyDescent="0.25">
      <c r="A16811" s="108" t="s">
        <v>12224</v>
      </c>
    </row>
    <row r="16812" spans="1:1" x14ac:dyDescent="0.25">
      <c r="A16812" s="76" t="s">
        <v>12225</v>
      </c>
    </row>
    <row r="16813" spans="1:1" x14ac:dyDescent="0.25">
      <c r="A16813" s="108" t="s">
        <v>12226</v>
      </c>
    </row>
    <row r="16814" spans="1:1" x14ac:dyDescent="0.25">
      <c r="A16814" s="76" t="s">
        <v>12227</v>
      </c>
    </row>
    <row r="16815" spans="1:1" x14ac:dyDescent="0.25">
      <c r="A16815" s="108" t="s">
        <v>12228</v>
      </c>
    </row>
    <row r="16816" spans="1:1" x14ac:dyDescent="0.25">
      <c r="A16816" s="76" t="s">
        <v>12229</v>
      </c>
    </row>
    <row r="16817" spans="1:1" x14ac:dyDescent="0.25">
      <c r="A16817" s="108" t="s">
        <v>12230</v>
      </c>
    </row>
    <row r="16818" spans="1:1" x14ac:dyDescent="0.25">
      <c r="A16818" s="76" t="s">
        <v>12231</v>
      </c>
    </row>
    <row r="16819" spans="1:1" x14ac:dyDescent="0.25">
      <c r="A16819" s="108" t="s">
        <v>12232</v>
      </c>
    </row>
    <row r="16820" spans="1:1" x14ac:dyDescent="0.25">
      <c r="A16820" s="76" t="s">
        <v>12233</v>
      </c>
    </row>
    <row r="16821" spans="1:1" x14ac:dyDescent="0.25">
      <c r="A16821" s="108" t="s">
        <v>12234</v>
      </c>
    </row>
    <row r="16822" spans="1:1" x14ac:dyDescent="0.25">
      <c r="A16822" s="76" t="s">
        <v>12235</v>
      </c>
    </row>
    <row r="16823" spans="1:1" x14ac:dyDescent="0.25">
      <c r="A16823" s="108" t="s">
        <v>12236</v>
      </c>
    </row>
    <row r="16824" spans="1:1" x14ac:dyDescent="0.25">
      <c r="A16824" s="76" t="s">
        <v>12237</v>
      </c>
    </row>
    <row r="16825" spans="1:1" x14ac:dyDescent="0.25">
      <c r="A16825" s="108" t="s">
        <v>12238</v>
      </c>
    </row>
    <row r="16826" spans="1:1" x14ac:dyDescent="0.25">
      <c r="A16826" s="76" t="s">
        <v>12239</v>
      </c>
    </row>
    <row r="16827" spans="1:1" x14ac:dyDescent="0.25">
      <c r="A16827" s="108" t="s">
        <v>12240</v>
      </c>
    </row>
    <row r="16828" spans="1:1" x14ac:dyDescent="0.25">
      <c r="A16828" s="76" t="s">
        <v>12241</v>
      </c>
    </row>
    <row r="16829" spans="1:1" x14ac:dyDescent="0.25">
      <c r="A16829" s="108" t="s">
        <v>12242</v>
      </c>
    </row>
    <row r="16830" spans="1:1" x14ac:dyDescent="0.25">
      <c r="A16830" s="76" t="s">
        <v>12243</v>
      </c>
    </row>
    <row r="16831" spans="1:1" x14ac:dyDescent="0.25">
      <c r="A16831" s="108" t="s">
        <v>12244</v>
      </c>
    </row>
    <row r="16832" spans="1:1" x14ac:dyDescent="0.25">
      <c r="A16832" s="76" t="s">
        <v>12245</v>
      </c>
    </row>
    <row r="16833" spans="1:1" x14ac:dyDescent="0.25">
      <c r="A16833" s="108" t="s">
        <v>12246</v>
      </c>
    </row>
    <row r="16834" spans="1:1" x14ac:dyDescent="0.25">
      <c r="A16834" s="76" t="s">
        <v>12247</v>
      </c>
    </row>
    <row r="16835" spans="1:1" x14ac:dyDescent="0.25">
      <c r="A16835" s="108" t="s">
        <v>12248</v>
      </c>
    </row>
    <row r="16836" spans="1:1" x14ac:dyDescent="0.25">
      <c r="A16836" s="76" t="s">
        <v>12249</v>
      </c>
    </row>
    <row r="16837" spans="1:1" x14ac:dyDescent="0.25">
      <c r="A16837" s="108" t="s">
        <v>12250</v>
      </c>
    </row>
    <row r="16838" spans="1:1" x14ac:dyDescent="0.25">
      <c r="A16838" s="76" t="s">
        <v>12251</v>
      </c>
    </row>
    <row r="16839" spans="1:1" x14ac:dyDescent="0.25">
      <c r="A16839" s="108" t="s">
        <v>12252</v>
      </c>
    </row>
    <row r="16840" spans="1:1" x14ac:dyDescent="0.25">
      <c r="A16840" s="76" t="s">
        <v>12253</v>
      </c>
    </row>
    <row r="16841" spans="1:1" x14ac:dyDescent="0.25">
      <c r="A16841" s="108" t="s">
        <v>12254</v>
      </c>
    </row>
    <row r="16842" spans="1:1" x14ac:dyDescent="0.25">
      <c r="A16842" s="76" t="s">
        <v>12255</v>
      </c>
    </row>
    <row r="16843" spans="1:1" x14ac:dyDescent="0.25">
      <c r="A16843" s="108" t="s">
        <v>12256</v>
      </c>
    </row>
    <row r="16844" spans="1:1" x14ac:dyDescent="0.25">
      <c r="A16844" s="76" t="s">
        <v>12257</v>
      </c>
    </row>
    <row r="16845" spans="1:1" x14ac:dyDescent="0.25">
      <c r="A16845" s="108" t="s">
        <v>12258</v>
      </c>
    </row>
    <row r="16846" spans="1:1" x14ac:dyDescent="0.25">
      <c r="A16846" s="76" t="s">
        <v>12259</v>
      </c>
    </row>
    <row r="16847" spans="1:1" x14ac:dyDescent="0.25">
      <c r="A16847" s="108" t="s">
        <v>12260</v>
      </c>
    </row>
    <row r="16848" spans="1:1" x14ac:dyDescent="0.25">
      <c r="A16848" s="76" t="s">
        <v>12261</v>
      </c>
    </row>
    <row r="16849" spans="1:1" x14ac:dyDescent="0.25">
      <c r="A16849" s="108" t="s">
        <v>12262</v>
      </c>
    </row>
    <row r="16850" spans="1:1" x14ac:dyDescent="0.25">
      <c r="A16850" s="76" t="s">
        <v>12263</v>
      </c>
    </row>
    <row r="16851" spans="1:1" x14ac:dyDescent="0.25">
      <c r="A16851" s="108" t="s">
        <v>12264</v>
      </c>
    </row>
    <row r="16852" spans="1:1" x14ac:dyDescent="0.25">
      <c r="A16852" s="76" t="s">
        <v>12265</v>
      </c>
    </row>
    <row r="16853" spans="1:1" x14ac:dyDescent="0.25">
      <c r="A16853" s="108" t="s">
        <v>12266</v>
      </c>
    </row>
    <row r="16854" spans="1:1" x14ac:dyDescent="0.25">
      <c r="A16854" s="76" t="s">
        <v>12267</v>
      </c>
    </row>
    <row r="16855" spans="1:1" x14ac:dyDescent="0.25">
      <c r="A16855" s="108" t="s">
        <v>12268</v>
      </c>
    </row>
    <row r="16856" spans="1:1" x14ac:dyDescent="0.25">
      <c r="A16856" s="76" t="s">
        <v>12269</v>
      </c>
    </row>
    <row r="16857" spans="1:1" x14ac:dyDescent="0.25">
      <c r="A16857" s="108" t="s">
        <v>12270</v>
      </c>
    </row>
    <row r="16858" spans="1:1" x14ac:dyDescent="0.25">
      <c r="A16858" s="76" t="s">
        <v>12271</v>
      </c>
    </row>
    <row r="16859" spans="1:1" x14ac:dyDescent="0.25">
      <c r="A16859" s="108" t="s">
        <v>12272</v>
      </c>
    </row>
    <row r="16860" spans="1:1" x14ac:dyDescent="0.25">
      <c r="A16860" s="76" t="s">
        <v>12273</v>
      </c>
    </row>
    <row r="16861" spans="1:1" x14ac:dyDescent="0.25">
      <c r="A16861" s="108" t="s">
        <v>12274</v>
      </c>
    </row>
    <row r="16862" spans="1:1" x14ac:dyDescent="0.25">
      <c r="A16862" s="76" t="s">
        <v>12275</v>
      </c>
    </row>
    <row r="16863" spans="1:1" x14ac:dyDescent="0.25">
      <c r="A16863" s="108" t="s">
        <v>12276</v>
      </c>
    </row>
    <row r="16864" spans="1:1" x14ac:dyDescent="0.25">
      <c r="A16864" s="76" t="s">
        <v>12277</v>
      </c>
    </row>
    <row r="16865" spans="1:1" x14ac:dyDescent="0.25">
      <c r="A16865" s="108" t="s">
        <v>12278</v>
      </c>
    </row>
    <row r="16866" spans="1:1" x14ac:dyDescent="0.25">
      <c r="A16866" s="76" t="s">
        <v>12279</v>
      </c>
    </row>
    <row r="16867" spans="1:1" x14ac:dyDescent="0.25">
      <c r="A16867" s="108" t="s">
        <v>12280</v>
      </c>
    </row>
    <row r="16868" spans="1:1" x14ac:dyDescent="0.25">
      <c r="A16868" s="76" t="s">
        <v>12281</v>
      </c>
    </row>
    <row r="16869" spans="1:1" x14ac:dyDescent="0.25">
      <c r="A16869" s="108" t="s">
        <v>12282</v>
      </c>
    </row>
    <row r="16870" spans="1:1" x14ac:dyDescent="0.25">
      <c r="A16870" s="76" t="s">
        <v>12283</v>
      </c>
    </row>
    <row r="16871" spans="1:1" x14ac:dyDescent="0.25">
      <c r="A16871" s="108" t="s">
        <v>12284</v>
      </c>
    </row>
    <row r="16872" spans="1:1" x14ac:dyDescent="0.25">
      <c r="A16872" s="76" t="s">
        <v>12285</v>
      </c>
    </row>
    <row r="16873" spans="1:1" x14ac:dyDescent="0.25">
      <c r="A16873" s="108" t="s">
        <v>12286</v>
      </c>
    </row>
    <row r="16874" spans="1:1" x14ac:dyDescent="0.25">
      <c r="A16874" s="76" t="s">
        <v>12287</v>
      </c>
    </row>
    <row r="16875" spans="1:1" x14ac:dyDescent="0.25">
      <c r="A16875" s="108" t="s">
        <v>12288</v>
      </c>
    </row>
    <row r="16876" spans="1:1" x14ac:dyDescent="0.25">
      <c r="A16876" s="76" t="s">
        <v>12289</v>
      </c>
    </row>
    <row r="16877" spans="1:1" x14ac:dyDescent="0.25">
      <c r="A16877" s="108" t="s">
        <v>12290</v>
      </c>
    </row>
    <row r="16878" spans="1:1" x14ac:dyDescent="0.25">
      <c r="A16878" s="76" t="s">
        <v>12291</v>
      </c>
    </row>
    <row r="16879" spans="1:1" x14ac:dyDescent="0.25">
      <c r="A16879" s="108" t="s">
        <v>12292</v>
      </c>
    </row>
    <row r="16880" spans="1:1" x14ac:dyDescent="0.25">
      <c r="A16880" s="76" t="s">
        <v>12293</v>
      </c>
    </row>
    <row r="16881" spans="1:1" x14ac:dyDescent="0.25">
      <c r="A16881" s="108" t="s">
        <v>12294</v>
      </c>
    </row>
    <row r="16882" spans="1:1" x14ac:dyDescent="0.25">
      <c r="A16882" s="76" t="s">
        <v>12295</v>
      </c>
    </row>
    <row r="16883" spans="1:1" x14ac:dyDescent="0.25">
      <c r="A16883" s="108" t="s">
        <v>12296</v>
      </c>
    </row>
    <row r="16884" spans="1:1" x14ac:dyDescent="0.25">
      <c r="A16884" s="76" t="s">
        <v>12297</v>
      </c>
    </row>
    <row r="16885" spans="1:1" x14ac:dyDescent="0.25">
      <c r="A16885" s="108" t="s">
        <v>12298</v>
      </c>
    </row>
    <row r="16886" spans="1:1" x14ac:dyDescent="0.25">
      <c r="A16886" s="76" t="s">
        <v>12299</v>
      </c>
    </row>
    <row r="16887" spans="1:1" x14ac:dyDescent="0.25">
      <c r="A16887" s="108" t="s">
        <v>12300</v>
      </c>
    </row>
    <row r="16888" spans="1:1" x14ac:dyDescent="0.25">
      <c r="A16888" s="76" t="s">
        <v>12301</v>
      </c>
    </row>
    <row r="16889" spans="1:1" x14ac:dyDescent="0.25">
      <c r="A16889" s="108" t="s">
        <v>12302</v>
      </c>
    </row>
    <row r="16890" spans="1:1" x14ac:dyDescent="0.25">
      <c r="A16890" s="76" t="s">
        <v>12303</v>
      </c>
    </row>
    <row r="16891" spans="1:1" x14ac:dyDescent="0.25">
      <c r="A16891" s="108" t="s">
        <v>12304</v>
      </c>
    </row>
    <row r="16892" spans="1:1" x14ac:dyDescent="0.25">
      <c r="A16892" s="76" t="s">
        <v>12305</v>
      </c>
    </row>
    <row r="16893" spans="1:1" x14ac:dyDescent="0.25">
      <c r="A16893" s="108" t="s">
        <v>12306</v>
      </c>
    </row>
    <row r="16894" spans="1:1" x14ac:dyDescent="0.25">
      <c r="A16894" s="76" t="s">
        <v>12307</v>
      </c>
    </row>
    <row r="16895" spans="1:1" x14ac:dyDescent="0.25">
      <c r="A16895" s="108" t="s">
        <v>12308</v>
      </c>
    </row>
    <row r="16896" spans="1:1" x14ac:dyDescent="0.25">
      <c r="A16896" s="76" t="s">
        <v>12309</v>
      </c>
    </row>
    <row r="16897" spans="1:1" x14ac:dyDescent="0.25">
      <c r="A16897" s="108" t="s">
        <v>12310</v>
      </c>
    </row>
    <row r="16898" spans="1:1" x14ac:dyDescent="0.25">
      <c r="A16898" s="76" t="s">
        <v>12311</v>
      </c>
    </row>
    <row r="16899" spans="1:1" x14ac:dyDescent="0.25">
      <c r="A16899" s="108" t="s">
        <v>12312</v>
      </c>
    </row>
    <row r="16900" spans="1:1" x14ac:dyDescent="0.25">
      <c r="A16900" s="76" t="s">
        <v>12313</v>
      </c>
    </row>
    <row r="16901" spans="1:1" x14ac:dyDescent="0.25">
      <c r="A16901" s="108" t="s">
        <v>12314</v>
      </c>
    </row>
    <row r="16902" spans="1:1" x14ac:dyDescent="0.25">
      <c r="A16902" s="76" t="s">
        <v>12315</v>
      </c>
    </row>
    <row r="16903" spans="1:1" x14ac:dyDescent="0.25">
      <c r="A16903" s="108" t="s">
        <v>12316</v>
      </c>
    </row>
    <row r="16904" spans="1:1" x14ac:dyDescent="0.25">
      <c r="A16904" s="76" t="s">
        <v>12317</v>
      </c>
    </row>
    <row r="16905" spans="1:1" x14ac:dyDescent="0.25">
      <c r="A16905" s="108" t="s">
        <v>12318</v>
      </c>
    </row>
    <row r="16906" spans="1:1" x14ac:dyDescent="0.25">
      <c r="A16906" s="76" t="s">
        <v>12319</v>
      </c>
    </row>
    <row r="16907" spans="1:1" x14ac:dyDescent="0.25">
      <c r="A16907" s="108" t="s">
        <v>12320</v>
      </c>
    </row>
    <row r="16908" spans="1:1" x14ac:dyDescent="0.25">
      <c r="A16908" s="76" t="s">
        <v>12321</v>
      </c>
    </row>
    <row r="16909" spans="1:1" x14ac:dyDescent="0.25">
      <c r="A16909" s="108" t="s">
        <v>12322</v>
      </c>
    </row>
    <row r="16910" spans="1:1" x14ac:dyDescent="0.25">
      <c r="A16910" s="76" t="s">
        <v>12323</v>
      </c>
    </row>
    <row r="16911" spans="1:1" x14ac:dyDescent="0.25">
      <c r="A16911" s="108" t="s">
        <v>12324</v>
      </c>
    </row>
    <row r="16912" spans="1:1" x14ac:dyDescent="0.25">
      <c r="A16912" s="76" t="s">
        <v>12325</v>
      </c>
    </row>
    <row r="16913" spans="1:1" x14ac:dyDescent="0.25">
      <c r="A16913" s="108" t="s">
        <v>12326</v>
      </c>
    </row>
    <row r="16914" spans="1:1" x14ac:dyDescent="0.25">
      <c r="A16914" s="76" t="s">
        <v>12327</v>
      </c>
    </row>
    <row r="16915" spans="1:1" x14ac:dyDescent="0.25">
      <c r="A16915" s="108" t="s">
        <v>12328</v>
      </c>
    </row>
    <row r="16916" spans="1:1" x14ac:dyDescent="0.25">
      <c r="A16916" s="76" t="s">
        <v>12329</v>
      </c>
    </row>
    <row r="16917" spans="1:1" x14ac:dyDescent="0.25">
      <c r="A16917" s="108" t="s">
        <v>12330</v>
      </c>
    </row>
    <row r="16918" spans="1:1" x14ac:dyDescent="0.25">
      <c r="A16918" s="76" t="s">
        <v>12331</v>
      </c>
    </row>
    <row r="16919" spans="1:1" x14ac:dyDescent="0.25">
      <c r="A16919" s="108" t="s">
        <v>12332</v>
      </c>
    </row>
    <row r="16920" spans="1:1" x14ac:dyDescent="0.25">
      <c r="A16920" s="76" t="s">
        <v>12333</v>
      </c>
    </row>
    <row r="16921" spans="1:1" x14ac:dyDescent="0.25">
      <c r="A16921" s="108" t="s">
        <v>12334</v>
      </c>
    </row>
    <row r="16922" spans="1:1" x14ac:dyDescent="0.25">
      <c r="A16922" s="76" t="s">
        <v>12335</v>
      </c>
    </row>
    <row r="16923" spans="1:1" x14ac:dyDescent="0.25">
      <c r="A16923" s="108" t="s">
        <v>12336</v>
      </c>
    </row>
    <row r="16924" spans="1:1" x14ac:dyDescent="0.25">
      <c r="A16924" s="76" t="s">
        <v>12337</v>
      </c>
    </row>
    <row r="16925" spans="1:1" x14ac:dyDescent="0.25">
      <c r="A16925" s="108" t="s">
        <v>12338</v>
      </c>
    </row>
    <row r="16926" spans="1:1" x14ac:dyDescent="0.25">
      <c r="A16926" s="76" t="s">
        <v>12339</v>
      </c>
    </row>
    <row r="16927" spans="1:1" x14ac:dyDescent="0.25">
      <c r="A16927" s="108" t="s">
        <v>12340</v>
      </c>
    </row>
    <row r="16928" spans="1:1" x14ac:dyDescent="0.25">
      <c r="A16928" s="76" t="s">
        <v>12341</v>
      </c>
    </row>
    <row r="16929" spans="1:1" x14ac:dyDescent="0.25">
      <c r="A16929" s="108" t="s">
        <v>12342</v>
      </c>
    </row>
    <row r="16930" spans="1:1" x14ac:dyDescent="0.25">
      <c r="A16930" s="76" t="s">
        <v>12343</v>
      </c>
    </row>
    <row r="16931" spans="1:1" x14ac:dyDescent="0.25">
      <c r="A16931" s="108" t="s">
        <v>12344</v>
      </c>
    </row>
    <row r="16932" spans="1:1" x14ac:dyDescent="0.25">
      <c r="A16932" s="76" t="s">
        <v>12345</v>
      </c>
    </row>
    <row r="16933" spans="1:1" x14ac:dyDescent="0.25">
      <c r="A16933" s="108" t="s">
        <v>12346</v>
      </c>
    </row>
    <row r="16934" spans="1:1" x14ac:dyDescent="0.25">
      <c r="A16934" s="76" t="s">
        <v>12347</v>
      </c>
    </row>
    <row r="16935" spans="1:1" x14ac:dyDescent="0.25">
      <c r="A16935" s="108" t="s">
        <v>12348</v>
      </c>
    </row>
    <row r="16936" spans="1:1" x14ac:dyDescent="0.25">
      <c r="A16936" s="76" t="s">
        <v>12349</v>
      </c>
    </row>
    <row r="16937" spans="1:1" x14ac:dyDescent="0.25">
      <c r="A16937" s="108" t="s">
        <v>12350</v>
      </c>
    </row>
    <row r="16938" spans="1:1" x14ac:dyDescent="0.25">
      <c r="A16938" s="76" t="s">
        <v>12351</v>
      </c>
    </row>
    <row r="16939" spans="1:1" x14ac:dyDescent="0.25">
      <c r="A16939" s="108" t="s">
        <v>12352</v>
      </c>
    </row>
    <row r="16940" spans="1:1" x14ac:dyDescent="0.25">
      <c r="A16940" s="76" t="s">
        <v>12353</v>
      </c>
    </row>
    <row r="16941" spans="1:1" x14ac:dyDescent="0.25">
      <c r="A16941" s="108" t="s">
        <v>12354</v>
      </c>
    </row>
    <row r="16942" spans="1:1" x14ac:dyDescent="0.25">
      <c r="A16942" s="76" t="s">
        <v>12355</v>
      </c>
    </row>
    <row r="16943" spans="1:1" x14ac:dyDescent="0.25">
      <c r="A16943" s="108" t="s">
        <v>12356</v>
      </c>
    </row>
    <row r="16944" spans="1:1" x14ac:dyDescent="0.25">
      <c r="A16944" s="76" t="s">
        <v>12357</v>
      </c>
    </row>
    <row r="16945" spans="1:1" x14ac:dyDescent="0.25">
      <c r="A16945" s="108" t="s">
        <v>12358</v>
      </c>
    </row>
    <row r="16946" spans="1:1" x14ac:dyDescent="0.25">
      <c r="A16946" s="76" t="s">
        <v>12359</v>
      </c>
    </row>
    <row r="16947" spans="1:1" x14ac:dyDescent="0.25">
      <c r="A16947" s="108" t="s">
        <v>12360</v>
      </c>
    </row>
    <row r="16948" spans="1:1" x14ac:dyDescent="0.25">
      <c r="A16948" s="76" t="s">
        <v>12361</v>
      </c>
    </row>
    <row r="16949" spans="1:1" x14ac:dyDescent="0.25">
      <c r="A16949" s="108" t="s">
        <v>12362</v>
      </c>
    </row>
    <row r="16950" spans="1:1" x14ac:dyDescent="0.25">
      <c r="A16950" s="76" t="s">
        <v>12363</v>
      </c>
    </row>
    <row r="16951" spans="1:1" x14ac:dyDescent="0.25">
      <c r="A16951" s="108" t="s">
        <v>12364</v>
      </c>
    </row>
    <row r="16952" spans="1:1" x14ac:dyDescent="0.25">
      <c r="A16952" s="76" t="s">
        <v>12365</v>
      </c>
    </row>
    <row r="16953" spans="1:1" x14ac:dyDescent="0.25">
      <c r="A16953" s="108" t="s">
        <v>12366</v>
      </c>
    </row>
    <row r="16954" spans="1:1" x14ac:dyDescent="0.25">
      <c r="A16954" s="76" t="s">
        <v>12367</v>
      </c>
    </row>
    <row r="16955" spans="1:1" x14ac:dyDescent="0.25">
      <c r="A16955" s="108" t="s">
        <v>12368</v>
      </c>
    </row>
    <row r="16956" spans="1:1" x14ac:dyDescent="0.25">
      <c r="A16956" s="76" t="s">
        <v>12369</v>
      </c>
    </row>
    <row r="16957" spans="1:1" x14ac:dyDescent="0.25">
      <c r="A16957" s="108" t="s">
        <v>12370</v>
      </c>
    </row>
    <row r="16958" spans="1:1" x14ac:dyDescent="0.25">
      <c r="A16958" s="76" t="s">
        <v>12371</v>
      </c>
    </row>
    <row r="16959" spans="1:1" x14ac:dyDescent="0.25">
      <c r="A16959" s="108" t="s">
        <v>12372</v>
      </c>
    </row>
    <row r="16960" spans="1:1" x14ac:dyDescent="0.25">
      <c r="A16960" s="76" t="s">
        <v>12373</v>
      </c>
    </row>
    <row r="16961" spans="1:1" x14ac:dyDescent="0.25">
      <c r="A16961" s="108" t="s">
        <v>12374</v>
      </c>
    </row>
    <row r="16962" spans="1:1" x14ac:dyDescent="0.25">
      <c r="A16962" s="76" t="s">
        <v>12375</v>
      </c>
    </row>
    <row r="16963" spans="1:1" x14ac:dyDescent="0.25">
      <c r="A16963" s="108" t="s">
        <v>12376</v>
      </c>
    </row>
    <row r="16964" spans="1:1" x14ac:dyDescent="0.25">
      <c r="A16964" s="76" t="s">
        <v>12377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94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88" t="s">
        <v>57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89"/>
      <c r="AO1" s="25"/>
      <c r="AP1" s="25"/>
      <c r="AQ1" s="25"/>
      <c r="AR1" s="25"/>
      <c r="AS1" s="25"/>
      <c r="AT1" s="25"/>
      <c r="AU1" s="25"/>
      <c r="AV1" s="26"/>
    </row>
    <row r="2" spans="1:48" x14ac:dyDescent="0.25">
      <c r="A2" s="104" t="s">
        <v>26</v>
      </c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5"/>
      <c r="M2" s="106" t="s">
        <v>27</v>
      </c>
      <c r="N2" s="106"/>
      <c r="O2" s="106"/>
      <c r="P2" s="106"/>
      <c r="Q2" s="106"/>
      <c r="R2" s="106" t="s">
        <v>28</v>
      </c>
      <c r="S2" s="106"/>
      <c r="T2" s="106"/>
      <c r="U2" s="106"/>
      <c r="V2" s="106"/>
      <c r="W2" s="106"/>
      <c r="X2" s="106"/>
      <c r="Y2" s="100" t="s">
        <v>41</v>
      </c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7"/>
      <c r="AM2" s="107"/>
      <c r="AN2" s="107"/>
    </row>
    <row r="3" spans="1:48" x14ac:dyDescent="0.25">
      <c r="A3" s="14" t="s">
        <v>0</v>
      </c>
      <c r="B3" s="14" t="s">
        <v>1</v>
      </c>
      <c r="C3" s="14" t="s">
        <v>2</v>
      </c>
      <c r="D3" s="14" t="s">
        <v>3</v>
      </c>
      <c r="E3" s="14" t="s">
        <v>4</v>
      </c>
      <c r="F3" s="14" t="s">
        <v>5</v>
      </c>
      <c r="G3" s="14" t="s">
        <v>6</v>
      </c>
      <c r="H3" s="14" t="s">
        <v>30</v>
      </c>
      <c r="I3" s="14" t="s">
        <v>8</v>
      </c>
      <c r="J3" s="14" t="s">
        <v>9</v>
      </c>
      <c r="K3" s="14" t="s">
        <v>10</v>
      </c>
      <c r="L3" s="14" t="s">
        <v>31</v>
      </c>
      <c r="M3" s="14" t="s">
        <v>32</v>
      </c>
      <c r="N3" s="14" t="s">
        <v>33</v>
      </c>
      <c r="O3" s="14" t="s">
        <v>34</v>
      </c>
      <c r="P3" s="14" t="s">
        <v>35</v>
      </c>
      <c r="Q3" s="14" t="s">
        <v>55</v>
      </c>
      <c r="R3" s="14" t="s">
        <v>36</v>
      </c>
      <c r="S3" s="14" t="s">
        <v>12</v>
      </c>
      <c r="T3" s="14" t="s">
        <v>37</v>
      </c>
      <c r="U3" s="14" t="s">
        <v>38</v>
      </c>
      <c r="V3" s="14" t="s">
        <v>39</v>
      </c>
      <c r="W3" s="14" t="s">
        <v>40</v>
      </c>
      <c r="X3" s="14" t="s">
        <v>56</v>
      </c>
      <c r="Y3" s="14" t="s">
        <v>42</v>
      </c>
      <c r="Z3" s="14" t="s">
        <v>43</v>
      </c>
      <c r="AA3" s="14" t="s">
        <v>44</v>
      </c>
      <c r="AB3" s="14" t="s">
        <v>29</v>
      </c>
      <c r="AC3" s="14" t="s">
        <v>6</v>
      </c>
      <c r="AD3" s="14" t="s">
        <v>45</v>
      </c>
      <c r="AE3" s="14" t="s">
        <v>33</v>
      </c>
      <c r="AF3" s="14" t="s">
        <v>46</v>
      </c>
      <c r="AG3" s="14" t="s">
        <v>47</v>
      </c>
      <c r="AH3" s="14" t="s">
        <v>48</v>
      </c>
      <c r="AI3" s="14" t="s">
        <v>49</v>
      </c>
      <c r="AJ3" s="14" t="s">
        <v>50</v>
      </c>
      <c r="AK3" s="14" t="s">
        <v>51</v>
      </c>
      <c r="AL3" s="14" t="s">
        <v>52</v>
      </c>
      <c r="AM3" s="14" t="s">
        <v>53</v>
      </c>
      <c r="AN3" s="14" t="s">
        <v>54</v>
      </c>
    </row>
    <row r="4" spans="1:48" x14ac:dyDescent="0.25">
      <c r="A4" s="2"/>
      <c r="B4" s="2"/>
      <c r="C4" s="2"/>
      <c r="D4" s="15"/>
      <c r="E4" s="2"/>
      <c r="F4" s="2"/>
      <c r="G4" s="2"/>
      <c r="H4" s="2"/>
      <c r="I4" s="2"/>
      <c r="J4" s="2"/>
      <c r="K4" s="2"/>
      <c r="L4" s="2"/>
      <c r="M4" s="16"/>
      <c r="N4" s="16"/>
      <c r="O4" s="16"/>
      <c r="P4" s="16"/>
      <c r="Q4" s="16"/>
      <c r="R4" s="2"/>
      <c r="S4" s="2"/>
      <c r="T4" s="2"/>
      <c r="U4" s="2"/>
      <c r="V4" s="2"/>
      <c r="W4" s="2"/>
      <c r="X4" s="2"/>
      <c r="Y4" s="16"/>
      <c r="Z4" s="22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</row>
    <row r="5" spans="1:48" x14ac:dyDescent="0.25">
      <c r="A5" s="2"/>
      <c r="B5" s="2"/>
      <c r="C5" s="2"/>
      <c r="D5" s="15"/>
      <c r="E5" s="2"/>
      <c r="F5" s="2"/>
      <c r="G5" s="2"/>
      <c r="H5" s="2"/>
      <c r="I5" s="2"/>
      <c r="J5" s="2"/>
      <c r="K5" s="2"/>
      <c r="L5" s="2"/>
      <c r="M5" s="16"/>
      <c r="N5" s="16"/>
      <c r="O5" s="16"/>
      <c r="P5" s="23"/>
      <c r="Q5" s="16"/>
      <c r="R5" s="2"/>
      <c r="S5" s="2"/>
      <c r="T5" s="2"/>
      <c r="U5" s="2"/>
      <c r="V5" s="2"/>
      <c r="W5" s="2"/>
      <c r="X5" s="2"/>
      <c r="Y5" s="16"/>
      <c r="Z5" s="22"/>
      <c r="AA5" s="16"/>
      <c r="AB5" s="23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</row>
    <row r="6" spans="1:48" x14ac:dyDescent="0.25">
      <c r="A6" s="2"/>
      <c r="B6" s="2"/>
      <c r="C6" s="2"/>
      <c r="D6" s="15"/>
      <c r="E6" s="2"/>
      <c r="F6" s="2"/>
      <c r="G6" s="2"/>
      <c r="H6" s="2"/>
      <c r="I6" s="2"/>
      <c r="J6" s="2"/>
      <c r="K6" s="2"/>
      <c r="L6" s="2"/>
      <c r="M6" s="16"/>
      <c r="N6" s="16"/>
      <c r="O6" s="16"/>
      <c r="P6" s="23"/>
      <c r="Q6" s="16"/>
      <c r="R6" s="2"/>
      <c r="S6" s="2"/>
      <c r="T6" s="2"/>
      <c r="U6" s="2"/>
      <c r="V6" s="2"/>
      <c r="W6" s="2"/>
      <c r="X6" s="2"/>
      <c r="Y6" s="16"/>
      <c r="Z6" s="22"/>
      <c r="AA6" s="16"/>
      <c r="AB6" s="23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</row>
    <row r="7" spans="1:48" x14ac:dyDescent="0.25">
      <c r="A7" s="2"/>
      <c r="B7" s="2"/>
      <c r="C7" s="2"/>
      <c r="D7" s="15"/>
      <c r="E7" s="2"/>
      <c r="F7" s="2"/>
      <c r="G7" s="2"/>
      <c r="H7" s="2"/>
      <c r="I7" s="2"/>
      <c r="J7" s="2"/>
      <c r="K7" s="2"/>
      <c r="L7" s="2"/>
      <c r="M7" s="16"/>
      <c r="N7" s="16"/>
      <c r="O7" s="16"/>
      <c r="P7" s="23"/>
      <c r="Q7" s="16"/>
      <c r="R7" s="2"/>
      <c r="S7" s="2"/>
      <c r="T7" s="2"/>
      <c r="U7" s="2"/>
      <c r="V7" s="2"/>
      <c r="W7" s="2"/>
      <c r="X7" s="2"/>
      <c r="Y7" s="16"/>
      <c r="Z7" s="22"/>
      <c r="AA7" s="16"/>
      <c r="AB7" s="23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</row>
    <row r="8" spans="1:48" x14ac:dyDescent="0.25">
      <c r="A8" s="2"/>
      <c r="B8" s="2"/>
      <c r="C8" s="2"/>
      <c r="D8" s="15"/>
      <c r="E8" s="2"/>
      <c r="F8" s="2"/>
      <c r="G8" s="2"/>
      <c r="H8" s="2"/>
      <c r="I8" s="2"/>
      <c r="J8" s="2"/>
      <c r="K8" s="2"/>
      <c r="L8" s="2"/>
      <c r="M8" s="16"/>
      <c r="N8" s="16"/>
      <c r="O8" s="16"/>
      <c r="P8" s="23"/>
      <c r="Q8" s="16"/>
      <c r="R8" s="2"/>
      <c r="S8" s="2"/>
      <c r="T8" s="2"/>
      <c r="U8" s="2"/>
      <c r="V8" s="2"/>
      <c r="W8" s="2"/>
      <c r="X8" s="2"/>
      <c r="Y8" s="16"/>
      <c r="Z8" s="22"/>
      <c r="AA8" s="16"/>
      <c r="AB8" s="23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</row>
    <row r="9" spans="1:48" x14ac:dyDescent="0.25">
      <c r="A9" s="2"/>
      <c r="B9" s="2"/>
      <c r="C9" s="2"/>
      <c r="D9" s="15"/>
      <c r="E9" s="2"/>
      <c r="F9" s="2"/>
      <c r="G9" s="2"/>
      <c r="H9" s="2"/>
      <c r="I9" s="2"/>
      <c r="J9" s="2"/>
      <c r="K9" s="2"/>
      <c r="L9" s="2"/>
      <c r="M9" s="16"/>
      <c r="N9" s="16"/>
      <c r="O9" s="16"/>
      <c r="P9" s="23"/>
      <c r="Q9" s="16"/>
      <c r="R9" s="2"/>
      <c r="S9" s="2"/>
      <c r="T9" s="2"/>
      <c r="U9" s="2"/>
      <c r="V9" s="2"/>
      <c r="W9" s="2"/>
      <c r="X9" s="2"/>
      <c r="Y9" s="16"/>
      <c r="Z9" s="22"/>
      <c r="AA9" s="16"/>
      <c r="AB9" s="23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</row>
    <row r="10" spans="1:48" x14ac:dyDescent="0.25">
      <c r="A10" s="2"/>
      <c r="B10" s="2"/>
      <c r="C10" s="2"/>
      <c r="D10" s="15"/>
      <c r="E10" s="2"/>
      <c r="F10" s="2"/>
      <c r="G10" s="2"/>
      <c r="H10" s="2"/>
      <c r="I10" s="2"/>
      <c r="J10" s="2"/>
      <c r="K10" s="2"/>
      <c r="L10" s="2"/>
      <c r="M10" s="16"/>
      <c r="N10" s="16"/>
      <c r="O10" s="16"/>
      <c r="P10" s="23"/>
      <c r="Q10" s="16"/>
      <c r="R10" s="2"/>
      <c r="S10" s="2"/>
      <c r="T10" s="2"/>
      <c r="U10" s="2"/>
      <c r="V10" s="2"/>
      <c r="W10" s="2"/>
      <c r="X10" s="2"/>
      <c r="Y10" s="16"/>
      <c r="Z10" s="22"/>
      <c r="AA10" s="16"/>
      <c r="AB10" s="23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</row>
    <row r="11" spans="1:48" x14ac:dyDescent="0.25">
      <c r="A11" s="2"/>
      <c r="B11" s="2"/>
      <c r="C11" s="2"/>
      <c r="D11" s="15"/>
      <c r="E11" s="2"/>
      <c r="F11" s="2"/>
      <c r="G11" s="2"/>
      <c r="H11" s="2"/>
      <c r="I11" s="2"/>
      <c r="J11" s="2"/>
      <c r="K11" s="2"/>
      <c r="L11" s="2"/>
      <c r="M11" s="16"/>
      <c r="N11" s="16"/>
      <c r="O11" s="16"/>
      <c r="P11" s="23"/>
      <c r="Q11" s="16"/>
      <c r="R11" s="2"/>
      <c r="S11" s="2"/>
      <c r="T11" s="2"/>
      <c r="U11" s="2"/>
      <c r="V11" s="2"/>
      <c r="W11" s="2"/>
      <c r="X11" s="2"/>
      <c r="Y11" s="16"/>
      <c r="Z11" s="22"/>
      <c r="AA11" s="16"/>
      <c r="AB11" s="23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8" x14ac:dyDescent="0.25">
      <c r="A12" s="2"/>
      <c r="B12" s="2"/>
      <c r="C12" s="2"/>
      <c r="D12" s="15"/>
      <c r="E12" s="2"/>
      <c r="F12" s="2"/>
      <c r="G12" s="2"/>
      <c r="H12" s="2"/>
      <c r="I12" s="2"/>
      <c r="J12" s="2"/>
      <c r="K12" s="2"/>
      <c r="L12" s="2"/>
      <c r="M12" s="16"/>
      <c r="N12" s="16"/>
      <c r="O12" s="16"/>
      <c r="P12" s="23"/>
      <c r="Q12" s="16"/>
      <c r="R12" s="2"/>
      <c r="S12" s="2"/>
      <c r="T12" s="2"/>
      <c r="U12" s="2"/>
      <c r="V12" s="2"/>
      <c r="W12" s="2"/>
      <c r="X12" s="2"/>
      <c r="Y12" s="16"/>
      <c r="Z12" s="22"/>
      <c r="AA12" s="16"/>
      <c r="AB12" s="23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8" x14ac:dyDescent="0.25">
      <c r="A13" s="2"/>
      <c r="B13" s="2"/>
      <c r="C13" s="2"/>
      <c r="D13" s="15"/>
      <c r="E13" s="2"/>
      <c r="F13" s="2"/>
      <c r="G13" s="2"/>
      <c r="H13" s="2"/>
      <c r="I13" s="2"/>
      <c r="J13" s="2"/>
      <c r="K13" s="2"/>
      <c r="L13" s="2"/>
      <c r="M13" s="16"/>
      <c r="N13" s="16"/>
      <c r="O13" s="16"/>
      <c r="P13" s="23"/>
      <c r="Q13" s="16"/>
      <c r="R13" s="2"/>
      <c r="S13" s="2"/>
      <c r="T13" s="2"/>
      <c r="U13" s="2"/>
      <c r="V13" s="2"/>
      <c r="W13" s="2"/>
      <c r="X13" s="2"/>
      <c r="Y13" s="16"/>
      <c r="Z13" s="22"/>
      <c r="AA13" s="16"/>
      <c r="AB13" s="23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8" x14ac:dyDescent="0.25">
      <c r="A14" s="2"/>
      <c r="B14" s="2"/>
      <c r="C14" s="2"/>
      <c r="D14" s="15"/>
      <c r="E14" s="2"/>
      <c r="F14" s="2"/>
      <c r="G14" s="2"/>
      <c r="H14" s="2"/>
      <c r="I14" s="2"/>
      <c r="J14" s="2"/>
      <c r="K14" s="2"/>
      <c r="L14" s="2"/>
      <c r="M14" s="16"/>
      <c r="N14" s="16"/>
      <c r="O14" s="16"/>
      <c r="P14" s="23"/>
      <c r="Q14" s="16"/>
      <c r="R14" s="2"/>
      <c r="S14" s="2"/>
      <c r="T14" s="2"/>
      <c r="U14" s="2"/>
      <c r="V14" s="2"/>
      <c r="W14" s="2"/>
      <c r="X14" s="2"/>
      <c r="Y14" s="16"/>
      <c r="Z14" s="22"/>
      <c r="AA14" s="16"/>
      <c r="AB14" s="23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8" x14ac:dyDescent="0.25">
      <c r="A15" s="2"/>
      <c r="B15" s="2"/>
      <c r="C15" s="2"/>
      <c r="D15" s="15"/>
      <c r="E15" s="2"/>
      <c r="F15" s="2"/>
      <c r="G15" s="2"/>
      <c r="H15" s="2"/>
      <c r="I15" s="2"/>
      <c r="J15" s="2"/>
      <c r="K15" s="2"/>
      <c r="L15" s="2"/>
      <c r="M15" s="16"/>
      <c r="N15" s="16"/>
      <c r="O15" s="16"/>
      <c r="P15" s="23"/>
      <c r="Q15" s="16"/>
      <c r="R15" s="2"/>
      <c r="S15" s="2"/>
      <c r="T15" s="2"/>
      <c r="U15" s="2"/>
      <c r="V15" s="2"/>
      <c r="W15" s="2"/>
      <c r="X15" s="2"/>
      <c r="Y15" s="16"/>
      <c r="Z15" s="22"/>
      <c r="AA15" s="16"/>
      <c r="AB15" s="23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8" x14ac:dyDescent="0.25">
      <c r="A16" s="2"/>
      <c r="B16" s="2"/>
      <c r="C16" s="2"/>
      <c r="D16" s="15"/>
      <c r="E16" s="2"/>
      <c r="F16" s="2"/>
      <c r="G16" s="2"/>
      <c r="H16" s="2"/>
      <c r="I16" s="2"/>
      <c r="J16" s="2"/>
      <c r="K16" s="2"/>
      <c r="L16" s="2"/>
      <c r="M16" s="16"/>
      <c r="N16" s="16"/>
      <c r="O16" s="16"/>
      <c r="P16" s="23"/>
      <c r="Q16" s="16"/>
      <c r="R16" s="2"/>
      <c r="S16" s="2"/>
      <c r="T16" s="2"/>
      <c r="U16" s="2"/>
      <c r="V16" s="2"/>
      <c r="W16" s="2"/>
      <c r="X16" s="2"/>
      <c r="Y16" s="16"/>
      <c r="Z16" s="22"/>
      <c r="AA16" s="16"/>
      <c r="AB16" s="23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25">
      <c r="A17" s="2"/>
      <c r="B17" s="2"/>
      <c r="C17" s="2"/>
      <c r="D17" s="15"/>
      <c r="E17" s="2"/>
      <c r="F17" s="2"/>
      <c r="G17" s="2"/>
      <c r="H17" s="2"/>
      <c r="I17" s="2"/>
      <c r="J17" s="2"/>
      <c r="K17" s="2"/>
      <c r="L17" s="2"/>
      <c r="M17" s="16"/>
      <c r="N17" s="16"/>
      <c r="O17" s="16"/>
      <c r="P17" s="23"/>
      <c r="Q17" s="16"/>
      <c r="R17" s="2"/>
      <c r="S17" s="2"/>
      <c r="T17" s="2"/>
      <c r="U17" s="2"/>
      <c r="V17" s="2"/>
      <c r="W17" s="2"/>
      <c r="X17" s="2"/>
      <c r="Y17" s="16"/>
      <c r="Z17" s="22"/>
      <c r="AA17" s="16"/>
      <c r="AB17" s="23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25">
      <c r="A18" s="2"/>
      <c r="B18" s="2"/>
      <c r="C18" s="2"/>
      <c r="D18" s="15"/>
      <c r="E18" s="2"/>
      <c r="F18" s="2"/>
      <c r="G18" s="2"/>
      <c r="H18" s="2"/>
      <c r="I18" s="2"/>
      <c r="J18" s="2"/>
      <c r="K18" s="2"/>
      <c r="L18" s="2"/>
      <c r="M18" s="16"/>
      <c r="N18" s="16"/>
      <c r="O18" s="16"/>
      <c r="P18" s="23"/>
      <c r="Q18" s="16"/>
      <c r="R18" s="2"/>
      <c r="S18" s="2"/>
      <c r="T18" s="2"/>
      <c r="U18" s="2"/>
      <c r="V18" s="2"/>
      <c r="W18" s="2"/>
      <c r="X18" s="2"/>
      <c r="Y18" s="16"/>
      <c r="Z18" s="22"/>
      <c r="AA18" s="16"/>
      <c r="AB18" s="23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25">
      <c r="A19" s="2"/>
      <c r="B19" s="2"/>
      <c r="C19" s="2"/>
      <c r="D19" s="15"/>
      <c r="E19" s="2"/>
      <c r="F19" s="2"/>
      <c r="G19" s="2"/>
      <c r="H19" s="2"/>
      <c r="I19" s="2"/>
      <c r="J19" s="2"/>
      <c r="K19" s="2"/>
      <c r="L19" s="2"/>
      <c r="M19" s="16"/>
      <c r="N19" s="16"/>
      <c r="O19" s="16"/>
      <c r="P19" s="23"/>
      <c r="Q19" s="16"/>
      <c r="R19" s="2"/>
      <c r="S19" s="2"/>
      <c r="T19" s="2"/>
      <c r="U19" s="2"/>
      <c r="V19" s="2"/>
      <c r="W19" s="2"/>
      <c r="X19" s="2"/>
      <c r="Y19" s="16"/>
      <c r="Z19" s="22"/>
      <c r="AA19" s="16"/>
      <c r="AB19" s="23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25">
      <c r="A20" s="2"/>
      <c r="B20" s="2"/>
      <c r="C20" s="2"/>
      <c r="D20" s="15"/>
      <c r="E20" s="2"/>
      <c r="F20" s="2"/>
      <c r="G20" s="2"/>
      <c r="H20" s="2"/>
      <c r="I20" s="2"/>
      <c r="J20" s="2"/>
      <c r="K20" s="2"/>
      <c r="L20" s="2"/>
      <c r="M20" s="16"/>
      <c r="N20" s="16"/>
      <c r="O20" s="16"/>
      <c r="P20" s="23"/>
      <c r="Q20" s="16"/>
      <c r="R20" s="2"/>
      <c r="S20" s="2"/>
      <c r="T20" s="2"/>
      <c r="U20" s="2"/>
      <c r="V20" s="2"/>
      <c r="W20" s="2"/>
      <c r="X20" s="2"/>
      <c r="Y20" s="16"/>
      <c r="Z20" s="22"/>
      <c r="AA20" s="16"/>
      <c r="AB20" s="23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25">
      <c r="A21" s="2"/>
      <c r="B21" s="2"/>
      <c r="C21" s="2"/>
      <c r="D21" s="15"/>
      <c r="E21" s="2"/>
      <c r="F21" s="2"/>
      <c r="G21" s="2"/>
      <c r="H21" s="2"/>
      <c r="I21" s="2"/>
      <c r="J21" s="2"/>
      <c r="K21" s="2"/>
      <c r="L21" s="2"/>
      <c r="M21" s="16"/>
      <c r="N21" s="16"/>
      <c r="O21" s="16"/>
      <c r="P21" s="23"/>
      <c r="Q21" s="16"/>
      <c r="R21" s="2"/>
      <c r="S21" s="2"/>
      <c r="T21" s="2"/>
      <c r="U21" s="2"/>
      <c r="V21" s="2"/>
      <c r="W21" s="2"/>
      <c r="X21" s="2"/>
      <c r="Y21" s="16"/>
      <c r="Z21" s="22"/>
      <c r="AA21" s="16"/>
      <c r="AB21" s="23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25">
      <c r="A22" s="2"/>
      <c r="B22" s="2"/>
      <c r="C22" s="2"/>
      <c r="D22" s="15"/>
      <c r="E22" s="2"/>
      <c r="F22" s="2"/>
      <c r="G22" s="2"/>
      <c r="H22" s="2"/>
      <c r="I22" s="2"/>
      <c r="J22" s="2"/>
      <c r="K22" s="2"/>
      <c r="L22" s="2"/>
      <c r="M22" s="16"/>
      <c r="N22" s="16"/>
      <c r="O22" s="16"/>
      <c r="P22" s="23"/>
      <c r="Q22" s="16"/>
      <c r="R22" s="2"/>
      <c r="S22" s="2"/>
      <c r="T22" s="2"/>
      <c r="U22" s="2"/>
      <c r="V22" s="2"/>
      <c r="W22" s="2"/>
      <c r="X22" s="2"/>
      <c r="Y22" s="16"/>
      <c r="Z22" s="22"/>
      <c r="AA22" s="16"/>
      <c r="AB22" s="23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25">
      <c r="A23" s="2"/>
      <c r="B23" s="2"/>
      <c r="C23" s="2"/>
      <c r="D23" s="15"/>
      <c r="E23" s="2"/>
      <c r="F23" s="2"/>
      <c r="G23" s="2"/>
      <c r="H23" s="2"/>
      <c r="I23" s="2"/>
      <c r="J23" s="2"/>
      <c r="K23" s="2"/>
      <c r="L23" s="2"/>
      <c r="M23" s="16"/>
      <c r="N23" s="16"/>
      <c r="O23" s="16"/>
      <c r="P23" s="23"/>
      <c r="Q23" s="16"/>
      <c r="R23" s="2"/>
      <c r="S23" s="2"/>
      <c r="T23" s="2"/>
      <c r="U23" s="2"/>
      <c r="V23" s="2"/>
      <c r="W23" s="2"/>
      <c r="X23" s="2"/>
      <c r="Y23" s="16"/>
      <c r="Z23" s="22"/>
      <c r="AA23" s="16"/>
      <c r="AB23" s="23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25">
      <c r="A24" s="2"/>
      <c r="B24" s="2"/>
      <c r="C24" s="2"/>
      <c r="D24" s="15"/>
      <c r="E24" s="2"/>
      <c r="F24" s="2"/>
      <c r="G24" s="2"/>
      <c r="H24" s="2"/>
      <c r="I24" s="2"/>
      <c r="J24" s="2"/>
      <c r="K24" s="2"/>
      <c r="L24" s="2"/>
      <c r="M24" s="16"/>
      <c r="N24" s="16"/>
      <c r="O24" s="16"/>
      <c r="P24" s="23"/>
      <c r="Q24" s="16"/>
      <c r="R24" s="2"/>
      <c r="S24" s="2"/>
      <c r="T24" s="2"/>
      <c r="U24" s="2"/>
      <c r="V24" s="2"/>
      <c r="W24" s="2"/>
      <c r="X24" s="2"/>
      <c r="Y24" s="16"/>
      <c r="Z24" s="22"/>
      <c r="AA24" s="16"/>
      <c r="AB24" s="23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25">
      <c r="A25" s="2"/>
      <c r="B25" s="2"/>
      <c r="C25" s="2"/>
      <c r="D25" s="15"/>
      <c r="E25" s="2"/>
      <c r="F25" s="2"/>
      <c r="G25" s="2"/>
      <c r="H25" s="2"/>
      <c r="I25" s="2"/>
      <c r="J25" s="2"/>
      <c r="K25" s="2"/>
      <c r="L25" s="2"/>
      <c r="M25" s="16"/>
      <c r="N25" s="16"/>
      <c r="O25" s="16"/>
      <c r="P25" s="23"/>
      <c r="Q25" s="16"/>
      <c r="R25" s="2"/>
      <c r="S25" s="2"/>
      <c r="T25" s="2"/>
      <c r="U25" s="2"/>
      <c r="V25" s="2"/>
      <c r="W25" s="2"/>
      <c r="X25" s="2"/>
      <c r="Y25" s="16"/>
      <c r="Z25" s="22"/>
      <c r="AA25" s="16"/>
      <c r="AB25" s="23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25">
      <c r="A26" s="2"/>
      <c r="B26" s="2"/>
      <c r="C26" s="2"/>
      <c r="D26" s="15"/>
      <c r="E26" s="2"/>
      <c r="F26" s="2"/>
      <c r="G26" s="2"/>
      <c r="H26" s="2"/>
      <c r="I26" s="2"/>
      <c r="J26" s="2"/>
      <c r="K26" s="2"/>
      <c r="L26" s="2"/>
      <c r="M26" s="16"/>
      <c r="N26" s="16"/>
      <c r="O26" s="16"/>
      <c r="P26" s="23"/>
      <c r="Q26" s="16"/>
      <c r="R26" s="2"/>
      <c r="S26" s="2"/>
      <c r="T26" s="2"/>
      <c r="U26" s="2"/>
      <c r="V26" s="2"/>
      <c r="W26" s="2"/>
      <c r="X26" s="2"/>
      <c r="Y26" s="16"/>
      <c r="Z26" s="22"/>
      <c r="AA26" s="16"/>
      <c r="AB26" s="23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25">
      <c r="A27" s="2"/>
      <c r="B27" s="2"/>
      <c r="C27" s="2"/>
      <c r="D27" s="15"/>
      <c r="E27" s="2"/>
      <c r="F27" s="2"/>
      <c r="G27" s="2"/>
      <c r="H27" s="2"/>
      <c r="I27" s="2"/>
      <c r="J27" s="2"/>
      <c r="K27" s="2"/>
      <c r="L27" s="2"/>
      <c r="M27" s="16"/>
      <c r="N27" s="16"/>
      <c r="O27" s="16"/>
      <c r="P27" s="23"/>
      <c r="Q27" s="16"/>
      <c r="R27" s="2"/>
      <c r="S27" s="2"/>
      <c r="T27" s="2"/>
      <c r="U27" s="2"/>
      <c r="V27" s="2"/>
      <c r="W27" s="2"/>
      <c r="X27" s="2"/>
      <c r="Y27" s="16"/>
      <c r="Z27" s="22"/>
      <c r="AA27" s="16"/>
      <c r="AB27" s="23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25">
      <c r="A28" s="2"/>
      <c r="B28" s="2"/>
      <c r="C28" s="2"/>
      <c r="D28" s="15"/>
      <c r="E28" s="2"/>
      <c r="F28" s="2"/>
      <c r="G28" s="2"/>
      <c r="H28" s="2"/>
      <c r="I28" s="2"/>
      <c r="J28" s="2"/>
      <c r="K28" s="2"/>
      <c r="L28" s="2"/>
      <c r="M28" s="16"/>
      <c r="N28" s="16"/>
      <c r="O28" s="16"/>
      <c r="P28" s="23"/>
      <c r="Q28" s="16"/>
      <c r="R28" s="2"/>
      <c r="S28" s="2"/>
      <c r="T28" s="2"/>
      <c r="U28" s="2"/>
      <c r="V28" s="2"/>
      <c r="W28" s="2"/>
      <c r="X28" s="2"/>
      <c r="Y28" s="16"/>
      <c r="Z28" s="22"/>
      <c r="AA28" s="16"/>
      <c r="AB28" s="23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25">
      <c r="A29" s="2"/>
      <c r="B29" s="2"/>
      <c r="C29" s="2"/>
      <c r="D29" s="15"/>
      <c r="E29" s="2"/>
      <c r="F29" s="2"/>
      <c r="G29" s="2"/>
      <c r="H29" s="2"/>
      <c r="I29" s="2"/>
      <c r="J29" s="2"/>
      <c r="K29" s="2"/>
      <c r="L29" s="2"/>
      <c r="M29" s="16"/>
      <c r="N29" s="16"/>
      <c r="O29" s="16"/>
      <c r="P29" s="23"/>
      <c r="Q29" s="16"/>
      <c r="R29" s="2"/>
      <c r="S29" s="2"/>
      <c r="T29" s="2"/>
      <c r="U29" s="2"/>
      <c r="V29" s="2"/>
      <c r="W29" s="2"/>
      <c r="X29" s="2"/>
      <c r="Y29" s="16"/>
      <c r="Z29" s="22"/>
      <c r="AA29" s="16"/>
      <c r="AB29" s="23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25">
      <c r="A30" s="2"/>
      <c r="B30" s="2"/>
      <c r="C30" s="2"/>
      <c r="D30" s="15"/>
      <c r="E30" s="2"/>
      <c r="F30" s="2"/>
      <c r="G30" s="2"/>
      <c r="H30" s="2"/>
      <c r="I30" s="2"/>
      <c r="J30" s="2"/>
      <c r="K30" s="2"/>
      <c r="L30" s="2"/>
      <c r="M30" s="16"/>
      <c r="N30" s="16"/>
      <c r="O30" s="16"/>
      <c r="P30" s="23"/>
      <c r="Q30" s="16"/>
      <c r="R30" s="2"/>
      <c r="S30" s="2"/>
      <c r="T30" s="2"/>
      <c r="U30" s="2"/>
      <c r="V30" s="2"/>
      <c r="W30" s="2"/>
      <c r="X30" s="2"/>
      <c r="Y30" s="16"/>
      <c r="Z30" s="22"/>
      <c r="AA30" s="16"/>
      <c r="AB30" s="23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25">
      <c r="A31" s="2"/>
      <c r="B31" s="2"/>
      <c r="C31" s="2"/>
      <c r="D31" s="15"/>
      <c r="E31" s="2"/>
      <c r="F31" s="2"/>
      <c r="G31" s="2"/>
      <c r="H31" s="2"/>
      <c r="I31" s="2"/>
      <c r="J31" s="2"/>
      <c r="K31" s="2"/>
      <c r="L31" s="2"/>
      <c r="M31" s="16"/>
      <c r="N31" s="16"/>
      <c r="O31" s="16"/>
      <c r="P31" s="23"/>
      <c r="Q31" s="16"/>
      <c r="R31" s="2"/>
      <c r="S31" s="2"/>
      <c r="T31" s="2"/>
      <c r="U31" s="2"/>
      <c r="V31" s="2"/>
      <c r="W31" s="2"/>
      <c r="X31" s="2"/>
      <c r="Y31" s="16"/>
      <c r="Z31" s="22"/>
      <c r="AA31" s="16"/>
      <c r="AB31" s="23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25">
      <c r="A32" s="2"/>
      <c r="B32" s="2"/>
      <c r="C32" s="2"/>
      <c r="D32" s="15"/>
      <c r="E32" s="2"/>
      <c r="F32" s="2"/>
      <c r="G32" s="2"/>
      <c r="H32" s="2"/>
      <c r="I32" s="2"/>
      <c r="J32" s="2"/>
      <c r="K32" s="2"/>
      <c r="L32" s="2"/>
      <c r="M32" s="16"/>
      <c r="N32" s="16"/>
      <c r="O32" s="16"/>
      <c r="P32" s="23"/>
      <c r="Q32" s="16"/>
      <c r="R32" s="2"/>
      <c r="S32" s="2"/>
      <c r="T32" s="2"/>
      <c r="U32" s="2"/>
      <c r="V32" s="2"/>
      <c r="W32" s="2"/>
      <c r="X32" s="2"/>
      <c r="Y32" s="16"/>
      <c r="Z32" s="22"/>
      <c r="AA32" s="16"/>
      <c r="AB32" s="23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25">
      <c r="A33" s="2"/>
      <c r="B33" s="2"/>
      <c r="C33" s="2"/>
      <c r="D33" s="15"/>
      <c r="E33" s="2"/>
      <c r="F33" s="2"/>
      <c r="G33" s="2"/>
      <c r="H33" s="2"/>
      <c r="I33" s="2"/>
      <c r="J33" s="2"/>
      <c r="K33" s="2"/>
      <c r="L33" s="2"/>
      <c r="M33" s="16"/>
      <c r="N33" s="16"/>
      <c r="O33" s="16"/>
      <c r="P33" s="23"/>
      <c r="Q33" s="16"/>
      <c r="R33" s="2"/>
      <c r="S33" s="2"/>
      <c r="T33" s="2"/>
      <c r="U33" s="2"/>
      <c r="V33" s="2"/>
      <c r="W33" s="2"/>
      <c r="X33" s="2"/>
      <c r="Y33" s="16"/>
      <c r="Z33" s="22"/>
      <c r="AA33" s="16"/>
      <c r="AB33" s="23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25">
      <c r="A34" s="2"/>
      <c r="B34" s="2"/>
      <c r="C34" s="2"/>
      <c r="D34" s="15"/>
      <c r="E34" s="2"/>
      <c r="F34" s="2"/>
      <c r="G34" s="2"/>
      <c r="H34" s="2"/>
      <c r="I34" s="2"/>
      <c r="J34" s="2"/>
      <c r="K34" s="2"/>
      <c r="L34" s="2"/>
      <c r="M34" s="16"/>
      <c r="N34" s="16"/>
      <c r="O34" s="16"/>
      <c r="P34" s="23"/>
      <c r="Q34" s="16"/>
      <c r="R34" s="2"/>
      <c r="S34" s="2"/>
      <c r="T34" s="2"/>
      <c r="U34" s="2"/>
      <c r="V34" s="2"/>
      <c r="W34" s="2"/>
      <c r="X34" s="2"/>
      <c r="Y34" s="16"/>
      <c r="Z34" s="22"/>
      <c r="AA34" s="16"/>
      <c r="AB34" s="23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25">
      <c r="A35" s="2"/>
      <c r="B35" s="2"/>
      <c r="C35" s="2"/>
      <c r="D35" s="15"/>
      <c r="E35" s="2"/>
      <c r="F35" s="2"/>
      <c r="G35" s="2"/>
      <c r="H35" s="2"/>
      <c r="I35" s="2"/>
      <c r="J35" s="2"/>
      <c r="K35" s="2"/>
      <c r="L35" s="2"/>
      <c r="M35" s="16"/>
      <c r="N35" s="16"/>
      <c r="O35" s="16"/>
      <c r="P35" s="23"/>
      <c r="Q35" s="16"/>
      <c r="R35" s="2"/>
      <c r="S35" s="2"/>
      <c r="T35" s="2"/>
      <c r="U35" s="2"/>
      <c r="V35" s="2"/>
      <c r="W35" s="2"/>
      <c r="X35" s="2"/>
      <c r="Y35" s="16"/>
      <c r="Z35" s="22"/>
      <c r="AA35" s="16"/>
      <c r="AB35" s="23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25">
      <c r="A36" s="2"/>
      <c r="B36" s="2"/>
      <c r="C36" s="2"/>
      <c r="D36" s="15"/>
      <c r="E36" s="2"/>
      <c r="F36" s="2"/>
      <c r="G36" s="2"/>
      <c r="H36" s="2"/>
      <c r="I36" s="2"/>
      <c r="J36" s="2"/>
      <c r="K36" s="2"/>
      <c r="L36" s="2"/>
      <c r="M36" s="16"/>
      <c r="N36" s="16"/>
      <c r="O36" s="16"/>
      <c r="P36" s="23"/>
      <c r="Q36" s="16"/>
      <c r="R36" s="2"/>
      <c r="S36" s="2"/>
      <c r="T36" s="2"/>
      <c r="U36" s="2"/>
      <c r="V36" s="2"/>
      <c r="W36" s="2"/>
      <c r="X36" s="2"/>
      <c r="Y36" s="16"/>
      <c r="Z36" s="22"/>
      <c r="AA36" s="16"/>
      <c r="AB36" s="23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25">
      <c r="A37" s="2"/>
      <c r="B37" s="2"/>
      <c r="C37" s="2"/>
      <c r="D37" s="15"/>
      <c r="E37" s="2"/>
      <c r="F37" s="2"/>
      <c r="G37" s="2"/>
      <c r="H37" s="2"/>
      <c r="I37" s="2"/>
      <c r="J37" s="2"/>
      <c r="K37" s="2"/>
      <c r="L37" s="2"/>
      <c r="M37" s="16"/>
      <c r="N37" s="16"/>
      <c r="O37" s="16"/>
      <c r="P37" s="23"/>
      <c r="Q37" s="16"/>
      <c r="R37" s="2"/>
      <c r="S37" s="2"/>
      <c r="T37" s="2"/>
      <c r="U37" s="2"/>
      <c r="V37" s="2"/>
      <c r="W37" s="2"/>
      <c r="X37" s="2"/>
      <c r="Y37" s="16"/>
      <c r="Z37" s="22"/>
      <c r="AA37" s="16"/>
      <c r="AB37" s="23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25">
      <c r="A38" s="2"/>
      <c r="B38" s="2"/>
      <c r="C38" s="2"/>
      <c r="D38" s="15"/>
      <c r="E38" s="2"/>
      <c r="F38" s="2"/>
      <c r="G38" s="2"/>
      <c r="H38" s="2"/>
      <c r="I38" s="2"/>
      <c r="J38" s="2"/>
      <c r="K38" s="2"/>
      <c r="L38" s="2"/>
      <c r="M38" s="16"/>
      <c r="N38" s="16"/>
      <c r="O38" s="16"/>
      <c r="P38" s="23"/>
      <c r="Q38" s="16"/>
      <c r="R38" s="2"/>
      <c r="S38" s="2"/>
      <c r="T38" s="2"/>
      <c r="U38" s="2"/>
      <c r="V38" s="2"/>
      <c r="W38" s="2"/>
      <c r="X38" s="2"/>
      <c r="Y38" s="16"/>
      <c r="Z38" s="22"/>
      <c r="AA38" s="16"/>
      <c r="AB38" s="23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25">
      <c r="A39" s="2"/>
      <c r="B39" s="2"/>
      <c r="C39" s="2"/>
      <c r="D39" s="15"/>
      <c r="E39" s="2"/>
      <c r="F39" s="2"/>
      <c r="G39" s="2"/>
      <c r="H39" s="2"/>
      <c r="I39" s="2"/>
      <c r="J39" s="2"/>
      <c r="K39" s="2"/>
      <c r="L39" s="2"/>
      <c r="M39" s="16"/>
      <c r="N39" s="16"/>
      <c r="O39" s="16"/>
      <c r="P39" s="23"/>
      <c r="Q39" s="16"/>
      <c r="R39" s="2"/>
      <c r="S39" s="2"/>
      <c r="T39" s="2"/>
      <c r="U39" s="2"/>
      <c r="V39" s="2"/>
      <c r="W39" s="2"/>
      <c r="X39" s="2"/>
      <c r="Y39" s="16"/>
      <c r="Z39" s="22"/>
      <c r="AA39" s="16"/>
      <c r="AB39" s="23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25">
      <c r="A40" s="2"/>
      <c r="B40" s="2"/>
      <c r="C40" s="2"/>
      <c r="D40" s="15"/>
      <c r="E40" s="2"/>
      <c r="F40" s="2"/>
      <c r="G40" s="2"/>
      <c r="H40" s="2"/>
      <c r="I40" s="2"/>
      <c r="J40" s="2"/>
      <c r="K40" s="2"/>
      <c r="L40" s="2"/>
      <c r="M40" s="16"/>
      <c r="N40" s="16"/>
      <c r="O40" s="16"/>
      <c r="P40" s="23"/>
      <c r="Q40" s="16"/>
      <c r="R40" s="2"/>
      <c r="S40" s="2"/>
      <c r="T40" s="2"/>
      <c r="U40" s="2"/>
      <c r="V40" s="2"/>
      <c r="W40" s="2"/>
      <c r="X40" s="2"/>
      <c r="Y40" s="16"/>
      <c r="Z40" s="22"/>
      <c r="AA40" s="16"/>
      <c r="AB40" s="23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25">
      <c r="A41" s="2"/>
      <c r="B41" s="2"/>
      <c r="C41" s="2"/>
      <c r="D41" s="15"/>
      <c r="E41" s="2"/>
      <c r="F41" s="2"/>
      <c r="G41" s="2"/>
      <c r="H41" s="2"/>
      <c r="I41" s="2"/>
      <c r="J41" s="2"/>
      <c r="K41" s="2"/>
      <c r="L41" s="2"/>
      <c r="M41" s="16"/>
      <c r="N41" s="16"/>
      <c r="O41" s="16"/>
      <c r="P41" s="23"/>
      <c r="Q41" s="16"/>
      <c r="R41" s="2"/>
      <c r="S41" s="2"/>
      <c r="T41" s="2"/>
      <c r="U41" s="2"/>
      <c r="V41" s="2"/>
      <c r="W41" s="2"/>
      <c r="X41" s="2"/>
      <c r="Y41" s="16"/>
      <c r="Z41" s="22"/>
      <c r="AA41" s="16"/>
      <c r="AB41" s="23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</row>
    <row r="42" spans="1:40" x14ac:dyDescent="0.25">
      <c r="A42" s="2"/>
      <c r="B42" s="2"/>
      <c r="C42" s="2"/>
      <c r="D42" s="15"/>
      <c r="E42" s="2"/>
      <c r="F42" s="2"/>
      <c r="G42" s="2"/>
      <c r="H42" s="2"/>
      <c r="I42" s="2"/>
      <c r="J42" s="2"/>
      <c r="K42" s="2"/>
      <c r="L42" s="2"/>
      <c r="M42" s="16"/>
      <c r="N42" s="16"/>
      <c r="O42" s="16"/>
      <c r="P42" s="23"/>
      <c r="Q42" s="16"/>
      <c r="R42" s="2"/>
      <c r="S42" s="2"/>
      <c r="T42" s="2"/>
      <c r="U42" s="2"/>
      <c r="V42" s="2"/>
      <c r="W42" s="2"/>
      <c r="X42" s="2"/>
      <c r="Y42" s="16"/>
      <c r="Z42" s="22"/>
      <c r="AA42" s="16"/>
      <c r="AB42" s="23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</row>
    <row r="43" spans="1:40" x14ac:dyDescent="0.25">
      <c r="A43" s="2"/>
      <c r="B43" s="2"/>
      <c r="C43" s="2"/>
      <c r="D43" s="15"/>
      <c r="E43" s="2"/>
      <c r="F43" s="2"/>
      <c r="G43" s="2"/>
      <c r="H43" s="2"/>
      <c r="I43" s="2"/>
      <c r="J43" s="2"/>
      <c r="K43" s="2"/>
      <c r="L43" s="2"/>
      <c r="M43" s="16"/>
      <c r="N43" s="16"/>
      <c r="O43" s="16"/>
      <c r="P43" s="23"/>
      <c r="Q43" s="16"/>
      <c r="R43" s="2"/>
      <c r="S43" s="2"/>
      <c r="T43" s="2"/>
      <c r="U43" s="2"/>
      <c r="V43" s="2"/>
      <c r="W43" s="2"/>
      <c r="X43" s="2"/>
      <c r="Y43" s="16"/>
      <c r="Z43" s="22"/>
      <c r="AA43" s="16"/>
      <c r="AB43" s="23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</row>
    <row r="44" spans="1:40" x14ac:dyDescent="0.25">
      <c r="A44" s="2"/>
      <c r="B44" s="2"/>
      <c r="C44" s="2"/>
      <c r="D44" s="15"/>
      <c r="E44" s="2"/>
      <c r="F44" s="2"/>
      <c r="G44" s="2"/>
      <c r="H44" s="2"/>
      <c r="I44" s="2"/>
      <c r="J44" s="2"/>
      <c r="K44" s="2"/>
      <c r="L44" s="2"/>
      <c r="M44" s="16"/>
      <c r="N44" s="16"/>
      <c r="O44" s="16"/>
      <c r="P44" s="23"/>
      <c r="Q44" s="16"/>
      <c r="R44" s="2"/>
      <c r="S44" s="2"/>
      <c r="T44" s="2"/>
      <c r="U44" s="2"/>
      <c r="V44" s="2"/>
      <c r="W44" s="2"/>
      <c r="X44" s="2"/>
      <c r="Y44" s="16"/>
      <c r="Z44" s="22"/>
      <c r="AA44" s="16"/>
      <c r="AB44" s="23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</row>
    <row r="45" spans="1:40" x14ac:dyDescent="0.25">
      <c r="A45" s="2"/>
      <c r="B45" s="2"/>
      <c r="C45" s="2"/>
      <c r="D45" s="15"/>
      <c r="E45" s="2"/>
      <c r="F45" s="2"/>
      <c r="G45" s="2"/>
      <c r="H45" s="2"/>
      <c r="I45" s="2"/>
      <c r="J45" s="2"/>
      <c r="K45" s="2"/>
      <c r="L45" s="2"/>
      <c r="M45" s="16"/>
      <c r="N45" s="16"/>
      <c r="O45" s="16"/>
      <c r="P45" s="23"/>
      <c r="Q45" s="16"/>
      <c r="R45" s="2"/>
      <c r="S45" s="2"/>
      <c r="T45" s="2"/>
      <c r="U45" s="2"/>
      <c r="V45" s="2"/>
      <c r="W45" s="2"/>
      <c r="X45" s="2"/>
      <c r="Y45" s="16"/>
      <c r="Z45" s="22"/>
      <c r="AA45" s="16"/>
      <c r="AB45" s="23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</row>
    <row r="46" spans="1:40" x14ac:dyDescent="0.25">
      <c r="A46" s="2"/>
      <c r="B46" s="2"/>
      <c r="C46" s="2"/>
      <c r="D46" s="15"/>
      <c r="E46" s="2"/>
      <c r="F46" s="2"/>
      <c r="G46" s="2"/>
      <c r="H46" s="2"/>
      <c r="I46" s="2"/>
      <c r="J46" s="2"/>
      <c r="K46" s="2"/>
      <c r="L46" s="2"/>
      <c r="M46" s="16"/>
      <c r="N46" s="16"/>
      <c r="O46" s="16"/>
      <c r="P46" s="23"/>
      <c r="Q46" s="16"/>
      <c r="R46" s="2"/>
      <c r="S46" s="2"/>
      <c r="T46" s="2"/>
      <c r="U46" s="2"/>
      <c r="V46" s="2"/>
      <c r="W46" s="2"/>
      <c r="X46" s="2"/>
      <c r="Y46" s="16"/>
      <c r="Z46" s="22"/>
      <c r="AA46" s="16"/>
      <c r="AB46" s="23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</row>
    <row r="47" spans="1:40" x14ac:dyDescent="0.25">
      <c r="A47" s="2"/>
      <c r="B47" s="2"/>
      <c r="C47" s="2"/>
      <c r="D47" s="15"/>
      <c r="E47" s="2"/>
      <c r="F47" s="2"/>
      <c r="G47" s="2"/>
      <c r="H47" s="2"/>
      <c r="I47" s="2"/>
      <c r="J47" s="2"/>
      <c r="K47" s="2"/>
      <c r="L47" s="2"/>
      <c r="M47" s="16"/>
      <c r="N47" s="16"/>
      <c r="O47" s="16"/>
      <c r="P47" s="23"/>
      <c r="Q47" s="16"/>
      <c r="R47" s="2"/>
      <c r="S47" s="2"/>
      <c r="T47" s="2"/>
      <c r="U47" s="2"/>
      <c r="V47" s="2"/>
      <c r="W47" s="2"/>
      <c r="X47" s="2"/>
      <c r="Y47" s="16"/>
      <c r="Z47" s="22"/>
      <c r="AA47" s="16"/>
      <c r="AB47" s="23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</row>
    <row r="48" spans="1:40" x14ac:dyDescent="0.25">
      <c r="A48" s="2"/>
      <c r="B48" s="2"/>
      <c r="C48" s="2"/>
      <c r="D48" s="15"/>
      <c r="E48" s="2"/>
      <c r="F48" s="2"/>
      <c r="G48" s="2"/>
      <c r="H48" s="2"/>
      <c r="I48" s="2"/>
      <c r="J48" s="2"/>
      <c r="K48" s="2"/>
      <c r="L48" s="2"/>
      <c r="M48" s="16"/>
      <c r="N48" s="16"/>
      <c r="O48" s="16"/>
      <c r="P48" s="23"/>
      <c r="Q48" s="16"/>
      <c r="R48" s="2"/>
      <c r="S48" s="2"/>
      <c r="T48" s="2"/>
      <c r="U48" s="2"/>
      <c r="V48" s="2"/>
      <c r="W48" s="2"/>
      <c r="X48" s="2"/>
      <c r="Y48" s="16"/>
      <c r="Z48" s="22"/>
      <c r="AA48" s="16"/>
      <c r="AB48" s="23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</row>
    <row r="49" spans="1:40" x14ac:dyDescent="0.25">
      <c r="A49" s="2"/>
      <c r="B49" s="2"/>
      <c r="C49" s="2"/>
      <c r="D49" s="15"/>
      <c r="E49" s="2"/>
      <c r="F49" s="2"/>
      <c r="G49" s="2"/>
      <c r="H49" s="2"/>
      <c r="I49" s="2"/>
      <c r="J49" s="2"/>
      <c r="K49" s="2"/>
      <c r="L49" s="2"/>
      <c r="M49" s="16"/>
      <c r="N49" s="16"/>
      <c r="O49" s="16"/>
      <c r="P49" s="23"/>
      <c r="Q49" s="16"/>
      <c r="R49" s="2"/>
      <c r="S49" s="2"/>
      <c r="T49" s="2"/>
      <c r="U49" s="2"/>
      <c r="V49" s="2"/>
      <c r="W49" s="2"/>
      <c r="X49" s="2"/>
      <c r="Y49" s="16"/>
      <c r="Z49" s="22"/>
      <c r="AA49" s="16"/>
      <c r="AB49" s="23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</row>
    <row r="50" spans="1:40" x14ac:dyDescent="0.25">
      <c r="A50" s="2"/>
      <c r="B50" s="2"/>
      <c r="C50" s="2"/>
      <c r="D50" s="15"/>
      <c r="E50" s="2"/>
      <c r="F50" s="2"/>
      <c r="G50" s="2"/>
      <c r="H50" s="2"/>
      <c r="I50" s="2"/>
      <c r="J50" s="2"/>
      <c r="K50" s="2"/>
      <c r="L50" s="2"/>
      <c r="M50" s="16"/>
      <c r="N50" s="16"/>
      <c r="O50" s="16"/>
      <c r="P50" s="23"/>
      <c r="Q50" s="16"/>
      <c r="R50" s="2"/>
      <c r="S50" s="2"/>
      <c r="T50" s="2"/>
      <c r="U50" s="2"/>
      <c r="V50" s="2"/>
      <c r="W50" s="2"/>
      <c r="X50" s="2"/>
      <c r="Y50" s="16"/>
      <c r="Z50" s="22"/>
      <c r="AA50" s="16"/>
      <c r="AB50" s="23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</row>
    <row r="51" spans="1:40" x14ac:dyDescent="0.25">
      <c r="A51" s="2"/>
      <c r="B51" s="2"/>
      <c r="C51" s="2"/>
      <c r="D51" s="15"/>
      <c r="E51" s="2"/>
      <c r="F51" s="2"/>
      <c r="G51" s="2"/>
      <c r="H51" s="2"/>
      <c r="I51" s="2"/>
      <c r="J51" s="2"/>
      <c r="K51" s="2"/>
      <c r="L51" s="2"/>
      <c r="M51" s="16"/>
      <c r="N51" s="16"/>
      <c r="O51" s="16"/>
      <c r="P51" s="23"/>
      <c r="Q51" s="16"/>
      <c r="R51" s="2"/>
      <c r="S51" s="2"/>
      <c r="T51" s="2"/>
      <c r="U51" s="2"/>
      <c r="V51" s="2"/>
      <c r="W51" s="2"/>
      <c r="X51" s="2"/>
      <c r="Y51" s="16"/>
      <c r="Z51" s="22"/>
      <c r="AA51" s="16"/>
      <c r="AB51" s="23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</row>
    <row r="52" spans="1:40" x14ac:dyDescent="0.25">
      <c r="A52" s="2"/>
      <c r="B52" s="2"/>
      <c r="C52" s="2"/>
      <c r="D52" s="15"/>
      <c r="E52" s="2"/>
      <c r="F52" s="2"/>
      <c r="G52" s="2"/>
      <c r="H52" s="2"/>
      <c r="I52" s="2"/>
      <c r="J52" s="2"/>
      <c r="K52" s="2"/>
      <c r="L52" s="2"/>
      <c r="M52" s="16"/>
      <c r="N52" s="16"/>
      <c r="O52" s="16"/>
      <c r="P52" s="23"/>
      <c r="Q52" s="16"/>
      <c r="R52" s="2"/>
      <c r="S52" s="2"/>
      <c r="T52" s="2"/>
      <c r="U52" s="2"/>
      <c r="V52" s="2"/>
      <c r="W52" s="2"/>
      <c r="X52" s="2"/>
      <c r="Y52" s="16"/>
      <c r="Z52" s="22"/>
      <c r="AA52" s="16"/>
      <c r="AB52" s="23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</row>
    <row r="53" spans="1:40" x14ac:dyDescent="0.25">
      <c r="A53" s="2"/>
      <c r="B53" s="2"/>
      <c r="C53" s="2"/>
      <c r="D53" s="15"/>
      <c r="E53" s="2"/>
      <c r="F53" s="2"/>
      <c r="G53" s="2"/>
      <c r="H53" s="2"/>
      <c r="I53" s="2"/>
      <c r="J53" s="2"/>
      <c r="K53" s="2"/>
      <c r="L53" s="2"/>
      <c r="M53" s="16"/>
      <c r="N53" s="16"/>
      <c r="O53" s="16"/>
      <c r="P53" s="23"/>
      <c r="Q53" s="16"/>
      <c r="R53" s="2"/>
      <c r="S53" s="2"/>
      <c r="T53" s="2"/>
      <c r="U53" s="2"/>
      <c r="V53" s="2"/>
      <c r="W53" s="2"/>
      <c r="X53" s="2"/>
      <c r="Y53" s="16"/>
      <c r="Z53" s="22"/>
      <c r="AA53" s="16"/>
      <c r="AB53" s="23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</row>
    <row r="54" spans="1:40" x14ac:dyDescent="0.25">
      <c r="A54" s="2"/>
      <c r="B54" s="2"/>
      <c r="C54" s="2"/>
      <c r="D54" s="15"/>
      <c r="E54" s="2"/>
      <c r="F54" s="2"/>
      <c r="G54" s="2"/>
      <c r="H54" s="2"/>
      <c r="I54" s="2"/>
      <c r="J54" s="2"/>
      <c r="K54" s="2"/>
      <c r="L54" s="2"/>
      <c r="M54" s="16"/>
      <c r="N54" s="16"/>
      <c r="O54" s="16"/>
      <c r="P54" s="23"/>
      <c r="Q54" s="16"/>
      <c r="R54" s="2"/>
      <c r="S54" s="2"/>
      <c r="T54" s="2"/>
      <c r="U54" s="2"/>
      <c r="V54" s="2"/>
      <c r="W54" s="2"/>
      <c r="X54" s="2"/>
      <c r="Y54" s="16"/>
      <c r="Z54" s="22"/>
      <c r="AA54" s="16"/>
      <c r="AB54" s="23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</row>
    <row r="55" spans="1:40" x14ac:dyDescent="0.25">
      <c r="A55" s="2"/>
      <c r="B55" s="2"/>
      <c r="C55" s="2"/>
      <c r="D55" s="15"/>
      <c r="E55" s="2"/>
      <c r="F55" s="2"/>
      <c r="G55" s="2"/>
      <c r="H55" s="2"/>
      <c r="I55" s="2"/>
      <c r="J55" s="2"/>
      <c r="K55" s="2"/>
      <c r="L55" s="2"/>
      <c r="M55" s="16"/>
      <c r="N55" s="16"/>
      <c r="O55" s="16"/>
      <c r="P55" s="23"/>
      <c r="Q55" s="16"/>
      <c r="R55" s="2"/>
      <c r="S55" s="2"/>
      <c r="T55" s="2"/>
      <c r="U55" s="2"/>
      <c r="V55" s="2"/>
      <c r="W55" s="2"/>
      <c r="X55" s="2"/>
      <c r="Y55" s="16"/>
      <c r="Z55" s="22"/>
      <c r="AA55" s="16"/>
      <c r="AB55" s="23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</row>
    <row r="56" spans="1:40" x14ac:dyDescent="0.25">
      <c r="A56" s="2"/>
      <c r="B56" s="2"/>
      <c r="C56" s="2"/>
      <c r="D56" s="15"/>
      <c r="E56" s="2"/>
      <c r="F56" s="2"/>
      <c r="G56" s="2"/>
      <c r="H56" s="2"/>
      <c r="I56" s="2"/>
      <c r="J56" s="2"/>
      <c r="K56" s="2"/>
      <c r="L56" s="2"/>
      <c r="M56" s="16"/>
      <c r="N56" s="16"/>
      <c r="O56" s="16"/>
      <c r="P56" s="23"/>
      <c r="Q56" s="16"/>
      <c r="R56" s="2"/>
      <c r="S56" s="2"/>
      <c r="T56" s="2"/>
      <c r="U56" s="2"/>
      <c r="V56" s="2"/>
      <c r="W56" s="2"/>
      <c r="X56" s="2"/>
      <c r="Y56" s="16"/>
      <c r="Z56" s="22"/>
      <c r="AA56" s="16"/>
      <c r="AB56" s="23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</row>
    <row r="57" spans="1:40" x14ac:dyDescent="0.25">
      <c r="A57" s="2"/>
      <c r="B57" s="2"/>
      <c r="C57" s="2"/>
      <c r="D57" s="15"/>
      <c r="E57" s="2"/>
      <c r="F57" s="2"/>
      <c r="G57" s="2"/>
      <c r="H57" s="2"/>
      <c r="I57" s="2"/>
      <c r="J57" s="2"/>
      <c r="K57" s="2"/>
      <c r="L57" s="2"/>
      <c r="M57" s="16"/>
      <c r="N57" s="16"/>
      <c r="O57" s="16"/>
      <c r="P57" s="23"/>
      <c r="Q57" s="16"/>
      <c r="R57" s="2"/>
      <c r="S57" s="2"/>
      <c r="T57" s="2"/>
      <c r="U57" s="2"/>
      <c r="V57" s="2"/>
      <c r="W57" s="2"/>
      <c r="X57" s="2"/>
      <c r="Y57" s="16"/>
      <c r="Z57" s="22"/>
      <c r="AA57" s="16"/>
      <c r="AB57" s="23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</row>
    <row r="58" spans="1:40" x14ac:dyDescent="0.25">
      <c r="A58" s="2"/>
      <c r="B58" s="2"/>
      <c r="C58" s="2"/>
      <c r="D58" s="15"/>
      <c r="E58" s="2"/>
      <c r="F58" s="2"/>
      <c r="G58" s="2"/>
      <c r="H58" s="2"/>
      <c r="I58" s="2"/>
      <c r="J58" s="2"/>
      <c r="K58" s="2"/>
      <c r="L58" s="2"/>
      <c r="M58" s="16"/>
      <c r="N58" s="16"/>
      <c r="O58" s="16"/>
      <c r="P58" s="23"/>
      <c r="Q58" s="16"/>
      <c r="R58" s="2"/>
      <c r="S58" s="2"/>
      <c r="T58" s="2"/>
      <c r="U58" s="2"/>
      <c r="V58" s="2"/>
      <c r="W58" s="2"/>
      <c r="X58" s="2"/>
      <c r="Y58" s="16"/>
      <c r="Z58" s="22"/>
      <c r="AA58" s="16"/>
      <c r="AB58" s="23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</row>
    <row r="59" spans="1:40" x14ac:dyDescent="0.25">
      <c r="A59" s="2"/>
      <c r="B59" s="2"/>
      <c r="C59" s="2"/>
      <c r="D59" s="15"/>
      <c r="E59" s="2"/>
      <c r="F59" s="2"/>
      <c r="G59" s="2"/>
      <c r="H59" s="2"/>
      <c r="I59" s="2"/>
      <c r="J59" s="2"/>
      <c r="K59" s="2"/>
      <c r="L59" s="2"/>
      <c r="M59" s="16"/>
      <c r="N59" s="16"/>
      <c r="O59" s="16"/>
      <c r="P59" s="23"/>
      <c r="Q59" s="16"/>
      <c r="R59" s="2"/>
      <c r="S59" s="2"/>
      <c r="T59" s="2"/>
      <c r="U59" s="2"/>
      <c r="V59" s="2"/>
      <c r="W59" s="2"/>
      <c r="X59" s="2"/>
      <c r="Y59" s="16"/>
      <c r="Z59" s="22"/>
      <c r="AA59" s="16"/>
      <c r="AB59" s="23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</row>
    <row r="60" spans="1:40" x14ac:dyDescent="0.25">
      <c r="A60" s="2"/>
      <c r="B60" s="2"/>
      <c r="C60" s="2"/>
      <c r="D60" s="15"/>
      <c r="E60" s="2"/>
      <c r="F60" s="2"/>
      <c r="G60" s="2"/>
      <c r="H60" s="2"/>
      <c r="I60" s="2"/>
      <c r="J60" s="2"/>
      <c r="K60" s="2"/>
      <c r="L60" s="2"/>
      <c r="M60" s="16"/>
      <c r="N60" s="16"/>
      <c r="O60" s="16"/>
      <c r="P60" s="23"/>
      <c r="Q60" s="16"/>
      <c r="R60" s="2"/>
      <c r="S60" s="2"/>
      <c r="T60" s="2"/>
      <c r="U60" s="2"/>
      <c r="V60" s="2"/>
      <c r="W60" s="2"/>
      <c r="X60" s="2"/>
      <c r="Y60" s="16"/>
      <c r="Z60" s="22"/>
      <c r="AA60" s="16"/>
      <c r="AB60" s="23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</row>
    <row r="61" spans="1:40" x14ac:dyDescent="0.25">
      <c r="A61" s="2"/>
      <c r="B61" s="2"/>
      <c r="C61" s="2"/>
      <c r="D61" s="15"/>
      <c r="E61" s="2"/>
      <c r="F61" s="2"/>
      <c r="G61" s="2"/>
      <c r="H61" s="2"/>
      <c r="I61" s="2"/>
      <c r="J61" s="2"/>
      <c r="K61" s="2"/>
      <c r="L61" s="2"/>
      <c r="M61" s="16"/>
      <c r="N61" s="16"/>
      <c r="O61" s="16"/>
      <c r="P61" s="23"/>
      <c r="Q61" s="16"/>
      <c r="R61" s="2"/>
      <c r="S61" s="2"/>
      <c r="T61" s="2"/>
      <c r="U61" s="2"/>
      <c r="V61" s="2"/>
      <c r="W61" s="2"/>
      <c r="X61" s="2"/>
      <c r="Y61" s="16"/>
      <c r="Z61" s="22"/>
      <c r="AA61" s="16"/>
      <c r="AB61" s="23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25">
      <c r="A62" s="2"/>
      <c r="B62" s="2"/>
      <c r="C62" s="2"/>
      <c r="D62" s="15"/>
      <c r="E62" s="2"/>
      <c r="F62" s="2"/>
      <c r="G62" s="2"/>
      <c r="H62" s="2"/>
      <c r="I62" s="2"/>
      <c r="J62" s="2"/>
      <c r="K62" s="2"/>
      <c r="L62" s="2"/>
      <c r="M62" s="16"/>
      <c r="N62" s="16"/>
      <c r="O62" s="16"/>
      <c r="P62" s="23"/>
      <c r="Q62" s="16"/>
      <c r="R62" s="2"/>
      <c r="S62" s="2"/>
      <c r="T62" s="2"/>
      <c r="U62" s="2"/>
      <c r="V62" s="2"/>
      <c r="W62" s="2"/>
      <c r="X62" s="2"/>
      <c r="Y62" s="16"/>
      <c r="Z62" s="22"/>
      <c r="AA62" s="16"/>
      <c r="AB62" s="23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25">
      <c r="A63" s="2"/>
      <c r="B63" s="2"/>
      <c r="C63" s="2"/>
      <c r="D63" s="15"/>
      <c r="E63" s="2"/>
      <c r="F63" s="2"/>
      <c r="G63" s="2"/>
      <c r="H63" s="2"/>
      <c r="I63" s="2"/>
      <c r="J63" s="2"/>
      <c r="K63" s="2"/>
      <c r="L63" s="2"/>
      <c r="M63" s="16"/>
      <c r="N63" s="16"/>
      <c r="O63" s="16"/>
      <c r="P63" s="23"/>
      <c r="Q63" s="16"/>
      <c r="R63" s="2"/>
      <c r="S63" s="2"/>
      <c r="T63" s="2"/>
      <c r="U63" s="2"/>
      <c r="V63" s="2"/>
      <c r="W63" s="2"/>
      <c r="X63" s="2"/>
      <c r="Y63" s="16"/>
      <c r="Z63" s="22"/>
      <c r="AA63" s="16"/>
      <c r="AB63" s="23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25">
      <c r="A64" s="2"/>
      <c r="B64" s="2"/>
      <c r="C64" s="2"/>
      <c r="D64" s="15"/>
      <c r="E64" s="2"/>
      <c r="F64" s="2"/>
      <c r="G64" s="2"/>
      <c r="H64" s="2"/>
      <c r="I64" s="2"/>
      <c r="J64" s="2"/>
      <c r="K64" s="2"/>
      <c r="L64" s="2"/>
      <c r="M64" s="16"/>
      <c r="N64" s="16"/>
      <c r="O64" s="16"/>
      <c r="P64" s="23"/>
      <c r="Q64" s="16"/>
      <c r="R64" s="2"/>
      <c r="S64" s="2"/>
      <c r="T64" s="2"/>
      <c r="U64" s="2"/>
      <c r="V64" s="2"/>
      <c r="W64" s="2"/>
      <c r="X64" s="2"/>
      <c r="Y64" s="16"/>
      <c r="Z64" s="22"/>
      <c r="AA64" s="16"/>
      <c r="AB64" s="23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25">
      <c r="A65" s="2"/>
      <c r="B65" s="2"/>
      <c r="C65" s="2"/>
      <c r="D65" s="15"/>
      <c r="E65" s="2"/>
      <c r="F65" s="2"/>
      <c r="G65" s="2"/>
      <c r="H65" s="2"/>
      <c r="I65" s="2"/>
      <c r="J65" s="2"/>
      <c r="K65" s="2"/>
      <c r="L65" s="2"/>
      <c r="M65" s="16"/>
      <c r="N65" s="16"/>
      <c r="O65" s="16"/>
      <c r="P65" s="23"/>
      <c r="Q65" s="16"/>
      <c r="R65" s="2"/>
      <c r="S65" s="2"/>
      <c r="T65" s="2"/>
      <c r="U65" s="2"/>
      <c r="V65" s="2"/>
      <c r="W65" s="2"/>
      <c r="X65" s="2"/>
      <c r="Y65" s="16"/>
      <c r="Z65" s="22"/>
      <c r="AA65" s="16"/>
      <c r="AB65" s="23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25">
      <c r="A66" s="2"/>
      <c r="B66" s="2"/>
      <c r="C66" s="2"/>
      <c r="D66" s="15"/>
      <c r="E66" s="2"/>
      <c r="F66" s="2"/>
      <c r="G66" s="2"/>
      <c r="H66" s="2"/>
      <c r="I66" s="2"/>
      <c r="J66" s="2"/>
      <c r="K66" s="2"/>
      <c r="L66" s="2"/>
      <c r="M66" s="16"/>
      <c r="N66" s="16"/>
      <c r="O66" s="16"/>
      <c r="P66" s="23"/>
      <c r="Q66" s="16"/>
      <c r="R66" s="2"/>
      <c r="S66" s="2"/>
      <c r="T66" s="2"/>
      <c r="U66" s="2"/>
      <c r="V66" s="2"/>
      <c r="W66" s="2"/>
      <c r="X66" s="2"/>
      <c r="Y66" s="16"/>
      <c r="Z66" s="22"/>
      <c r="AA66" s="16"/>
      <c r="AB66" s="23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25">
      <c r="A67" s="2"/>
      <c r="B67" s="2"/>
      <c r="C67" s="2"/>
      <c r="D67" s="15"/>
      <c r="E67" s="2"/>
      <c r="F67" s="2"/>
      <c r="G67" s="2"/>
      <c r="H67" s="2"/>
      <c r="I67" s="2"/>
      <c r="J67" s="2"/>
      <c r="K67" s="2"/>
      <c r="L67" s="2"/>
      <c r="M67" s="16"/>
      <c r="N67" s="16"/>
      <c r="O67" s="16"/>
      <c r="P67" s="23"/>
      <c r="Q67" s="16"/>
      <c r="R67" s="2"/>
      <c r="S67" s="2"/>
      <c r="T67" s="2"/>
      <c r="U67" s="2"/>
      <c r="V67" s="2"/>
      <c r="W67" s="2"/>
      <c r="X67" s="2"/>
      <c r="Y67" s="16"/>
      <c r="Z67" s="22"/>
      <c r="AA67" s="16"/>
      <c r="AB67" s="23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25">
      <c r="A68" s="2"/>
      <c r="B68" s="2"/>
      <c r="C68" s="2"/>
      <c r="D68" s="15"/>
      <c r="E68" s="2"/>
      <c r="F68" s="2"/>
      <c r="G68" s="2"/>
      <c r="H68" s="2"/>
      <c r="I68" s="2"/>
      <c r="J68" s="2"/>
      <c r="K68" s="2"/>
      <c r="L68" s="2"/>
      <c r="M68" s="16"/>
      <c r="N68" s="16"/>
      <c r="O68" s="16"/>
      <c r="P68" s="23"/>
      <c r="Q68" s="16"/>
      <c r="R68" s="2"/>
      <c r="S68" s="2"/>
      <c r="T68" s="2"/>
      <c r="U68" s="2"/>
      <c r="V68" s="2"/>
      <c r="W68" s="2"/>
      <c r="X68" s="2"/>
      <c r="Y68" s="16"/>
      <c r="Z68" s="22"/>
      <c r="AA68" s="16"/>
      <c r="AB68" s="23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25">
      <c r="A69" s="2"/>
      <c r="B69" s="2"/>
      <c r="C69" s="2"/>
      <c r="D69" s="15"/>
      <c r="E69" s="2"/>
      <c r="F69" s="2"/>
      <c r="G69" s="2"/>
      <c r="H69" s="2"/>
      <c r="I69" s="2"/>
      <c r="J69" s="2"/>
      <c r="K69" s="2"/>
      <c r="L69" s="2"/>
      <c r="M69" s="16"/>
      <c r="N69" s="16"/>
      <c r="O69" s="16"/>
      <c r="P69" s="23"/>
      <c r="Q69" s="16"/>
      <c r="R69" s="2"/>
      <c r="S69" s="2"/>
      <c r="T69" s="2"/>
      <c r="U69" s="2"/>
      <c r="V69" s="2"/>
      <c r="W69" s="2"/>
      <c r="X69" s="2"/>
      <c r="Y69" s="16"/>
      <c r="Z69" s="22"/>
      <c r="AA69" s="16"/>
      <c r="AB69" s="23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25">
      <c r="A70" s="2"/>
      <c r="B70" s="2"/>
      <c r="C70" s="2"/>
      <c r="D70" s="15"/>
      <c r="E70" s="2"/>
      <c r="F70" s="2"/>
      <c r="G70" s="2"/>
      <c r="H70" s="2"/>
      <c r="I70" s="2"/>
      <c r="J70" s="2"/>
      <c r="K70" s="2"/>
      <c r="L70" s="2"/>
      <c r="M70" s="16"/>
      <c r="N70" s="16"/>
      <c r="O70" s="16"/>
      <c r="P70" s="23"/>
      <c r="Q70" s="16"/>
      <c r="R70" s="2"/>
      <c r="S70" s="2"/>
      <c r="T70" s="2"/>
      <c r="U70" s="2"/>
      <c r="V70" s="2"/>
      <c r="W70" s="2"/>
      <c r="X70" s="2"/>
      <c r="Y70" s="16"/>
      <c r="Z70" s="22"/>
      <c r="AA70" s="16"/>
      <c r="AB70" s="23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25">
      <c r="A71" s="2"/>
      <c r="B71" s="2"/>
      <c r="C71" s="2"/>
      <c r="D71" s="15"/>
      <c r="E71" s="2"/>
      <c r="F71" s="2"/>
      <c r="G71" s="2"/>
      <c r="H71" s="2"/>
      <c r="I71" s="2"/>
      <c r="J71" s="2"/>
      <c r="K71" s="2"/>
      <c r="L71" s="2"/>
      <c r="M71" s="16"/>
      <c r="N71" s="16"/>
      <c r="O71" s="16"/>
      <c r="P71" s="23"/>
      <c r="Q71" s="16"/>
      <c r="R71" s="2"/>
      <c r="S71" s="2"/>
      <c r="T71" s="2"/>
      <c r="U71" s="2"/>
      <c r="V71" s="2"/>
      <c r="W71" s="2"/>
      <c r="X71" s="2"/>
      <c r="Y71" s="16"/>
      <c r="Z71" s="22"/>
      <c r="AA71" s="16"/>
      <c r="AB71" s="23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25">
      <c r="A72" s="2"/>
      <c r="B72" s="2"/>
      <c r="C72" s="2"/>
      <c r="D72" s="15"/>
      <c r="E72" s="2"/>
      <c r="F72" s="2"/>
      <c r="G72" s="2"/>
      <c r="H72" s="2"/>
      <c r="I72" s="2"/>
      <c r="J72" s="2"/>
      <c r="K72" s="2"/>
      <c r="L72" s="2"/>
      <c r="M72" s="16"/>
      <c r="N72" s="16"/>
      <c r="O72" s="16"/>
      <c r="P72" s="23"/>
      <c r="Q72" s="16"/>
      <c r="R72" s="2"/>
      <c r="S72" s="2"/>
      <c r="T72" s="2"/>
      <c r="U72" s="2"/>
      <c r="V72" s="2"/>
      <c r="W72" s="2"/>
      <c r="X72" s="2"/>
      <c r="Y72" s="16"/>
      <c r="Z72" s="22"/>
      <c r="AA72" s="16"/>
      <c r="AB72" s="23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25">
      <c r="A73" s="2"/>
      <c r="B73" s="2"/>
      <c r="C73" s="2"/>
      <c r="D73" s="15"/>
      <c r="E73" s="2"/>
      <c r="F73" s="2"/>
      <c r="G73" s="2"/>
      <c r="H73" s="2"/>
      <c r="I73" s="2"/>
      <c r="J73" s="2"/>
      <c r="K73" s="2"/>
      <c r="L73" s="2"/>
      <c r="M73" s="16"/>
      <c r="N73" s="16"/>
      <c r="O73" s="16"/>
      <c r="P73" s="23"/>
      <c r="Q73" s="16"/>
      <c r="R73" s="2"/>
      <c r="S73" s="2"/>
      <c r="T73" s="2"/>
      <c r="U73" s="2"/>
      <c r="V73" s="2"/>
      <c r="W73" s="2"/>
      <c r="X73" s="2"/>
      <c r="Y73" s="16"/>
      <c r="Z73" s="22"/>
      <c r="AA73" s="16"/>
      <c r="AB73" s="23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25">
      <c r="A74" s="2"/>
      <c r="B74" s="2"/>
      <c r="C74" s="2"/>
      <c r="D74" s="15"/>
      <c r="E74" s="2"/>
      <c r="F74" s="2"/>
      <c r="G74" s="2"/>
      <c r="H74" s="2"/>
      <c r="I74" s="2"/>
      <c r="J74" s="2"/>
      <c r="K74" s="2"/>
      <c r="L74" s="2"/>
      <c r="M74" s="16"/>
      <c r="N74" s="16"/>
      <c r="O74" s="16"/>
      <c r="P74" s="23"/>
      <c r="Q74" s="16"/>
      <c r="R74" s="2"/>
      <c r="S74" s="2"/>
      <c r="T74" s="2"/>
      <c r="U74" s="2"/>
      <c r="V74" s="2"/>
      <c r="W74" s="2"/>
      <c r="X74" s="2"/>
      <c r="Y74" s="16"/>
      <c r="Z74" s="22"/>
      <c r="AA74" s="16"/>
      <c r="AB74" s="23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25">
      <c r="A75" s="2"/>
      <c r="B75" s="2"/>
      <c r="C75" s="2"/>
      <c r="D75" s="15"/>
      <c r="E75" s="2"/>
      <c r="F75" s="2"/>
      <c r="G75" s="2"/>
      <c r="H75" s="2"/>
      <c r="I75" s="2"/>
      <c r="J75" s="2"/>
      <c r="K75" s="2"/>
      <c r="L75" s="2"/>
      <c r="M75" s="16"/>
      <c r="N75" s="16"/>
      <c r="O75" s="16"/>
      <c r="P75" s="23"/>
      <c r="Q75" s="16"/>
      <c r="R75" s="2"/>
      <c r="S75" s="2"/>
      <c r="T75" s="2"/>
      <c r="U75" s="2"/>
      <c r="V75" s="2"/>
      <c r="W75" s="2"/>
      <c r="X75" s="2"/>
      <c r="Y75" s="16"/>
      <c r="Z75" s="22"/>
      <c r="AA75" s="16"/>
      <c r="AB75" s="23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25">
      <c r="A76" s="2"/>
      <c r="B76" s="2"/>
      <c r="C76" s="2"/>
      <c r="D76" s="15"/>
      <c r="E76" s="2"/>
      <c r="F76" s="2"/>
      <c r="G76" s="2"/>
      <c r="H76" s="2"/>
      <c r="I76" s="2"/>
      <c r="J76" s="2"/>
      <c r="K76" s="2"/>
      <c r="L76" s="2"/>
      <c r="M76" s="16"/>
      <c r="N76" s="16"/>
      <c r="O76" s="16"/>
      <c r="P76" s="23"/>
      <c r="Q76" s="16"/>
      <c r="R76" s="2"/>
      <c r="S76" s="2"/>
      <c r="T76" s="2"/>
      <c r="U76" s="2"/>
      <c r="V76" s="2"/>
      <c r="W76" s="2"/>
      <c r="X76" s="2"/>
      <c r="Y76" s="16"/>
      <c r="Z76" s="22"/>
      <c r="AA76" s="16"/>
      <c r="AB76" s="23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25">
      <c r="A77" s="2"/>
      <c r="B77" s="2"/>
      <c r="C77" s="2"/>
      <c r="D77" s="15"/>
      <c r="E77" s="2"/>
      <c r="F77" s="2"/>
      <c r="G77" s="2"/>
      <c r="H77" s="2"/>
      <c r="I77" s="2"/>
      <c r="J77" s="2"/>
      <c r="K77" s="2"/>
      <c r="L77" s="2"/>
      <c r="M77" s="16"/>
      <c r="N77" s="16"/>
      <c r="O77" s="16"/>
      <c r="P77" s="23"/>
      <c r="Q77" s="16"/>
      <c r="R77" s="2"/>
      <c r="S77" s="2"/>
      <c r="T77" s="2"/>
      <c r="U77" s="2"/>
      <c r="V77" s="2"/>
      <c r="W77" s="2"/>
      <c r="X77" s="2"/>
      <c r="Y77" s="16"/>
      <c r="Z77" s="22"/>
      <c r="AA77" s="16"/>
      <c r="AB77" s="23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25">
      <c r="A78" s="2"/>
      <c r="B78" s="2"/>
      <c r="C78" s="2"/>
      <c r="D78" s="15"/>
      <c r="E78" s="2"/>
      <c r="F78" s="2"/>
      <c r="G78" s="2"/>
      <c r="H78" s="2"/>
      <c r="I78" s="2"/>
      <c r="J78" s="2"/>
      <c r="K78" s="2"/>
      <c r="L78" s="2"/>
      <c r="M78" s="16"/>
      <c r="N78" s="16"/>
      <c r="O78" s="16"/>
      <c r="P78" s="23"/>
      <c r="Q78" s="16"/>
      <c r="R78" s="2"/>
      <c r="S78" s="2"/>
      <c r="T78" s="2"/>
      <c r="U78" s="2"/>
      <c r="V78" s="2"/>
      <c r="W78" s="2"/>
      <c r="X78" s="2"/>
      <c r="Y78" s="16"/>
      <c r="Z78" s="22"/>
      <c r="AA78" s="16"/>
      <c r="AB78" s="23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25">
      <c r="A79" s="2"/>
      <c r="B79" s="2"/>
      <c r="C79" s="2"/>
      <c r="D79" s="15"/>
      <c r="E79" s="2"/>
      <c r="F79" s="2"/>
      <c r="G79" s="2"/>
      <c r="H79" s="2"/>
      <c r="I79" s="2"/>
      <c r="J79" s="2"/>
      <c r="K79" s="2"/>
      <c r="L79" s="2"/>
      <c r="M79" s="16"/>
      <c r="N79" s="16"/>
      <c r="O79" s="16"/>
      <c r="P79" s="23"/>
      <c r="Q79" s="16"/>
      <c r="R79" s="2"/>
      <c r="S79" s="2"/>
      <c r="T79" s="2"/>
      <c r="U79" s="2"/>
      <c r="V79" s="2"/>
      <c r="W79" s="2"/>
      <c r="X79" s="2"/>
      <c r="Y79" s="16"/>
      <c r="Z79" s="22"/>
      <c r="AA79" s="16"/>
      <c r="AB79" s="23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25">
      <c r="A80" s="2"/>
      <c r="B80" s="2"/>
      <c r="C80" s="2"/>
      <c r="D80" s="15"/>
      <c r="E80" s="2"/>
      <c r="F80" s="2"/>
      <c r="G80" s="2"/>
      <c r="H80" s="2"/>
      <c r="I80" s="2"/>
      <c r="J80" s="2"/>
      <c r="K80" s="2"/>
      <c r="L80" s="2"/>
      <c r="M80" s="16"/>
      <c r="N80" s="16"/>
      <c r="O80" s="16"/>
      <c r="P80" s="23"/>
      <c r="Q80" s="16"/>
      <c r="R80" s="2"/>
      <c r="S80" s="2"/>
      <c r="T80" s="2"/>
      <c r="U80" s="2"/>
      <c r="V80" s="2"/>
      <c r="W80" s="2"/>
      <c r="X80" s="2"/>
      <c r="Y80" s="16"/>
      <c r="Z80" s="22"/>
      <c r="AA80" s="16"/>
      <c r="AB80" s="23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25">
      <c r="A81" s="2"/>
      <c r="B81" s="2"/>
      <c r="C81" s="2"/>
      <c r="D81" s="15"/>
      <c r="E81" s="2"/>
      <c r="F81" s="2"/>
      <c r="G81" s="2"/>
      <c r="H81" s="2"/>
      <c r="I81" s="2"/>
      <c r="J81" s="2"/>
      <c r="K81" s="2"/>
      <c r="L81" s="2"/>
      <c r="M81" s="16"/>
      <c r="N81" s="16"/>
      <c r="O81" s="16"/>
      <c r="P81" s="23"/>
      <c r="Q81" s="16"/>
      <c r="R81" s="2"/>
      <c r="S81" s="2"/>
      <c r="T81" s="2"/>
      <c r="U81" s="2"/>
      <c r="V81" s="2"/>
      <c r="W81" s="2"/>
      <c r="X81" s="2"/>
      <c r="Y81" s="16"/>
      <c r="Z81" s="22"/>
      <c r="AA81" s="16"/>
      <c r="AB81" s="23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25">
      <c r="A82" s="2"/>
      <c r="B82" s="2"/>
      <c r="C82" s="2"/>
      <c r="D82" s="15"/>
      <c r="E82" s="2"/>
      <c r="F82" s="2"/>
      <c r="G82" s="2"/>
      <c r="H82" s="2"/>
      <c r="I82" s="2"/>
      <c r="J82" s="2"/>
      <c r="K82" s="2"/>
      <c r="L82" s="2"/>
      <c r="M82" s="16"/>
      <c r="N82" s="16"/>
      <c r="O82" s="16"/>
      <c r="P82" s="23"/>
      <c r="Q82" s="16"/>
      <c r="R82" s="2"/>
      <c r="S82" s="2"/>
      <c r="T82" s="2"/>
      <c r="U82" s="2"/>
      <c r="V82" s="2"/>
      <c r="W82" s="2"/>
      <c r="X82" s="2"/>
      <c r="Y82" s="16"/>
      <c r="Z82" s="22"/>
      <c r="AA82" s="16"/>
      <c r="AB82" s="23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25">
      <c r="A83" s="2"/>
      <c r="B83" s="2"/>
      <c r="C83" s="2"/>
      <c r="D83" s="15"/>
      <c r="E83" s="2"/>
      <c r="F83" s="2"/>
      <c r="G83" s="2"/>
      <c r="H83" s="2"/>
      <c r="I83" s="2"/>
      <c r="J83" s="2"/>
      <c r="K83" s="2"/>
      <c r="L83" s="2"/>
      <c r="M83" s="16"/>
      <c r="N83" s="16"/>
      <c r="O83" s="16"/>
      <c r="P83" s="23"/>
      <c r="Q83" s="16"/>
      <c r="R83" s="2"/>
      <c r="S83" s="2"/>
      <c r="T83" s="2"/>
      <c r="U83" s="2"/>
      <c r="V83" s="2"/>
      <c r="W83" s="2"/>
      <c r="X83" s="2"/>
      <c r="Y83" s="16"/>
      <c r="Z83" s="22"/>
      <c r="AA83" s="16"/>
      <c r="AB83" s="23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25">
      <c r="A84" s="2"/>
      <c r="B84" s="2"/>
      <c r="C84" s="2"/>
      <c r="D84" s="15"/>
      <c r="E84" s="2"/>
      <c r="F84" s="2"/>
      <c r="G84" s="2"/>
      <c r="H84" s="2"/>
      <c r="I84" s="2"/>
      <c r="J84" s="2"/>
      <c r="K84" s="2"/>
      <c r="L84" s="2"/>
      <c r="M84" s="16"/>
      <c r="N84" s="16"/>
      <c r="O84" s="16"/>
      <c r="P84" s="23"/>
      <c r="Q84" s="16"/>
      <c r="R84" s="2"/>
      <c r="S84" s="2"/>
      <c r="T84" s="2"/>
      <c r="U84" s="2"/>
      <c r="V84" s="2"/>
      <c r="W84" s="2"/>
      <c r="X84" s="2"/>
      <c r="Y84" s="16"/>
      <c r="Z84" s="22"/>
      <c r="AA84" s="16"/>
      <c r="AB84" s="23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25">
      <c r="A85" s="2"/>
      <c r="B85" s="2"/>
      <c r="C85" s="2"/>
      <c r="D85" s="15"/>
      <c r="E85" s="2"/>
      <c r="F85" s="2"/>
      <c r="G85" s="2"/>
      <c r="H85" s="2"/>
      <c r="I85" s="2"/>
      <c r="J85" s="2"/>
      <c r="K85" s="2"/>
      <c r="L85" s="2"/>
      <c r="M85" s="16"/>
      <c r="N85" s="16"/>
      <c r="O85" s="16"/>
      <c r="P85" s="23"/>
      <c r="Q85" s="16"/>
      <c r="R85" s="2"/>
      <c r="S85" s="2"/>
      <c r="T85" s="2"/>
      <c r="U85" s="2"/>
      <c r="V85" s="2"/>
      <c r="W85" s="2"/>
      <c r="X85" s="2"/>
      <c r="Y85" s="16"/>
      <c r="Z85" s="22"/>
      <c r="AA85" s="16"/>
      <c r="AB85" s="23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25">
      <c r="A86" s="2"/>
      <c r="B86" s="2"/>
      <c r="C86" s="2"/>
      <c r="D86" s="15"/>
      <c r="E86" s="2"/>
      <c r="F86" s="2"/>
      <c r="G86" s="2"/>
      <c r="H86" s="2"/>
      <c r="I86" s="2"/>
      <c r="J86" s="2"/>
      <c r="K86" s="2"/>
      <c r="L86" s="2"/>
      <c r="M86" s="16"/>
      <c r="N86" s="16"/>
      <c r="O86" s="16"/>
      <c r="P86" s="23"/>
      <c r="Q86" s="16"/>
      <c r="R86" s="2"/>
      <c r="S86" s="2"/>
      <c r="T86" s="2"/>
      <c r="U86" s="2"/>
      <c r="V86" s="2"/>
      <c r="W86" s="2"/>
      <c r="X86" s="2"/>
      <c r="Y86" s="16"/>
      <c r="Z86" s="22"/>
      <c r="AA86" s="16"/>
      <c r="AB86" s="23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25">
      <c r="A87" s="2"/>
      <c r="B87" s="2"/>
      <c r="C87" s="2"/>
      <c r="D87" s="15"/>
      <c r="E87" s="2"/>
      <c r="F87" s="2"/>
      <c r="G87" s="2"/>
      <c r="H87" s="2"/>
      <c r="I87" s="2"/>
      <c r="J87" s="2"/>
      <c r="K87" s="2"/>
      <c r="L87" s="2"/>
      <c r="M87" s="16"/>
      <c r="N87" s="16"/>
      <c r="O87" s="16"/>
      <c r="P87" s="23"/>
      <c r="Q87" s="16"/>
      <c r="R87" s="2"/>
      <c r="S87" s="2"/>
      <c r="T87" s="2"/>
      <c r="U87" s="2"/>
      <c r="V87" s="2"/>
      <c r="W87" s="2"/>
      <c r="X87" s="2"/>
      <c r="Y87" s="16"/>
      <c r="Z87" s="22"/>
      <c r="AA87" s="16"/>
      <c r="AB87" s="23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25">
      <c r="A88" s="2"/>
      <c r="B88" s="2"/>
      <c r="C88" s="2"/>
      <c r="D88" s="15"/>
      <c r="E88" s="2"/>
      <c r="F88" s="2"/>
      <c r="G88" s="2"/>
      <c r="H88" s="2"/>
      <c r="I88" s="2"/>
      <c r="J88" s="2"/>
      <c r="K88" s="2"/>
      <c r="L88" s="2"/>
      <c r="M88" s="16"/>
      <c r="N88" s="16"/>
      <c r="O88" s="16"/>
      <c r="P88" s="23"/>
      <c r="Q88" s="16"/>
      <c r="R88" s="2"/>
      <c r="S88" s="2"/>
      <c r="T88" s="2"/>
      <c r="U88" s="2"/>
      <c r="V88" s="2"/>
      <c r="W88" s="2"/>
      <c r="X88" s="2"/>
      <c r="Y88" s="16"/>
      <c r="Z88" s="22"/>
      <c r="AA88" s="16"/>
      <c r="AB88" s="23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25">
      <c r="A89" s="2"/>
      <c r="B89" s="2"/>
      <c r="C89" s="2"/>
      <c r="D89" s="15"/>
      <c r="E89" s="2"/>
      <c r="F89" s="2"/>
      <c r="G89" s="2"/>
      <c r="H89" s="2"/>
      <c r="I89" s="2"/>
      <c r="J89" s="2"/>
      <c r="K89" s="2"/>
      <c r="L89" s="2"/>
      <c r="M89" s="16"/>
      <c r="N89" s="16"/>
      <c r="O89" s="16"/>
      <c r="P89" s="23"/>
      <c r="Q89" s="16"/>
      <c r="R89" s="2"/>
      <c r="S89" s="2"/>
      <c r="T89" s="2"/>
      <c r="U89" s="2"/>
      <c r="V89" s="2"/>
      <c r="W89" s="2"/>
      <c r="X89" s="2"/>
      <c r="Y89" s="16"/>
      <c r="Z89" s="22"/>
      <c r="AA89" s="16"/>
      <c r="AB89" s="23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25">
      <c r="A90" s="2"/>
      <c r="B90" s="2"/>
      <c r="C90" s="2"/>
      <c r="D90" s="15"/>
      <c r="E90" s="2"/>
      <c r="F90" s="2"/>
      <c r="G90" s="2"/>
      <c r="H90" s="2"/>
      <c r="I90" s="2"/>
      <c r="J90" s="2"/>
      <c r="K90" s="2"/>
      <c r="L90" s="2"/>
      <c r="M90" s="16"/>
      <c r="N90" s="16"/>
      <c r="O90" s="16"/>
      <c r="P90" s="23"/>
      <c r="Q90" s="16"/>
      <c r="R90" s="2"/>
      <c r="S90" s="2"/>
      <c r="T90" s="2"/>
      <c r="U90" s="2"/>
      <c r="V90" s="2"/>
      <c r="W90" s="2"/>
      <c r="X90" s="2"/>
      <c r="Y90" s="16"/>
      <c r="Z90" s="22"/>
      <c r="AA90" s="16"/>
      <c r="AB90" s="23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25">
      <c r="A91" s="2"/>
      <c r="B91" s="2"/>
      <c r="C91" s="2"/>
      <c r="D91" s="15"/>
      <c r="E91" s="2"/>
      <c r="F91" s="2"/>
      <c r="G91" s="2"/>
      <c r="H91" s="2"/>
      <c r="I91" s="2"/>
      <c r="J91" s="2"/>
      <c r="K91" s="2"/>
      <c r="L91" s="2"/>
      <c r="M91" s="16"/>
      <c r="N91" s="16"/>
      <c r="O91" s="16"/>
      <c r="P91" s="23"/>
      <c r="Q91" s="16"/>
      <c r="R91" s="2"/>
      <c r="S91" s="2"/>
      <c r="T91" s="2"/>
      <c r="U91" s="2"/>
      <c r="V91" s="2"/>
      <c r="W91" s="2"/>
      <c r="X91" s="2"/>
      <c r="Y91" s="16"/>
      <c r="Z91" s="22"/>
      <c r="AA91" s="16"/>
      <c r="AB91" s="23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</row>
    <row r="92" spans="1:40" x14ac:dyDescent="0.25">
      <c r="A92" s="2"/>
      <c r="B92" s="2"/>
      <c r="C92" s="2"/>
      <c r="D92" s="15"/>
      <c r="E92" s="2"/>
      <c r="F92" s="2"/>
      <c r="G92" s="2"/>
      <c r="H92" s="2"/>
      <c r="I92" s="2"/>
      <c r="J92" s="2"/>
      <c r="K92" s="2"/>
      <c r="L92" s="2"/>
      <c r="M92" s="16"/>
      <c r="N92" s="16"/>
      <c r="O92" s="16"/>
      <c r="P92" s="23"/>
      <c r="Q92" s="16"/>
      <c r="R92" s="2"/>
      <c r="S92" s="2"/>
      <c r="T92" s="2"/>
      <c r="U92" s="2"/>
      <c r="V92" s="2"/>
      <c r="W92" s="2"/>
      <c r="X92" s="2"/>
      <c r="Y92" s="16"/>
      <c r="Z92" s="22"/>
      <c r="AA92" s="16"/>
      <c r="AB92" s="23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</row>
    <row r="93" spans="1:40" x14ac:dyDescent="0.25">
      <c r="A93" s="2"/>
      <c r="B93" s="2"/>
      <c r="C93" s="2"/>
      <c r="D93" s="15"/>
      <c r="E93" s="2"/>
      <c r="F93" s="2"/>
      <c r="G93" s="2"/>
      <c r="H93" s="2"/>
      <c r="I93" s="2"/>
      <c r="J93" s="2"/>
      <c r="K93" s="2"/>
      <c r="L93" s="2"/>
      <c r="M93" s="16"/>
      <c r="N93" s="16"/>
      <c r="O93" s="16"/>
      <c r="P93" s="23"/>
      <c r="Q93" s="16"/>
      <c r="R93" s="2"/>
      <c r="S93" s="2"/>
      <c r="T93" s="2"/>
      <c r="U93" s="2"/>
      <c r="V93" s="2"/>
      <c r="W93" s="2"/>
      <c r="X93" s="2"/>
      <c r="Y93" s="16"/>
      <c r="Z93" s="22"/>
      <c r="AA93" s="16"/>
      <c r="AB93" s="23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</row>
    <row r="94" spans="1:40" x14ac:dyDescent="0.25">
      <c r="A94" s="2"/>
      <c r="B94" s="2"/>
      <c r="C94" s="2"/>
      <c r="D94" s="15"/>
      <c r="E94" s="2"/>
      <c r="F94" s="2"/>
      <c r="G94" s="2"/>
      <c r="H94" s="2"/>
      <c r="I94" s="2"/>
      <c r="J94" s="2"/>
      <c r="K94" s="2"/>
      <c r="L94" s="2"/>
      <c r="M94" s="16"/>
      <c r="N94" s="16"/>
      <c r="O94" s="16"/>
      <c r="P94" s="23"/>
      <c r="Q94" s="16"/>
      <c r="R94" s="2"/>
      <c r="S94" s="2"/>
      <c r="T94" s="2"/>
      <c r="U94" s="2"/>
      <c r="V94" s="2"/>
      <c r="W94" s="2"/>
      <c r="X94" s="2"/>
      <c r="Y94" s="16"/>
      <c r="Z94" s="22"/>
      <c r="AA94" s="16"/>
      <c r="AB94" s="23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4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  <c r="R1" t="s">
        <v>94</v>
      </c>
      <c r="S1" t="s">
        <v>95</v>
      </c>
    </row>
    <row r="2" spans="1:19" x14ac:dyDescent="0.25">
      <c r="A2">
        <v>118903009</v>
      </c>
      <c r="B2" t="s">
        <v>73</v>
      </c>
      <c r="C2" t="s">
        <v>16</v>
      </c>
      <c r="E2">
        <v>20140616</v>
      </c>
      <c r="F2" t="s">
        <v>96</v>
      </c>
      <c r="G2" t="s">
        <v>97</v>
      </c>
      <c r="H2" t="s">
        <v>25</v>
      </c>
      <c r="I2">
        <v>1E-4</v>
      </c>
      <c r="J2">
        <v>62500</v>
      </c>
      <c r="K2">
        <v>1</v>
      </c>
      <c r="L2" t="s">
        <v>17</v>
      </c>
      <c r="M2">
        <v>0</v>
      </c>
      <c r="N2" t="s">
        <v>24</v>
      </c>
      <c r="O2">
        <v>0</v>
      </c>
      <c r="P2" t="s">
        <v>15</v>
      </c>
      <c r="Q2" t="s">
        <v>25</v>
      </c>
      <c r="R2" t="s">
        <v>98</v>
      </c>
      <c r="S2">
        <v>12087797</v>
      </c>
    </row>
    <row r="3" spans="1:19" x14ac:dyDescent="0.25">
      <c r="A3">
        <v>139782041</v>
      </c>
      <c r="B3" t="s">
        <v>61</v>
      </c>
      <c r="C3" t="s">
        <v>16</v>
      </c>
      <c r="E3">
        <v>20140606</v>
      </c>
      <c r="F3" t="s">
        <v>96</v>
      </c>
      <c r="G3" t="s">
        <v>97</v>
      </c>
      <c r="H3" t="s">
        <v>25</v>
      </c>
      <c r="I3">
        <v>1E-4</v>
      </c>
      <c r="J3">
        <v>62500</v>
      </c>
      <c r="K3">
        <v>1</v>
      </c>
      <c r="L3" t="s">
        <v>17</v>
      </c>
      <c r="M3" t="s">
        <v>59</v>
      </c>
      <c r="N3" t="s">
        <v>58</v>
      </c>
      <c r="O3">
        <v>1.605</v>
      </c>
      <c r="P3" t="s">
        <v>15</v>
      </c>
      <c r="Q3" t="s">
        <v>25</v>
      </c>
      <c r="R3" t="s">
        <v>98</v>
      </c>
      <c r="S3">
        <v>118903009</v>
      </c>
    </row>
    <row r="4" spans="1:19" x14ac:dyDescent="0.25">
      <c r="A4">
        <v>129090171</v>
      </c>
      <c r="B4" t="s">
        <v>62</v>
      </c>
      <c r="C4" t="s">
        <v>16</v>
      </c>
      <c r="E4">
        <v>20140606</v>
      </c>
      <c r="F4" t="s">
        <v>96</v>
      </c>
      <c r="G4" t="s">
        <v>97</v>
      </c>
      <c r="H4" t="s">
        <v>25</v>
      </c>
      <c r="I4">
        <v>1E-4</v>
      </c>
      <c r="J4">
        <v>62500</v>
      </c>
      <c r="K4">
        <v>1</v>
      </c>
      <c r="L4" t="s">
        <v>17</v>
      </c>
      <c r="M4" t="s">
        <v>59</v>
      </c>
      <c r="N4" t="s">
        <v>58</v>
      </c>
      <c r="O4">
        <v>1.61</v>
      </c>
      <c r="P4" t="s">
        <v>15</v>
      </c>
      <c r="Q4" t="s">
        <v>25</v>
      </c>
      <c r="R4" t="s">
        <v>98</v>
      </c>
      <c r="S4">
        <v>118903009</v>
      </c>
    </row>
    <row r="5" spans="1:19" x14ac:dyDescent="0.25">
      <c r="A5">
        <v>139783580</v>
      </c>
      <c r="B5" t="s">
        <v>63</v>
      </c>
      <c r="C5" t="s">
        <v>16</v>
      </c>
      <c r="E5">
        <v>20140606</v>
      </c>
      <c r="F5" t="s">
        <v>96</v>
      </c>
      <c r="G5" t="s">
        <v>97</v>
      </c>
      <c r="H5" t="s">
        <v>25</v>
      </c>
      <c r="I5">
        <v>1E-4</v>
      </c>
      <c r="J5">
        <v>62500</v>
      </c>
      <c r="K5">
        <v>1</v>
      </c>
      <c r="L5" t="s">
        <v>17</v>
      </c>
      <c r="M5" t="s">
        <v>59</v>
      </c>
      <c r="N5" t="s">
        <v>58</v>
      </c>
      <c r="O5">
        <v>1.615</v>
      </c>
      <c r="P5" t="s">
        <v>15</v>
      </c>
      <c r="Q5" t="s">
        <v>25</v>
      </c>
      <c r="R5" t="s">
        <v>98</v>
      </c>
      <c r="S5">
        <v>118903009</v>
      </c>
    </row>
    <row r="6" spans="1:19" x14ac:dyDescent="0.25">
      <c r="A6">
        <v>129090077</v>
      </c>
      <c r="B6" t="s">
        <v>64</v>
      </c>
      <c r="C6" t="s">
        <v>16</v>
      </c>
      <c r="E6">
        <v>20140606</v>
      </c>
      <c r="F6" t="s">
        <v>96</v>
      </c>
      <c r="G6" t="s">
        <v>97</v>
      </c>
      <c r="H6" t="s">
        <v>25</v>
      </c>
      <c r="I6">
        <v>1E-4</v>
      </c>
      <c r="J6">
        <v>62500</v>
      </c>
      <c r="K6">
        <v>1</v>
      </c>
      <c r="L6" t="s">
        <v>17</v>
      </c>
      <c r="M6" t="s">
        <v>59</v>
      </c>
      <c r="N6" t="s">
        <v>58</v>
      </c>
      <c r="O6">
        <v>1.64</v>
      </c>
      <c r="P6" t="s">
        <v>15</v>
      </c>
      <c r="Q6" t="s">
        <v>25</v>
      </c>
      <c r="R6" t="s">
        <v>98</v>
      </c>
      <c r="S6">
        <v>118903009</v>
      </c>
    </row>
    <row r="7" spans="1:19" x14ac:dyDescent="0.25">
      <c r="A7">
        <v>139782285</v>
      </c>
      <c r="B7" t="s">
        <v>65</v>
      </c>
      <c r="C7" t="s">
        <v>16</v>
      </c>
      <c r="E7">
        <v>20140606</v>
      </c>
      <c r="F7" t="s">
        <v>96</v>
      </c>
      <c r="G7" t="s">
        <v>97</v>
      </c>
      <c r="H7" t="s">
        <v>25</v>
      </c>
      <c r="I7">
        <v>1E-4</v>
      </c>
      <c r="J7">
        <v>62500</v>
      </c>
      <c r="K7">
        <v>1</v>
      </c>
      <c r="L7" t="s">
        <v>17</v>
      </c>
      <c r="M7" t="s">
        <v>60</v>
      </c>
      <c r="N7" t="s">
        <v>58</v>
      </c>
      <c r="O7">
        <v>1.645</v>
      </c>
      <c r="P7" t="s">
        <v>15</v>
      </c>
      <c r="Q7" t="s">
        <v>25</v>
      </c>
      <c r="R7" t="s">
        <v>98</v>
      </c>
      <c r="S7">
        <v>118903009</v>
      </c>
    </row>
    <row r="8" spans="1:19" x14ac:dyDescent="0.25">
      <c r="A8">
        <v>129090202</v>
      </c>
      <c r="B8" t="s">
        <v>66</v>
      </c>
      <c r="C8" t="s">
        <v>16</v>
      </c>
      <c r="E8">
        <v>20140606</v>
      </c>
      <c r="F8" t="s">
        <v>96</v>
      </c>
      <c r="G8" t="s">
        <v>97</v>
      </c>
      <c r="H8" t="s">
        <v>25</v>
      </c>
      <c r="I8">
        <v>1E-4</v>
      </c>
      <c r="J8">
        <v>62500</v>
      </c>
      <c r="K8">
        <v>1</v>
      </c>
      <c r="L8" t="s">
        <v>17</v>
      </c>
      <c r="M8" t="s">
        <v>60</v>
      </c>
      <c r="N8" t="s">
        <v>58</v>
      </c>
      <c r="O8">
        <v>1.65</v>
      </c>
      <c r="P8" t="s">
        <v>15</v>
      </c>
      <c r="Q8" t="s">
        <v>25</v>
      </c>
      <c r="R8" t="s">
        <v>98</v>
      </c>
      <c r="S8">
        <v>118903009</v>
      </c>
    </row>
    <row r="9" spans="1:19" x14ac:dyDescent="0.25">
      <c r="A9">
        <v>139782264</v>
      </c>
      <c r="B9" t="s">
        <v>67</v>
      </c>
      <c r="C9" t="s">
        <v>16</v>
      </c>
      <c r="E9">
        <v>20140606</v>
      </c>
      <c r="F9" t="s">
        <v>96</v>
      </c>
      <c r="G9" t="s">
        <v>97</v>
      </c>
      <c r="H9" t="s">
        <v>25</v>
      </c>
      <c r="I9">
        <v>1E-4</v>
      </c>
      <c r="J9">
        <v>62500</v>
      </c>
      <c r="K9">
        <v>1</v>
      </c>
      <c r="L9" t="s">
        <v>17</v>
      </c>
      <c r="M9" t="s">
        <v>59</v>
      </c>
      <c r="N9" t="s">
        <v>58</v>
      </c>
      <c r="O9">
        <v>1.645</v>
      </c>
      <c r="P9" t="s">
        <v>15</v>
      </c>
      <c r="Q9" t="s">
        <v>25</v>
      </c>
      <c r="R9" t="s">
        <v>98</v>
      </c>
      <c r="S9">
        <v>118903009</v>
      </c>
    </row>
    <row r="10" spans="1:19" x14ac:dyDescent="0.25">
      <c r="A10">
        <v>129090285</v>
      </c>
      <c r="B10" t="s">
        <v>68</v>
      </c>
      <c r="C10" t="s">
        <v>16</v>
      </c>
      <c r="E10">
        <v>20140606</v>
      </c>
      <c r="F10" t="s">
        <v>96</v>
      </c>
      <c r="G10" t="s">
        <v>97</v>
      </c>
      <c r="H10" t="s">
        <v>25</v>
      </c>
      <c r="I10">
        <v>1E-4</v>
      </c>
      <c r="J10">
        <v>62500</v>
      </c>
      <c r="K10">
        <v>1</v>
      </c>
      <c r="L10" t="s">
        <v>17</v>
      </c>
      <c r="M10" t="s">
        <v>59</v>
      </c>
      <c r="N10" t="s">
        <v>58</v>
      </c>
      <c r="O10">
        <v>1.65</v>
      </c>
      <c r="P10" t="s">
        <v>15</v>
      </c>
      <c r="Q10" t="s">
        <v>25</v>
      </c>
      <c r="R10" t="s">
        <v>98</v>
      </c>
      <c r="S10">
        <v>118903009</v>
      </c>
    </row>
    <row r="11" spans="1:19" x14ac:dyDescent="0.25">
      <c r="A11">
        <v>139781555</v>
      </c>
      <c r="B11" t="s">
        <v>69</v>
      </c>
      <c r="C11" t="s">
        <v>16</v>
      </c>
      <c r="E11">
        <v>20140606</v>
      </c>
      <c r="F11" t="s">
        <v>96</v>
      </c>
      <c r="G11" t="s">
        <v>97</v>
      </c>
      <c r="H11" t="s">
        <v>25</v>
      </c>
      <c r="I11">
        <v>1E-4</v>
      </c>
      <c r="J11">
        <v>62500</v>
      </c>
      <c r="K11">
        <v>1</v>
      </c>
      <c r="L11" t="s">
        <v>17</v>
      </c>
      <c r="M11" t="s">
        <v>60</v>
      </c>
      <c r="N11" t="s">
        <v>58</v>
      </c>
      <c r="O11">
        <v>1.655</v>
      </c>
      <c r="P11" t="s">
        <v>15</v>
      </c>
      <c r="Q11" t="s">
        <v>25</v>
      </c>
      <c r="R11" t="s">
        <v>98</v>
      </c>
      <c r="S11">
        <v>118903009</v>
      </c>
    </row>
    <row r="12" spans="1:19" x14ac:dyDescent="0.25">
      <c r="A12">
        <v>129090190</v>
      </c>
      <c r="B12" t="s">
        <v>70</v>
      </c>
      <c r="C12" t="s">
        <v>16</v>
      </c>
      <c r="E12">
        <v>20140606</v>
      </c>
      <c r="F12" t="s">
        <v>96</v>
      </c>
      <c r="G12" t="s">
        <v>97</v>
      </c>
      <c r="H12" t="s">
        <v>25</v>
      </c>
      <c r="I12">
        <v>1E-4</v>
      </c>
      <c r="J12">
        <v>62500</v>
      </c>
      <c r="K12">
        <v>1</v>
      </c>
      <c r="L12" t="s">
        <v>17</v>
      </c>
      <c r="M12" t="s">
        <v>60</v>
      </c>
      <c r="N12" t="s">
        <v>58</v>
      </c>
      <c r="O12">
        <v>1.66</v>
      </c>
      <c r="P12" t="s">
        <v>15</v>
      </c>
      <c r="Q12" t="s">
        <v>25</v>
      </c>
      <c r="R12" t="s">
        <v>98</v>
      </c>
      <c r="S12">
        <v>118903009</v>
      </c>
    </row>
    <row r="13" spans="1:19" x14ac:dyDescent="0.25">
      <c r="A13">
        <v>129090140</v>
      </c>
      <c r="B13" t="s">
        <v>71</v>
      </c>
      <c r="C13" t="s">
        <v>16</v>
      </c>
      <c r="E13">
        <v>20140606</v>
      </c>
      <c r="F13" t="s">
        <v>96</v>
      </c>
      <c r="G13" t="s">
        <v>97</v>
      </c>
      <c r="H13" t="s">
        <v>25</v>
      </c>
      <c r="I13">
        <v>1E-4</v>
      </c>
      <c r="J13">
        <v>62500</v>
      </c>
      <c r="K13">
        <v>1</v>
      </c>
      <c r="L13" t="s">
        <v>17</v>
      </c>
      <c r="M13" t="s">
        <v>59</v>
      </c>
      <c r="N13" t="s">
        <v>58</v>
      </c>
      <c r="O13">
        <v>1.66</v>
      </c>
      <c r="P13" t="s">
        <v>15</v>
      </c>
      <c r="Q13" t="s">
        <v>25</v>
      </c>
      <c r="R13" t="s">
        <v>98</v>
      </c>
      <c r="S13">
        <v>118903009</v>
      </c>
    </row>
    <row r="14" spans="1:19" x14ac:dyDescent="0.25">
      <c r="A14">
        <v>129090084</v>
      </c>
      <c r="B14" t="s">
        <v>72</v>
      </c>
      <c r="C14" t="s">
        <v>16</v>
      </c>
      <c r="E14">
        <v>20140606</v>
      </c>
      <c r="F14" t="s">
        <v>96</v>
      </c>
      <c r="G14" t="s">
        <v>97</v>
      </c>
      <c r="H14" t="s">
        <v>25</v>
      </c>
      <c r="I14">
        <v>1E-4</v>
      </c>
      <c r="J14">
        <v>62500</v>
      </c>
      <c r="K14">
        <v>1</v>
      </c>
      <c r="L14" t="s">
        <v>17</v>
      </c>
      <c r="M14" t="s">
        <v>60</v>
      </c>
      <c r="N14" t="s">
        <v>58</v>
      </c>
      <c r="O14">
        <v>1.67</v>
      </c>
      <c r="P14" t="s">
        <v>15</v>
      </c>
      <c r="Q14" t="s">
        <v>25</v>
      </c>
      <c r="R14" t="s">
        <v>98</v>
      </c>
      <c r="S14">
        <v>118903009</v>
      </c>
    </row>
    <row r="15" spans="1:19" x14ac:dyDescent="0.25">
      <c r="A15">
        <v>139782641</v>
      </c>
      <c r="B15" t="s">
        <v>74</v>
      </c>
      <c r="C15" t="s">
        <v>16</v>
      </c>
      <c r="E15">
        <v>20140606</v>
      </c>
      <c r="F15" t="s">
        <v>96</v>
      </c>
      <c r="G15" t="s">
        <v>97</v>
      </c>
      <c r="H15" t="s">
        <v>25</v>
      </c>
      <c r="I15">
        <v>1E-4</v>
      </c>
      <c r="J15">
        <v>62500</v>
      </c>
      <c r="K15">
        <v>1</v>
      </c>
      <c r="L15" t="s">
        <v>17</v>
      </c>
      <c r="M15" t="s">
        <v>60</v>
      </c>
      <c r="N15" t="s">
        <v>58</v>
      </c>
      <c r="O15">
        <v>1.675</v>
      </c>
      <c r="P15" t="s">
        <v>15</v>
      </c>
      <c r="Q15" t="s">
        <v>25</v>
      </c>
      <c r="R15" t="s">
        <v>98</v>
      </c>
      <c r="S15">
        <v>118903009</v>
      </c>
    </row>
    <row r="16" spans="1:19" x14ac:dyDescent="0.25">
      <c r="A16">
        <v>129090240</v>
      </c>
      <c r="B16" t="s">
        <v>75</v>
      </c>
      <c r="C16" t="s">
        <v>16</v>
      </c>
      <c r="E16">
        <v>20140606</v>
      </c>
      <c r="F16" t="s">
        <v>96</v>
      </c>
      <c r="G16" t="s">
        <v>97</v>
      </c>
      <c r="H16" t="s">
        <v>25</v>
      </c>
      <c r="I16">
        <v>1E-4</v>
      </c>
      <c r="J16">
        <v>62500</v>
      </c>
      <c r="K16">
        <v>1</v>
      </c>
      <c r="L16" t="s">
        <v>17</v>
      </c>
      <c r="M16" t="s">
        <v>60</v>
      </c>
      <c r="N16" t="s">
        <v>58</v>
      </c>
      <c r="O16">
        <v>1.68</v>
      </c>
      <c r="P16" t="s">
        <v>15</v>
      </c>
      <c r="Q16" t="s">
        <v>25</v>
      </c>
      <c r="R16" t="s">
        <v>98</v>
      </c>
      <c r="S16">
        <v>118903009</v>
      </c>
    </row>
    <row r="17" spans="1:19" x14ac:dyDescent="0.25">
      <c r="A17">
        <v>139781633</v>
      </c>
      <c r="B17" t="s">
        <v>76</v>
      </c>
      <c r="C17" t="s">
        <v>16</v>
      </c>
      <c r="E17">
        <v>20140606</v>
      </c>
      <c r="F17" t="s">
        <v>96</v>
      </c>
      <c r="G17" t="s">
        <v>97</v>
      </c>
      <c r="H17" t="s">
        <v>25</v>
      </c>
      <c r="I17">
        <v>1E-4</v>
      </c>
      <c r="J17">
        <v>62500</v>
      </c>
      <c r="K17">
        <v>1</v>
      </c>
      <c r="L17" t="s">
        <v>17</v>
      </c>
      <c r="M17" t="s">
        <v>59</v>
      </c>
      <c r="N17" t="s">
        <v>58</v>
      </c>
      <c r="O17">
        <v>1.675</v>
      </c>
      <c r="P17" t="s">
        <v>15</v>
      </c>
      <c r="Q17" t="s">
        <v>25</v>
      </c>
      <c r="R17" t="s">
        <v>98</v>
      </c>
      <c r="S17">
        <v>118903009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Watchlist</vt:lpstr>
      <vt:lpstr>Config</vt:lpstr>
      <vt:lpstr>Log</vt:lpstr>
      <vt:lpstr>OrderHistory</vt:lpstr>
      <vt:lpstr>Contracts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2015-01-21T12:43:43Z</dcterms:modified>
</cp:coreProperties>
</file>