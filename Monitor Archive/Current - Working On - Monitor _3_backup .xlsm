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Y57" i="15" s="1"/>
  <c r="W57" i="15"/>
  <c r="U57" i="15"/>
  <c r="X56" i="15"/>
  <c r="Y56" i="15" s="1"/>
  <c r="W56" i="15"/>
  <c r="U56" i="15"/>
  <c r="X55" i="15"/>
  <c r="Y55" i="15" s="1"/>
  <c r="W55" i="15"/>
  <c r="U55" i="15"/>
  <c r="X54" i="15"/>
  <c r="Y54" i="15" s="1"/>
  <c r="W54" i="15"/>
  <c r="U54" i="15"/>
  <c r="X53" i="15"/>
  <c r="Y53" i="15" s="1"/>
  <c r="W53" i="15"/>
  <c r="U53" i="15"/>
  <c r="X52" i="15"/>
  <c r="Y52" i="15" s="1"/>
  <c r="W52" i="15"/>
  <c r="U52" i="15"/>
  <c r="X51" i="15"/>
  <c r="Y51" i="15" s="1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U47" i="15"/>
  <c r="X46" i="15"/>
  <c r="W46" i="15"/>
  <c r="U46" i="15"/>
  <c r="X45" i="15"/>
  <c r="W45" i="15"/>
  <c r="U45" i="15"/>
  <c r="AE105" i="13"/>
  <c r="AE42" i="13"/>
  <c r="AE112" i="13"/>
  <c r="AE83" i="13"/>
  <c r="AE74" i="13"/>
  <c r="AE33" i="13"/>
  <c r="AE17" i="13"/>
  <c r="AE59" i="13"/>
  <c r="AE108" i="13"/>
  <c r="AE28" i="13"/>
  <c r="AE97" i="13"/>
  <c r="AE60" i="13"/>
  <c r="AE104" i="13"/>
  <c r="AE67" i="13"/>
  <c r="AE66" i="13"/>
  <c r="AE31" i="13"/>
  <c r="AE15" i="13"/>
  <c r="AE43" i="13"/>
  <c r="AE125" i="13"/>
  <c r="AE63" i="13"/>
  <c r="AE22" i="13"/>
  <c r="AE36" i="13"/>
  <c r="AE89" i="13"/>
  <c r="AE122" i="13"/>
  <c r="AE13" i="13"/>
  <c r="AE16" i="13"/>
  <c r="AE88" i="13"/>
  <c r="AE27" i="13"/>
  <c r="AE115" i="13"/>
  <c r="AE45" i="13"/>
  <c r="AE87" i="13"/>
  <c r="AE18" i="13"/>
  <c r="AE24" i="13"/>
  <c r="AE73" i="13"/>
  <c r="AE103" i="13"/>
  <c r="AE80" i="13"/>
  <c r="AE106" i="13"/>
  <c r="AE41" i="13"/>
  <c r="AE25" i="13"/>
  <c r="AE9" i="13"/>
  <c r="AE69" i="13"/>
  <c r="AE86" i="13"/>
  <c r="AE107" i="13"/>
  <c r="AE65" i="13"/>
  <c r="AE75" i="13"/>
  <c r="AE68" i="13"/>
  <c r="AE98" i="13"/>
  <c r="AE39" i="13"/>
  <c r="AE23" i="13"/>
  <c r="AE7" i="13"/>
  <c r="AE76" i="13"/>
  <c r="AE102" i="13"/>
  <c r="AE12" i="13"/>
  <c r="AE93" i="13"/>
  <c r="AE56" i="13"/>
  <c r="AE100" i="13"/>
  <c r="AE47" i="13"/>
  <c r="AE62" i="13"/>
  <c r="AE30" i="13"/>
  <c r="AE14" i="13"/>
  <c r="AE101" i="13"/>
  <c r="AE118" i="13"/>
  <c r="AE8" i="13"/>
  <c r="AE57" i="13"/>
  <c r="AE51" i="13"/>
  <c r="AE90" i="13"/>
  <c r="AE37" i="13"/>
  <c r="AE123" i="13"/>
  <c r="AE48" i="13"/>
  <c r="AE113" i="13"/>
  <c r="AE120" i="13"/>
  <c r="AE99" i="13"/>
  <c r="AE35" i="13"/>
  <c r="AE19" i="13"/>
  <c r="AE124" i="13"/>
  <c r="AE55" i="13"/>
  <c r="AE77" i="13"/>
  <c r="AE84" i="13"/>
  <c r="AE46" i="13"/>
  <c r="AE26" i="13"/>
  <c r="AE53" i="13"/>
  <c r="AE72" i="13"/>
  <c r="AE61" i="13"/>
  <c r="AE94" i="13"/>
  <c r="AE6" i="13"/>
  <c r="AE52" i="13"/>
  <c r="AE58" i="13"/>
  <c r="AE117" i="13"/>
  <c r="AE81" i="13"/>
  <c r="AE114" i="13"/>
  <c r="AE11" i="13"/>
  <c r="AE20" i="13"/>
  <c r="AE116" i="13"/>
  <c r="AE34" i="13"/>
  <c r="AE92" i="13"/>
  <c r="AE121" i="13"/>
  <c r="AE44" i="13"/>
  <c r="AE21" i="13"/>
  <c r="AE40" i="13"/>
  <c r="AE49" i="13"/>
  <c r="AE82" i="13"/>
  <c r="AE95" i="13"/>
  <c r="AE54" i="13"/>
  <c r="AE111" i="13"/>
  <c r="AE110" i="13"/>
  <c r="AE10" i="13"/>
  <c r="AE70" i="13"/>
  <c r="AE32" i="13"/>
  <c r="AE64" i="13"/>
  <c r="AE38" i="13"/>
  <c r="AE91" i="13"/>
  <c r="AE96" i="13"/>
  <c r="AE29" i="13"/>
  <c r="AE71" i="13"/>
  <c r="AE119" i="13"/>
  <c r="AE50" i="13"/>
  <c r="AE85" i="13"/>
  <c r="AE109" i="13"/>
  <c r="AE78" i="13"/>
  <c r="AE79" i="13"/>
  <c r="AA64" i="15"/>
  <c r="AA59" i="15"/>
  <c r="AA65" i="15"/>
  <c r="AA52" i="15"/>
  <c r="AA53" i="15"/>
  <c r="AA48" i="15"/>
  <c r="AA54" i="15"/>
  <c r="AA56" i="15"/>
  <c r="AA55" i="15"/>
  <c r="AA51" i="15"/>
  <c r="AA46" i="15"/>
  <c r="AA58" i="15"/>
  <c r="AA50" i="15"/>
  <c r="AA47" i="15"/>
  <c r="AA62" i="15"/>
  <c r="AA45" i="15"/>
  <c r="AA63" i="15"/>
  <c r="AA61" i="15"/>
  <c r="AA60" i="15"/>
  <c r="AA57" i="15"/>
  <c r="AA49" i="15"/>
  <c r="Y50" i="15" l="1"/>
  <c r="AC43" i="13"/>
  <c r="AF43" i="13"/>
  <c r="AG43" i="13"/>
  <c r="AC55" i="13"/>
  <c r="AF55" i="13"/>
  <c r="AG55" i="13"/>
  <c r="AF59" i="13"/>
  <c r="AG59" i="13"/>
  <c r="AC59" i="13"/>
  <c r="AC79" i="13"/>
  <c r="AF79" i="13"/>
  <c r="AG79" i="13"/>
  <c r="AC95" i="13"/>
  <c r="AF95" i="13"/>
  <c r="AG95" i="13"/>
  <c r="AC107" i="13"/>
  <c r="AF107" i="13"/>
  <c r="AG107" i="13"/>
  <c r="AG123" i="13"/>
  <c r="AC123" i="13"/>
  <c r="AF123" i="13"/>
  <c r="AG6" i="13"/>
  <c r="AF6" i="13"/>
  <c r="AC6" i="13"/>
  <c r="AF7" i="13"/>
  <c r="AC7" i="13"/>
  <c r="AG7" i="13"/>
  <c r="AC8" i="13"/>
  <c r="AG8" i="13"/>
  <c r="AF8" i="13"/>
  <c r="AG9" i="13"/>
  <c r="AC9" i="13"/>
  <c r="AF9" i="13"/>
  <c r="AG10" i="13"/>
  <c r="AF10" i="13"/>
  <c r="AC10" i="13"/>
  <c r="AG11" i="13"/>
  <c r="AC11" i="13"/>
  <c r="AF11" i="13"/>
  <c r="AC12" i="13"/>
  <c r="AF12" i="13"/>
  <c r="AG12" i="13"/>
  <c r="AG13" i="13"/>
  <c r="AF13" i="13"/>
  <c r="AC13" i="13"/>
  <c r="AC14" i="13"/>
  <c r="AG14" i="13"/>
  <c r="AF14" i="13"/>
  <c r="AC15" i="13"/>
  <c r="AF15" i="13"/>
  <c r="AG15" i="13"/>
  <c r="AG16" i="13"/>
  <c r="AF16" i="13"/>
  <c r="AC16" i="13"/>
  <c r="AG17" i="13"/>
  <c r="AC17" i="13"/>
  <c r="AF17" i="13"/>
  <c r="AG18" i="13"/>
  <c r="AF18" i="13"/>
  <c r="AC18" i="13"/>
  <c r="AC19" i="13"/>
  <c r="AF19" i="13"/>
  <c r="AG19" i="13"/>
  <c r="AG20" i="13"/>
  <c r="AC20" i="13"/>
  <c r="AF20" i="13"/>
  <c r="AG21" i="13"/>
  <c r="AC21" i="13"/>
  <c r="AF21" i="13"/>
  <c r="AF22" i="13"/>
  <c r="AG22" i="13"/>
  <c r="AC22" i="13"/>
  <c r="AC23" i="13"/>
  <c r="AF23" i="13"/>
  <c r="AG23" i="13"/>
  <c r="AC24" i="13"/>
  <c r="AG24" i="13"/>
  <c r="AF24" i="13"/>
  <c r="AG25" i="13"/>
  <c r="AF25" i="13"/>
  <c r="AC25" i="13"/>
  <c r="AG26" i="13"/>
  <c r="AF26" i="13"/>
  <c r="AC26" i="13"/>
  <c r="AC27" i="13"/>
  <c r="AF27" i="13"/>
  <c r="AG27" i="13"/>
  <c r="AC28" i="13"/>
  <c r="AG28" i="13"/>
  <c r="AF28" i="13"/>
  <c r="AG29" i="13"/>
  <c r="AF29" i="13"/>
  <c r="AC29" i="13"/>
  <c r="AG30" i="13"/>
  <c r="AF30" i="13"/>
  <c r="AC30" i="13"/>
  <c r="AF31" i="13"/>
  <c r="AG31" i="13"/>
  <c r="AC31" i="13"/>
  <c r="AC32" i="13"/>
  <c r="AG32" i="13"/>
  <c r="AF32" i="13"/>
  <c r="AG33" i="13"/>
  <c r="AC33" i="13"/>
  <c r="AF33" i="13"/>
  <c r="AG34" i="13"/>
  <c r="AC34" i="13"/>
  <c r="AF34" i="13"/>
  <c r="AG35" i="13"/>
  <c r="AF35" i="13"/>
  <c r="AC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F40" i="13"/>
  <c r="AC40" i="13"/>
  <c r="AF41" i="13"/>
  <c r="AC41" i="13"/>
  <c r="AG41" i="13"/>
  <c r="AG46" i="13"/>
  <c r="AF46" i="13"/>
  <c r="AC46" i="13"/>
  <c r="AF50" i="13"/>
  <c r="AG50" i="13"/>
  <c r="AC50" i="13"/>
  <c r="AC54" i="13"/>
  <c r="AF54" i="13"/>
  <c r="AG54" i="13"/>
  <c r="AC58" i="13"/>
  <c r="AF58" i="13"/>
  <c r="AG58" i="13"/>
  <c r="AF62" i="13"/>
  <c r="AG62" i="13"/>
  <c r="AC62" i="13"/>
  <c r="AF66" i="13"/>
  <c r="AG66" i="13"/>
  <c r="AC66" i="13"/>
  <c r="AC70" i="13"/>
  <c r="AF70" i="13"/>
  <c r="AG70" i="13"/>
  <c r="AG74" i="13"/>
  <c r="AF74" i="13"/>
  <c r="AC74" i="13"/>
  <c r="AC78" i="13"/>
  <c r="AF78" i="13"/>
  <c r="AG78" i="13"/>
  <c r="AF82" i="13"/>
  <c r="AG82" i="13"/>
  <c r="AC82" i="13"/>
  <c r="AC86" i="13"/>
  <c r="AF86" i="13"/>
  <c r="AG86" i="13"/>
  <c r="AC90" i="13"/>
  <c r="AF90" i="13"/>
  <c r="AG90" i="13"/>
  <c r="AC94" i="13"/>
  <c r="AF94" i="13"/>
  <c r="AG94" i="13"/>
  <c r="AG98" i="13"/>
  <c r="AF98" i="13"/>
  <c r="AC98" i="13"/>
  <c r="AF102" i="13"/>
  <c r="AG102" i="13"/>
  <c r="AC102" i="13"/>
  <c r="AF106" i="13"/>
  <c r="AG106" i="13"/>
  <c r="AC106" i="13"/>
  <c r="AG110" i="13"/>
  <c r="AF110" i="13"/>
  <c r="AC110" i="13"/>
  <c r="AG114" i="13"/>
  <c r="AC114" i="13"/>
  <c r="AF114" i="13"/>
  <c r="AG118" i="13"/>
  <c r="AC118" i="13"/>
  <c r="AF118" i="13"/>
  <c r="AG122" i="13"/>
  <c r="AC122" i="13"/>
  <c r="AF122" i="13"/>
  <c r="AF47" i="13"/>
  <c r="AG47" i="13"/>
  <c r="AC47" i="13"/>
  <c r="AC67" i="13"/>
  <c r="AF67" i="13"/>
  <c r="AG67" i="13"/>
  <c r="AC71" i="13"/>
  <c r="AF71" i="13"/>
  <c r="AG71" i="13"/>
  <c r="AC83" i="13"/>
  <c r="AF83" i="13"/>
  <c r="AG83" i="13"/>
  <c r="AG87" i="13"/>
  <c r="AF87" i="13"/>
  <c r="AC87" i="13"/>
  <c r="AF99" i="13"/>
  <c r="AG99" i="13"/>
  <c r="AC99" i="13"/>
  <c r="AG115" i="13"/>
  <c r="AC115" i="13"/>
  <c r="AF115" i="13"/>
  <c r="AC44" i="13"/>
  <c r="AF44" i="13"/>
  <c r="AG44" i="13"/>
  <c r="AC64" i="13"/>
  <c r="AF64" i="13"/>
  <c r="AG64" i="13"/>
  <c r="AC68" i="13"/>
  <c r="AF68" i="13"/>
  <c r="AG68" i="13"/>
  <c r="AC72" i="13"/>
  <c r="AF72" i="13"/>
  <c r="AG72" i="13"/>
  <c r="AG80" i="13"/>
  <c r="AF80" i="13"/>
  <c r="AC80" i="13"/>
  <c r="AC84" i="13"/>
  <c r="AF84" i="13"/>
  <c r="AG84" i="13"/>
  <c r="AF88" i="13"/>
  <c r="AG88" i="13"/>
  <c r="AC88" i="13"/>
  <c r="AC92" i="13"/>
  <c r="AF92" i="13"/>
  <c r="AG92" i="13"/>
  <c r="AC96" i="13"/>
  <c r="AF96" i="13"/>
  <c r="AG96" i="13"/>
  <c r="AC100" i="13"/>
  <c r="AF100" i="13"/>
  <c r="AG100" i="13"/>
  <c r="AC104" i="13"/>
  <c r="AF104" i="13"/>
  <c r="AG104" i="13"/>
  <c r="AC108" i="13"/>
  <c r="AF108" i="13"/>
  <c r="AG108" i="13"/>
  <c r="AG112" i="13"/>
  <c r="AF112" i="13"/>
  <c r="AC112" i="13"/>
  <c r="AG116" i="13"/>
  <c r="AC116" i="13"/>
  <c r="AF116" i="13"/>
  <c r="AG120" i="13"/>
  <c r="AC120" i="13"/>
  <c r="AF120" i="13"/>
  <c r="AG124" i="13"/>
  <c r="AC124" i="13"/>
  <c r="AF124" i="13"/>
  <c r="AC51" i="13"/>
  <c r="AF51" i="13"/>
  <c r="AG51" i="13"/>
  <c r="AC63" i="13"/>
  <c r="AF63" i="13"/>
  <c r="AG63" i="13"/>
  <c r="AF75" i="13"/>
  <c r="AG75" i="13"/>
  <c r="AC75" i="13"/>
  <c r="AC91" i="13"/>
  <c r="AF91" i="13"/>
  <c r="AG91" i="13"/>
  <c r="AC103" i="13"/>
  <c r="AF103" i="13"/>
  <c r="AG103" i="13"/>
  <c r="AG111" i="13"/>
  <c r="AC111" i="13"/>
  <c r="AF111" i="13"/>
  <c r="AG119" i="13"/>
  <c r="AC119" i="13"/>
  <c r="AF119" i="13"/>
  <c r="AC48" i="13"/>
  <c r="AF48" i="13"/>
  <c r="AG48" i="13"/>
  <c r="AG52" i="13"/>
  <c r="AF52" i="13"/>
  <c r="AC52" i="13"/>
  <c r="AG56" i="13"/>
  <c r="AF56" i="13"/>
  <c r="AC56" i="13"/>
  <c r="AC60" i="13"/>
  <c r="AF60" i="13"/>
  <c r="AG60" i="13"/>
  <c r="AC76" i="13"/>
  <c r="AF76" i="13"/>
  <c r="AG76" i="13"/>
  <c r="AF42" i="13"/>
  <c r="AC42" i="13"/>
  <c r="AG42" i="13"/>
  <c r="AG45" i="13"/>
  <c r="AF45" i="13"/>
  <c r="AC45" i="13"/>
  <c r="AG49" i="13"/>
  <c r="AF49" i="13"/>
  <c r="AC49" i="13"/>
  <c r="AF53" i="13"/>
  <c r="AG53" i="13"/>
  <c r="AC53" i="13"/>
  <c r="AF57" i="13"/>
  <c r="AG57" i="13"/>
  <c r="AC57" i="13"/>
  <c r="AG61" i="13"/>
  <c r="AF61" i="13"/>
  <c r="AC61" i="13"/>
  <c r="AG65" i="13"/>
  <c r="AF65" i="13"/>
  <c r="AC65" i="13"/>
  <c r="AC69" i="13"/>
  <c r="AF69" i="13"/>
  <c r="AG69" i="13"/>
  <c r="AC73" i="13"/>
  <c r="AF73" i="13"/>
  <c r="AG73" i="13"/>
  <c r="AC77" i="13"/>
  <c r="AF77" i="13"/>
  <c r="AG77" i="13"/>
  <c r="AG81" i="13"/>
  <c r="AF81" i="13"/>
  <c r="AC81" i="13"/>
  <c r="AC85" i="13"/>
  <c r="AF85" i="13"/>
  <c r="AG85" i="13"/>
  <c r="AC89" i="13"/>
  <c r="AF89" i="13"/>
  <c r="AG89" i="13"/>
  <c r="AC93" i="13"/>
  <c r="AF93" i="13"/>
  <c r="AG93" i="13"/>
  <c r="AG97" i="13"/>
  <c r="AF97" i="13"/>
  <c r="AC97" i="13"/>
  <c r="AG101" i="13"/>
  <c r="AF101" i="13"/>
  <c r="AC101" i="13"/>
  <c r="AG105" i="13"/>
  <c r="AF105" i="13"/>
  <c r="AC105" i="13"/>
  <c r="AC109" i="13"/>
  <c r="AF109" i="13"/>
  <c r="AG109" i="13"/>
  <c r="AG113" i="13"/>
  <c r="AC113" i="13"/>
  <c r="AF113" i="13"/>
  <c r="AG117" i="13"/>
  <c r="AC117" i="13"/>
  <c r="AF117" i="13"/>
  <c r="AG121" i="13"/>
  <c r="AC121" i="13"/>
  <c r="AF121" i="13"/>
  <c r="AG125" i="13"/>
  <c r="AF125" i="13"/>
  <c r="AC125" i="13"/>
  <c r="Y46" i="15"/>
  <c r="Y45" i="15"/>
  <c r="Y49" i="15"/>
  <c r="Y47" i="15"/>
  <c r="Y48" i="15"/>
  <c r="S36" i="15"/>
  <c r="T36" i="15" s="1"/>
  <c r="R36" i="15"/>
  <c r="Q36" i="15"/>
  <c r="Z55" i="15"/>
  <c r="Z49" i="15"/>
  <c r="Z62" i="15"/>
  <c r="Z58" i="15"/>
  <c r="Z52" i="15"/>
  <c r="Z60" i="15"/>
  <c r="Z61" i="15"/>
  <c r="Z63" i="15"/>
  <c r="Z57" i="15"/>
  <c r="Z46" i="15"/>
  <c r="Z56" i="15"/>
  <c r="Z47" i="15"/>
  <c r="Z65" i="15"/>
  <c r="Z59" i="15"/>
  <c r="Z54" i="15"/>
  <c r="Z48" i="15"/>
  <c r="Z50" i="15"/>
  <c r="Z53" i="15"/>
  <c r="Z64" i="15"/>
  <c r="Z45" i="15"/>
  <c r="Z51" i="15"/>
  <c r="AB60" i="15" l="1"/>
  <c r="AC60" i="15" s="1"/>
  <c r="AD60" i="15" s="1"/>
  <c r="AB64" i="15"/>
  <c r="AC64" i="15" s="1"/>
  <c r="AD64" i="15" s="1"/>
  <c r="AB59" i="15"/>
  <c r="AC59" i="15" s="1"/>
  <c r="AD59" i="15" s="1"/>
  <c r="AB65" i="15"/>
  <c r="AC65" i="15" s="1"/>
  <c r="AD65" i="15" s="1"/>
  <c r="AB52" i="15"/>
  <c r="AC52" i="15" s="1"/>
  <c r="AD52" i="15" s="1"/>
  <c r="AB53" i="15"/>
  <c r="AC53" i="15" s="1"/>
  <c r="AD53" i="15" s="1"/>
  <c r="AB51" i="15"/>
  <c r="AC51" i="15" s="1"/>
  <c r="AD51" i="15" s="1"/>
  <c r="AB46" i="15"/>
  <c r="AC46" i="15" s="1"/>
  <c r="AD46" i="15" s="1"/>
  <c r="AB58" i="15"/>
  <c r="AC58" i="15" s="1"/>
  <c r="AD58" i="15" s="1"/>
  <c r="AB50" i="15"/>
  <c r="AC50" i="15" s="1"/>
  <c r="AD50" i="15" s="1"/>
  <c r="AB47" i="15"/>
  <c r="AC47" i="15" s="1"/>
  <c r="AD47" i="15" s="1"/>
  <c r="AB57" i="15"/>
  <c r="AC57" i="15" s="1"/>
  <c r="AD57" i="15" s="1"/>
  <c r="AB62" i="15"/>
  <c r="AC62" i="15" s="1"/>
  <c r="AD62" i="15" s="1"/>
  <c r="AB48" i="15"/>
  <c r="AC48" i="15" s="1"/>
  <c r="AD48" i="15" s="1"/>
  <c r="AB45" i="15"/>
  <c r="AC45" i="15" s="1"/>
  <c r="AD45" i="15" s="1"/>
  <c r="AB63" i="15"/>
  <c r="AC63" i="15" s="1"/>
  <c r="AD63" i="15" s="1"/>
  <c r="AB49" i="15"/>
  <c r="AC49" i="15" s="1"/>
  <c r="AD49" i="15" s="1"/>
  <c r="AB54" i="15"/>
  <c r="AC54" i="15" s="1"/>
  <c r="AD54" i="15" s="1"/>
  <c r="AB56" i="15"/>
  <c r="AC56" i="15" s="1"/>
  <c r="AD56" i="15" s="1"/>
  <c r="AB61" i="15"/>
  <c r="AC61" i="15" s="1"/>
  <c r="AD61" i="15" s="1"/>
  <c r="AB55" i="15"/>
  <c r="AC55" i="15" s="1"/>
  <c r="AD55" i="15" s="1"/>
  <c r="AF4" i="13"/>
  <c r="AG43" i="15" l="1"/>
  <c r="W36" i="15" s="1"/>
  <c r="V36" i="15" s="1"/>
  <c r="S37" i="15"/>
  <c r="R37" i="15"/>
  <c r="S38" i="15" l="1"/>
  <c r="S41" i="15" s="1"/>
  <c r="R38" i="15"/>
  <c r="S40" i="15" s="1"/>
  <c r="R40" i="15"/>
  <c r="R41" i="15"/>
</calcChain>
</file>

<file path=xl/sharedStrings.xml><?xml version="1.0" encoding="utf-8"?>
<sst xmlns="http://schemas.openxmlformats.org/spreadsheetml/2006/main" count="9302" uniqueCount="4685">
  <si>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</si>
  <si>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</si>
  <si>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</si>
  <si>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</si>
  <si>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</si>
  <si>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</si>
  <si>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</si>
  <si>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</si>
  <si>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</si>
  <si>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</si>
  <si>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</si>
  <si>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</si>
  <si>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</si>
  <si>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</si>
  <si>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</si>
  <si>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</si>
  <si>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</si>
  <si>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</si>
  <si>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</si>
  <si>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</si>
  <si>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</si>
  <si>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</si>
  <si>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</si>
  <si>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</si>
  <si>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</si>
  <si>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</si>
  <si>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</si>
  <si>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</si>
  <si>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</si>
  <si>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</si>
  <si>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</si>
  <si>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</si>
  <si>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</si>
  <si>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</si>
  <si>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</si>
  <si>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</si>
  <si>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</si>
  <si>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</si>
  <si>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</si>
  <si>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</si>
  <si>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</si>
  <si>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</si>
  <si>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</si>
  <si>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</si>
  <si>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</si>
  <si>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</si>
  <si>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</si>
  <si>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</si>
  <si>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</si>
  <si>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</si>
  <si>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</si>
  <si>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</si>
  <si>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</si>
  <si>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</si>
  <si>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</si>
  <si>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</si>
  <si>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</si>
  <si>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</si>
  <si>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</si>
  <si>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</si>
  <si>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</si>
  <si>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</si>
  <si>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</si>
  <si>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</si>
  <si>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</si>
  <si>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</si>
  <si>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</si>
  <si>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</si>
  <si>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</si>
  <si>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</si>
  <si>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</si>
  <si>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</si>
  <si>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</si>
  <si>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</si>
  <si>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</si>
  <si>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</si>
  <si>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</si>
  <si>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</si>
  <si>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</si>
  <si>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</si>
  <si>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</si>
  <si>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</si>
  <si>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</si>
  <si>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</si>
  <si>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</si>
  <si>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</si>
  <si>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</si>
  <si>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</si>
  <si>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</si>
  <si>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</si>
  <si>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</si>
  <si>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</si>
  <si>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</si>
  <si>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</si>
  <si>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</si>
  <si>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</si>
  <si>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</si>
  <si>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</si>
  <si>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</si>
  <si>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</si>
  <si>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</si>
  <si>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</si>
  <si>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</si>
  <si>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</si>
  <si>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</si>
  <si>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</si>
  <si>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</si>
  <si>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</si>
  <si>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</si>
  <si>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</si>
  <si>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</si>
  <si>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</si>
  <si>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</si>
  <si>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</si>
  <si>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</si>
  <si>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</si>
  <si>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</si>
  <si>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</si>
  <si>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</si>
  <si>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</si>
  <si>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</si>
  <si>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</si>
  <si>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</si>
  <si>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</si>
  <si>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</si>
  <si>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</si>
  <si>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</si>
  <si>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</si>
  <si>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</si>
  <si>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</si>
  <si>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</si>
  <si>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</si>
  <si>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</si>
  <si>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</si>
  <si>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</si>
  <si>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</si>
  <si>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</si>
  <si>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</si>
  <si>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</si>
  <si>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</si>
  <si>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</si>
  <si>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</si>
  <si>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</si>
  <si>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</si>
  <si>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</si>
  <si>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</si>
  <si>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</si>
  <si>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</si>
  <si>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</si>
  <si>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</si>
  <si>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</si>
  <si>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</si>
  <si>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</si>
  <si>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</si>
  <si>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</si>
  <si>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</si>
  <si>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</si>
  <si>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</si>
  <si>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</si>
  <si>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</si>
  <si>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</si>
  <si>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</si>
  <si>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</si>
  <si>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</si>
  <si>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</si>
  <si>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</si>
  <si>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</si>
  <si>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</si>
  <si>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</si>
  <si>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</si>
  <si>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</si>
  <si>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</si>
  <si>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</si>
  <si>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</si>
  <si>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</si>
  <si>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</si>
  <si>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</si>
  <si>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</si>
  <si>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</si>
  <si>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</si>
  <si>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</si>
  <si>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</si>
  <si>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</si>
  <si>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</si>
  <si>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</si>
  <si>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</si>
  <si>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</si>
  <si>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</si>
  <si>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</si>
  <si>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</si>
  <si>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</si>
  <si>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</si>
  <si>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</si>
  <si>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</si>
  <si>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</si>
  <si>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</si>
  <si>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</si>
  <si>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</si>
  <si>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</si>
  <si>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</si>
  <si>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TWS Connected OK</t>
  </si>
  <si>
    <t>Subscribed</t>
  </si>
  <si>
    <t>STP LMT</t>
  </si>
  <si>
    <t>In-Flight</t>
  </si>
  <si>
    <t>PreSubmitted</t>
  </si>
  <si>
    <t>Cancelled</t>
  </si>
  <si>
    <t>Canceled</t>
  </si>
  <si>
    <t>PendingCancel</t>
  </si>
  <si>
    <t>SELL</t>
  </si>
  <si>
    <t>6B5F5 C1500</t>
  </si>
  <si>
    <t>6B5F5 C1505</t>
  </si>
  <si>
    <t>6B5F5 P1495</t>
  </si>
  <si>
    <t>6B5F5 P1500</t>
  </si>
  <si>
    <t>6B5F5 P1505</t>
  </si>
  <si>
    <t>6B5F5 C1510</t>
  </si>
  <si>
    <t>2015-1-26 12:2:58.439: Main - Initialize - initializing...</t>
  </si>
  <si>
    <t>2015-1-26 12:3:4.799: openOrderEx - I am here</t>
  </si>
  <si>
    <t>2015-1-26 12:3:4.801: RTWSControl - orderStatus -  entering orderStatus id is 861 status is PreSubmitted</t>
  </si>
  <si>
    <t>2015-1-26 12:3:4.802: OrderManager - UpdateOrderStatus - an Error occurred Invalid procedure call or argument</t>
  </si>
  <si>
    <t>2015-1-26 12:3:4.803: OrderManager - UpdateOrderStatus - an Error occurred Object variable or With block variable not set</t>
  </si>
  <si>
    <t>2015-1-26 12:3:4.804: OrderManager - UpdateOrderStatus - an Error occurred Object variable or With block variable not set</t>
  </si>
  <si>
    <t>2015-1-26 12:3:4.806: OrderManager - UpdateOrderStatus - an Error occurred Object variable or With block variable not set</t>
  </si>
  <si>
    <t>2015-1-26 12:3:4.807: OrderManager - UpdateOrderStatus - an Error occurred Object variable or With block variable not set</t>
  </si>
  <si>
    <t>2015-1-26 12:3:4.809: OrderManager - UpdateOrderStatus - an Error occurred Object variable or With block variable not set</t>
  </si>
  <si>
    <t>2015-1-26 12:3:4.810: OrderManager - UpdateOrderStatus - id 861 Setting status to PreSubmitted workingOrderCount is now 0 workingQty 0</t>
  </si>
  <si>
    <t>2015-1-26 12:3:4.812: OrderManagerView - updateMainSheetOrderHistory - An Error occurred Object variable or With block variable not set</t>
  </si>
  <si>
    <t>2015-1-26 12:3:4.813: OrderManagerView - updateMainSheetOrderHistory - An Error occurred Object variable or With block variable not set</t>
  </si>
  <si>
    <t>2015-1-26 12:3:4.814: OrderManagerView - updateMainSheetOrderHistory - An Error occurred Object variable or With block variable not set</t>
  </si>
  <si>
    <t>2015-1-26 12:3:4.816: OrderManagerView - updateMainSheetOrderHistory - An Error occurred Object variable or With block variable not set</t>
  </si>
  <si>
    <t>2015-1-26 12:3:4.817: OrderManagerView - updateMainSheetOrderHistory - An Error occurred Object variable or With block variable not set</t>
  </si>
  <si>
    <t>2015-1-26 12:3:4.818: OrderManagerView - updateOrderHistory - An Error occurred Object variable or With block variable not set</t>
  </si>
  <si>
    <t>2015-1-26 12:3:4.819: OrderManagerView - updateOrderHistory - An Error occurred Object variable or With block variable not set</t>
  </si>
  <si>
    <t>2015-1-26 12:3:4.821: OrderManagerView - updateOrderHistory - An Error occurred Object variable or With block variable not set</t>
  </si>
  <si>
    <t>2015-1-26 12:3:4.822: OrderManagerView - updateOrderHistory - An Error occurred Object variable or With block variable not set</t>
  </si>
  <si>
    <t>2015-1-26 12:3:4.823: OrderManagerView - updateOrderHistory - An Error occurred Object variable or With block variable not set</t>
  </si>
  <si>
    <t>2015-1-26 12:3:4.825: OrderManagerView - updateOrderHistory - An Error occurred Object variable or With block variable not set</t>
  </si>
  <si>
    <t>2015-1-26 12:3:4.826: OrderManagerView - updateOrderHistory - An Error occurred Object variable or With block variable not set</t>
  </si>
  <si>
    <t>2015-1-26 12:3:4.827: OrderManagerView - updateOrderHistory - An Error occurred Object variable or With block variable not set</t>
  </si>
  <si>
    <t>2015-1-26 12:3:4.828: OrderManagerView - updateOrderHistory - An Error occurred Object variable or With block variable not set</t>
  </si>
  <si>
    <t>2015-1-26 12:3:4.830: OrderManagerView - updateOrderHistory - An Error occurred Object variable or With block variable not set</t>
  </si>
  <si>
    <t>2015-1-26 12:3:4.831: OrderManagerView - updateOrderHistory - An Error occurred Object variable or With block variable not set</t>
  </si>
  <si>
    <t>2015-1-26 12:3:4.832: OrderManagerView - updateOrderHistory - An Error occurred Object variable or With block variable not set</t>
  </si>
  <si>
    <t>2015-1-26 12:3:4.833: OrderManagerView - updateOrderHistory - An Error occurred Object variable or With block variable not set</t>
  </si>
  <si>
    <t>2015-1-26 12:3:4.835: OrderManagerView - updateOrderHistory - An Error occurred Object variable or With block variable not set</t>
  </si>
  <si>
    <t>2015-1-26 12:3:4.836: OrderManagerView - updateOrderHistory - An Error occurred Object variable or With block variable not set</t>
  </si>
  <si>
    <t>2015-1-26 12:3:4.837: OrderManagerView - updateOrderHistory - An Error occurred Object variable or With block variable not set</t>
  </si>
  <si>
    <t>2015-1-26 12:3:4.839: OrderManagerView - updateOrderHistory - An Error occurred Object variable or With block variable not set</t>
  </si>
  <si>
    <t>2015-1-26 12:3:4.840: OrderManagerView - updateOrderHistory - An Error occurred Object variable or With block variable not set</t>
  </si>
  <si>
    <t>2015-1-26 12:3:4.841: OrderManagerView - updateOrderHistory - An Error occurred Object variable or With block variable not set</t>
  </si>
  <si>
    <t>2015-1-26 12:3:4.842: OrderManagerView - updateOrderHistory - An Error occurred Object variable or With block variable not set</t>
  </si>
  <si>
    <t>2015-1-26 12:3:4.843: RTWSControl - OrderStatus - Got OrderStatus Message id:861 status: PreSubmitted filled: 0</t>
  </si>
  <si>
    <t>2015-1-26 12:3:4.844: RTWSControl - OrderStatus - exiting orderStatus</t>
  </si>
  <si>
    <t>2015-1-26 12:3:4.845: openOrderEnd - I am here</t>
  </si>
  <si>
    <t>2015-1-26 12:3:4.849: RTWSControl - nextValidId - entering nextValidId id is 862</t>
  </si>
  <si>
    <t>2015-1-26 12:3:4.870: WatchlistView - initialize - an error occurredSelect method of Range class failed</t>
  </si>
  <si>
    <t>2015-1-26 12:3:4.911: RTWSControl - errMsg - got error message 2104:Market data farm connection is OK:usfuturewith id -1</t>
  </si>
  <si>
    <t>2015-1-26 12:3:4.917: RTWSControl - errMsg - got error message 2104:Market data farm connection is OK:usfuture.uswith id -1</t>
  </si>
  <si>
    <t>2015-1-26 12:3:4.923: RTWSControl - errMsg - got error message 2104:Market data farm connection is OK:cashfarmwith id -1</t>
  </si>
  <si>
    <t>2015-1-26 12:3:4.944: RTWSControl - errMsg - got error message 2104:Market data farm connection is OK:usfarmwith id -1</t>
  </si>
  <si>
    <t>2015-1-26 12:3:4.952: RTWSControl - errMsg - got error message 2106:HMDS data farm connection is OK:ilhmdswith id -1</t>
  </si>
  <si>
    <t>2015-1-26 12:3:5.42: RTWSControl - contractDetailsEx - got contractDetails id 0 British pound 6BH5</t>
  </si>
  <si>
    <t>2015-1-26 12:3:5.59: RTWSControl - contractDetailsEnd - Got contract details end event</t>
  </si>
  <si>
    <t>2015-1-26 12:3:5.249: RTWSControl - orderStatus -  entering orderStatus id is 861 status is Cancelled</t>
  </si>
  <si>
    <t>2015-1-26 12:3:5.254: OrderManager - UpdateOrderStatus - an Error occurred Invalid procedure call or argument</t>
  </si>
  <si>
    <t>2015-1-26 12:3:5.258: OrderManager - UpdateOrderStatus - an Error occurred Object variable or With block variable not set</t>
  </si>
  <si>
    <t>2015-1-26 12:3:5.264: OrderManager - UpdateOrderStatus - an Error occurred Object variable or With block variable not set</t>
  </si>
  <si>
    <t>2015-1-26 12:3:5.269: OrderManager - UpdateOrderStatus - an Error occurred Object variable or With block variable not set</t>
  </si>
  <si>
    <t>2015-1-26 12:3:5.272: OrderManager - UpdateOrderStatus - an Error occurred Object variable or With block variable not set</t>
  </si>
  <si>
    <t>2015-1-26 12:3:5.276: OrderManager - UpdateOrderStatus - an Error occurred Object variable or With block variable not set</t>
  </si>
  <si>
    <t>2015-1-26 12:3:5.278: OrderManager - UpdateOrderStatus - id 861 Setting status to Cancelled workingOrderCount is now 0 workingQty 0</t>
  </si>
  <si>
    <t>2015-1-26 12:3:5.282: OrderManagerView - updateMainSheetOrderHistory - An Error occurred Object variable or With block variable not set</t>
  </si>
  <si>
    <t>2015-1-26 12:3:5.286: OrderManagerView - updateMainSheetOrderHistory - An Error occurred Object variable or With block variable not set</t>
  </si>
  <si>
    <t>2015-1-26 12:3:5.290: OrderManagerView - updateMainSheetOrderHistory - An Error occurred Object variable or With block variable not set</t>
  </si>
  <si>
    <t>2015-1-26 12:3:5.294: OrderManagerView - updateMainSheetOrderHistory - An Error occurred Object variable or With block variable not set</t>
  </si>
  <si>
    <t>2015-1-26 12:3:5.297: OrderManagerView - updateMainSheetOrderHistory - An Error occurred Object variable or With block variable not set</t>
  </si>
  <si>
    <t>2015-1-26 12:3:5.299: OrderManagerView - updateOrderHistory - An Error occurred Object variable or With block variable not set</t>
  </si>
  <si>
    <t>2015-1-26 12:3:5.300: OrderManagerView - updateOrderHistory - An Error occurred Object variable or With block variable not set</t>
  </si>
  <si>
    <t>2015-1-26 12:3:5.302: OrderManagerView - updateOrderHistory - An Error occurred Object variable or With block variable not set</t>
  </si>
  <si>
    <t>2015-1-26 12:3:5.303: OrderManagerView - updateOrderHistory - An Error occurred Object variable or With block variable not set</t>
  </si>
  <si>
    <t>2015-1-26 12:3:5.305: OrderManagerView - updateOrderHistory - An Error occurred Object variable or With block variable not set</t>
  </si>
  <si>
    <t>2015-1-26 12:3:5.306: OrderManagerView - updateOrderHistory - An Error occurred Object variable or With block variable not set</t>
  </si>
  <si>
    <t>2015-1-26 12:3:5.308: OrderManagerView - updateOrderHistory - An Error occurred Object variable or With block variable not set</t>
  </si>
  <si>
    <t>2015-1-26 12:3:5.309: OrderManagerView - updateOrderHistory - An Error occurred Object variable or With block variable not set</t>
  </si>
  <si>
    <t>2015-1-26 12:3:5.311: OrderManagerView - updateOrderHistory - An Error occurred Object variable or With block variable not set</t>
  </si>
  <si>
    <t>2015-1-26 12:3:5.312: OrderManagerView - updateOrderHistory - An Error occurred Object variable or With block variable not set</t>
  </si>
  <si>
    <t>2015-1-26 12:3:5.314: OrderManagerView - updateOrderHistory - An Error occurred Object variable or With block variable not set</t>
  </si>
  <si>
    <t>2015-1-26 12:3:5.315: OrderManagerView - updateOrderHistory - An Error occurred Object variable or With block variable not set</t>
  </si>
  <si>
    <t>2015-1-26 12:3:5.317: OrderManagerView - updateOrderHistory - An Error occurred Object variable or With block variable not set</t>
  </si>
  <si>
    <t>2015-1-26 12:3:5.318: OrderManagerView - updateOrderHistory - An Error occurred Object variable or With block variable not set</t>
  </si>
  <si>
    <t>2015-1-26 12:3:5.320: OrderManagerView - updateOrderHistory - An Error occurred Object variable or With block variable not set</t>
  </si>
  <si>
    <t>2015-1-26 12:3:5.321: OrderManagerView - updateOrderHistory - An Error occurred Object variable or With block variable not set</t>
  </si>
  <si>
    <t>2015-1-26 12:3:5.322: OrderManagerView - updateOrderHistory - An Error occurred Object variable or With block variable not set</t>
  </si>
  <si>
    <t>2015-1-26 12:3:5.324: OrderManagerView - updateOrderHistory - An Error occurred Object variable or With block variable not set</t>
  </si>
  <si>
    <t>2015-1-26 12:3:5.325: OrderManagerView - updateOrderHistory - An Error occurred Object variable or With block variable not set</t>
  </si>
  <si>
    <t>2015-1-26 12:3:5.327: OrderManagerView - updateOrderHistory - An Error occurred Object variable or With block variable not set</t>
  </si>
  <si>
    <t>2015-1-26 12:3:5.328: RTWSControl - OrderStatus - Got OrderStatus Message id:861 status: Cancelled filled: 0</t>
  </si>
  <si>
    <t>2015-1-26 12:3:5.328: RTWSControl - OrderStatus - exiting orderStatus</t>
  </si>
  <si>
    <t>2015-1-26 12:3:5.334: RTWSControl - errMsg - got error message 202:Order Canceled - reason:with id 861</t>
  </si>
  <si>
    <t>2015-1-26 12:3:5.335: OrderManager - canceledOrder - cleaning up after canceled order 861BEWARE UNACCOUNTED FOR EXECUTIONS!!!</t>
  </si>
  <si>
    <t>2015-1-26 12:3:5.336: Order Manager - terminateOrder - an error occurred Invalid procedure call or argument</t>
  </si>
  <si>
    <t>2015-1-26 12:3:5.337: Order Manager - terminateOrder - an error occurred Object variable or With block variable not set</t>
  </si>
  <si>
    <t>2015-1-26 12:3:5.338: Order Manager - terminateOrder - an error occurred Object variable or With block variable not set</t>
  </si>
  <si>
    <t>2015-1-26 12:3:5.340: Order Manager - terminateOrder - an error occurred Object variable or With block variable not set</t>
  </si>
  <si>
    <t>2015-1-26 12:3:5.342: OrderManagerView - updateMainSheetOrderHistory - An Error occurred Object variable or With block variable not set</t>
  </si>
  <si>
    <t>2015-1-26 12:3:5.343: OrderManagerView - updateMainSheetOrderHistory - An Error occurred Object variable or With block variable not set</t>
  </si>
  <si>
    <t>2015-1-26 12:3:5.344: OrderManagerView - updateMainSheetOrderHistory - An Error occurred Object variable or With block variable not set</t>
  </si>
  <si>
    <t>2015-1-26 12:3:5.346: OrderManagerView - updateMainSheetOrderHistory - An Error occurred Object variable or With block variable not set</t>
  </si>
  <si>
    <t>2015-1-26 12:3:5.347: OrderManagerView - updateMainSheetOrderHistory - An Error occurred Object variable or With block variable not set</t>
  </si>
  <si>
    <t>2015-1-26 12:3:5.348: OrderManagerView - updateOrderHistory - An Error occurred Object variable or With block variable not set</t>
  </si>
  <si>
    <t>2015-1-26 12:3:5.350: OrderManagerView - updateOrderHistory - An Error occurred Object variable or With block variable not set</t>
  </si>
  <si>
    <t>2015-1-26 12:3:5.351: OrderManagerView - updateOrderHistory - An Error occurred Object variable or With block variable not set</t>
  </si>
  <si>
    <t>2015-1-26 12:3:5.352: OrderManagerView - updateOrderHistory - An Error occurred Object variable or With block variable not set</t>
  </si>
  <si>
    <t>2015-1-26 12:3:5.353: OrderManagerView - updateOrderHistory - An Error occurred Object variable or With block variable not set</t>
  </si>
  <si>
    <t>2015-1-26 12:3:5.355: OrderManagerView - updateOrderHistory - An Error occurred Object variable or With block variable not set</t>
  </si>
  <si>
    <t>2015-1-26 12:3:5.356: OrderManagerView - updateOrderHistory - An Error occurred Object variable or With block variable not set</t>
  </si>
  <si>
    <t>2015-1-26 12:3:5.357: OrderManagerView - updateOrderHistory - An Error occurred Object variable or With block variable not set</t>
  </si>
  <si>
    <t>2015-1-26 12:3:5.358: OrderManagerView - updateOrderHistory - An Error occurred Object variable or With block variable not set</t>
  </si>
  <si>
    <t>2015-1-26 12:3:5.360: OrderManagerView - updateOrderHistory - An Error occurred Object variable or With block variable not set</t>
  </si>
  <si>
    <t>2015-1-26 12:3:5.361: OrderManagerView - updateOrderHistory - An Error occurred Object variable or With block variable not set</t>
  </si>
  <si>
    <t>2015-1-26 12:3:5.362: OrderManagerView - updateOrderHistory - An Error occurred Object variable or With block variable not set</t>
  </si>
  <si>
    <t>2015-1-26 12:3:5.363: OrderManagerView - updateOrderHistory - An Error occurred Object variable or With block variable not set</t>
  </si>
  <si>
    <t>2015-1-26 12:3:5.365: OrderManagerView - updateOrderHistory - An Error occurred Object variable or With block variable not set</t>
  </si>
  <si>
    <t>2015-1-26 12:3:5.366: OrderManagerView - updateOrderHistory - An Error occurred Object variable or With block variable not set</t>
  </si>
  <si>
    <t>2015-1-26 12:3:5.367: OrderManagerView - updateOrderHistory - An Error occurred Object variable or With block variable not set</t>
  </si>
  <si>
    <t>2015-1-26 12:3:5.368: OrderManagerView - updateOrderHistory - An Error occurred Object variable or With block variable not set</t>
  </si>
  <si>
    <t>2015-1-26 12:3:5.370: OrderManagerView - updateOrderHistory - An Error occurred Object variable or With block variable not set</t>
  </si>
  <si>
    <t>2015-1-26 12:3:5.371: OrderManagerView - updateOrderHistory - An Error occurred Object variable or With block variable not set</t>
  </si>
  <si>
    <t>2015-1-26 12:3:5.372: OrderManagerView - updateOrderHistory - An Error occurred Object variable or With block variable not set</t>
  </si>
  <si>
    <t>2015-1-26 12:3:17.324: Algorithm - updatePortfolio - haveAllDetails is False</t>
  </si>
  <si>
    <t>2015-1-26 12:3:17.325: RTWSControl - updatePortfolioEx - An Error Occured Object variable or With block variable not set</t>
  </si>
  <si>
    <t>2015-1-26 12:3:17.373: Algorithm - updatePortfolio - haveAllDetails is False</t>
  </si>
  <si>
    <t>2015-1-26 12:3:17.375: RTWSControl - updatePortfolioEx - An Error Occured Object variable or With block variable not set</t>
  </si>
  <si>
    <t>2015-1-26 12:3:17.420: Algorithm - updatePortfolio - haveAllDetails is False</t>
  </si>
  <si>
    <t>2015-1-26 12:3:17.422: RTWSControl - updatePortfolioEx - An Error Occured Object variable or With block variable not set</t>
  </si>
  <si>
    <t>2015-1-26 12:3:17.462: Algorithm - updatePortfolio - haveAllDetails is False</t>
  </si>
  <si>
    <t>2015-1-26 12:3:17.464: RTWSControl - updatePortfolioEx - An Error Occured Object variable or With block variable not set</t>
  </si>
  <si>
    <t>2015-1-26 12:3:17.502: Algorithm - updatePortfolio - haveAllDetails is False</t>
  </si>
  <si>
    <t>2015-1-26 12:3:17.504: RTWSControl - updatePortfolioEx - An Error Occured Object variable or With block variable not set</t>
  </si>
  <si>
    <t>2015-1-26 12:3:17.545: Algorithm - updatePortfolio - haveAllDetails is False</t>
  </si>
  <si>
    <t>2015-1-26 12:3:17.547: RTWSControl - updatePortfolioEx - An Error Occured Object variable or With block variable not set</t>
  </si>
  <si>
    <t>2015-1-26 12:3:17.588: Algorithm - updatePortfolio - haveAllDetails is False</t>
  </si>
  <si>
    <t>2015-1-26 12:3:17.590: RTWSControl - updatePortfolioEx - An Error Occured Object variable or With block variable not set</t>
  </si>
  <si>
    <t>2015-1-26 12:3:17.625: Algorithm - updatePortfolio - haveAllDetails is False</t>
  </si>
  <si>
    <t>2015-1-26 12:3:17.627: RTWSControl - updatePortfolioEx - An Error Occured Object variable or With block variable not set</t>
  </si>
  <si>
    <t>2015-1-26 12:3:17.668: RTWSControl - contractDetailsEx - got contractDetails id 0 British pound 6B5F5 C1500</t>
  </si>
  <si>
    <t>2015-1-26 12:3:17.673: RTWSControl - contractDetailsEnd - Got contract details end event</t>
  </si>
  <si>
    <t>2015-1-26 12:3:17.696: RTWSControl - contractDetailsEx - got contractDetails id 0 British pound 6B5F5 C1505</t>
  </si>
  <si>
    <t>2015-1-26 12:3:17.702: RTWSControl - contractDetailsEnd - Got contract details end event</t>
  </si>
  <si>
    <t>2015-1-26 12:3:17.710: RTWSControl - contractDetailsEx - got contractDetails id 0 British pound 6B5F5 P1495</t>
  </si>
  <si>
    <t>2015-1-26 12:3:17.736: RTWSControl - contractDetailsEnd - Got contract details end event</t>
  </si>
  <si>
    <t>2015-1-26 12:3:17.743: RTWSControl - contractDetailsEx - got contractDetails id 0 British pound 6B5F5 P1500</t>
  </si>
  <si>
    <t>2015-1-26 12:3:17.749: RTWSControl - contractDetailsEnd - Got contract details end event</t>
  </si>
  <si>
    <t>2015-1-26 12:3:17.779: RTWSControl - contractDetailsEx - got contractDetails id 0 British pound 6B5F5 P1505</t>
  </si>
  <si>
    <t>2015-1-26 12:3:17.785: RTWSControl - contractDetailsEnd - Got contract details end event</t>
  </si>
  <si>
    <t>2015-1-26 12:3:17.810: RTWSControl - contractDetailsEx - got contractDetails id 0 British pound 6B5F5 C1510</t>
  </si>
  <si>
    <t>2015-1-26 12:3:17.820: RTWSControl - contractDetailsEnd - Got contract details end event</t>
  </si>
  <si>
    <t>2015-1-26 12:3:40.246: Algorithm - FindNextStrikes - price is 1.50074995 nextStrikeUp/Down 1.505/1.5</t>
  </si>
  <si>
    <t>2015-1-26 12:3:40.249: Algorithm - getPortfolioForwardDelta - required deltas is -20 currentHedgePosition is 31</t>
  </si>
  <si>
    <t>2015-1-26 12:3:40.252: Algorithm - getHedgeShortfall - required deltas is -20 price is 1.50074995 currentHedgePositionDeltas is 31</t>
  </si>
  <si>
    <t>2015-1-26 12:3:40.257: Algorithm - processTransitionPoint - nextUpper/LowerStrikes are 1.505/1.5 requiredDeltas/currentPosition/currentHedgeShortfall/direction/transitionPrice are -20/31/-51/0/1.50074995</t>
  </si>
  <si>
    <t>2015-1-26 12:3:40.261: TransitionLogger - processTransitionpoint - checking transition - currentHedgeShortfall is -51</t>
  </si>
  <si>
    <t>2015-1-26 12:3:40.270: Algorithm - updatePortfolio - haveAllDetails is True</t>
  </si>
  <si>
    <t>2015-1-26 12:3:40.277: InstrumentManager - haveAllDetails - An error occurred Object variable or With block variable not set</t>
  </si>
  <si>
    <t>2015-1-26 12:3:40.291: Portfolio - updateCalculateOptionGammas - an error occurred Division by zero</t>
  </si>
  <si>
    <t>2015-1-26 12:3:40.293: Portfolio - updateCalculateOptionGammas - an error occurred Division by zero</t>
  </si>
  <si>
    <t>2015-1-26 12:3:40.295: Portfolio - updateCalculateOptionGammas - an error occurred Division by zero</t>
  </si>
  <si>
    <t>2015-1-26 12:3:40.297: Portfolio - updateCalculateOptionGammas - an error occurred Division by zero</t>
  </si>
  <si>
    <t>2015-1-26 12:3:40.299: Portfolio - updateCalculateOptionGammas - an error occurred Division by zero</t>
  </si>
  <si>
    <t>2015-1-26 12:3:40.300: Portfolio - updateCalculateOptionGammas - an error occurred Division by zero</t>
  </si>
  <si>
    <t>2015-1-26 12:3:40.409: Portfolio - updateCalculateOptionGammas - an error occurred Division by zero</t>
  </si>
  <si>
    <t>2015-1-26 12:3:40.410: Portfolio - updateCalculateOptionGammas - an error occurred Division by zero</t>
  </si>
  <si>
    <t>2015-1-26 12:3:40.411: Portfolio - updateCalculateOptionGammas - an error occurred Division by zero</t>
  </si>
  <si>
    <t>2015-1-26 12:3:40.412: Portfolio - updateCalculateOptionGammas - an error occurred Division by zero</t>
  </si>
  <si>
    <t>2015-1-26 12:3:40.413: Portfolio - updateCalculateOptionGammas - an error occurred Division by zero</t>
  </si>
  <si>
    <t>2015-1-26 12:3:59.907: OrderManager - PlaceOrder - id 862 workingQty 113</t>
  </si>
  <si>
    <t>2015-1-26 12:3:59.911: OrderManagerView - UpdateMainSheetOpenOrder - entering UpdateMainSheetOpenOrder order.status is In-Flight</t>
  </si>
  <si>
    <t>2015-1-26 12:3:59.921: OrderManager - sendOrder - exiting place order id 862 BUY 113 1.5374  - workingQty 113 currentPosition is 31 workingOrderCount is 0</t>
  </si>
  <si>
    <t>2015-1-26 12:3:59.926: OrderManager - createOrder - exiting without creating order - did not have validID</t>
  </si>
  <si>
    <t>2015-1-26 12:4:0.390: RTWSControl - nextValidId - entering nextValidId id is 863</t>
  </si>
  <si>
    <t>2015-1-26 12:4:0.412: RTWSControl - errMsg - got error message 399:Order Message:
BUY 113 GBP MAR'15
Warning: your order will not be placed at the exchange until 2015-01-26 08:30:00 US/Centralwith id 862</t>
  </si>
  <si>
    <t>2015-1-26 12:4:0.413: RTWSControl - errMsg - Got Error_x000D_id: 862_x000D_errorCode: 399_x000D_errorMsg: Order Message:
BUY 113 GBP MAR'15
Warning: your order will not be placed at the exchange until 2015-01-26 08:30:00 US/Central</t>
  </si>
  <si>
    <t>2015-1-26 12:4:0.424: openOrderEx - I am here</t>
  </si>
  <si>
    <t>2015-1-26 12:4:0.431: RTWSControl - orderStatus -  entering orderStatus id is 862 status is PreSubmitted</t>
  </si>
  <si>
    <t>2015-1-26 12:4:0.432: OrderManager - UpdateOrderStatus - id 862 Setting status to PreSubmitted workingOrderCount is now 0 workingQty 113</t>
  </si>
  <si>
    <t>2015-1-26 12:4:0.433: OrderManagerView - UpdateMainSheetOpenOrder - entering UpdateMainSheetOpenOrder order.status is PreSubmitted</t>
  </si>
  <si>
    <t>2015-1-26 12:4:0.436: RTWSControl - OrderStatus - Got OrderStatus Message id:862 status: PreSubmitted filled: 0</t>
  </si>
  <si>
    <t>2015-1-26 12:4:0.437: RTWSControl - OrderStatus - exiting orderStatus</t>
  </si>
  <si>
    <t>2015-1-26 12:4:0.503: openOrderEx - I am here</t>
  </si>
  <si>
    <t>2015-1-26 12:4:0.531: RTWSControl - orderStatus -  entering orderStatus id is 862 status is PreSubmitted</t>
  </si>
  <si>
    <t>2015-1-26 12:4:0.532: OrderManager - UpdateOrderStatus - id 862 Setting status to PreSubmitted workingOrderCount is now 0 workingQty 113</t>
  </si>
  <si>
    <t>2015-1-26 12:4:0.533: OrderManagerView - UpdateMainSheetOpenOrder - entering UpdateMainSheetOpenOrder order.status is PreSubmitted</t>
  </si>
  <si>
    <t>2015-1-26 12:4:0.535: RTWSControl - OrderStatus - Got OrderStatus Message id:862 status: PreSubmitted filled: 0</t>
  </si>
  <si>
    <t>2015-1-26 12:4:0.536: RTWSControl - OrderStatus - exiting orderStatus</t>
  </si>
  <si>
    <t>2015-1-26 12:4:1.348: OrderManager - PlaceOrder - id 863 workingQty -1</t>
  </si>
  <si>
    <t>2015-1-26 12:4:1.349: OrderManagerView - UpdateMainSheetOpenOrder - entering UpdateMainSheetOpenOrder order.status is In-Flight</t>
  </si>
  <si>
    <t>2015-1-26 12:4:1.350: OrderManagerView - incrementNextOORow - there are no available OpenOrderView Rows!!!!!!</t>
  </si>
  <si>
    <t>2015-1-26 12:4:1.353: OrderManager - sendOrder - exiting place order id 863 SELL 114 1.4865  - workingQty -1 currentPosition is 31 workingOrderCount is 1</t>
  </si>
  <si>
    <t>2015-1-26 12:4:1.551: RTWSControl - nextValidId - entering nextValidId id is 864</t>
  </si>
  <si>
    <t>2015-1-26 12:4:1.677: RTWSControl - errMsg - got error message 399:Order Message:
SELL 114 GBP MAR'15
Warning: your order will not be placed at the exchange until 2015-01-26 08:30:00 US/Centralwith id 863</t>
  </si>
  <si>
    <t>2015-1-26 12:4:1.679: RTWSControl - errMsg - Got Error_x000D_id: 863_x000D_errorCode: 399_x000D_errorMsg: Order Message:
SELL 114 GBP MAR'15
Warning: your order will not be placed at the exchange until 2015-01-26 08:30:00 US/Central</t>
  </si>
  <si>
    <t>2015-1-26 12:4:1.690: openOrderEx - I am here</t>
  </si>
  <si>
    <t>2015-1-26 12:4:1.697: RTWSControl - orderStatus -  entering orderStatus id is 863 status is PreSubmitted</t>
  </si>
  <si>
    <t>2015-1-26 12:4:1.698: OrderManager - UpdateOrderStatus - id 863 Setting status to PreSubmitted workingOrderCount is now 1 workingQty -1</t>
  </si>
  <si>
    <t>2015-1-26 12:4:1.699: OrderManagerView - UpdateMainSheetOpenOrder - entering UpdateMainSheetOpenOrder order.status is PreSubmitted</t>
  </si>
  <si>
    <t>2015-1-26 12:4:1.701: RTWSControl - OrderStatus - Got OrderStatus Message id:863 status: PreSubmitted filled: 0</t>
  </si>
  <si>
    <t>2015-1-26 12:4:1.702: RTWSControl - OrderStatus - exiting orderStatus</t>
  </si>
  <si>
    <t>2015-1-26 12:4:1.736: openOrderEx - I am here</t>
  </si>
  <si>
    <t>2015-1-26 12:4:1.742: RTWSControl - orderStatus -  entering orderStatus id is 863 status is PreSubmitted</t>
  </si>
  <si>
    <t>2015-1-26 12:4:1.743: OrderManager - UpdateOrderStatus - id 863 Setting status to PreSubmitted workingOrderCount is now 1 workingQty -1</t>
  </si>
  <si>
    <t>2015-1-26 12:4:1.744: OrderManagerView - UpdateMainSheetOpenOrder - entering UpdateMainSheetOpenOrder order.status is PreSubmitted</t>
  </si>
  <si>
    <t>2015-1-26 12:4:1.747: RTWSControl - OrderStatus - Got OrderStatus Message id:863 status: PreSubmitted filled: 0</t>
  </si>
  <si>
    <t>2015-1-26 12:4:1.748: RTWSControl - OrderStatus - exiting orderStatus</t>
  </si>
  <si>
    <t>2015-1-26 12:4:34.345: Util - logStaleData - Data is stale!</t>
  </si>
  <si>
    <t>2015-1-26 12:4:45.999: Algorithm - FindNextStrikes - price is 1.50065 nextStrikeUp/Down 1.505/1.5</t>
  </si>
  <si>
    <t>2015-1-26 12:4:46.0: Algorithm - getPortfolioForwardDelta - required deltas is -20 currentHedgePosition is 31</t>
  </si>
  <si>
    <t>2015-1-26 12:4:46.1: Algorithm - getHedgeShortfall - required deltas is -20 price is 1.50055 currentHedgePositionDeltas is 31</t>
  </si>
  <si>
    <t>2015-1-26 12:4:46.2: Algorithm - processTransitionPoint - nextUpper/LowerStrikes are 1.505/1.5 requiredDeltas/currentPosition/currentHedgeShortfall/direction/transitionPrice are -20/31/-51/-1/1.50055</t>
  </si>
  <si>
    <t>2015-1-26 12:4:46.3: TransitionLogger - processTransitionpoint - checking transition - currentHedgeShortfall is -51</t>
  </si>
  <si>
    <t>2015-1-26 12:4:46.5: Algorithm - updatePortfolio - haveAllDetails is True</t>
  </si>
  <si>
    <t>2015-1-26 12:4:46.7: RTWSControl - updatePortfolioEx - An Error Occured Object variable or With block variable not set</t>
  </si>
  <si>
    <t>2015-1-26 12:4:46.43: Algorithm - FindNextStrikes - price is 1.50065 nextStrikeUp/Down 1.505/1.5</t>
  </si>
  <si>
    <t>2015-1-26 12:4:46.44: Algorithm - getPortfolioForwardDelta - required deltas is -20 currentHedgePosition is 31</t>
  </si>
  <si>
    <t>2015-1-26 12:4:46.45: Algorithm - getHedgeShortfall - required deltas is -20 price is 1.50055 currentHedgePositionDeltas is 31</t>
  </si>
  <si>
    <t>2015-1-26 12:4:46.46: Algorithm - processTransitionPoint - nextUpper/LowerStrikes are 1.505/1.5 requiredDeltas/currentPosition/currentHedgeShortfall/direction/transitionPrice are -20/31/-51/-1/1.50055</t>
  </si>
  <si>
    <t>2015-1-26 12:4:46.47: TransitionLogger - processTransitionpoint - checking transition - currentHedgeShortfall is -51</t>
  </si>
  <si>
    <t>2015-1-26 12:4:46.49: Algorithm - updatePortfolio - haveAllDetails is True</t>
  </si>
  <si>
    <t>2015-1-26 12:4:46.50: RTWSControl - updatePortfolioEx - An Error Occured Object variable or With block variable not set</t>
  </si>
  <si>
    <t>2015-1-26 12:4:46.95: Algorithm - FindNextStrikes - price is 1.50065 nextStrikeUp/Down 1.505/1.5</t>
  </si>
  <si>
    <t>2015-1-26 12:4:46.96: Algorithm - getPortfolioForwardDelta - required deltas is -20 currentHedgePosition is 31</t>
  </si>
  <si>
    <t>2015-1-26 12:4:46.96: Algorithm - getHedgeShortfall - required deltas is -20 price is 1.50055 currentHedgePositionDeltas is 31</t>
  </si>
  <si>
    <t>2015-1-26 12:4:46.97: Algorithm - processTransitionPoint - nextUpper/LowerStrikes are 1.505/1.5 requiredDeltas/currentPosition/currentHedgeShortfall/direction/transitionPrice are -20/31/-51/-1/1.50055</t>
  </si>
  <si>
    <t>2015-1-26 12:4:46.98: TransitionLogger - processTransitionpoint - checking transition - currentHedgeShortfall is -51</t>
  </si>
  <si>
    <t>2015-1-26 12:4:46.100: Algorithm - updatePortfolio - haveAllDetails is True</t>
  </si>
  <si>
    <t>2015-1-26 12:4:46.102: RTWSControl - updatePortfolioEx - An Error Occured Object variable or With block variable not set</t>
  </si>
  <si>
    <t>2015-1-26 12:4:46.144: Algorithm - FindNextStrikes - price is 1.50065 nextStrikeUp/Down 1.505/1.5</t>
  </si>
  <si>
    <t>2015-1-26 12:4:46.145: Algorithm - getPortfolioForwardDelta - required deltas is -20 currentHedgePosition is 31</t>
  </si>
  <si>
    <t>2015-1-26 12:4:46.145: Algorithm - getHedgeShortfall - required deltas is -20 price is 1.50055 currentHedgePositionDeltas is 31</t>
  </si>
  <si>
    <t>2015-1-26 12:4:46.146: Algorithm - processTransitionPoint - nextUpper/LowerStrikes are 1.505/1.5 requiredDeltas/currentPosition/currentHedgeShortfall/direction/transitionPrice are -20/31/-51/-1/1.50055</t>
  </si>
  <si>
    <t>2015-1-26 12:4:46.147: TransitionLogger - processTransitionpoint - checking transition - currentHedgeShortfall is -51</t>
  </si>
  <si>
    <t>2015-1-26 12:4:46.149: Algorithm - updatePortfolio - haveAllDetails is True</t>
  </si>
  <si>
    <t>2015-1-26 12:4:46.151: RTWSControl - updatePortfolioEx - An Error Occured Object variable or With block variable not set</t>
  </si>
  <si>
    <t>2015-1-26 12:4:46.184: Algorithm - FindNextStrikes - price is 1.50065 nextStrikeUp/Down 1.505/1.5</t>
  </si>
  <si>
    <t>2015-1-26 12:4:46.186: Algorithm - getPortfolioForwardDelta - required deltas is -20 currentHedgePosition is 31</t>
  </si>
  <si>
    <t>2015-1-26 12:4:46.187: Algorithm - getHedgeShortfall - required deltas is -20 price is 1.50055 currentHedgePositionDeltas is 31</t>
  </si>
  <si>
    <t>2015-1-26 12:4:46.188: Algorithm - processTransitionPoint - nextUpper/LowerStrikes are 1.505/1.5 requiredDeltas/currentPosition/currentHedgeShortfall/direction/transitionPrice are -20/31/-51/-1/1.50055</t>
  </si>
  <si>
    <t>2015-1-26 12:4:46.189: TransitionLogger - processTransitionpoint - checking transition - currentHedgeShortfall is -51</t>
  </si>
  <si>
    <t>2015-1-26 12:4:46.191: Algorithm - updatePortfolio - haveAllDetails is True</t>
  </si>
  <si>
    <t>2015-1-26 12:4:46.192: RTWSControl - updatePortfolioEx - An Error Occured Object variable or With block variable not set</t>
  </si>
  <si>
    <t>2015-1-26 12:4:46.226: Algorithm - FindNextStrikes - price is 1.50065 nextStrikeUp/Down 1.505/1.5</t>
  </si>
  <si>
    <t>2015-1-26 12:4:46.227: Algorithm - getPortfolioForwardDelta - required deltas is -20 currentHedgePosition is 31</t>
  </si>
  <si>
    <t>2015-1-26 12:4:46.228: Algorithm - getHedgeShortfall - required deltas is -20 price is 1.50055 currentHedgePositionDeltas is 31</t>
  </si>
  <si>
    <t>2015-1-26 12:4:46.229: Algorithm - processTransitionPoint - nextUpper/LowerStrikes are 1.505/1.5 requiredDeltas/currentPosition/currentHedgeShortfall/direction/transitionPrice are -20/31/-51/-1/1.50055</t>
  </si>
  <si>
    <t>2015-1-26 12:4:46.230: TransitionLogger - processTransitionpoint - checking transition - currentHedgeShortfall is -51</t>
  </si>
  <si>
    <t>2015-1-26 12:4:46.232: Algorithm - updatePortfolio - haveAllDetails is True</t>
  </si>
  <si>
    <t>2015-1-26 12:4:46.233: RTWSControl - updatePortfolioEx - An Error Occured Object variable or With block variable not set</t>
  </si>
  <si>
    <t>2015-1-26 12:4:46.267: Algorithm - FindNextStrikes - price is 1.50065 nextStrikeUp/Down 1.505/1.5</t>
  </si>
  <si>
    <t>2015-1-26 12:4:46.268: Algorithm - getPortfolioForwardDelta - required deltas is -20 currentHedgePosition is 31</t>
  </si>
  <si>
    <t>2015-1-26 12:4:46.269: Algorithm - getHedgeShortfall - required deltas is -20 price is 1.50055 currentHedgePositionDeltas is 31</t>
  </si>
  <si>
    <t>2015-1-26 12:4:46.270: Algorithm - processTransitionPoint - nextUpper/LowerStrikes are 1.505/1.5 requiredDeltas/currentPosition/currentHedgeShortfall/direction/transitionPrice are -20/31/-51/-1/1.50055</t>
  </si>
  <si>
    <t>2015-1-26 12:4:46.271: TransitionLogger - processTransitionpoint - checking transition - currentHedgeShortfall is -51</t>
  </si>
  <si>
    <t>2015-1-26 12:4:46.273: Algorithm - updatePortfolio - haveAllDetails is True</t>
  </si>
  <si>
    <t>2015-1-26 12:4:46.275: RTWSControl - updatePortfolioEx - An Error Occured Object variable or With block variable not set</t>
  </si>
  <si>
    <t>2015-1-26 12:4:46.309: Algorithm - FindNextStrikes - price is 1.50065 nextStrikeUp/Down 1.505/1.5</t>
  </si>
  <si>
    <t>2015-1-26 12:4:46.310: Algorithm - getPortfolioForwardDelta - required deltas is -20 currentHedgePosition is 31</t>
  </si>
  <si>
    <t>2015-1-26 12:4:46.311: Algorithm - getHedgeShortfall - required deltas is -20 price is 1.50055 currentHedgePositionDeltas is 31</t>
  </si>
  <si>
    <t>2015-1-26 12:4:46.312: Algorithm - processTransitionPoint - nextUpper/LowerStrikes are 1.505/1.5 requiredDeltas/currentPosition/currentHedgeShortfall/direction/transitionPrice are -20/31/-51/-1/1.50055</t>
  </si>
  <si>
    <t>2015-1-26 12:4:46.313: TransitionLogger - processTransitionpoint - checking transition - currentHedgeShortfall is -51</t>
  </si>
  <si>
    <t>2015-1-26 12:4:46.314: Algorithm - updatePortfolio - haveAllDetails is True</t>
  </si>
  <si>
    <t>2015-1-26 12:4:46.316: RTWSControl - updatePortfolioEx - An Error Occured Object variable or With block variable not set</t>
  </si>
  <si>
    <t>2015-1-26 12:4:46.539: OrderManager - cancelOrder - cancelling order id 862</t>
  </si>
  <si>
    <t>2015-1-26 12:4:46.540: OrderManager - PlaceOrder - id 864 workingQty 88</t>
  </si>
  <si>
    <t>2015-1-26 12:4:46.540: OrderManagerView - UpdateMainSheetOpenOrder - entering UpdateMainSheetOpenOrder order.status is In-Flight</t>
  </si>
  <si>
    <t>2015-1-26 12:4:46.542: OrderManagerView - incrementNextOORow - there are no available OpenOrderView Rows!!!!!!</t>
  </si>
  <si>
    <t>2015-1-26 12:4:46.544: OrderManager - sendOrder - exiting place order id 864 BUY 89 1.5317  - workingQty 88 currentPosition is 31 workingOrderCount is 2</t>
  </si>
  <si>
    <t>2015-1-26 12:4:46.545: OrderManager - cancelOrder - cancelling order id 863</t>
  </si>
  <si>
    <t>2015-1-26 12:4:46.546: OrderManager - createOrder - exiting without creating order - did not have validID</t>
  </si>
  <si>
    <t>2015-1-26 12:4:46.911: RTWSControl - nextValidId - entering nextValidId id is 865</t>
  </si>
  <si>
    <t>2015-1-26 12:4:46.917: RTWSControl - orderStatus -  entering orderStatus id is 862 status is Cancelled</t>
  </si>
  <si>
    <t>2015-1-26 12:4:46.918: OrderManager - UpdateOrderStatus - id 862 Setting status to Cancelled workingOrderCount is now 2 workingQty 88</t>
  </si>
  <si>
    <t>2015-1-26 12:4:46.920: OrderManagerView - UpdateMainSheetOpenOrder - entering UpdateMainSheetOpenOrder order.status is Cancelled</t>
  </si>
  <si>
    <t>2015-1-26 12:4:46.923: RTWSControl - OrderStatus - Got OrderStatus Message id:862 status: Cancelled filled: 0</t>
  </si>
  <si>
    <t>2015-1-26 12:4:46.923: RTWSControl - OrderStatus - exiting orderStatus</t>
  </si>
  <si>
    <t>2015-1-26 12:4:46.952: RTWSControl - errMsg - got error message 202:Order Canceled - reason:with id 862</t>
  </si>
  <si>
    <t>2015-1-26 12:4:46.953: OrderManager - canceledOrder - cleaning up after canceled order 862BEWARE UNACCOUNTED FOR EXECUTIONS!!!</t>
  </si>
  <si>
    <t>2015-1-26 12:4:46.954: OrderManager - terminateOrder - cleaning up after Canceled 862  order was supposed to BUY 113 1.5374 STP LMT workingQty/OrderCount now -25/1</t>
  </si>
  <si>
    <t>2015-1-26 12:4:46.955: OrderManagerView - UpdateMainSheetOpenOrder - entering UpdateMainSheetOpenOrder order.status is Canceled</t>
  </si>
  <si>
    <t>2015-1-26 12:4:46.991: RTWSControl - errMsg - got error message 399:Order Message:
BUY 89 GBP MAR'15
Warning: your order will not be placed at the exchange until 2015-01-26 08:30:00 US/Centralwith id 864</t>
  </si>
  <si>
    <t>2015-1-26 12:4:46.992: RTWSControl - errMsg - Got Error_x000D_id: 864_x000D_errorCode: 399_x000D_errorMsg: Order Message:
BUY 89 GBP MAR'15
Warning: your order will not be placed at the exchange until 2015-01-26 08:30:00 US/Central</t>
  </si>
  <si>
    <t>2015-1-26 12:4:47.3: openOrderEx - I am here</t>
  </si>
  <si>
    <t>2015-1-26 12:4:47.10: RTWSControl - orderStatus -  entering orderStatus id is 864 status is PreSubmitted</t>
  </si>
  <si>
    <t>2015-1-26 12:4:47.11: OrderManager - UpdateOrderStatus - id 864 Setting status to PreSubmitted workingOrderCount is now 1 workingQty -25</t>
  </si>
  <si>
    <t>2015-1-26 12:4:47.13: OrderManagerView - UpdateMainSheetOpenOrder - entering UpdateMainSheetOpenOrder order.status is PreSubmitted</t>
  </si>
  <si>
    <t>2015-1-26 12:4:47.16: RTWSControl - OrderStatus - Got OrderStatus Message id:864 status: PreSubmitted filled: 0</t>
  </si>
  <si>
    <t>2015-1-26 12:4:47.17: RTWSControl - OrderStatus - exiting orderStatus</t>
  </si>
  <si>
    <t>2015-1-26 12:4:47.35: RTWSControl - orderStatus -  entering orderStatus id is 863 status is Cancelled</t>
  </si>
  <si>
    <t>2015-1-26 12:4:47.36: OrderManager - UpdateOrderStatus - id 863 Setting status to Cancelled workingOrderCount is now 1 workingQty -25</t>
  </si>
  <si>
    <t>2015-1-26 12:4:47.37: OrderManagerView - UpdateMainSheetOpenOrder - entering UpdateMainSheetOpenOrder order.status is Cancelled</t>
  </si>
  <si>
    <t>2015-1-26 12:4:47.41: RTWSControl - OrderStatus - Got OrderStatus Message id:863 status: Cancelled filled: 0</t>
  </si>
  <si>
    <t>2015-1-26 12:4:47.41: RTWSControl - OrderStatus - exiting orderStatus</t>
  </si>
  <si>
    <t>2015-1-26 12:4:47.73: RTWSControl - errMsg - got error message 202:Order Canceled - reason:with id 863</t>
  </si>
  <si>
    <t>2015-1-26 12:4:47.74: OrderManager - canceledOrder - cleaning up after canceled order 863BEWARE UNACCOUNTED FOR EXECUTIONS!!!</t>
  </si>
  <si>
    <t>2015-1-26 12:4:47.75: OrderManager - terminateOrder - cleaning up after Canceled 863  order was supposed to SELL 114 1.4865 STP LMT workingQty/OrderCount now -139/0</t>
  </si>
  <si>
    <t>2015-1-26 12:4:47.76: OrderManagerView - UpdateMainSheetOpenOrder - entering UpdateMainSheetOpenOrder order.status is Canceled</t>
  </si>
  <si>
    <t>2015-1-26 12:4:47.92: openOrderEx - I am here</t>
  </si>
  <si>
    <t>2015-1-26 12:4:47.116: RTWSControl - orderStatus -  entering orderStatus id is 864 status is PreSubmitted</t>
  </si>
  <si>
    <t>2015-1-26 12:4:47.117: OrderManager - UpdateOrderStatus - id 864 Setting status to PreSubmitted workingOrderCount is now 0 workingQty -139</t>
  </si>
  <si>
    <t>2015-1-26 12:4:47.118: OrderManagerView - UpdateMainSheetOpenOrder - entering UpdateMainSheetOpenOrder order.status is PreSubmitted</t>
  </si>
  <si>
    <t>2015-1-26 12:4:47.121: RTWSControl - OrderStatus - Got OrderStatus Message id:864 status: PreSubmitted filled: 0</t>
  </si>
  <si>
    <t>2015-1-26 12:4:47.122: RTWSControl - OrderStatus - exiting orderStatus</t>
  </si>
  <si>
    <t>2015-1-26 12:4:48.780: OrderManager - PlaceOrder - id 865 workingQty -227</t>
  </si>
  <si>
    <t>2015-1-26 12:4:48.783: OrderManagerView - UpdateMainSheetOpenOrder - entering UpdateMainSheetOpenOrder order.status is In-Flight</t>
  </si>
  <si>
    <t>2015-1-26 12:4:48.794: OrderManager - sendOrder - exiting place order id 865 SELL 88 1.4918  - workingQty -227 currentPosition is 31 workingOrderCount is 1</t>
  </si>
  <si>
    <t>2015-1-26 12:4:48.996: RTWSControl - nextValidId - entering nextValidId id is 866</t>
  </si>
  <si>
    <t>2015-1-26 12:4:49.90: RTWSControl - errMsg - got error message 399:Order Message:
SELL 88 GBP MAR'15
Warning: your order will not be placed at the exchange until 2015-01-26 08:30:00 US/Centralwith id 865</t>
  </si>
  <si>
    <t>2015-1-26 12:4:49.92: RTWSControl - errMsg - Got Error_x000D_id: 865_x000D_errorCode: 399_x000D_errorMsg: Order Message:
SELL 88 GBP MAR'15
Warning: your order will not be placed at the exchange until 2015-01-26 08:30:00 US/Central</t>
  </si>
  <si>
    <t>2015-1-26 12:4:49.102: openOrderEx - I am here</t>
  </si>
  <si>
    <t>2015-1-26 12:4:49.109: RTWSControl - orderStatus -  entering orderStatus id is 865 status is PreSubmitted</t>
  </si>
  <si>
    <t>2015-1-26 12:4:49.110: OrderManager - UpdateOrderStatus - id 865 Setting status to PreSubmitted workingOrderCount is now 1 workingQty -227</t>
  </si>
  <si>
    <t>2015-1-26 12:4:49.111: OrderManagerView - UpdateMainSheetOpenOrder - entering UpdateMainSheetOpenOrder order.status is PreSubmitted</t>
  </si>
  <si>
    <t>2015-1-26 12:4:49.114: RTWSControl - OrderStatus - Got OrderStatus Message id:865 status: PreSubmitted filled: 0</t>
  </si>
  <si>
    <t>2015-1-26 12:4:49.115: RTWSControl - OrderStatus - exiting orderStatus</t>
  </si>
  <si>
    <t>2015-1-26 12:4:49.155: openOrderEx - I am here</t>
  </si>
  <si>
    <t>2015-1-26 12:4:49.161: RTWSControl - orderStatus -  entering orderStatus id is 865 status is PreSubmitted</t>
  </si>
  <si>
    <t>2015-1-26 12:4:49.162: OrderManager - UpdateOrderStatus - id 865 Setting status to PreSubmitted workingOrderCount is now 1 workingQty -227</t>
  </si>
  <si>
    <t>2015-1-26 12:4:49.164: OrderManagerView - UpdateMainSheetOpenOrder - entering UpdateMainSheetOpenOrder order.status is PreSubmitted</t>
  </si>
  <si>
    <t>2015-1-26 12:4:49.167: RTWSControl - OrderStatus - Got OrderStatus Message id:865 status: PreSubmitted filled: 0</t>
  </si>
  <si>
    <t>2015-1-26 12:4:49.167: RTWSControl - OrderStatus - exiting orderStatus</t>
  </si>
  <si>
    <t>2015-1-26 12:5:19.549: OrderManager - cancelOrder - cancelling order id 864</t>
  </si>
  <si>
    <t>2015-1-26 12:5:19.550: OrderManager - PlaceOrder - id 866 workingQty -155</t>
  </si>
  <si>
    <t>2015-1-26 12:5:19.551: OrderManagerView - UpdateMainSheetOpenOrder - entering UpdateMainSheetOpenOrder order.status is In-Flight</t>
  </si>
  <si>
    <t>2015-1-26 12:5:19.555: OrderManager - sendOrder - exiting place order id 866 BUY 72 1.5282  - workingQty -155 currentPosition is 31 workingOrderCount is 2</t>
  </si>
  <si>
    <t>2015-1-26 12:5:19.556: OrderManager - cancelOrder - cancelling order id 865</t>
  </si>
  <si>
    <t>2015-1-26 12:5:19.557: OrderManager - createOrder - exiting without creating order - did not have validID</t>
  </si>
  <si>
    <t>2015-1-26 12:5:20.219: RTWSControl - nextValidId - entering nextValidId id is 867</t>
  </si>
  <si>
    <t>2015-1-26 12:5:20.237: RTWSControl - orderStatus -  entering orderStatus id is 864 status is Cancelled</t>
  </si>
  <si>
    <t>2015-1-26 12:5:20.238: OrderManager - UpdateOrderStatus - id 864 Setting status to Cancelled workingOrderCount is now 2 workingQty -155</t>
  </si>
  <si>
    <t>2015-1-26 12:5:20.239: OrderManagerView - UpdateMainSheetOpenOrder - entering UpdateMainSheetOpenOrder order.status is Cancelled</t>
  </si>
  <si>
    <t>2015-1-26 12:5:20.242: RTWSControl - OrderStatus - Got OrderStatus Message id:864 status: Cancelled filled: 0</t>
  </si>
  <si>
    <t>2015-1-26 12:5:20.243: RTWSControl - OrderStatus - exiting orderStatus</t>
  </si>
  <si>
    <t>2015-1-26 12:5:20.253: RTWSControl - errMsg - got error message 202:Order Canceled - reason:with id 864</t>
  </si>
  <si>
    <t>2015-1-26 12:5:20.254: OrderManager - canceledOrder - cleaning up after canceled order 864BEWARE UNACCOUNTED FOR EXECUTIONS!!!</t>
  </si>
  <si>
    <t>2015-1-26 12:5:20.255: OrderManager - terminateOrder - cleaning up after Canceled 864  order was supposed to BUY 89 1.5317 STP LMT workingQty/OrderCount now -244/1</t>
  </si>
  <si>
    <t>2015-1-26 12:5:20.256: OrderManagerView - UpdateMainSheetOpenOrder - entering UpdateMainSheetOpenOrder order.status is Canceled</t>
  </si>
  <si>
    <t>2015-1-26 12:5:20.288: RTWSControl - errMsg - got error message 399:Order Message:
BUY 72 GBP MAR'15
Warning: your order will not be placed at the exchange until 2015-01-26 08:30:00 US/Centralwith id 866</t>
  </si>
  <si>
    <t>2015-1-26 12:5:20.289: RTWSControl - errMsg - Got Error_x000D_id: 866_x000D_errorCode: 399_x000D_errorMsg: Order Message:
BUY 72 GBP MAR'15
Warning: your order will not be placed at the exchange until 2015-01-26 08:30:00 US/Central</t>
  </si>
  <si>
    <t>2015-1-26 12:5:20.299: openOrderEx - I am here</t>
  </si>
  <si>
    <t>2015-1-26 12:5:20.325: RTWSControl - orderStatus -  entering orderStatus id is 866 status is PreSubmitted</t>
  </si>
  <si>
    <t>2015-1-26 12:5:20.326: OrderManager - UpdateOrderStatus - id 866 Setting status to PreSubmitted workingOrderCount is now 1 workingQty -244</t>
  </si>
  <si>
    <t>2015-1-26 12:5:20.327: OrderManagerView - UpdateMainSheetOpenOrder - entering UpdateMainSheetOpenOrder order.status is PreSubmitted</t>
  </si>
  <si>
    <t>2015-1-26 12:5:20.330: RTWSControl - OrderStatus - Got OrderStatus Message id:866 status: PreSubmitted filled: 0</t>
  </si>
  <si>
    <t>2015-1-26 12:5:20.331: RTWSControl - OrderStatus - exiting orderStatus</t>
  </si>
  <si>
    <t>2015-1-26 12:5:20.341: RTWSControl - orderStatus -  entering orderStatus id is 865 status is Cancelled</t>
  </si>
  <si>
    <t>2015-1-26 12:5:20.341: OrderManager - UpdateOrderStatus - id 865 Setting status to Cancelled workingOrderCount is now 1 workingQty -244</t>
  </si>
  <si>
    <t>2015-1-26 12:5:20.343: OrderManagerView - UpdateMainSheetOpenOrder - entering UpdateMainSheetOpenOrder order.status is Cancelled</t>
  </si>
  <si>
    <t>2015-1-26 12:5:20.346: RTWSControl - OrderStatus - Got OrderStatus Message id:865 status: Cancelled filled: 0</t>
  </si>
  <si>
    <t>2015-1-26 12:5:20.347: RTWSControl - OrderStatus - exiting orderStatus</t>
  </si>
  <si>
    <t>2015-1-26 12:5:20.370: RTWSControl - errMsg - got error message 202:Order Canceled - reason:with id 865</t>
  </si>
  <si>
    <t>2015-1-26 12:5:20.371: OrderManager - canceledOrder - cleaning up after canceled order 865BEWARE UNACCOUNTED FOR EXECUTIONS!!!</t>
  </si>
  <si>
    <t>2015-1-26 12:5:20.372: OrderManager - terminateOrder - cleaning up after Canceled 865  order was supposed to SELL 88 1.4918 STP LMT workingQty/OrderCount now -332/0</t>
  </si>
  <si>
    <t>2015-1-26 12:5:20.373: OrderManagerView - UpdateMainSheetOpenOrder - entering UpdateMainSheetOpenOrder order.status is Canceled</t>
  </si>
  <si>
    <t>2015-1-26 12:5:20.412: openOrderEx - I am here</t>
  </si>
  <si>
    <t>2015-1-26 12:5:20.418: RTWSControl - orderStatus -  entering orderStatus id is 866 status is PreSubmitted</t>
  </si>
  <si>
    <t>2015-1-26 12:5:20.419: OrderManager - UpdateOrderStatus - id 866 Setting status to PreSubmitted workingOrderCount is now 0 workingQty -332</t>
  </si>
  <si>
    <t>2015-1-26 12:5:20.420: OrderManagerView - UpdateMainSheetOpenOrder - entering UpdateMainSheetOpenOrder order.status is PreSubmitted</t>
  </si>
  <si>
    <t>2015-1-26 12:5:20.423: RTWSControl - OrderStatus - Got OrderStatus Message id:866 status: PreSubmitted filled: 0</t>
  </si>
  <si>
    <t>2015-1-26 12:5:20.424: RTWSControl - OrderStatus - exiting orderStatus</t>
  </si>
  <si>
    <t>2015-1-26 12:5:20.452: OrderManager - PlaceOrder - id 867 workingQty -404</t>
  </si>
  <si>
    <t>2015-1-26 12:5:20.452: OrderManagerView - UpdateMainSheetOpenOrder - entering UpdateMainSheetOpenOrder order.status is In-Flight</t>
  </si>
  <si>
    <t>2015-1-26 12:5:20.455: OrderManager - sendOrder - exiting place order id 867 SELL 72 1.4953  - workingQty -404 currentPosition is 31 workingOrderCount is 1</t>
  </si>
  <si>
    <t>2015-1-26 12:5:20.747: RTWSControl - nextValidId - entering nextValidId id is 868</t>
  </si>
  <si>
    <t>2015-1-26 12:5:20.753: RTWSControl - errMsg - got error message 399:Order Message:
SELL 72 GBP MAR'15
Warning: your order will not be placed at the exchange until 2015-01-26 08:30:00 US/Centralwith id 867</t>
  </si>
  <si>
    <t>2015-1-26 12:5:20.755: RTWSControl - errMsg - Got Error_x000D_id: 867_x000D_errorCode: 399_x000D_errorMsg: Order Message:
SELL 72 GBP MAR'15
Warning: your order will not be placed at the exchange until 2015-01-26 08:30:00 US/Central</t>
  </si>
  <si>
    <t>2015-1-26 12:5:20.766: openOrderEx - I am here</t>
  </si>
  <si>
    <t>2015-1-26 12:5:20.783: RTWSControl - orderStatus -  entering orderStatus id is 867 status is PreSubmitted</t>
  </si>
  <si>
    <t>2015-1-26 12:5:20.784: OrderManager - UpdateOrderStatus - id 867 Setting status to PreSubmitted workingOrderCount is now 1 workingQty -404</t>
  </si>
  <si>
    <t>2015-1-26 12:5:20.785: OrderManagerView - UpdateMainSheetOpenOrder - entering UpdateMainSheetOpenOrder order.status is PreSubmitted</t>
  </si>
  <si>
    <t>2015-1-26 12:5:20.788: RTWSControl - OrderStatus - Got OrderStatus Message id:867 status: PreSubmitted filled: 0</t>
  </si>
  <si>
    <t>2015-1-26 12:5:20.788: RTWSControl - OrderStatus - exiting orderStatus</t>
  </si>
  <si>
    <t>2015-1-26 12:5:21.464: openOrderEx - I am here</t>
  </si>
  <si>
    <t>2015-1-26 12:5:21.471: RTWSControl - orderStatus -  entering orderStatus id is 867 status is PreSubmitted</t>
  </si>
  <si>
    <t>2015-1-26 12:5:21.472: OrderManager - UpdateOrderStatus - id 867 Setting status to PreSubmitted workingOrderCount is now 1 workingQty -404</t>
  </si>
  <si>
    <t>2015-1-26 12:5:21.473: OrderManagerView - UpdateMainSheetOpenOrder - entering UpdateMainSheetOpenOrder order.status is PreSubmitted</t>
  </si>
  <si>
    <t>2015-1-26 12:5:21.477: RTWSControl - OrderStatus - Got OrderStatus Message id:867 status: PreSubmitted filled: 0</t>
  </si>
  <si>
    <t>2015-1-26 12:5:21.477: RTWSControl - OrderStatus - exiting orderStatus</t>
  </si>
  <si>
    <t>2015-1-26 12:5:47.557: OrderManager - cancelOrder - cancelling order id 866</t>
  </si>
  <si>
    <t>2015-1-26 12:5:47.560: OrderManager - PlaceOrder - id 868 workingQty -336</t>
  </si>
  <si>
    <t>2015-1-26 12:5:47.564: OrderManagerView - UpdateMainSheetOpenOrder - entering UpdateMainSheetOpenOrder order.status is In-Flight</t>
  </si>
  <si>
    <t>2015-1-26 12:5:47.567: OrderManagerView - incrementNextOORow - there are no available OpenOrderView Rows!!!!!!</t>
  </si>
  <si>
    <t>2015-1-26 12:5:47.573: OrderManager - sendOrder - exiting place order id 868 BUY 68 1.5268  - workingQty -336 currentPosition is 31 workingOrderCount is 2</t>
  </si>
  <si>
    <t>2015-1-26 12:5:47.576: OrderManager - cancelOrder - cancelling order id 867</t>
  </si>
  <si>
    <t>2015-1-26 12:5:47.577: OrderManager - createOrder - exiting without creating order - did not have validID</t>
  </si>
  <si>
    <t>2015-1-26 12:5:47.955: RTWSControl - nextValidId - entering nextValidId id is 869</t>
  </si>
  <si>
    <t>2015-1-26 12:5:47.961: RTWSControl - orderStatus -  entering orderStatus id is 866 status is Cancelled</t>
  </si>
  <si>
    <t>2015-1-26 12:5:47.962: OrderManager - UpdateOrderStatus - id 866 Setting status to Cancelled workingOrderCount is now 2 workingQty -336</t>
  </si>
  <si>
    <t>2015-1-26 12:5:47.963: OrderManagerView - UpdateMainSheetOpenOrder - entering UpdateMainSheetOpenOrder order.status is Cancelled</t>
  </si>
  <si>
    <t>2015-1-26 12:5:47.967: RTWSControl - OrderStatus - Got OrderStatus Message id:866 status: Cancelled filled: 0</t>
  </si>
  <si>
    <t>2015-1-26 12:5:47.967: RTWSControl - OrderStatus - exiting orderStatus</t>
  </si>
  <si>
    <t>2015-1-26 12:5:47.991: RTWSControl - errMsg - got error message 202:Order Canceled - reason:with id 866</t>
  </si>
  <si>
    <t>2015-1-26 12:5:47.992: OrderManager - canceledOrder - cleaning up after canceled order 866BEWARE UNACCOUNTED FOR EXECUTIONS!!!</t>
  </si>
  <si>
    <t>2015-1-26 12:5:47.993: OrderManager - terminateOrder - cleaning up after Canceled 866  order was supposed to BUY 72 1.5282 STP LMT workingQty/OrderCount now -408/1</t>
  </si>
  <si>
    <t>2015-1-26 12:5:47.994: OrderManagerView - UpdateMainSheetOpenOrder - entering UpdateMainSheetOpenOrder order.status is Canceled</t>
  </si>
  <si>
    <t>2015-1-26 12:5:48.7: RTWSControl - errMsg - got error message 399:Order Message:
BUY 68 GBP MAR'15
Warning: your order will not be placed at the exchange until 2015-01-26 08:30:00 US/Centralwith id 868</t>
  </si>
  <si>
    <t>2015-1-26 12:5:48.8: RTWSControl - errMsg - Got Error_x000D_id: 868_x000D_errorCode: 399_x000D_errorMsg: Order Message:
BUY 68 GBP MAR'15
Warning: your order will not be placed at the exchange until 2015-01-26 08:30:00 US/Central</t>
  </si>
  <si>
    <t>2015-1-26 12:5:48.38: openOrderEx - I am here</t>
  </si>
  <si>
    <t>2015-1-26 12:5:48.44: RTWSControl - orderStatus -  entering orderStatus id is 868 status is PreSubmitted</t>
  </si>
  <si>
    <t>2015-1-26 12:5:48.45: OrderManager - UpdateOrderStatus - id 868 Setting status to PreSubmitted workingOrderCount is now 1 workingQty -408</t>
  </si>
  <si>
    <t>2015-1-26 12:5:48.46: OrderManagerView - UpdateMainSheetOpenOrder - entering UpdateMainSheetOpenOrder order.status is PreSubmitted</t>
  </si>
  <si>
    <t>2015-1-26 12:5:48.50: RTWSControl - OrderStatus - Got OrderStatus Message id:868 status: PreSubmitted filled: 0</t>
  </si>
  <si>
    <t>2015-1-26 12:5:48.50: RTWSControl - OrderStatus - exiting orderStatus</t>
  </si>
  <si>
    <t>2015-1-26 12:5:48.74: RTWSControl - orderStatus -  entering orderStatus id is 867 status is Cancelled</t>
  </si>
  <si>
    <t>2015-1-26 12:5:48.75: OrderManager - UpdateOrderStatus - id 867 Setting status to Cancelled workingOrderCount is now 1 workingQty -408</t>
  </si>
  <si>
    <t>2015-1-26 12:5:48.76: OrderManagerView - UpdateMainSheetOpenOrder - entering UpdateMainSheetOpenOrder order.status is Cancelled</t>
  </si>
  <si>
    <t>2015-1-26 12:5:48.79: RTWSControl - OrderStatus - Got OrderStatus Message id:867 status: Cancelled filled: 0</t>
  </si>
  <si>
    <t>2015-1-26 12:5:48.80: RTWSControl - OrderStatus - exiting orderStatus</t>
  </si>
  <si>
    <t>2015-1-26 12:5:48.90: RTWSControl - errMsg - got error message 202:Order Canceled - reason:with id 867</t>
  </si>
  <si>
    <t>2015-1-26 12:5:48.91: OrderManager - canceledOrder - cleaning up after canceled order 867BEWARE UNACCOUNTED FOR EXECUTIONS!!!</t>
  </si>
  <si>
    <t>2015-1-26 12:5:48.92: OrderManager - terminateOrder - cleaning up after Canceled 867  order was supposed to SELL 72 1.4953 STP LMT workingQty/OrderCount now -480/0</t>
  </si>
  <si>
    <t>2015-1-26 12:5:48.94: OrderManagerView - UpdateMainSheetOpenOrder - entering UpdateMainSheetOpenOrder order.status is Canceled</t>
  </si>
  <si>
    <t>2015-1-26 12:5:48.125: openOrderEx - I am here</t>
  </si>
  <si>
    <t>2015-1-26 12:5:48.131: RTWSControl - orderStatus -  entering orderStatus id is 868 status is PreSubmitted</t>
  </si>
  <si>
    <t>2015-1-26 12:5:48.132: OrderManager - UpdateOrderStatus - id 868 Setting status to PreSubmitted workingOrderCount is now 0 workingQty -480</t>
  </si>
  <si>
    <t>2015-1-26 12:5:48.133: OrderManagerView - UpdateMainSheetOpenOrder - entering UpdateMainSheetOpenOrder order.status is PreSubmitted</t>
  </si>
  <si>
    <t>2015-1-26 12:5:48.137: RTWSControl - OrderStatus - Got OrderStatus Message id:868 status: PreSubmitted filled: 0</t>
  </si>
  <si>
    <t>2015-1-26 12:5:48.137: RTWSControl - OrderStatus - exiting orderStatus</t>
  </si>
  <si>
    <t>2015-1-26 12:5:49.243: OrderManager - PlaceOrder - id 869 workingQty -548</t>
  </si>
  <si>
    <t>2015-1-26 12:5:49.244: OrderManagerView - UpdateMainSheetOpenOrder - entering UpdateMainSheetOpenOrder order.status is In-Flight</t>
  </si>
  <si>
    <t>2015-1-26 12:5:49.247: OrderManager - sendOrder - exiting place order id 869 SELL 68 1.496  - workingQty -548 currentPosition is 31 workingOrderCount is 1</t>
  </si>
  <si>
    <t>2015-1-26 12:5:49.537: RTWSControl - nextValidId - entering nextValidId id is 870</t>
  </si>
  <si>
    <t>2015-1-26 12:5:50.58: RTWSControl - errMsg - got error message 399:Order Message:
SELL 68 GBP MAR'15
Warning: your order will not be placed at the exchange until 2015-01-26 08:30:00 US/Centralwith id 869</t>
  </si>
  <si>
    <t>2015-1-26 12:5:50.60: RTWSControl - errMsg - Got Error_x000D_id: 869_x000D_errorCode: 399_x000D_errorMsg: Order Message:
SELL 68 GBP MAR'15
Warning: your order will not be placed at the exchange until 2015-01-26 08:30:00 US/Central</t>
  </si>
  <si>
    <t>2015-1-26 12:5:50.86: openOrderEx - I am here</t>
  </si>
  <si>
    <t>2015-1-26 12:5:50.92: RTWSControl - orderStatus -  entering orderStatus id is 869 status is PreSubmitted</t>
  </si>
  <si>
    <t>2015-1-26 12:5:50.93: OrderManager - UpdateOrderStatus - id 869 Setting status to PreSubmitted workingOrderCount is now 1 workingQty -548</t>
  </si>
  <si>
    <t>2015-1-26 12:5:50.94: OrderManagerView - UpdateMainSheetOpenOrder - entering UpdateMainSheetOpenOrder order.status is PreSubmitted</t>
  </si>
  <si>
    <t>2015-1-26 12:5:50.98: RTWSControl - OrderStatus - Got OrderStatus Message id:869 status: PreSubmitted filled: 0</t>
  </si>
  <si>
    <t>2015-1-26 12:5:50.98: RTWSControl - OrderStatus - exiting orderStatus</t>
  </si>
  <si>
    <t>2015-1-26 12:5:50.120: openOrderEx - I am here</t>
  </si>
  <si>
    <t>2015-1-26 12:5:50.126: RTWSControl - orderStatus -  entering orderStatus id is 869 status is PreSubmitted</t>
  </si>
  <si>
    <t>2015-1-26 12:5:50.127: OrderManager - UpdateOrderStatus - id 869 Setting status to PreSubmitted workingOrderCount is now 1 workingQty -548</t>
  </si>
  <si>
    <t>2015-1-26 12:5:50.128: OrderManagerView - UpdateMainSheetOpenOrder - entering UpdateMainSheetOpenOrder order.status is PreSubmitted</t>
  </si>
  <si>
    <t>2015-1-26 12:5:50.132: RTWSControl - OrderStatus - Got OrderStatus Message id:869 status: PreSubmitted filled: 0</t>
  </si>
  <si>
    <t>2015-1-26 12:5:50.132: RTWSControl - OrderStatus - exiting orderStatus</t>
  </si>
  <si>
    <t>2015-1-26 12:6:25.60: OrderManager - cancelOrder - cancelling order id 868</t>
  </si>
  <si>
    <t>2015-1-26 12:6:25.64: OrderManager - PlaceOrder - id 870 workingQty -484</t>
  </si>
  <si>
    <t>2015-1-26 12:6:25.67: OrderManagerView - UpdateMainSheetOpenOrder - entering UpdateMainSheetOpenOrder order.status is In-Flight</t>
  </si>
  <si>
    <t>2015-1-26 12:6:25.75: OrderManager - sendOrder - exiting place order id 870 BUY 64 1.5265  - workingQty -484 currentPosition is 31 workingOrderCount is 2</t>
  </si>
  <si>
    <t>2015-1-26 12:6:25.78: OrderManager - cancelOrder - cancelling order id 869</t>
  </si>
  <si>
    <t>2015-1-26 12:6:25.80: OrderManager - createOrder - exiting without creating order - did not have validID</t>
  </si>
  <si>
    <t>2015-1-26 12:6:25.510: RTWSControl - nextValidId - entering nextValidId id is 871</t>
  </si>
  <si>
    <t>2015-1-26 12:6:25.623: OrderManager - PlaceOrder - id 871 workingQty -548</t>
  </si>
  <si>
    <t>2015-1-26 12:6:25.624: OrderManagerView - UpdateMainSheetOpenOrder - entering UpdateMainSheetOpenOrder order.status is In-Flight</t>
  </si>
  <si>
    <t>2015-1-26 12:6:25.625: OrderManagerView - incrementNextOORow - there are no available OpenOrderView Rows!!!!!!</t>
  </si>
  <si>
    <t>2015-1-26 12:6:25.628: OrderManager - sendOrder - exiting place order id 871 SELL 64 1.4968  - workingQty -548 currentPosition is 31 workingOrderCount is 3</t>
  </si>
  <si>
    <t>2015-1-26 12:6:26.14: RTWSControl - orderStatus -  entering orderStatus id is 868 status is Cancelled</t>
  </si>
  <si>
    <t>2015-1-26 12:6:26.15: OrderManager - UpdateOrderStatus - id 868 Setting status to Cancelled workingOrderCount is now 3 workingQty -548</t>
  </si>
  <si>
    <t>2015-1-26 12:6:26.16: OrderManagerView - UpdateMainSheetOpenOrder - entering UpdateMainSheetOpenOrder order.status is Cancelled</t>
  </si>
  <si>
    <t>2015-1-26 12:6:26.20: RTWSControl - OrderStatus - Got OrderStatus Message id:868 status: Cancelled filled: 0</t>
  </si>
  <si>
    <t>2015-1-26 12:6:26.20: RTWSControl - OrderStatus - exiting orderStatus</t>
  </si>
  <si>
    <t>2015-1-26 12:6:26.43: RTWSControl - errMsg - got error message 202:Order Canceled - reason:with id 868</t>
  </si>
  <si>
    <t>2015-1-26 12:6:26.43: OrderManager - canceledOrder - cleaning up after canceled order 868BEWARE UNACCOUNTED FOR EXECUTIONS!!!</t>
  </si>
  <si>
    <t>2015-1-26 12:6:26.45: OrderManager - terminateOrder - cleaning up after Canceled 868  order was supposed to BUY 68 1.5268 STP LMT workingQty/OrderCount now -616/2</t>
  </si>
  <si>
    <t>2015-1-26 12:6:26.46: OrderManagerView - UpdateMainSheetOpenOrder - entering UpdateMainSheetOpenOrder order.status is Canceled</t>
  </si>
  <si>
    <t>2015-1-26 12:6:26.77: RTWSControl - errMsg - got error message 399:Order Message:
BUY 64 GBP MAR'15
Warning: your order will not be placed at the exchange until 2015-01-26 08:30:00 US/Centralwith id 870</t>
  </si>
  <si>
    <t>2015-1-26 12:6:26.78: RTWSControl - errMsg - Got Error_x000D_id: 870_x000D_errorCode: 399_x000D_errorMsg: Order Message:
BUY 64 GBP MAR'15
Warning: your order will not be placed at the exchange until 2015-01-26 08:30:00 US/Central</t>
  </si>
  <si>
    <t>2015-1-26 12:6:26.88: openOrderEx - I am here</t>
  </si>
  <si>
    <t>2015-1-26 12:6:26.95: RTWSControl - orderStatus -  entering orderStatus id is 870 status is PreSubmitted</t>
  </si>
  <si>
    <t>2015-1-26 12:6:26.96: OrderManager - UpdateOrderStatus - id 870 Setting status to PreSubmitted workingOrderCount is now 2 workingQty -616</t>
  </si>
  <si>
    <t>2015-1-26 12:6:26.97: OrderManagerView - UpdateMainSheetOpenOrder - entering UpdateMainSheetOpenOrder order.status is PreSubmitted</t>
  </si>
  <si>
    <t>2015-1-26 12:6:26.100: RTWSControl - OrderStatus - Got OrderStatus Message id:870 status: PreSubmitted filled: 0</t>
  </si>
  <si>
    <t>2015-1-26 12:6:26.101: RTWSControl - OrderStatus - exiting orderStatus</t>
  </si>
  <si>
    <t>2015-1-26 12:6:26.119: RTWSControl - orderStatus -  entering orderStatus id is 869 status is Cancelled</t>
  </si>
  <si>
    <t>2015-1-26 12:6:26.120: OrderManager - UpdateOrderStatus - id 869 Setting status to Cancelled workingOrderCount is now 2 workingQty -616</t>
  </si>
  <si>
    <t>2015-1-26 12:6:26.121: OrderManagerView - UpdateMainSheetOpenOrder - entering UpdateMainSheetOpenOrder order.status is Cancelled</t>
  </si>
  <si>
    <t>2015-1-26 12:6:26.125: RTWSControl - OrderStatus - Got OrderStatus Message id:869 status: Cancelled filled: 0</t>
  </si>
  <si>
    <t>2015-1-26 12:6:26.125: RTWSControl - OrderStatus - exiting orderStatus</t>
  </si>
  <si>
    <t>2015-1-26 12:6:26.157: RTWSControl - errMsg - got error message 202:Order Canceled - reason:with id 869</t>
  </si>
  <si>
    <t>2015-1-26 12:6:26.158: OrderManager - canceledOrder - cleaning up after canceled order 869BEWARE UNACCOUNTED FOR EXECUTIONS!!!</t>
  </si>
  <si>
    <t>2015-1-26 12:6:26.159: OrderManager - terminateOrder - cleaning up after Canceled 869  order was supposed to SELL 68 1.496 STP LMT workingQty/OrderCount now -684/1</t>
  </si>
  <si>
    <t>2015-1-26 12:6:26.160: OrderManagerView - UpdateMainSheetOpenOrder - entering UpdateMainSheetOpenOrder order.status is Canceled</t>
  </si>
  <si>
    <t>2015-1-26 12:6:26.176: openOrderEx - I am here</t>
  </si>
  <si>
    <t>2015-1-26 12:6:26.200: RTWSControl - orderStatus -  entering orderStatus id is 870 status is PreSubmitted</t>
  </si>
  <si>
    <t>2015-1-26 12:6:26.201: OrderManager - UpdateOrderStatus - id 870 Setting status to PreSubmitted workingOrderCount is now 1 workingQty -684</t>
  </si>
  <si>
    <t>2015-1-26 12:6:26.202: OrderManagerView - UpdateMainSheetOpenOrder - entering UpdateMainSheetOpenOrder order.status is PreSubmitted</t>
  </si>
  <si>
    <t>2015-1-26 12:6:26.206: RTWSControl - OrderStatus - Got OrderStatus Message id:870 status: PreSubmitted filled: 0</t>
  </si>
  <si>
    <t>2015-1-26 12:6:26.206: RTWSControl - OrderStatus - exiting orderStatus</t>
  </si>
  <si>
    <t>2015-1-26 12:6:26.516: RTWSControl - nextValidId - entering nextValidId id is 872</t>
  </si>
  <si>
    <t>2015-1-26 12:6:26.539: RTWSControl - errMsg - got error message 399:Order Message:
SELL 64 GBP MAR'15
Warning: your order will not be placed at the exchange until 2015-01-26 08:30:00 US/Centralwith id 871</t>
  </si>
  <si>
    <t>2015-1-26 12:6:26.540: RTWSControl - errMsg - Got Error_x000D_id: 871_x000D_errorCode: 399_x000D_errorMsg: Order Message:
SELL 64 GBP MAR'15
Warning: your order will not be placed at the exchange until 2015-01-26 08:30:00 US/Central</t>
  </si>
  <si>
    <t>2015-1-26 12:6:26.549: openOrderEx - I am here</t>
  </si>
  <si>
    <t>2015-1-26 12:6:26.556: RTWSControl - orderStatus -  entering orderStatus id is 871 status is PreSubmitted</t>
  </si>
  <si>
    <t>2015-1-26 12:6:26.557: OrderManager - UpdateOrderStatus - id 871 Setting status to PreSubmitted workingOrderCount is now 1 workingQty -684</t>
  </si>
  <si>
    <t>2015-1-26 12:6:26.558: OrderManagerView - UpdateMainSheetOpenOrder - entering UpdateMainSheetOpenOrder order.status is PreSubmitted</t>
  </si>
  <si>
    <t>2015-1-26 12:6:26.562: RTWSControl - OrderStatus - Got OrderStatus Message id:871 status: PreSubmitted filled: 0</t>
  </si>
  <si>
    <t>2015-1-26 12:6:26.563: RTWSControl - OrderStatus - exiting orderStatus</t>
  </si>
  <si>
    <t>2015-1-26 12:6:26.581: openOrderEx - I am here</t>
  </si>
  <si>
    <t>2015-1-26 12:6:26.587: RTWSControl - orderStatus -  entering orderStatus id is 871 status is PreSubmitted</t>
  </si>
  <si>
    <t>2015-1-26 12:6:26.588: OrderManager - UpdateOrderStatus - id 871 Setting status to PreSubmitted workingOrderCount is now 1 workingQty -684</t>
  </si>
  <si>
    <t>2015-1-26 12:6:26.589: OrderManagerView - UpdateMainSheetOpenOrder - entering UpdateMainSheetOpenOrder order.status is PreSubmitted</t>
  </si>
  <si>
    <t>2015-1-26 12:6:26.593: RTWSControl - OrderStatus - Got OrderStatus Message id:871 status: PreSubmitted filled: 0</t>
  </si>
  <si>
    <t>2015-1-26 12:6:26.593: RTWSControl - OrderStatus - exiting orderStatus</t>
  </si>
  <si>
    <t>2015-1-26 12:6:31.24: OrderManager - cancelOrder - cancelling order id 870</t>
  </si>
  <si>
    <t>2015-1-26 12:6:31.27: OrderManager - PlaceOrder - id 872 workingQty -623</t>
  </si>
  <si>
    <t>2015-1-26 12:6:31.30: OrderManagerView - UpdateMainSheetOpenOrder - entering UpdateMainSheetOpenOrder order.status is In-Flight</t>
  </si>
  <si>
    <t>2015-1-26 12:6:31.34: OrderManagerView - incrementNextOORow - there are no available OpenOrderView Rows!!!!!!</t>
  </si>
  <si>
    <t>2015-1-26 12:6:31.43: OrderManager - sendOrder - exiting place order id 872 BUY 61 1.5259  - workingQty -623 currentPosition is 31 workingOrderCount is 2</t>
  </si>
  <si>
    <t>2015-1-26 12:6:31.47: OrderManager - cancelOrder - cancelling order id 871</t>
  </si>
  <si>
    <t>2015-1-26 12:6:31.49: OrderManager - createOrder - exiting without creating order - did not have validID</t>
  </si>
  <si>
    <t>2015-1-26 12:6:31.266: RTWSControl - nextValidId - entering nextValidId id is 873</t>
  </si>
  <si>
    <t>2015-1-26 12:6:31.324: RTWSControl - orderStatus -  entering orderStatus id is 870 status is Cancelled</t>
  </si>
  <si>
    <t>2015-1-26 12:6:31.325: OrderManager - UpdateOrderStatus - id 870 Setting status to Cancelled workingOrderCount is now 2 workingQty -623</t>
  </si>
  <si>
    <t>2015-1-26 12:6:31.326: OrderManagerView - UpdateMainSheetOpenOrder - entering UpdateMainSheetOpenOrder order.status is Cancelled</t>
  </si>
  <si>
    <t>2015-1-26 12:6:31.329: RTWSControl - OrderStatus - Got OrderStatus Message id:870 status: Cancelled filled: 0</t>
  </si>
  <si>
    <t>2015-1-26 12:6:31.330: RTWSControl - OrderStatus - exiting orderStatus</t>
  </si>
  <si>
    <t>2015-1-26 12:6:31.340: RTWSControl - errMsg - got error message 202:Order Canceled - reason:with id 870</t>
  </si>
  <si>
    <t>2015-1-26 12:6:31.341: OrderManager - canceledOrder - cleaning up after canceled order 870BEWARE UNACCOUNTED FOR EXECUTIONS!!!</t>
  </si>
  <si>
    <t>2015-1-26 12:6:31.342: OrderManager - terminateOrder - cleaning up after Canceled 870  order was supposed to BUY 64 1.5265 STP LMT workingQty/OrderCount now -687/1</t>
  </si>
  <si>
    <t>2015-1-26 12:6:31.343: OrderManagerView - UpdateMainSheetOpenOrder - entering UpdateMainSheetOpenOrder order.status is Canceled</t>
  </si>
  <si>
    <t>2015-1-26 12:6:31.365: RTWSControl - errMsg - got error message 399:Order Message:
BUY 61 GBP MAR'15
Warning: your order will not be placed at the exchange until 2015-01-26 08:30:00 US/Centralwith id 872</t>
  </si>
  <si>
    <t>2015-1-26 12:6:31.367: RTWSControl - errMsg - Got Error_x000D_id: 872_x000D_errorCode: 399_x000D_errorMsg: Order Message:
BUY 61 GBP MAR'15
Warning: your order will not be placed at the exchange until 2015-01-26 08:30:00 US/Central</t>
  </si>
  <si>
    <t>2015-1-26 12:6:31.377: openOrderEx - I am here</t>
  </si>
  <si>
    <t>2015-1-26 12:6:31.415: RTWSControl - orderStatus -  entering orderStatus id is 872 status is PreSubmitted</t>
  </si>
  <si>
    <t>2015-1-26 12:6:31.415: OrderManager - UpdateOrderStatus - id 872 Setting status to PreSubmitted workingOrderCount is now 1 workingQty -687</t>
  </si>
  <si>
    <t>2015-1-26 12:6:31.417: OrderManagerView - UpdateMainSheetOpenOrder - entering UpdateMainSheetOpenOrder order.status is PreSubmitted</t>
  </si>
  <si>
    <t>2015-1-26 12:6:31.420: RTWSControl - OrderStatus - Got OrderStatus Message id:872 status: PreSubmitted filled: 0</t>
  </si>
  <si>
    <t>2015-1-26 12:6:31.420: RTWSControl - OrderStatus - exiting orderStatus</t>
  </si>
  <si>
    <t>2015-1-26 12:6:31.541: RTWSControl - orderStatus -  entering orderStatus id is 871 status is Cancelled</t>
  </si>
  <si>
    <t>2015-1-26 12:6:31.544: OrderManager - UpdateOrderStatus - id 871 Setting status to Cancelled workingOrderCount is now 1 workingQty -687</t>
  </si>
  <si>
    <t>2015-1-26 12:6:31.548: OrderManagerView - UpdateMainSheetOpenOrder - entering UpdateMainSheetOpenOrder order.status is Cancelled</t>
  </si>
  <si>
    <t>2015-1-26 12:6:31.561: RTWSControl - OrderStatus - Got OrderStatus Message id:871 status: Cancelled filled: 0</t>
  </si>
  <si>
    <t>2015-1-26 12:6:31.563: RTWSControl - OrderStatus - exiting orderStatus</t>
  </si>
  <si>
    <t>2015-1-26 12:6:31.604: RTWSControl - errMsg - got error message 202:Order Canceled - reason:with id 871</t>
  </si>
  <si>
    <t>2015-1-26 12:6:31.605: OrderManager - canceledOrder - cleaning up after canceled order 871BEWARE UNACCOUNTED FOR EXECUTIONS!!!</t>
  </si>
  <si>
    <t>2015-1-26 12:6:31.607: OrderManager - terminateOrder - cleaning up after Canceled 871  order was supposed to SELL 64 1.4968 STP LMT workingQty/OrderCount now -751/0</t>
  </si>
  <si>
    <t>2015-1-26 12:6:31.608: OrderManagerView - UpdateMainSheetOpenOrder - entering UpdateMainSheetOpenOrder order.status is Canceled</t>
  </si>
  <si>
    <t>2015-1-26 12:6:31.667: openOrderEx - I am here</t>
  </si>
  <si>
    <t>2015-1-26 12:6:31.675: RTWSControl - orderStatus -  entering orderStatus id is 872 status is PreSubmitted</t>
  </si>
  <si>
    <t>2015-1-26 12:6:31.676: OrderManager - UpdateOrderStatus - id 872 Setting status to PreSubmitted workingOrderCount is now 0 workingQty -751</t>
  </si>
  <si>
    <t>2015-1-26 12:6:31.678: OrderManagerView - UpdateMainSheetOpenOrder - entering UpdateMainSheetOpenOrder order.status is PreSubmitted</t>
  </si>
  <si>
    <t>2015-1-26 12:6:31.683: RTWSControl - OrderStatus - Got OrderStatus Message id:872 status: PreSubmitted filled: 0</t>
  </si>
  <si>
    <t>2015-1-26 12:6:31.684: RTWSControl - OrderStatus - exiting orderStatus</t>
  </si>
  <si>
    <t>2015-1-26 12:6:33.748: OrderManager - PlaceOrder - id 873 workingQty -812</t>
  </si>
  <si>
    <t>2015-1-26 12:6:33.751: OrderManagerView - UpdateMainSheetOpenOrder - entering UpdateMainSheetOpenOrder order.status is In-Flight</t>
  </si>
  <si>
    <t>2015-1-26 12:6:33.763: OrderManager - sendOrder - exiting place order id 873 SELL 61 1.4976  - workingQty -812 currentPosition is 31 workingOrderCount is 1</t>
  </si>
  <si>
    <t>2015-1-26 12:6:33.955: RTWSControl - nextValidId - entering nextValidId id is 874</t>
  </si>
  <si>
    <t>2015-1-26 12:6:34.84: RTWSControl - errMsg - got error message 399:Order Message:
SELL 61 GBP MAR'15
Warning: your order will not be placed at the exchange until 2015-01-26 08:30:00 US/Centralwith id 873</t>
  </si>
  <si>
    <t>2015-1-26 12:6:34.86: RTWSControl - errMsg - Got Error_x000D_id: 873_x000D_errorCode: 399_x000D_errorMsg: Order Message:
SELL 61 GBP MAR'15
Warning: your order will not be placed at the exchange until 2015-01-26 08:30:00 US/Central</t>
  </si>
  <si>
    <t>2015-1-26 12:6:34.121: openOrderEx - I am here</t>
  </si>
  <si>
    <t>2015-1-26 12:6:34.127: RTWSControl - orderStatus -  entering orderStatus id is 873 status is PreSubmitted</t>
  </si>
  <si>
    <t>2015-1-26 12:6:34.128: OrderManager - UpdateOrderStatus - id 873 Setting status to PreSubmitted workingOrderCount is now 1 workingQty -812</t>
  </si>
  <si>
    <t>2015-1-26 12:6:34.129: OrderManagerView - UpdateMainSheetOpenOrder - entering UpdateMainSheetOpenOrder order.status is PreSubmitted</t>
  </si>
  <si>
    <t>2015-1-26 12:6:34.132: RTWSControl - OrderStatus - Got OrderStatus Message id:873 status: PreSubmitted filled: 0</t>
  </si>
  <si>
    <t>2015-1-26 12:6:34.133: RTWSControl - OrderStatus - exiting orderStatus</t>
  </si>
  <si>
    <t>2015-1-26 12:6:34.162: openOrderEx - I am here</t>
  </si>
  <si>
    <t>2015-1-26 12:6:34.169: RTWSControl - orderStatus -  entering orderStatus id is 873 status is PreSubmitted</t>
  </si>
  <si>
    <t>2015-1-26 12:6:34.170: OrderManager - UpdateOrderStatus - id 873 Setting status to PreSubmitted workingOrderCount is now 1 workingQty -812</t>
  </si>
  <si>
    <t>2015-1-26 12:6:34.171: OrderManagerView - UpdateMainSheetOpenOrder - entering UpdateMainSheetOpenOrder order.status is PreSubmitted</t>
  </si>
  <si>
    <t>2015-1-26 12:6:34.174: RTWSControl - OrderStatus - Got OrderStatus Message id:873 status: PreSubmitted filled: 0</t>
  </si>
  <si>
    <t>2015-1-26 12:6:34.175: RTWSControl - OrderStatus - exiting orderStatus</t>
  </si>
  <si>
    <t>2015-1-26 12:6:47.659: OrderManager - cancelOrder - cancelling order id 872</t>
  </si>
  <si>
    <t>2015-1-26 12:6:47.662: OrderManager - PlaceOrder - id 874 workingQty -755</t>
  </si>
  <si>
    <t>2015-1-26 12:6:47.666: OrderManagerView - UpdateMainSheetOpenOrder - entering UpdateMainSheetOpenOrder order.status is In-Flight</t>
  </si>
  <si>
    <t>2015-1-26 12:6:47.678: OrderManager - sendOrder - exiting place order id 874 BUY 57 1.525  - workingQty -755 currentPosition is 31 workingOrderCount is 2</t>
  </si>
  <si>
    <t>2015-1-26 12:6:47.682: OrderManager - cancelOrder - cancelling order id 873</t>
  </si>
  <si>
    <t>2015-1-26 12:6:47.685: OrderManager - createOrder - exiting without creating order - did not have validID</t>
  </si>
  <si>
    <t>2015-1-26 12:6:47.928: RTWSControl - nextValidId - entering nextValidId id is 875</t>
  </si>
  <si>
    <t>2015-1-26 12:6:47.983: RTWSControl - orderStatus -  entering orderStatus id is 872 status is Cancelled</t>
  </si>
  <si>
    <t>2015-1-26 12:6:47.984: OrderManager - UpdateOrderStatus - id 872 Setting status to Cancelled workingOrderCount is now 2 workingQty -755</t>
  </si>
  <si>
    <t>2015-1-26 12:6:47.985: OrderManagerView - UpdateMainSheetOpenOrder - entering UpdateMainSheetOpenOrder order.status is Cancelled</t>
  </si>
  <si>
    <t>2015-1-26 12:6:47.988: RTWSControl - OrderStatus - Got OrderStatus Message id:872 status: Cancelled filled: 0</t>
  </si>
  <si>
    <t>2015-1-26 12:6:47.989: RTWSControl - OrderStatus - exiting orderStatus</t>
  </si>
  <si>
    <t>2015-1-26 12:6:47.999: RTWSControl - errMsg - got error message 202:Order Canceled - reason:with id 872</t>
  </si>
  <si>
    <t>2015-1-26 12:6:48.0: OrderManager - canceledOrder - cleaning up after canceled order 872BEWARE UNACCOUNTED FOR EXECUTIONS!!!</t>
  </si>
  <si>
    <t>2015-1-26 12:6:48.1: OrderManager - terminateOrder - cleaning up after Canceled 872  order was supposed to BUY 61 1.5259 STP LMT workingQty/OrderCount now -816/1</t>
  </si>
  <si>
    <t>2015-1-26 12:6:48.2: OrderManagerView - UpdateMainSheetOpenOrder - entering UpdateMainSheetOpenOrder order.status is Canceled</t>
  </si>
  <si>
    <t>2015-1-26 12:6:48.32: RTWSControl - errMsg - got error message 399:Order Message:
BUY 57 GBP MAR'15
Warning: your order will not be placed at the exchange until 2015-01-26 08:30:00 US/Centralwith id 874</t>
  </si>
  <si>
    <t>2015-1-26 12:6:48.34: RTWSControl - errMsg - Got Error_x000D_id: 874_x000D_errorCode: 399_x000D_errorMsg: Order Message:
BUY 57 GBP MAR'15
Warning: your order will not be placed at the exchange until 2015-01-26 08:30:00 US/Central</t>
  </si>
  <si>
    <t>2015-1-26 12:6:48.43: openOrderEx - I am here</t>
  </si>
  <si>
    <t>2015-1-26 12:6:48.73: RTWSControl - orderStatus -  entering orderStatus id is 874 status is PreSubmitted</t>
  </si>
  <si>
    <t>2015-1-26 12:6:48.74: OrderManager - UpdateOrderStatus - id 874 Setting status to PreSubmitted workingOrderCount is now 1 workingQty -816</t>
  </si>
  <si>
    <t>2015-1-26 12:6:48.76: OrderManagerView - UpdateMainSheetOpenOrder - entering UpdateMainSheetOpenOrder order.status is PreSubmitted</t>
  </si>
  <si>
    <t>2015-1-26 12:6:48.79: RTWSControl - OrderStatus - Got OrderStatus Message id:874 status: PreSubmitted filled: 0</t>
  </si>
  <si>
    <t>2015-1-26 12:6:48.79: RTWSControl - OrderStatus - exiting orderStatus</t>
  </si>
  <si>
    <t>2015-1-26 12:6:48.89: RTWSControl - orderStatus -  entering orderStatus id is 873 status is Cancelled</t>
  </si>
  <si>
    <t>2015-1-26 12:6:48.90: OrderManager - UpdateOrderStatus - id 873 Setting status to Cancelled workingOrderCount is now 1 workingQty -816</t>
  </si>
  <si>
    <t>2015-1-26 12:6:48.91: OrderManagerView - UpdateMainSheetOpenOrder - entering UpdateMainSheetOpenOrder order.status is Cancelled</t>
  </si>
  <si>
    <t>2015-1-26 12:6:48.95: RTWSControl - OrderStatus - Got OrderStatus Message id:873 status: Cancelled filled: 0</t>
  </si>
  <si>
    <t>2015-1-26 12:6:48.95: RTWSControl - OrderStatus - exiting orderStatus</t>
  </si>
  <si>
    <t>2015-1-26 12:6:48.120: RTWSControl - errMsg - got error message 202:Order Canceled - reason:with id 873</t>
  </si>
  <si>
    <t>2015-1-26 12:6:48.121: OrderManager - canceledOrder - cleaning up after canceled order 873BEWARE UNACCOUNTED FOR EXECUTIONS!!!</t>
  </si>
  <si>
    <t>2015-1-26 12:6:48.122: OrderManager - terminateOrder - cleaning up after Canceled 873  order was supposed to SELL 61 1.4976 STP LMT workingQty/OrderCount now -877/0</t>
  </si>
  <si>
    <t>2015-1-26 12:6:48.123: OrderManagerView - UpdateMainSheetOpenOrder - entering UpdateMainSheetOpenOrder order.status is Canceled</t>
  </si>
  <si>
    <t>2015-1-26 12:6:48.163: openOrderEx - I am here</t>
  </si>
  <si>
    <t>2015-1-26 12:6:48.169: RTWSControl - orderStatus -  entering orderStatus id is 874 status is PreSubmitted</t>
  </si>
  <si>
    <t>2015-1-26 12:6:48.170: OrderManager - UpdateOrderStatus - id 874 Setting status to PreSubmitted workingOrderCount is now 0 workingQty -877</t>
  </si>
  <si>
    <t>2015-1-26 12:6:48.171: OrderManagerView - UpdateMainSheetOpenOrder - entering UpdateMainSheetOpenOrder order.status is PreSubmitted</t>
  </si>
  <si>
    <t>2015-1-26 12:6:48.175: RTWSControl - OrderStatus - Got OrderStatus Message id:874 status: PreSubmitted filled: 0</t>
  </si>
  <si>
    <t>2015-1-26 12:6:48.175: RTWSControl - OrderStatus - exiting orderStatus</t>
  </si>
  <si>
    <t>2015-1-26 12:6:48.882: OrderManager - PlaceOrder - id 875 workingQty -934</t>
  </si>
  <si>
    <t>2015-1-26 12:6:48.883: OrderManagerView - UpdateMainSheetOpenOrder - entering UpdateMainSheetOpenOrder order.status is In-Flight</t>
  </si>
  <si>
    <t>2015-1-26 12:6:48.886: OrderManager - sendOrder - exiting place order id 875 SELL 57 1.4984  - workingQty -934 currentPosition is 31 workingOrderCount is 1</t>
  </si>
  <si>
    <t>2015-1-26 12:6:49.78: RTWSControl - nextValidId - entering nextValidId id is 876</t>
  </si>
  <si>
    <t>2015-1-26 12:6:49.197: RTWSControl - errMsg - got error message 399:Order Message:
SELL 57 GBP MAR'15
Warning: your order will not be placed at the exchange until 2015-01-26 08:30:00 US/Centralwith id 875</t>
  </si>
  <si>
    <t>2015-1-26 12:6:49.198: RTWSControl - errMsg - Got Error_x000D_id: 875_x000D_errorCode: 399_x000D_errorMsg: Order Message:
SELL 57 GBP MAR'15
Warning: your order will not be placed at the exchange until 2015-01-26 08:30:00 US/Central</t>
  </si>
  <si>
    <t>2015-1-26 12:6:49.209: openOrderEx - I am here</t>
  </si>
  <si>
    <t>2015-1-26 12:6:49.215: RTWSControl - orderStatus -  entering orderStatus id is 875 status is PreSubmitted</t>
  </si>
  <si>
    <t>2015-1-26 12:6:49.216: OrderManager - UpdateOrderStatus - id 875 Setting status to PreSubmitted workingOrderCount is now 1 workingQty -934</t>
  </si>
  <si>
    <t>2015-1-26 12:6:49.218: OrderManagerView - UpdateMainSheetOpenOrder - entering UpdateMainSheetOpenOrder order.status is PreSubmitted</t>
  </si>
  <si>
    <t>2015-1-26 12:6:49.221: RTWSControl - OrderStatus - Got OrderStatus Message id:875 status: PreSubmitted filled: 0</t>
  </si>
  <si>
    <t>2015-1-26 12:6:49.221: RTWSControl - OrderStatus - exiting orderStatus</t>
  </si>
  <si>
    <t>2015-1-26 12:6:49.239: openOrderEx - I am here</t>
  </si>
  <si>
    <t>2015-1-26 12:6:49.246: RTWSControl - orderStatus -  entering orderStatus id is 875 status is PreSubmitted</t>
  </si>
  <si>
    <t>2015-1-26 12:6:49.247: OrderManager - UpdateOrderStatus - id 875 Setting status to PreSubmitted workingOrderCount is now 1 workingQty -934</t>
  </si>
  <si>
    <t>2015-1-26 12:6:49.248: OrderManagerView - UpdateMainSheetOpenOrder - entering UpdateMainSheetOpenOrder order.status is PreSubmitted</t>
  </si>
  <si>
    <t>2015-1-26 12:6:49.251: RTWSControl - OrderStatus - Got OrderStatus Message id:875 status: PreSubmitted filled: 0</t>
  </si>
  <si>
    <t>2015-1-26 12:6:49.251: RTWSControl - OrderStatus - exiting orderStatus</t>
  </si>
  <si>
    <t>2015-1-26 12:7:46.295: Algorithm - FindNextStrikes - price is 1.5007 nextStrikeUp/Down 1.505/1.5</t>
  </si>
  <si>
    <t>2015-1-26 12:7:46.296: Algorithm - getPortfolioForwardDelta - required deltas is -20 currentHedgePosition is 31</t>
  </si>
  <si>
    <t>2015-1-26 12:7:46.297: Algorithm - getHedgeShortfall - required deltas is -20 price is 1.5008 currentHedgePositionDeltas is 31</t>
  </si>
  <si>
    <t>2015-1-26 12:7:46.298: Algorithm - processTransitionPoint - nextUpper/LowerStrikes are 1.505/1.5 requiredDeltas/currentPosition/currentHedgeShortfall/direction/transitionPrice are -20/31/-51/1/1.5008</t>
  </si>
  <si>
    <t>2015-1-26 12:7:46.299: TransitionLogger - processTransitionpoint - checking transition - currentHedgeShortfall is -51</t>
  </si>
  <si>
    <t>2015-1-26 12:7:46.301: Algorithm - updatePortfolio - haveAllDetails is True</t>
  </si>
  <si>
    <t>2015-1-26 12:7:46.303: RTWSControl - updatePortfolioEx - An Error Occured Object variable or With block variable not set</t>
  </si>
  <si>
    <t>2015-1-26 12:7:46.341: Algorithm - FindNextStrikes - price is 1.5007 nextStrikeUp/Down 1.505/1.5</t>
  </si>
  <si>
    <t>2015-1-26 12:7:46.342: Algorithm - getPortfolioForwardDelta - required deltas is -20 currentHedgePosition is 31</t>
  </si>
  <si>
    <t>2015-1-26 12:7:46.342: Algorithm - getHedgeShortfall - required deltas is -20 price is 1.5008 currentHedgePositionDeltas is 31</t>
  </si>
  <si>
    <t>2015-1-26 12:7:46.344: Algorithm - processTransitionPoint - nextUpper/LowerStrikes are 1.505/1.5 requiredDeltas/currentPosition/currentHedgeShortfall/direction/transitionPrice are -20/31/-51/1/1.5008</t>
  </si>
  <si>
    <t>2015-1-26 12:7:46.345: TransitionLogger - processTransitionpoint - checking transition - currentHedgeShortfall is -51</t>
  </si>
  <si>
    <t>2015-1-26 12:7:46.346: Algorithm - updatePortfolio - haveAllDetails is True</t>
  </si>
  <si>
    <t>2015-1-26 12:7:46.348: RTWSControl - updatePortfolioEx - An Error Occured Object variable or With block variable not set</t>
  </si>
  <si>
    <t>2015-1-26 12:7:46.390: Algorithm - FindNextStrikes - price is 1.5007 nextStrikeUp/Down 1.505/1.5</t>
  </si>
  <si>
    <t>2015-1-26 12:7:46.391: Algorithm - getPortfolioForwardDelta - required deltas is -20 currentHedgePosition is 31</t>
  </si>
  <si>
    <t>2015-1-26 12:7:46.392: Algorithm - getHedgeShortfall - required deltas is -20 price is 1.5008 currentHedgePositionDeltas is 31</t>
  </si>
  <si>
    <t>2015-1-26 12:7:46.393: Algorithm - processTransitionPoint - nextUpper/LowerStrikes are 1.505/1.5 requiredDeltas/currentPosition/currentHedgeShortfall/direction/transitionPrice are -20/31/-51/1/1.5008</t>
  </si>
  <si>
    <t>2015-1-26 12:7:46.394: TransitionLogger - processTransitionpoint - checking transition - currentHedgeShortfall is -51</t>
  </si>
  <si>
    <t>2015-1-26 12:7:46.396: Algorithm - updatePortfolio - haveAllDetails is True</t>
  </si>
  <si>
    <t>2015-1-26 12:7:46.397: RTWSControl - updatePortfolioEx - An Error Occured Object variable or With block variable not set</t>
  </si>
  <si>
    <t>2015-1-26 12:7:46.434: Algorithm - FindNextStrikes - price is 1.5007 nextStrikeUp/Down 1.505/1.5</t>
  </si>
  <si>
    <t>2015-1-26 12:7:46.435: Algorithm - getPortfolioForwardDelta - required deltas is -20 currentHedgePosition is 31</t>
  </si>
  <si>
    <t>2015-1-26 12:7:46.435: Algorithm - getHedgeShortfall - required deltas is -20 price is 1.5008 currentHedgePositionDeltas is 31</t>
  </si>
  <si>
    <t>2015-1-26 12:7:46.436: Algorithm - processTransitionPoint - nextUpper/LowerStrikes are 1.505/1.5 requiredDeltas/currentPosition/currentHedgeShortfall/direction/transitionPrice are -20/31/-51/1/1.5008</t>
  </si>
  <si>
    <t>2015-1-26 12:7:46.438: TransitionLogger - processTransitionpoint - checking transition - currentHedgeShortfall is -51</t>
  </si>
  <si>
    <t>2015-1-26 12:7:46.439: Algorithm - updatePortfolio - haveAllDetails is True</t>
  </si>
  <si>
    <t>2015-1-26 12:7:46.441: RTWSControl - updatePortfolioEx - An Error Occured Object variable or With block variable not set</t>
  </si>
  <si>
    <t>2015-1-26 12:7:46.476: Algorithm - FindNextStrikes - price is 1.5007 nextStrikeUp/Down 1.505/1.5</t>
  </si>
  <si>
    <t>2015-1-26 12:7:46.477: Algorithm - getPortfolioForwardDelta - required deltas is -20 currentHedgePosition is 31</t>
  </si>
  <si>
    <t>2015-1-26 12:7:46.478: Algorithm - getHedgeShortfall - required deltas is -20 price is 1.5008 currentHedgePositionDeltas is 31</t>
  </si>
  <si>
    <t>2015-1-26 12:7:46.479: Algorithm - processTransitionPoint - nextUpper/LowerStrikes are 1.505/1.5 requiredDeltas/currentPosition/currentHedgeShortfall/direction/transitionPrice are -20/31/-51/1/1.5008</t>
  </si>
  <si>
    <t>2015-1-26 12:7:46.480: TransitionLogger - processTransitionpoint - checking transition - currentHedgeShortfall is -51</t>
  </si>
  <si>
    <t>2015-1-26 12:7:46.481: Algorithm - updatePortfolio - haveAllDetails is True</t>
  </si>
  <si>
    <t>2015-1-26 12:7:46.483: RTWSControl - updatePortfolioEx - An Error Occured Object variable or With block variable not set</t>
  </si>
  <si>
    <t>2015-1-26 12:7:46.515: Algorithm - FindNextStrikes - price is 1.5007 nextStrikeUp/Down 1.505/1.5</t>
  </si>
  <si>
    <t>2015-1-26 12:7:46.516: Algorithm - getPortfolioForwardDelta - required deltas is -20 currentHedgePosition is 31</t>
  </si>
  <si>
    <t>2015-1-26 12:7:46.517: Algorithm - getHedgeShortfall - required deltas is -20 price is 1.5008 currentHedgePositionDeltas is 31</t>
  </si>
  <si>
    <t>2015-1-26 12:7:46.518: Algorithm - processTransitionPoint - nextUpper/LowerStrikes are 1.505/1.5 requiredDeltas/currentPosition/currentHedgeShortfall/direction/transitionPrice are -20/31/-51/1/1.5008</t>
  </si>
  <si>
    <t>2015-1-26 12:7:46.519: TransitionLogger - processTransitionpoint - checking transition - currentHedgeShortfall is -51</t>
  </si>
  <si>
    <t>2015-1-26 12:7:46.521: Algorithm - updatePortfolio - haveAllDetails is True</t>
  </si>
  <si>
    <t>2015-1-26 12:7:46.523: RTWSControl - updatePortfolioEx - An Error Occured Object variable or With block variable not set</t>
  </si>
  <si>
    <t>2015-1-26 12:7:46.558: Algorithm - FindNextStrikes - price is 1.5007 nextStrikeUp/Down 1.505/1.5</t>
  </si>
  <si>
    <t>2015-1-26 12:7:46.559: Algorithm - getPortfolioForwardDelta - required deltas is -20 currentHedgePosition is 31</t>
  </si>
  <si>
    <t>2015-1-26 12:7:46.560: Algorithm - getHedgeShortfall - required deltas is -20 price is 1.5008 currentHedgePositionDeltas is 31</t>
  </si>
  <si>
    <t>2015-1-26 12:7:46.561: Algorithm - processTransitionPoint - nextUpper/LowerStrikes are 1.505/1.5 requiredDeltas/currentPosition/currentHedgeShortfall/direction/transitionPrice are -20/31/-51/1/1.5008</t>
  </si>
  <si>
    <t>2015-1-26 12:7:46.562: TransitionLogger - processTransitionpoint - checking transition - currentHedgeShortfall is -51</t>
  </si>
  <si>
    <t>2015-1-26 12:7:46.564: Algorithm - updatePortfolio - haveAllDetails is True</t>
  </si>
  <si>
    <t>2015-1-26 12:7:46.565: RTWSControl - updatePortfolioEx - An Error Occured Object variable or With block variable not set</t>
  </si>
  <si>
    <t>2015-1-26 12:7:46.601: Algorithm - FindNextStrikes - price is 1.5007 nextStrikeUp/Down 1.505/1.5</t>
  </si>
  <si>
    <t>2015-1-26 12:7:46.602: Algorithm - getPortfolioForwardDelta - required deltas is -20 currentHedgePosition is 31</t>
  </si>
  <si>
    <t>2015-1-26 12:7:46.603: Algorithm - getHedgeShortfall - required deltas is -20 price is 1.5008 currentHedgePositionDeltas is 31</t>
  </si>
  <si>
    <t>2015-1-26 12:7:46.604: Algorithm - processTransitionPoint - nextUpper/LowerStrikes are 1.505/1.5 requiredDeltas/currentPosition/currentHedgeShortfall/direction/transitionPrice are -20/31/-51/1/1.5008</t>
  </si>
  <si>
    <t>2015-1-26 12:7:46.605: TransitionLogger - processTransitionpoint - checking transition - currentHedgeShortfall is -51</t>
  </si>
  <si>
    <t>2015-1-26 12:7:46.607: Algorithm - updatePortfolio - haveAllDetails is True</t>
  </si>
  <si>
    <t>2015-1-26 12:7:46.609: RTWSControl - updatePortfolioEx - An Error Occured Object variable or With block variable not set</t>
  </si>
  <si>
    <t>2015-1-26 12:7:47.119: OrderManager - cancelOrder - cancelling order id 874</t>
  </si>
  <si>
    <t>2015-1-26 12:7:47.120: OrderManager - PlaceOrder - id 876 workingQty -879</t>
  </si>
  <si>
    <t>2015-1-26 12:7:47.121: OrderManagerView - UpdateMainSheetOpenOrder - entering UpdateMainSheetOpenOrder order.status is In-Flight</t>
  </si>
  <si>
    <t>2015-1-26 12:7:47.122: OrderManagerView - incrementNextOORow - there are no available OpenOrderView Rows!!!!!!</t>
  </si>
  <si>
    <t>2015-1-26 12:7:47.124: OrderManager - sendOrder - exiting place order id 876 BUY 55 1.5245  - workingQty -879 currentPosition is 31 workingOrderCount is 2</t>
  </si>
  <si>
    <t>2015-1-26 12:7:47.125: OrderManager - cancelOrder - cancelling order id 875</t>
  </si>
  <si>
    <t>2015-1-26 12:7:47.126: OrderManager - createOrder - exiting without creating order - did not have validID</t>
  </si>
  <si>
    <t>2015-1-26 12:7:47.794: RTWSControl - nextValidId - entering nextValidId id is 877</t>
  </si>
  <si>
    <t>2015-1-26 12:7:47.800: RTWSControl - orderStatus -  entering orderStatus id is 874 status is Cancelled</t>
  </si>
  <si>
    <t>2015-1-26 12:7:47.801: OrderManager - UpdateOrderStatus - id 874 Setting status to Cancelled workingOrderCount is now 2 workingQty -879</t>
  </si>
  <si>
    <t>2015-1-26 12:7:47.802: OrderManagerView - UpdateMainSheetOpenOrder - entering UpdateMainSheetOpenOrder order.status is Cancelled</t>
  </si>
  <si>
    <t>2015-1-26 12:7:47.804: RTWSControl - OrderStatus - Got OrderStatus Message id:874 status: Cancelled filled: 0</t>
  </si>
  <si>
    <t>2015-1-26 12:7:47.805: RTWSControl - OrderStatus - exiting orderStatus</t>
  </si>
  <si>
    <t>2015-1-26 12:7:47.828: RTWSControl - errMsg - got error message 202:Order Canceled - reason:with id 874</t>
  </si>
  <si>
    <t>2015-1-26 12:7:47.829: OrderManager - canceledOrder - cleaning up after canceled order 874BEWARE UNACCOUNTED FOR EXECUTIONS!!!</t>
  </si>
  <si>
    <t>2015-1-26 12:7:47.830: OrderManager - terminateOrder - cleaning up after Canceled 874  order was supposed to BUY 57 1.525 STP LMT workingQty/OrderCount now -936/1</t>
  </si>
  <si>
    <t>2015-1-26 12:7:47.831: OrderManagerView - UpdateMainSheetOpenOrder - entering UpdateMainSheetOpenOrder order.status is Canceled</t>
  </si>
  <si>
    <t>2015-1-26 12:7:47.867: RTWSControl - errMsg - got error message 399:Order Message:
BUY 55 GBP MAR'15
Warning: your order will not be placed at the exchange until 2015-01-26 08:30:00 US/Centralwith id 876</t>
  </si>
  <si>
    <t>2015-1-26 12:7:47.869: RTWSControl - errMsg - Got Error_x000D_id: 876_x000D_errorCode: 399_x000D_errorMsg: Order Message:
BUY 55 GBP MAR'15
Warning: your order will not be placed at the exchange until 2015-01-26 08:30:00 US/Central</t>
  </si>
  <si>
    <t>2015-1-26 12:7:47.879: openOrderEx - I am here</t>
  </si>
  <si>
    <t>2015-1-26 12:7:47.886: RTWSControl - orderStatus -  entering orderStatus id is 876 status is PreSubmitted</t>
  </si>
  <si>
    <t>2015-1-26 12:7:47.887: OrderManager - UpdateOrderStatus - id 876 Setting status to PreSubmitted workingOrderCount is now 1 workingQty -936</t>
  </si>
  <si>
    <t>2015-1-26 12:7:47.888: OrderManagerView - UpdateMainSheetOpenOrder - entering UpdateMainSheetOpenOrder order.status is PreSubmitted</t>
  </si>
  <si>
    <t>2015-1-26 12:7:47.890: RTWSControl - OrderStatus - Got OrderStatus Message id:876 status: PreSubmitted filled: 0</t>
  </si>
  <si>
    <t>2015-1-26 12:7:47.891: RTWSControl - OrderStatus - exiting orderStatus</t>
  </si>
  <si>
    <t>2015-1-26 12:7:47.912: RTWSControl - orderStatus -  entering orderStatus id is 875 status is Cancelled</t>
  </si>
  <si>
    <t>2015-1-26 12:7:47.912: OrderManager - UpdateOrderStatus - id 875 Setting status to Cancelled workingOrderCount is now 1 workingQty -936</t>
  </si>
  <si>
    <t>2015-1-26 12:7:47.913: OrderManagerView - UpdateMainSheetOpenOrder - entering UpdateMainSheetOpenOrder order.status is Cancelled</t>
  </si>
  <si>
    <t>2015-1-26 12:7:47.916: RTWSControl - OrderStatus - Got OrderStatus Message id:875 status: Cancelled filled: 0</t>
  </si>
  <si>
    <t>2015-1-26 12:7:47.917: RTWSControl - OrderStatus - exiting orderStatus</t>
  </si>
  <si>
    <t>2015-1-26 12:7:47.949: RTWSControl - errMsg - got error message 202:Order Canceled - reason:with id 875</t>
  </si>
  <si>
    <t>2015-1-26 12:7:47.950: OrderManager - canceledOrder - cleaning up after canceled order 875BEWARE UNACCOUNTED FOR EXECUTIONS!!!</t>
  </si>
  <si>
    <t>2015-1-26 12:7:47.951: OrderManager - terminateOrder - cleaning up after Canceled 875  order was supposed to SELL 57 1.4984 STP LMT workingQty/OrderCount now -993/0</t>
  </si>
  <si>
    <t>2015-1-26 12:7:47.952: OrderManagerView - UpdateMainSheetOpenOrder - entering UpdateMainSheetOpenOrder order.status is Canceled</t>
  </si>
  <si>
    <t>2015-1-26 12:7:47.968: openOrderEx - I am here</t>
  </si>
  <si>
    <t>2015-1-26 12:7:47.991: RTWSControl - orderStatus -  entering orderStatus id is 876 status is PreSubmitted</t>
  </si>
  <si>
    <t>2015-1-26 12:7:47.992: OrderManager - UpdateOrderStatus - id 876 Setting status to PreSubmitted workingOrderCount is now 0 workingQty -993</t>
  </si>
  <si>
    <t>2015-1-26 12:7:47.993: OrderManagerView - UpdateMainSheetOpenOrder - entering UpdateMainSheetOpenOrder order.status is PreSubmitted</t>
  </si>
  <si>
    <t>2015-1-26 12:7:47.996: RTWSControl - OrderStatus - Got OrderStatus Message id:876 status: PreSubmitted filled: 0</t>
  </si>
  <si>
    <t>2015-1-26 12:7:47.996: RTWSControl - OrderStatus - exiting orderStatus</t>
  </si>
  <si>
    <t>2015-1-26 12:7:48.317: OrderManager - PlaceOrder - id 877 workingQty -1049</t>
  </si>
  <si>
    <t>2015-1-26 12:7:48.318: OrderManagerView - UpdateMainSheetOpenOrder - entering UpdateMainSheetOpenOrder order.status is In-Flight</t>
  </si>
  <si>
    <t>2015-1-26 12:7:48.321: OrderManager - sendOrder - exiting place order id 877 SELL 56 1.4987  - workingQty -1049 currentPosition is 31 workingOrderCount is 1</t>
  </si>
  <si>
    <t>2015-1-26 12:7:48.580: RTWSControl - nextValidId - entering nextValidId id is 878</t>
  </si>
  <si>
    <t>2015-1-26 12:7:48.586: RTWSControl - errMsg - got error message 399:Order Message:
SELL 56 GBP MAR'15
Warning: your order will not be placed at the exchange until 2015-01-26 08:30:00 US/Centralwith id 877</t>
  </si>
  <si>
    <t>2015-1-26 12:7:48.587: RTWSControl - errMsg - Got Error_x000D_id: 877_x000D_errorCode: 399_x000D_errorMsg: Order Message:
SELL 56 GBP MAR'15
Warning: your order will not be placed at the exchange until 2015-01-26 08:30:00 US/Central</t>
  </si>
  <si>
    <t>2015-1-26 12:7:48.599: openOrderEx - I am here</t>
  </si>
  <si>
    <t>2015-1-26 12:7:48.618: RTWSControl - orderStatus -  entering orderStatus id is 877 status is PreSubmitted</t>
  </si>
  <si>
    <t>2015-1-26 12:7:48.619: OrderManager - UpdateOrderStatus - id 877 Setting status to PreSubmitted workingOrderCount is now 1 workingQty -1049</t>
  </si>
  <si>
    <t>2015-1-26 12:7:48.620: OrderManagerView - UpdateMainSheetOpenOrder - entering UpdateMainSheetOpenOrder order.status is PreSubmitted</t>
  </si>
  <si>
    <t>2015-1-26 12:7:48.623: RTWSControl - OrderStatus - Got OrderStatus Message id:877 status: PreSubmitted filled: 0</t>
  </si>
  <si>
    <t>2015-1-26 12:7:48.623: RTWSControl - OrderStatus - exiting orderStatus</t>
  </si>
  <si>
    <t>2015-1-26 12:7:48.929: openOrderEx - I am here</t>
  </si>
  <si>
    <t>2015-1-26 12:7:48.935: RTWSControl - orderStatus -  entering orderStatus id is 877 status is PreSubmitted</t>
  </si>
  <si>
    <t>2015-1-26 12:7:48.936: OrderManager - UpdateOrderStatus - id 877 Setting status to PreSubmitted workingOrderCount is now 1 workingQty -1049</t>
  </si>
  <si>
    <t>2015-1-26 12:7:48.937: OrderManagerView - UpdateMainSheetOpenOrder - entering UpdateMainSheetOpenOrder order.status is PreSubmitted</t>
  </si>
  <si>
    <t>2015-1-26 12:7:48.940: RTWSControl - OrderStatus - Got OrderStatus Message id:877 status: PreSubmitted filled: 0</t>
  </si>
  <si>
    <t>2015-1-26 12:7:48.941: RTWSControl - OrderStatus - exiting orderStatus</t>
  </si>
  <si>
    <t>2015-1-26 12:8:37.848: OrderManager - cancelOrder - cancelling order id 876</t>
  </si>
  <si>
    <t>2015-1-26 12:8:37.851: OrderManager - PlaceOrder - id 878 workingQty -992</t>
  </si>
  <si>
    <t>2015-1-26 12:8:37.853: OrderManagerView - UpdateMainSheetOpenOrder - entering UpdateMainSheetOpenOrder order.status is In-Flight</t>
  </si>
  <si>
    <t>2015-1-26 12:8:37.863: OrderManager - sendOrder - exiting place order id 878 BUY 57 1.5249  - workingQty -992 currentPosition is 31 workingOrderCount is 2</t>
  </si>
  <si>
    <t>2015-1-26 12:8:38.220: RTWSControl - nextValidId - entering nextValidId id is 879</t>
  </si>
  <si>
    <t>2015-1-26 12:8:38.237: RTWSControl - orderStatus -  entering orderStatus id is 876 status is Cancelled</t>
  </si>
  <si>
    <t>2015-1-26 12:8:38.238: OrderManager - UpdateOrderStatus - id 876 Setting status to Cancelled workingOrderCount is now 2 workingQty -992</t>
  </si>
  <si>
    <t>2015-1-26 12:8:38.239: OrderManagerView - UpdateMainSheetOpenOrder - entering UpdateMainSheetOpenOrder order.status is Cancelled</t>
  </si>
  <si>
    <t>2015-1-26 12:8:38.242: RTWSControl - OrderStatus - Got OrderStatus Message id:876 status: Cancelled filled: 0</t>
  </si>
  <si>
    <t>2015-1-26 12:8:38.243: RTWSControl - OrderStatus - exiting orderStatus</t>
  </si>
  <si>
    <t>2015-1-26 12:8:38.253: RTWSControl - errMsg - got error message 202:Order Canceled - reason:with id 876</t>
  </si>
  <si>
    <t>2015-1-26 12:8:38.254: OrderManager - canceledOrder - cleaning up after canceled order 876BEWARE UNACCOUNTED FOR EXECUTIONS!!!</t>
  </si>
  <si>
    <t>2015-1-26 12:8:38.255: OrderManager - terminateOrder - cleaning up after Canceled 876  order was supposed to BUY 55 1.5245 STP LMT workingQty/OrderCount now -1047/1</t>
  </si>
  <si>
    <t>2015-1-26 12:8:38.256: OrderManagerView - UpdateMainSheetOpenOrder - entering UpdateMainSheetOpenOrder order.status is Canceled</t>
  </si>
  <si>
    <t>2015-1-26 12:8:38.289: RTWSControl - errMsg - got error message 399:Order Message:
BUY 57 GBP MAR'15
Warning: your order will not be placed at the exchange until 2015-01-26 08:30:00 US/Centralwith id 878</t>
  </si>
  <si>
    <t>2015-1-26 12:8:38.290: RTWSControl - errMsg - Got Error_x000D_id: 878_x000D_errorCode: 399_x000D_errorMsg: Order Message:
BUY 57 GBP MAR'15
Warning: your order will not be placed at the exchange until 2015-01-26 08:30:00 US/Central</t>
  </si>
  <si>
    <t>2015-1-26 12:8:38.301: openOrderEx - I am here</t>
  </si>
  <si>
    <t>2015-1-26 12:8:38.325: RTWSControl - orderStatus -  entering orderStatus id is 878 status is PreSubmitted</t>
  </si>
  <si>
    <t>2015-1-26 12:8:38.326: OrderManager - UpdateOrderStatus - id 878 Setting status to PreSubmitted workingOrderCount is now 1 workingQty -1047</t>
  </si>
  <si>
    <t>2015-1-26 12:8:38.327: OrderManagerView - UpdateMainSheetOpenOrder - entering UpdateMainSheetOpenOrder order.status is PreSubmitted</t>
  </si>
  <si>
    <t>2015-1-26 12:8:38.331: RTWSControl - OrderStatus - Got OrderStatus Message id:878 status: PreSubmitted filled: 0</t>
  </si>
  <si>
    <t>2015-1-26 12:8:38.331: RTWSControl - OrderStatus - exiting orderStatus</t>
  </si>
  <si>
    <t>2015-1-26 12:8:38.345: openOrderEx - I am here</t>
  </si>
  <si>
    <t>2015-1-26 12:8:38.372: RTWSControl - orderStatus -  entering orderStatus id is 878 status is PreSubmitted</t>
  </si>
  <si>
    <t>2015-1-26 12:8:38.373: OrderManager - UpdateOrderStatus - id 878 Setting status to PreSubmitted workingOrderCount is now 1 workingQty -1047</t>
  </si>
  <si>
    <t>2015-1-26 12:8:38.374: OrderManagerView - UpdateMainSheetOpenOrder - entering UpdateMainSheetOpenOrder order.status is PreSubmitted</t>
  </si>
  <si>
    <t>2015-1-26 12:8:38.377: RTWSControl - OrderStatus - Got OrderStatus Message id:878 status: PreSubmitted filled: 0</t>
  </si>
  <si>
    <t>2015-1-26 12:8:38.378: RTWSControl - OrderStatus - exiting orderStatus</t>
  </si>
  <si>
    <t>2015-1-26 12:9:37.201: Util - logStaleData - Data is stale!</t>
  </si>
  <si>
    <t>2015-1-26 12:10:8.826: OrderManager - cancelOrder - cancelling order id 878</t>
  </si>
  <si>
    <t>2015-1-26 12:10:8.827: OrderManager - PlaceOrder - id 879 workingQty -992</t>
  </si>
  <si>
    <t>2015-1-26 12:10:8.828: OrderManagerView - UpdateMainSheetOpenOrder - entering UpdateMainSheetOpenOrder order.status is In-Flight</t>
  </si>
  <si>
    <t>2015-1-26 12:10:8.831: OrderManager - sendOrder - exiting place order id 879 BUY 55 1.5247  - workingQty -992 currentPosition is 31 workingOrderCount is 2</t>
  </si>
  <si>
    <t>2015-1-26 12:10:9.206: RTWSControl - nextValidId - entering nextValidId id is 880</t>
  </si>
  <si>
    <t>2015-1-26 12:10:9.212: RTWSControl - orderStatus -  entering orderStatus id is 878 status is Cancelled</t>
  </si>
  <si>
    <t>2015-1-26 12:10:9.213: OrderManager - UpdateOrderStatus - id 878 Setting status to Cancelled workingOrderCount is now 2 workingQty -992</t>
  </si>
  <si>
    <t>2015-1-26 12:10:9.214: OrderManagerView - UpdateMainSheetOpenOrder - entering UpdateMainSheetOpenOrder order.status is Cancelled</t>
  </si>
  <si>
    <t>2015-1-26 12:10:9.217: RTWSControl - OrderStatus - Got OrderStatus Message id:878 status: Cancelled filled: 0</t>
  </si>
  <si>
    <t>2015-1-26 12:10:9.218: RTWSControl - OrderStatus - exiting orderStatus</t>
  </si>
  <si>
    <t>2015-1-26 12:10:9.246: RTWSControl - errMsg - got error message 202:Order Canceled - reason:with id 878</t>
  </si>
  <si>
    <t>2015-1-26 12:10:9.247: OrderManager - canceledOrder - cleaning up after canceled order 878BEWARE UNACCOUNTED FOR EXECUTIONS!!!</t>
  </si>
  <si>
    <t>2015-1-26 12:10:9.249: OrderManager - terminateOrder - cleaning up after Canceled 878  order was supposed to BUY 57 1.5249 STP LMT workingQty/OrderCount now -1049/1</t>
  </si>
  <si>
    <t>2015-1-26 12:10:9.250: OrderManagerView - UpdateMainSheetOpenOrder - entering UpdateMainSheetOpenOrder order.status is Canceled</t>
  </si>
  <si>
    <t>2015-1-26 12:10:9.286: RTWSControl - errMsg - got error message 399:Order Message:
BUY 55 GBP MAR'15
Warning: your order will not be placed at the exchange until 2015-01-26 08:30:00 US/Centralwith id 879</t>
  </si>
  <si>
    <t>2015-1-26 12:10:9.288: RTWSControl - errMsg - Got Error_x000D_id: 879_x000D_errorCode: 399_x000D_errorMsg: Order Message:
BUY 55 GBP MAR'15
Warning: your order will not be placed at the exchange until 2015-01-26 08:30:00 US/Central</t>
  </si>
  <si>
    <t>2015-1-26 12:10:9.297: openOrderEx - I am here</t>
  </si>
  <si>
    <t>2015-1-26 12:10:9.303: RTWSControl - orderStatus -  entering orderStatus id is 879 status is PreSubmitted</t>
  </si>
  <si>
    <t>2015-1-26 12:10:9.305: OrderManager - UpdateOrderStatus - id 879 Setting status to PreSubmitted workingOrderCount is now 1 workingQty -1049</t>
  </si>
  <si>
    <t>2015-1-26 12:10:9.306: OrderManagerView - UpdateMainSheetOpenOrder - entering UpdateMainSheetOpenOrder order.status is PreSubmitted</t>
  </si>
  <si>
    <t>2015-1-26 12:10:9.309: RTWSControl - OrderStatus - Got OrderStatus Message id:879 status: PreSubmitted filled: 0</t>
  </si>
  <si>
    <t>2015-1-26 12:10:9.310: RTWSControl - OrderStatus - exiting orderStatus</t>
  </si>
  <si>
    <t>2015-1-26 12:10:9.333: openOrderEx - I am here</t>
  </si>
  <si>
    <t>2015-1-26 12:10:9.340: RTWSControl - orderStatus -  entering orderStatus id is 879 status is PreSubmitted</t>
  </si>
  <si>
    <t>2015-1-26 12:10:9.341: OrderManager - UpdateOrderStatus - id 879 Setting status to PreSubmitted workingOrderCount is now 1 workingQty -1049</t>
  </si>
  <si>
    <t>2015-1-26 12:10:9.342: OrderManagerView - UpdateMainSheetOpenOrder - entering UpdateMainSheetOpenOrder order.status is PreSubmitted</t>
  </si>
  <si>
    <t>2015-1-26 12:10:9.345: RTWSControl - OrderStatus - Got OrderStatus Message id:879 status: PreSubmitted filled: 0</t>
  </si>
  <si>
    <t>2015-1-26 12:10:9.345: RTWSControl - OrderStatus - exiting orderStatus</t>
  </si>
  <si>
    <t>2015-1-26 12:10:31.950: OrderManager - cancelOrder - cancelling order id 877</t>
  </si>
  <si>
    <t>2015-1-26 12:10:31.951: OrderManager - PlaceOrder - id 880 workingQty -1103</t>
  </si>
  <si>
    <t>2015-1-26 12:10:31.952: OrderManagerView - UpdateMainSheetOpenOrder - entering UpdateMainSheetOpenOrder order.status is In-Flight</t>
  </si>
  <si>
    <t>2015-1-26 12:10:31.954: OrderManager - sendOrder - exiting place order id 880 SELL 54 1.499  - workingQty -1103 currentPosition is 31 workingOrderCount is 2</t>
  </si>
  <si>
    <t>2015-1-26 12:10:32.165: RTWSControl - nextValidId - entering nextValidId id is 881</t>
  </si>
  <si>
    <t>2015-1-26 12:10:32.207: RTWSControl - orderStatus -  entering orderStatus id is 877 status is Cancelled</t>
  </si>
  <si>
    <t>2015-1-26 12:10:32.208: OrderManager - UpdateOrderStatus - id 877 Setting status to Cancelled workingOrderCount is now 2 workingQty -1103</t>
  </si>
  <si>
    <t>2015-1-26 12:10:32.209: OrderManagerView - UpdateMainSheetOpenOrder - entering UpdateMainSheetOpenOrder order.status is Cancelled</t>
  </si>
  <si>
    <t>2015-1-26 12:10:32.212: RTWSControl - OrderStatus - Got OrderStatus Message id:877 status: Cancelled filled: 0</t>
  </si>
  <si>
    <t>2015-1-26 12:10:32.213: RTWSControl - OrderStatus - exiting orderStatus</t>
  </si>
  <si>
    <t>2015-1-26 12:10:32.230: RTWSControl - errMsg - got error message 202:Order Canceled - reason:with id 877</t>
  </si>
  <si>
    <t>2015-1-26 12:10:32.230: OrderManager - canceledOrder - cleaning up after canceled order 877BEWARE UNACCOUNTED FOR EXECUTIONS!!!</t>
  </si>
  <si>
    <t>2015-1-26 12:10:32.232: OrderManager - terminateOrder - cleaning up after Canceled 877  order was supposed to SELL 56 1.4987 STP LMT workingQty/OrderCount now -1159/1</t>
  </si>
  <si>
    <t>2015-1-26 12:10:32.233: OrderManagerView - UpdateMainSheetOpenOrder - entering UpdateMainSheetOpenOrder order.status is Canceled</t>
  </si>
  <si>
    <t>2015-1-26 12:10:32.284: RTWSControl - errMsg - got error message 399:Order Message:
SELL 54 GBP MAR'15
Warning: your order will not be placed at the exchange until 2015-01-26 08:30:00 US/Centralwith id 880</t>
  </si>
  <si>
    <t>2015-1-26 12:10:32.285: RTWSControl - errMsg - Got Error_x000D_id: 880_x000D_errorCode: 399_x000D_errorMsg: Order Message:
SELL 54 GBP MAR'15
Warning: your order will not be placed at the exchange until 2015-01-26 08:30:00 US/Central</t>
  </si>
  <si>
    <t>2015-1-26 12:10:32.295: openOrderEx - I am here</t>
  </si>
  <si>
    <t>2015-1-26 12:10:32.302: RTWSControl - orderStatus -  entering orderStatus id is 880 status is PreSubmitted</t>
  </si>
  <si>
    <t>2015-1-26 12:10:32.303: OrderManager - UpdateOrderStatus - id 880 Setting status to PreSubmitted workingOrderCount is now 1 workingQty -1159</t>
  </si>
  <si>
    <t>2015-1-26 12:10:32.304: OrderManagerView - UpdateMainSheetOpenOrder - entering UpdateMainSheetOpenOrder order.status is PreSubmitted</t>
  </si>
  <si>
    <t>2015-1-26 12:10:32.307: RTWSControl - OrderStatus - Got OrderStatus Message id:880 status: PreSubmitted filled: 0</t>
  </si>
  <si>
    <t>2015-1-26 12:10:32.308: RTWSControl - OrderStatus - exiting orderStatus</t>
  </si>
  <si>
    <t>2015-1-26 12:10:32.334: openOrderEx - I am here</t>
  </si>
  <si>
    <t>2015-1-26 12:10:32.340: RTWSControl - orderStatus -  entering orderStatus id is 880 status is PreSubmitted</t>
  </si>
  <si>
    <t>2015-1-26 12:10:32.341: OrderManager - UpdateOrderStatus - id 880 Setting status to PreSubmitted workingOrderCount is now 1 workingQty -1159</t>
  </si>
  <si>
    <t>2015-1-26 12:10:32.343: OrderManagerView - UpdateMainSheetOpenOrder - entering UpdateMainSheetOpenOrder order.status is PreSubmitted</t>
  </si>
  <si>
    <t>2015-1-26 12:10:32.346: RTWSControl - OrderStatus - Got OrderStatus Message id:880 status: PreSubmitted filled: 0</t>
  </si>
  <si>
    <t>2015-1-26 12:10:32.346: RTWSControl - OrderStatus - exiting orderStatus</t>
  </si>
  <si>
    <t>2015-1-26 12:10:45.549: Algorithm - FindNextStrikes - price is 1.50075 nextStrikeUp/Down 1.505/1.5</t>
  </si>
  <si>
    <t>2015-1-26 12:10:45.550: Algorithm - getPortfolioForwardDelta - required deltas is -20 currentHedgePosition is 31</t>
  </si>
  <si>
    <t>2015-1-26 12:10:45.551: Algorithm - getHedgeShortfall - required deltas is -20 price is 1.50065 currentHedgePositionDeltas is 31</t>
  </si>
  <si>
    <t>2015-1-26 12:10:45.552: Algorithm - processTransitionPoint - nextUpper/LowerStrikes are 1.505/1.5 requiredDeltas/currentPosition/currentHedgeShortfall/direction/transitionPrice are -20/31/-51/-1/1.50065</t>
  </si>
  <si>
    <t>2015-1-26 12:10:45.553: TransitionLogger - processTransitionpoint - checking transition - currentHedgeShortfall is -51</t>
  </si>
  <si>
    <t>2015-1-26 12:10:45.555: Algorithm - updatePortfolio - haveAllDetails is True</t>
  </si>
  <si>
    <t>2015-1-26 12:10:45.557: RTWSControl - updatePortfolioEx - An Error Occured Object variable or With block variable not set</t>
  </si>
  <si>
    <t>2015-1-26 12:10:45.595: Algorithm - FindNextStrikes - price is 1.50075 nextStrikeUp/Down 1.505/1.5</t>
  </si>
  <si>
    <t>2015-1-26 12:10:45.595: Algorithm - getPortfolioForwardDelta - required deltas is -20 currentHedgePosition is 31</t>
  </si>
  <si>
    <t>2015-1-26 12:10:45.596: Algorithm - getHedgeShortfall - required deltas is -20 price is 1.50065 currentHedgePositionDeltas is 31</t>
  </si>
  <si>
    <t>2015-1-26 12:10:45.597: Algorithm - processTransitionPoint - nextUpper/LowerStrikes are 1.505/1.5 requiredDeltas/currentPosition/currentHedgeShortfall/direction/transitionPrice are -20/31/-51/-1/1.50065</t>
  </si>
  <si>
    <t>2015-1-26 12:10:45.598: TransitionLogger - processTransitionpoint - checking transition - currentHedgeShortfall is -51</t>
  </si>
  <si>
    <t>2015-1-26 12:10:45.600: Algorithm - updatePortfolio - haveAllDetails is True</t>
  </si>
  <si>
    <t>2015-1-26 12:10:45.602: RTWSControl - updatePortfolioEx - An Error Occured Object variable or With block variable not set</t>
  </si>
  <si>
    <t>2015-1-26 12:10:45.644: Algorithm - FindNextStrikes - price is 1.50075 nextStrikeUp/Down 1.505/1.5</t>
  </si>
  <si>
    <t>2015-1-26 12:10:45.644: Algorithm - getPortfolioForwardDelta - required deltas is -20 currentHedgePosition is 31</t>
  </si>
  <si>
    <t>2015-1-26 12:10:45.645: Algorithm - getHedgeShortfall - required deltas is -20 price is 1.50065 currentHedgePositionDeltas is 31</t>
  </si>
  <si>
    <t>2015-1-26 12:10:45.646: Algorithm - processTransitionPoint - nextUpper/LowerStrikes are 1.505/1.5 requiredDeltas/currentPosition/currentHedgeShortfall/direction/transitionPrice are -20/31/-51/-1/1.50065</t>
  </si>
  <si>
    <t>2015-1-26 12:10:45.647: TransitionLogger - processTransitionpoint - checking transition - currentHedgeShortfall is -51</t>
  </si>
  <si>
    <t>2015-1-26 12:10:45.649: Algorithm - updatePortfolio - haveAllDetails is True</t>
  </si>
  <si>
    <t>2015-1-26 12:10:45.651: RTWSControl - updatePortfolioEx - An Error Occured Object variable or With block variable not set</t>
  </si>
  <si>
    <t>2015-1-26 12:10:45.684: Algorithm - FindNextStrikes - price is 1.50075 nextStrikeUp/Down 1.505/1.5</t>
  </si>
  <si>
    <t>2015-1-26 12:10:45.685: Algorithm - getPortfolioForwardDelta - required deltas is -20 currentHedgePosition is 31</t>
  </si>
  <si>
    <t>2015-1-26 12:10:45.686: Algorithm - getHedgeShortfall - required deltas is -20 price is 1.50065 currentHedgePositionDeltas is 31</t>
  </si>
  <si>
    <t>2015-1-26 12:10:45.687: Algorithm - processTransitionPoint - nextUpper/LowerStrikes are 1.505/1.5 requiredDeltas/currentPosition/currentHedgeShortfall/direction/transitionPrice are -20/31/-51/-1/1.50065</t>
  </si>
  <si>
    <t>2015-1-26 12:10:45.688: TransitionLogger - processTransitionpoint - checking transition - currentHedgeShortfall is -51</t>
  </si>
  <si>
    <t>2015-1-26 12:10:45.690: Algorithm - updatePortfolio - haveAllDetails is True</t>
  </si>
  <si>
    <t>2015-1-26 12:10:45.692: RTWSControl - updatePortfolioEx - An Error Occured Object variable or With block variable not set</t>
  </si>
  <si>
    <t>2015-1-26 12:10:45.726: Algorithm - FindNextStrikes - price is 1.50075 nextStrikeUp/Down 1.505/1.5</t>
  </si>
  <si>
    <t>2015-1-26 12:10:45.727: Algorithm - getPortfolioForwardDelta - required deltas is -20 currentHedgePosition is 31</t>
  </si>
  <si>
    <t>2015-1-26 12:10:45.728: Algorithm - getHedgeShortfall - required deltas is -20 price is 1.50065 currentHedgePositionDeltas is 31</t>
  </si>
  <si>
    <t>2015-1-26 12:10:45.729: Algorithm - processTransitionPoint - nextUpper/LowerStrikes are 1.505/1.5 requiredDeltas/currentPosition/currentHedgeShortfall/direction/transitionPrice are -20/31/-51/-1/1.50065</t>
  </si>
  <si>
    <t>2015-1-26 12:10:45.730: TransitionLogger - processTransitionpoint - checking transition - currentHedgeShortfall is -51</t>
  </si>
  <si>
    <t>2015-1-26 12:10:45.732: Algorithm - updatePortfolio - haveAllDetails is True</t>
  </si>
  <si>
    <t>2015-1-26 12:10:45.733: RTWSControl - updatePortfolioEx - An Error Occured Object variable or With block variable not set</t>
  </si>
  <si>
    <t>2015-1-26 12:10:45.769: Algorithm - FindNextStrikes - price is 1.50075 nextStrikeUp/Down 1.505/1.5</t>
  </si>
  <si>
    <t>2015-1-26 12:10:45.770: Algorithm - getPortfolioForwardDelta - required deltas is -20 currentHedgePosition is 31</t>
  </si>
  <si>
    <t>2015-1-26 12:10:45.771: Algorithm - getHedgeShortfall - required deltas is -20 price is 1.50065 currentHedgePositionDeltas is 31</t>
  </si>
  <si>
    <t>2015-1-26 12:10:45.772: Algorithm - processTransitionPoint - nextUpper/LowerStrikes are 1.505/1.5 requiredDeltas/currentPosition/currentHedgeShortfall/direction/transitionPrice are -20/31/-51/-1/1.50065</t>
  </si>
  <si>
    <t>2015-1-26 12:10:45.773: TransitionLogger - processTransitionpoint - checking transition - currentHedgeShortfall is -51</t>
  </si>
  <si>
    <t>2015-1-26 12:10:45.775: Algorithm - updatePortfolio - haveAllDetails is True</t>
  </si>
  <si>
    <t>2015-1-26 12:10:45.776: RTWSControl - updatePortfolioEx - An Error Occured Object variable or With block variable not set</t>
  </si>
  <si>
    <t>2015-1-26 12:10:45.809: Algorithm - FindNextStrikes - price is 1.50075 nextStrikeUp/Down 1.505/1.5</t>
  </si>
  <si>
    <t>2015-1-26 12:10:45.810: Algorithm - getPortfolioForwardDelta - required deltas is -20 currentHedgePosition is 31</t>
  </si>
  <si>
    <t>2015-1-26 12:10:45.811: Algorithm - getHedgeShortfall - required deltas is -20 price is 1.50065 currentHedgePositionDeltas is 31</t>
  </si>
  <si>
    <t>2015-1-26 12:10:45.812: Algorithm - processTransitionPoint - nextUpper/LowerStrikes are 1.505/1.5 requiredDeltas/currentPosition/currentHedgeShortfall/direction/transitionPrice are -20/31/-51/-1/1.50065</t>
  </si>
  <si>
    <t>2015-1-26 12:10:45.813: TransitionLogger - processTransitionpoint - checking transition - currentHedgeShortfall is -51</t>
  </si>
  <si>
    <t>2015-1-26 12:10:45.815: Algorithm - updatePortfolio - haveAllDetails is True</t>
  </si>
  <si>
    <t>2015-1-26 12:10:45.816: RTWSControl - updatePortfolioEx - An Error Occured Object variable or With block variable not set</t>
  </si>
  <si>
    <t>2015-1-26 12:11:0.882: OrderManager - cancelOrder - cancelling order id 879</t>
  </si>
  <si>
    <t>2015-1-26 12:11:0.883: OrderManager - PlaceOrder - id 881 workingQty -1106</t>
  </si>
  <si>
    <t>2015-1-26 12:11:0.885: OrderManagerView - UpdateMainSheetOpenOrder - entering UpdateMainSheetOpenOrder order.status is In-Flight</t>
  </si>
  <si>
    <t>2015-1-26 12:11:0.888: OrderManager - sendOrder - exiting place order id 881 BUY 53 1.5242  - workingQty -1106 currentPosition is 31 workingOrderCount is 2</t>
  </si>
  <si>
    <t>2015-1-26 12:11:1.47: RTWSControl - nextValidId - entering nextValidId id is 882</t>
  </si>
  <si>
    <t>2015-1-26 12:11:1.189: RTWSControl - orderStatus -  entering orderStatus id is 879 status is Cancelled</t>
  </si>
  <si>
    <t>2015-1-26 12:11:1.192: OrderManager - UpdateOrderStatus - id 879 Setting status to Cancelled workingOrderCount is now 2 workingQty -1106</t>
  </si>
  <si>
    <t>2015-1-26 12:11:1.198: OrderManagerView - UpdateMainSheetOpenOrder - entering UpdateMainSheetOpenOrder order.status is Cancelled</t>
  </si>
  <si>
    <t>2015-1-26 12:11:1.212: RTWSControl - OrderStatus - Got OrderStatus Message id:879 status: Cancelled filled: 0</t>
  </si>
  <si>
    <t>2015-1-26 12:11:1.215: RTWSControl - OrderStatus - exiting orderStatus</t>
  </si>
  <si>
    <t>2015-1-26 12:11:1.273: RTWSControl - errMsg - got error message 202:Order Canceled - reason:with id 879</t>
  </si>
  <si>
    <t>2015-1-26 12:11:1.275: OrderManager - canceledOrder - cleaning up after canceled order 879BEWARE UNACCOUNTED FOR EXECUTIONS!!!</t>
  </si>
  <si>
    <t>2015-1-26 12:11:1.278: OrderManager - terminateOrder - cleaning up after Canceled 879  order was supposed to BUY 55 1.5247 STP LMT workingQty/OrderCount now -1161/1</t>
  </si>
  <si>
    <t>2015-1-26 12:11:1.280: OrderManagerView - UpdateMainSheetOpenOrder - entering UpdateMainSheetOpenOrder order.status is Canceled</t>
  </si>
  <si>
    <t>2015-1-26 12:11:1.320: RTWSControl - errMsg - got error message 399:Order Message:
BUY 53 GBP MAR'15
Warning: your order will not be placed at the exchange until 2015-01-26 08:30:00 US/Centralwith id 881</t>
  </si>
  <si>
    <t>2015-1-26 12:11:1.322: RTWSControl - errMsg - Got Error_x000D_id: 881_x000D_errorCode: 399_x000D_errorMsg: Order Message:
BUY 53 GBP MAR'15
Warning: your order will not be placed at the exchange until 2015-01-26 08:30:00 US/Central</t>
  </si>
  <si>
    <t>2015-1-26 12:11:1.333: openOrderEx - I am here</t>
  </si>
  <si>
    <t>2015-1-26 12:11:1.339: RTWSControl - orderStatus -  entering orderStatus id is 881 status is PreSubmitted</t>
  </si>
  <si>
    <t>2015-1-26 12:11:1.340: OrderManager - UpdateOrderStatus - id 881 Setting status to PreSubmitted workingOrderCount is now 1 workingQty -1161</t>
  </si>
  <si>
    <t>2015-1-26 12:11:1.341: OrderManagerView - UpdateMainSheetOpenOrder - entering UpdateMainSheetOpenOrder order.status is PreSubmitted</t>
  </si>
  <si>
    <t>2015-1-26 12:11:1.345: RTWSControl - OrderStatus - Got OrderStatus Message id:881 status: PreSubmitted filled: 0</t>
  </si>
  <si>
    <t>2015-1-26 12:11:1.345: RTWSControl - OrderStatus - exiting orderStatus</t>
  </si>
  <si>
    <t>2015-1-26 12:11:1.376: openOrderEx - I am here</t>
  </si>
  <si>
    <t>2015-1-26 12:11:1.383: RTWSControl - orderStatus -  entering orderStatus id is 881 status is PreSubmitted</t>
  </si>
  <si>
    <t>2015-1-26 12:11:1.384: OrderManager - UpdateOrderStatus - id 881 Setting status to PreSubmitted workingOrderCount is now 1 workingQty -1161</t>
  </si>
  <si>
    <t>2015-1-26 12:11:1.385: OrderManagerView - UpdateMainSheetOpenOrder - entering UpdateMainSheetOpenOrder order.status is PreSubmitted</t>
  </si>
  <si>
    <t>2015-1-26 12:11:1.390: RTWSControl - OrderStatus - Got OrderStatus Message id:881 status: PreSubmitted filled: 0</t>
  </si>
  <si>
    <t>2015-1-26 12:11:1.390: RTWSControl - OrderStatus - exiting orderStatus</t>
  </si>
  <si>
    <t>2015-1-26 12:11:49.579: OrderManager - cancelOrder - cancelling order id 880</t>
  </si>
  <si>
    <t>2015-1-26 12:11:49.581: OrderManager - PlaceOrder - id 882 workingQty -1214</t>
  </si>
  <si>
    <t>2015-1-26 12:11:49.582: OrderManagerView - UpdateMainSheetOpenOrder - entering UpdateMainSheetOpenOrder order.status is In-Flight</t>
  </si>
  <si>
    <t>2015-1-26 12:11:49.588: OrderManager - sendOrder - exiting place order id 882 SELL 53 1.4993  - workingQty -1214 currentPosition is 31 workingOrderCount is 2</t>
  </si>
  <si>
    <t>2015-1-26 12:11:49.978: RTWSControl - nextValidId - entering nextValidId id is 883</t>
  </si>
  <si>
    <t>2015-1-26 12:11:50.0: RTWSControl - orderStatus -  entering orderStatus id is 880 status is Cancelled</t>
  </si>
  <si>
    <t>2015-1-26 12:11:50.1: OrderManager - UpdateOrderStatus - id 880 Setting status to Cancelled workingOrderCount is now 2 workingQty -1214</t>
  </si>
  <si>
    <t>2015-1-26 12:11:50.2: OrderManagerView - UpdateMainSheetOpenOrder - entering UpdateMainSheetOpenOrder order.status is Cancelled</t>
  </si>
  <si>
    <t>2015-1-26 12:11:50.5: RTWSControl - OrderStatus - Got OrderStatus Message id:880 status: Cancelled filled: 0</t>
  </si>
  <si>
    <t>2015-1-26 12:11:50.6: RTWSControl - OrderStatus - exiting orderStatus</t>
  </si>
  <si>
    <t>2015-1-26 12:11:50.16: RTWSControl - errMsg - got error message 202:Order Canceled - reason:with id 880</t>
  </si>
  <si>
    <t>2015-1-26 12:11:50.17: OrderManager - canceledOrder - cleaning up after canceled order 880BEWARE UNACCOUNTED FOR EXECUTIONS!!!</t>
  </si>
  <si>
    <t>2015-1-26 12:11:50.18: OrderManager - terminateOrder - cleaning up after Canceled 880  order was supposed to SELL 54 1.499 STP LMT workingQty/OrderCount now -1268/1</t>
  </si>
  <si>
    <t>2015-1-26 12:11:50.19: OrderManagerView - UpdateMainSheetOpenOrder - entering UpdateMainSheetOpenOrder order.status is Canceled</t>
  </si>
  <si>
    <t>2015-1-26 12:11:50.42: RTWSControl - errMsg - got error message 399:Order Message:
SELL 53 GBP MAR'15
Warning: your order will not be placed at the exchange until 2015-01-26 08:30:00 US/Centralwith id 882</t>
  </si>
  <si>
    <t>2015-1-26 12:11:50.43: RTWSControl - errMsg - Got Error_x000D_id: 882_x000D_errorCode: 399_x000D_errorMsg: Order Message:
SELL 53 GBP MAR'15
Warning: your order will not be placed at the exchange until 2015-01-26 08:30:00 US/Central</t>
  </si>
  <si>
    <t>2015-1-26 12:11:50.54: openOrderEx - I am here</t>
  </si>
  <si>
    <t>2015-1-26 12:11:50.77: RTWSControl - orderStatus -  entering orderStatus id is 882 status is PreSubmitted</t>
  </si>
  <si>
    <t>2015-1-26 12:11:50.78: OrderManager - UpdateOrderStatus - id 882 Setting status to PreSubmitted workingOrderCount is now 1 workingQty -1268</t>
  </si>
  <si>
    <t>2015-1-26 12:11:50.79: OrderManagerView - UpdateMainSheetOpenOrder - entering UpdateMainSheetOpenOrder order.status is PreSubmitted</t>
  </si>
  <si>
    <t>2015-1-26 12:11:50.83: RTWSControl - OrderStatus - Got OrderStatus Message id:882 status: PreSubmitted filled: 0</t>
  </si>
  <si>
    <t>2015-1-26 12:11:50.83: RTWSControl - OrderStatus - exiting orderStatus</t>
  </si>
  <si>
    <t>2015-1-26 12:11:50.99: openOrderEx - I am here</t>
  </si>
  <si>
    <t>2015-1-26 12:11:50.120: RTWSControl - orderStatus -  entering orderStatus id is 882 status is PreSubmitted</t>
  </si>
  <si>
    <t>2015-1-26 12:11:50.121: OrderManager - UpdateOrderStatus - id 882 Setting status to PreSubmitted workingOrderCount is now 1 workingQty -1268</t>
  </si>
  <si>
    <t>2015-1-26 12:11:50.122: OrderManagerView - UpdateMainSheetOpenOrder - entering UpdateMainSheetOpenOrder order.status is PreSubmitted</t>
  </si>
  <si>
    <t>2015-1-26 12:11:50.125: RTWSControl - OrderStatus - Got OrderStatus Message id:882 status: PreSubmitted filled: 0</t>
  </si>
  <si>
    <t>2015-1-26 12:11:50.125: RTWSControl - OrderStatus - exiting orderStatus</t>
  </si>
  <si>
    <t>2015-1-26 12:12:2.272: OrderManager - cancelOrder - cancelling order id 881</t>
  </si>
  <si>
    <t>2015-1-26 12:12:2.275: OrderManager - PlaceOrder - id 883 workingQty -1215</t>
  </si>
  <si>
    <t>2015-1-26 12:12:2.278: OrderManagerView - UpdateMainSheetOpenOrder - entering UpdateMainSheetOpenOrder order.status is In-Flight</t>
  </si>
  <si>
    <t>2015-1-26 12:12:2.289: OrderManager - sendOrder - exiting place order id 883 BUY 53 1.5239  - workingQty -1215 currentPosition is 31 workingOrderCount is 2</t>
  </si>
  <si>
    <t>2015-1-26 12:12:2.555: RTWSControl - nextValidId - entering nextValidId id is 884</t>
  </si>
  <si>
    <t>2015-1-26 12:12:2.583: RTWSControl - orderStatus -  entering orderStatus id is 881 status is Cancelled</t>
  </si>
  <si>
    <t>2015-1-26 12:12:2.583: OrderManager - UpdateOrderStatus - id 881 Setting status to Cancelled workingOrderCount is now 2 workingQty -1215</t>
  </si>
  <si>
    <t>2015-1-26 12:12:2.585: OrderManagerView - UpdateMainSheetOpenOrder - entering UpdateMainSheetOpenOrder order.status is Cancelled</t>
  </si>
  <si>
    <t>2015-1-26 12:12:2.588: RTWSControl - OrderStatus - Got OrderStatus Message id:881 status: Cancelled filled: 0</t>
  </si>
  <si>
    <t>2015-1-26 12:12:2.589: RTWSControl - OrderStatus - exiting orderStatus</t>
  </si>
  <si>
    <t>2015-1-26 12:12:2.599: RTWSControl - errMsg - got error message 202:Order Canceled - reason:with id 881</t>
  </si>
  <si>
    <t>2015-1-26 12:12:2.600: OrderManager - canceledOrder - cleaning up after canceled order 881BEWARE UNACCOUNTED FOR EXECUTIONS!!!</t>
  </si>
  <si>
    <t>2015-1-26 12:12:2.601: OrderManager - terminateOrder - cleaning up after Canceled 881  order was supposed to BUY 53 1.5242 STP LMT workingQty/OrderCount now -1268/1</t>
  </si>
  <si>
    <t>2015-1-26 12:12:2.602: OrderManagerView - UpdateMainSheetOpenOrder - entering UpdateMainSheetOpenOrder order.status is Canceled</t>
  </si>
  <si>
    <t>2015-1-26 12:12:2.630: RTWSControl - errMsg - got error message 399:Order Message:
BUY 53 GBP MAR'15
Warning: your order will not be placed at the exchange until 2015-01-26 08:30:00 US/Centralwith id 883</t>
  </si>
  <si>
    <t>2015-1-26 12:12:2.631: RTWSControl - errMsg - Got Error_x000D_id: 883_x000D_errorCode: 399_x000D_errorMsg: Order Message:
BUY 53 GBP MAR'15
Warning: your order will not be placed at the exchange until 2015-01-26 08:30:00 US/Central</t>
  </si>
  <si>
    <t>2015-1-26 12:12:2.643: openOrderEx - I am here</t>
  </si>
  <si>
    <t>2015-1-26 12:12:2.665: RTWSControl - orderStatus -  entering orderStatus id is 883 status is PreSubmitted</t>
  </si>
  <si>
    <t>2015-1-26 12:12:2.665: OrderManager - UpdateOrderStatus - id 883 Setting status to PreSubmitted workingOrderCount is now 1 workingQty -1268</t>
  </si>
  <si>
    <t>2015-1-26 12:12:2.666: OrderManagerView - UpdateMainSheetOpenOrder - entering UpdateMainSheetOpenOrder order.status is PreSubmitted</t>
  </si>
  <si>
    <t>2015-1-26 12:12:2.670: RTWSControl - OrderStatus - Got OrderStatus Message id:883 status: PreSubmitted filled: 0</t>
  </si>
  <si>
    <t>2015-1-26 12:12:2.670: RTWSControl - OrderStatus - exiting orderStatus</t>
  </si>
  <si>
    <t>2015-1-26 12:12:2.684: openOrderEx - I am here</t>
  </si>
  <si>
    <t>2015-1-26 12:12:2.705: RTWSControl - orderStatus -  entering orderStatus id is 883 status is PreSubmitted</t>
  </si>
  <si>
    <t>2015-1-26 12:12:2.706: OrderManager - UpdateOrderStatus - id 883 Setting status to PreSubmitted workingOrderCount is now 1 workingQty -1268</t>
  </si>
  <si>
    <t>2015-1-26 12:12:2.707: OrderManagerView - UpdateMainSheetOpenOrder - entering UpdateMainSheetOpenOrder order.status is PreSubmitted</t>
  </si>
  <si>
    <t>2015-1-26 12:12:2.710: RTWSControl - OrderStatus - Got OrderStatus Message id:883 status: PreSubmitted filled: 0</t>
  </si>
  <si>
    <t>2015-1-26 12:12:2.711: RTWSControl - OrderStatus - exiting orderStatus</t>
  </si>
  <si>
    <t>2015-1-26 12:12:9.191: OrderManager - cancelOrder - cancelling order id 883</t>
  </si>
  <si>
    <t>2015-1-26 12:12:9.194: OrderManager - PlaceOrder - id 884 workingQty -1215</t>
  </si>
  <si>
    <t>2015-1-26 12:12:9.197: OrderManagerView - UpdateMainSheetOpenOrder - entering UpdateMainSheetOpenOrder order.status is In-Flight</t>
  </si>
  <si>
    <t>2015-1-26 12:12:9.206: OrderManager - sendOrder - exiting place order id 884 BUY 53 1.5242  - workingQty -1215 currentPosition is 31 workingOrderCount is 2</t>
  </si>
  <si>
    <t>2015-1-26 12:12:9.458: RTWSControl - nextValidId - entering nextValidId id is 885</t>
  </si>
  <si>
    <t>2015-1-26 12:12:9.492: RTWSControl - orderStatus -  entering orderStatus id is 883 status is Cancelled</t>
  </si>
  <si>
    <t>2015-1-26 12:12:9.493: OrderManager - UpdateOrderStatus - id 883 Setting status to Cancelled workingOrderCount is now 2 workingQty -1215</t>
  </si>
  <si>
    <t>2015-1-26 12:12:9.494: OrderManagerView - UpdateMainSheetOpenOrder - entering UpdateMainSheetOpenOrder order.status is Cancelled</t>
  </si>
  <si>
    <t>2015-1-26 12:12:9.498: RTWSControl - OrderStatus - Got OrderStatus Message id:883 status: Cancelled filled: 0</t>
  </si>
  <si>
    <t>2015-1-26 12:12:9.498: RTWSControl - OrderStatus - exiting orderStatus</t>
  </si>
  <si>
    <t>2015-1-26 12:12:9.525: RTWSControl - errMsg - got error message 202:Order Canceled - reason:with id 883</t>
  </si>
  <si>
    <t>2015-1-26 12:12:9.525: OrderManager - canceledOrder - cleaning up after canceled order 883BEWARE UNACCOUNTED FOR EXECUTIONS!!!</t>
  </si>
  <si>
    <t>2015-1-26 12:12:9.526: OrderManager - terminateOrder - cleaning up after Canceled 883  order was supposed to BUY 53 1.5239 STP LMT workingQty/OrderCount now -1268/1</t>
  </si>
  <si>
    <t>2015-1-26 12:12:9.528: OrderManagerView - UpdateMainSheetOpenOrder - entering UpdateMainSheetOpenOrder order.status is Canceled</t>
  </si>
  <si>
    <t>2015-1-26 12:12:9.728: RTWSControl - errMsg - got error message 399:Order Message:
BUY 53 GBP MAR'15
Warning: your order will not be placed at the exchange until 2015-01-26 08:30:00 US/Centralwith id 884</t>
  </si>
  <si>
    <t>2015-1-26 12:12:9.729: RTWSControl - errMsg - Got Error_x000D_id: 884_x000D_errorCode: 399_x000D_errorMsg: Order Message:
BUY 53 GBP MAR'15
Warning: your order will not be placed at the exchange until 2015-01-26 08:30:00 US/Central</t>
  </si>
  <si>
    <t>2015-1-26 12:12:9.755: openOrderEx - I am here</t>
  </si>
  <si>
    <t>2015-1-26 12:12:9.761: RTWSControl - orderStatus -  entering orderStatus id is 884 status is PreSubmitted</t>
  </si>
  <si>
    <t>2015-1-26 12:12:9.762: OrderManager - UpdateOrderStatus - id 884 Setting status to PreSubmitted workingOrderCount is now 1 workingQty -1268</t>
  </si>
  <si>
    <t>2015-1-26 12:12:9.763: OrderManagerView - UpdateMainSheetOpenOrder - entering UpdateMainSheetOpenOrder order.status is PreSubmitted</t>
  </si>
  <si>
    <t>2015-1-26 12:12:9.766: RTWSControl - OrderStatus - Got OrderStatus Message id:884 status: PreSubmitted filled: 0</t>
  </si>
  <si>
    <t>2015-1-26 12:12:9.767: RTWSControl - OrderStatus - exiting orderStatus</t>
  </si>
  <si>
    <t>2015-1-26 12:12:9.789: openOrderEx - I am here</t>
  </si>
  <si>
    <t>2015-1-26 12:12:9.796: RTWSControl - orderStatus -  entering orderStatus id is 884 status is PreSubmitted</t>
  </si>
  <si>
    <t>2015-1-26 12:12:9.797: OrderManager - UpdateOrderStatus - id 884 Setting status to PreSubmitted workingOrderCount is now 1 workingQty -1268</t>
  </si>
  <si>
    <t>2015-1-26 12:12:9.798: OrderManagerView - UpdateMainSheetOpenOrder - entering UpdateMainSheetOpenOrder order.status is PreSubmitted</t>
  </si>
  <si>
    <t>2015-1-26 12:12:9.801: RTWSControl - OrderStatus - Got OrderStatus Message id:884 status: PreSubmitted filled: 0</t>
  </si>
  <si>
    <t>2015-1-26 12:12:9.802: RTWSControl - OrderStatus - exiting orderStatus</t>
  </si>
  <si>
    <t>2015-1-26 12:12:27.215: OrderManager - cancelOrder - cancelling order id 884</t>
  </si>
  <si>
    <t>2015-1-26 12:12:27.219: OrderManager - PlaceOrder - id 885 workingQty -1215</t>
  </si>
  <si>
    <t>2015-1-26 12:12:27.222: OrderManagerView - UpdateMainSheetOpenOrder - entering UpdateMainSheetOpenOrder order.status is In-Flight</t>
  </si>
  <si>
    <t>2015-1-26 12:12:27.230: OrderManager - sendOrder - exiting place order id 885 BUY 53 1.5244  - workingQty -1215 currentPosition is 31 workingOrderCount is 2</t>
  </si>
  <si>
    <t>2015-1-26 12:12:27.478: RTWSControl - nextValidId - entering nextValidId id is 886</t>
  </si>
  <si>
    <t>2015-1-26 12:12:27.502: RTWSControl - orderStatus -  entering orderStatus id is 884 status is Cancelled</t>
  </si>
  <si>
    <t>2015-1-26 12:12:27.502: OrderManager - UpdateOrderStatus - id 884 Setting status to Cancelled workingOrderCount is now 2 workingQty -1215</t>
  </si>
  <si>
    <t>2015-1-26 12:12:27.503: OrderManagerView - UpdateMainSheetOpenOrder - entering UpdateMainSheetOpenOrder order.status is Cancelled</t>
  </si>
  <si>
    <t>2015-1-26 12:12:27.506: RTWSControl - OrderStatus - Got OrderStatus Message id:884 status: Cancelled filled: 0</t>
  </si>
  <si>
    <t>2015-1-26 12:12:27.507: RTWSControl - OrderStatus - exiting orderStatus</t>
  </si>
  <si>
    <t>2015-1-26 12:12:27.518: RTWSControl - errMsg - got error message 202:Order Canceled - reason:with id 884</t>
  </si>
  <si>
    <t>2015-1-26 12:12:27.519: OrderManager - canceledOrder - cleaning up after canceled order 884BEWARE UNACCOUNTED FOR EXECUTIONS!!!</t>
  </si>
  <si>
    <t>2015-1-26 12:12:27.521: OrderManager - terminateOrder - cleaning up after Canceled 884  order was supposed to BUY 53 1.5242 STP LMT workingQty/OrderCount now -1268/1</t>
  </si>
  <si>
    <t>2015-1-26 12:12:27.522: OrderManagerView - UpdateMainSheetOpenOrder - entering UpdateMainSheetOpenOrder order.status is Canceled</t>
  </si>
  <si>
    <t>2015-1-26 12:12:27.544: RTWSControl - errMsg - got error message 399:Order Message:
BUY 53 GBP MAR'15
Warning: your order will not be placed at the exchange until 2015-01-26 08:30:00 US/Centralwith id 885</t>
  </si>
  <si>
    <t>2015-1-26 12:12:27.545: RTWSControl - errMsg - Got Error_x000D_id: 885_x000D_errorCode: 399_x000D_errorMsg: Order Message:
BUY 53 GBP MAR'15
Warning: your order will not be placed at the exchange until 2015-01-26 08:30:00 US/Central</t>
  </si>
  <si>
    <t>2015-1-26 12:12:27.557: openOrderEx - I am here</t>
  </si>
  <si>
    <t>2015-1-26 12:12:27.577: RTWSControl - orderStatus -  entering orderStatus id is 885 status is PreSubmitted</t>
  </si>
  <si>
    <t>2015-1-26 12:12:27.578: OrderManager - UpdateOrderStatus - id 885 Setting status to PreSubmitted workingOrderCount is now 1 workingQty -1268</t>
  </si>
  <si>
    <t>2015-1-26 12:12:27.579: OrderManagerView - UpdateMainSheetOpenOrder - entering UpdateMainSheetOpenOrder order.status is PreSubmitted</t>
  </si>
  <si>
    <t>2015-1-26 12:12:27.582: RTWSControl - OrderStatus - Got OrderStatus Message id:885 status: PreSubmitted filled: 0</t>
  </si>
  <si>
    <t>2015-1-26 12:12:27.583: RTWSControl - OrderStatus - exiting orderStatus</t>
  </si>
  <si>
    <t>2015-1-26 12:12:27.596: openOrderEx - I am here</t>
  </si>
  <si>
    <t>2015-1-26 12:12:27.619: RTWSControl - orderStatus -  entering orderStatus id is 885 status is PreSubmitted</t>
  </si>
  <si>
    <t>2015-1-26 12:12:27.620: OrderManager - UpdateOrderStatus - id 885 Setting status to PreSubmitted workingOrderCount is now 1 workingQty -1268</t>
  </si>
  <si>
    <t>2015-1-26 12:12:27.621: OrderManagerView - UpdateMainSheetOpenOrder - entering UpdateMainSheetOpenOrder order.status is PreSubmitted</t>
  </si>
  <si>
    <t>2015-1-26 12:12:27.624: RTWSControl - OrderStatus - Got OrderStatus Message id:885 status: PreSubmitted filled: 0</t>
  </si>
  <si>
    <t>2015-1-26 12:12:27.625: RTWSControl - OrderStatus - exiting orderStatus</t>
  </si>
  <si>
    <t>2015-1-26 12:12:34.662: OrderManager - cancelOrder - cancelling order id 885</t>
  </si>
  <si>
    <t>2015-1-26 12:12:34.666: OrderManager - PlaceOrder - id 886 workingQty -1215</t>
  </si>
  <si>
    <t>2015-1-26 12:12:34.669: OrderManagerView - UpdateMainSheetOpenOrder - entering UpdateMainSheetOpenOrder order.status is In-Flight</t>
  </si>
  <si>
    <t>2015-1-26 12:12:34.678: OrderManager - sendOrder - exiting place order id 886 BUY 53 1.5241  - workingQty -1215 currentPosition is 31 workingOrderCount is 2</t>
  </si>
  <si>
    <t>2015-1-26 12:12:34.838: RTWSControl - nextValidId - entering nextValidId id is 887</t>
  </si>
  <si>
    <t>2015-1-26 12:12:34.984: RTWSControl - orderStatus -  entering orderStatus id is 885 status is Cancelled</t>
  </si>
  <si>
    <t>2015-1-26 12:12:34.987: OrderManager - UpdateOrderStatus - id 885 Setting status to Cancelled workingOrderCount is now 2 workingQty -1215</t>
  </si>
  <si>
    <t>2015-1-26 12:12:34.992: OrderManagerView - UpdateMainSheetOpenOrder - entering UpdateMainSheetOpenOrder order.status is Cancelled</t>
  </si>
  <si>
    <t>2015-1-26 12:12:35.6: RTWSControl - OrderStatus - Got OrderStatus Message id:885 status: Cancelled filled: 0</t>
  </si>
  <si>
    <t>2015-1-26 12:12:35.8: RTWSControl - OrderStatus - exiting orderStatus</t>
  </si>
  <si>
    <t>2015-1-26 12:12:35.71: RTWSControl - errMsg - got error message 202:Order Canceled - reason:with id 885</t>
  </si>
  <si>
    <t>2015-1-26 12:12:35.74: OrderManager - canceledOrder - cleaning up after canceled order 885BEWARE UNACCOUNTED FOR EXECUTIONS!!!</t>
  </si>
  <si>
    <t>2015-1-26 12:12:35.79: OrderManager - terminateOrder - cleaning up after Canceled 885  order was supposed to BUY 53 1.5244 STP LMT workingQty/OrderCount now -1268/1</t>
  </si>
  <si>
    <t>2015-1-26 12:12:35.87: OrderManagerView - UpdateMainSheetOpenOrder - entering UpdateMainSheetOpenOrder order.status is Canceled</t>
  </si>
  <si>
    <t>2015-1-26 12:12:35.112: RTWSControl - errMsg - got error message 399:Order Message:
BUY 53 GBP MAR'15
Warning: your order will not be placed at the exchange until 2015-01-26 08:30:00 US/Centralwith id 886</t>
  </si>
  <si>
    <t>2015-1-26 12:12:35.114: RTWSControl - errMsg - Got Error_x000D_id: 886_x000D_errorCode: 399_x000D_errorMsg: Order Message:
BUY 53 GBP MAR'15
Warning: your order will not be placed at the exchange until 2015-01-26 08:30:00 US/Central</t>
  </si>
  <si>
    <t>2015-1-26 12:12:35.126: openOrderEx - I am here</t>
  </si>
  <si>
    <t>2015-1-26 12:12:35.132: RTWSControl - orderStatus -  entering orderStatus id is 886 status is PreSubmitted</t>
  </si>
  <si>
    <t>2015-1-26 12:12:35.133: OrderManager - UpdateOrderStatus - id 886 Setting status to PreSubmitted workingOrderCount is now 1 workingQty -1268</t>
  </si>
  <si>
    <t>2015-1-26 12:12:35.134: OrderManagerView - UpdateMainSheetOpenOrder - entering UpdateMainSheetOpenOrder order.status is PreSubmitted</t>
  </si>
  <si>
    <t>2015-1-26 12:12:35.137: RTWSControl - OrderStatus - Got OrderStatus Message id:886 status: PreSubmitted filled: 0</t>
  </si>
  <si>
    <t>2015-1-26 12:12:35.138: RTWSControl - OrderStatus - exiting orderStatus</t>
  </si>
  <si>
    <t>2015-1-26 12:12:35.167: openOrderEx - I am here</t>
  </si>
  <si>
    <t>2015-1-26 12:12:35.173: RTWSControl - orderStatus -  entering orderStatus id is 886 status is PreSubmitted</t>
  </si>
  <si>
    <t>2015-1-26 12:12:35.174: OrderManager - UpdateOrderStatus - id 886 Setting status to PreSubmitted workingOrderCount is now 1 workingQty -1268</t>
  </si>
  <si>
    <t>2015-1-26 12:12:35.175: OrderManagerView - UpdateMainSheetOpenOrder - entering UpdateMainSheetOpenOrder order.status is PreSubmitted</t>
  </si>
  <si>
    <t>2015-1-26 12:12:35.178: RTWSControl - OrderStatus - Got OrderStatus Message id:886 status: PreSubmitted filled: 0</t>
  </si>
  <si>
    <t>2015-1-26 12:12:35.179: RTWSControl - OrderStatus - exiting orderStatus</t>
  </si>
  <si>
    <t>2015-1-26 12:12:52.371: OrderManager - cancelOrder - cancelling order id 882</t>
  </si>
  <si>
    <t>2015-1-26 12:12:52.372: OrderManager - PlaceOrder - id 887 workingQty -1321</t>
  </si>
  <si>
    <t>2015-1-26 12:12:52.373: OrderManagerView - UpdateMainSheetOpenOrder - entering UpdateMainSheetOpenOrder order.status is In-Flight</t>
  </si>
  <si>
    <t>2015-1-26 12:12:52.376: OrderManager - sendOrder - exiting place order id 887 SELL 53 1.4995  - workingQty -1321 currentPosition is 31 workingOrderCount is 2</t>
  </si>
  <si>
    <t>2015-1-26 12:12:53.436: RTWSControl - nextValidId - entering nextValidId id is 888</t>
  </si>
  <si>
    <t>2015-1-26 12:12:53.460: RTWSControl - orderStatus -  entering orderStatus id is 882 status is Cancelled</t>
  </si>
  <si>
    <t>2015-1-26 12:12:53.461: OrderManager - UpdateOrderStatus - id 882 Setting status to Cancelled workingOrderCount is now 2 workingQty -1321</t>
  </si>
  <si>
    <t>2015-1-26 12:12:53.462: OrderManagerView - UpdateMainSheetOpenOrder - entering UpdateMainSheetOpenOrder order.status is Cancelled</t>
  </si>
  <si>
    <t>2015-1-26 12:12:53.465: RTWSControl - OrderStatus - Got OrderStatus Message id:882 status: Cancelled filled: 0</t>
  </si>
  <si>
    <t>2015-1-26 12:12:53.466: RTWSControl - OrderStatus - exiting orderStatus</t>
  </si>
  <si>
    <t>2015-1-26 12:12:53.477: RTWSControl - errMsg - got error message 202:Order Canceled - reason:with id 882</t>
  </si>
  <si>
    <t>2015-1-26 12:12:53.478: OrderManager - canceledOrder - cleaning up after canceled order 882BEWARE UNACCOUNTED FOR EXECUTIONS!!!</t>
  </si>
  <si>
    <t>2015-1-26 12:12:53.479: OrderManager - terminateOrder - cleaning up after Canceled 882  order was supposed to SELL 53 1.4993 STP LMT workingQty/OrderCount now -1374/1</t>
  </si>
  <si>
    <t>2015-1-26 12:12:53.480: OrderManagerView - UpdateMainSheetOpenOrder - entering UpdateMainSheetOpenOrder order.status is Canceled</t>
  </si>
  <si>
    <t>2015-1-26 12:12:53.502: RTWSControl - errMsg - got error message 399:Order Message:
SELL 53 GBP MAR'15
Warning: your order will not be placed at the exchange until 2015-01-26 08:30:00 US/Centralwith id 887</t>
  </si>
  <si>
    <t>2015-1-26 12:12:53.503: RTWSControl - errMsg - Got Error_x000D_id: 887_x000D_errorCode: 399_x000D_errorMsg: Order Message:
SELL 53 GBP MAR'15
Warning: your order will not be placed at the exchange until 2015-01-26 08:30:00 US/Central</t>
  </si>
  <si>
    <t>2015-1-26 12:12:53.513: openOrderEx - I am here</t>
  </si>
  <si>
    <t>2015-1-26 12:12:53.536: RTWSControl - orderStatus -  entering orderStatus id is 887 status is PreSubmitted</t>
  </si>
  <si>
    <t>2015-1-26 12:12:53.537: OrderManager - UpdateOrderStatus - id 887 Setting status to PreSubmitted workingOrderCount is now 1 workingQty -1374</t>
  </si>
  <si>
    <t>2015-1-26 12:12:53.538: OrderManagerView - UpdateMainSheetOpenOrder - entering UpdateMainSheetOpenOrder order.status is PreSubmitted</t>
  </si>
  <si>
    <t>2015-1-26 12:12:53.542: RTWSControl - OrderStatus - Got OrderStatus Message id:887 status: PreSubmitted filled: 0</t>
  </si>
  <si>
    <t>2015-1-26 12:12:53.542: RTWSControl - OrderStatus - exiting orderStatus</t>
  </si>
  <si>
    <t>2015-1-26 12:12:53.556: openOrderEx - I am here</t>
  </si>
  <si>
    <t>2015-1-26 12:12:53.579: RTWSControl - orderStatus -  entering orderStatus id is 887 status is PreSubmitted</t>
  </si>
  <si>
    <t>2015-1-26 12:12:53.580: OrderManager - UpdateOrderStatus - id 887 Setting status to PreSubmitted workingOrderCount is now 1 workingQty -1374</t>
  </si>
  <si>
    <t>2015-1-26 12:12:53.581: OrderManagerView - UpdateMainSheetOpenOrder - entering UpdateMainSheetOpenOrder order.status is PreSubmitted</t>
  </si>
  <si>
    <t>2015-1-26 12:12:53.584: RTWSControl - OrderStatus - Got OrderStatus Message id:887 status: PreSubmitted filled: 0</t>
  </si>
  <si>
    <t>2015-1-26 12:12:53.585: RTWSControl - OrderStatus - exiting orderStatus</t>
  </si>
  <si>
    <t>2015-1-26 12:13:36.169: OrderManager - cancelOrder - cancelling order id 886</t>
  </si>
  <si>
    <t>2015-1-26 12:13:36.170: OrderManager - PlaceOrder - id 888 workingQty -1322</t>
  </si>
  <si>
    <t>2015-1-26 12:13:36.172: OrderManagerView - UpdateMainSheetOpenOrder - entering UpdateMainSheetOpenOrder order.status is In-Flight</t>
  </si>
  <si>
    <t>2015-1-26 12:13:36.176: OrderManager - sendOrder - exiting place order id 888 BUY 52 1.5238  - workingQty -1322 currentPosition is 31 workingOrderCount is 2</t>
  </si>
  <si>
    <t>2015-1-26 12:13:36.502: RTWSControl - nextValidId - entering nextValidId id is 889</t>
  </si>
  <si>
    <t>2015-1-26 12:13:36.509: RTWSControl - orderStatus -  entering orderStatus id is 886 status is Cancelled</t>
  </si>
  <si>
    <t>2015-1-26 12:13:36.510: OrderManager - UpdateOrderStatus - id 886 Setting status to Cancelled workingOrderCount is now 2 workingQty -1322</t>
  </si>
  <si>
    <t>2015-1-26 12:13:36.511: OrderManagerView - UpdateMainSheetOpenOrder - entering UpdateMainSheetOpenOrder order.status is Cancelled</t>
  </si>
  <si>
    <t>2015-1-26 12:13:36.514: RTWSControl - OrderStatus - Got OrderStatus Message id:886 status: Cancelled filled: 0</t>
  </si>
  <si>
    <t>2015-1-26 12:13:36.514: RTWSControl - OrderStatus - exiting orderStatus</t>
  </si>
  <si>
    <t>2015-1-26 12:13:36.537: RTWSControl - errMsg - got error message 202:Order Canceled - reason:with id 886</t>
  </si>
  <si>
    <t>2015-1-26 12:13:36.538: OrderManager - canceledOrder - cleaning up after canceled order 886BEWARE UNACCOUNTED FOR EXECUTIONS!!!</t>
  </si>
  <si>
    <t>2015-1-26 12:13:36.539: OrderManager - terminateOrder - cleaning up after Canceled 886  order was supposed to BUY 53 1.5241 STP LMT workingQty/OrderCount now -1375/1</t>
  </si>
  <si>
    <t>2015-1-26 12:13:36.540: OrderManagerView - UpdateMainSheetOpenOrder - entering UpdateMainSheetOpenOrder order.status is Canceled</t>
  </si>
  <si>
    <t>2015-1-26 12:13:36.844: RTWSControl - errMsg - got error message 399:Order Message:
BUY 52 GBP MAR'15
Warning: your order will not be placed at the exchange until 2015-01-26 08:30:00 US/Centralwith id 888</t>
  </si>
  <si>
    <t>2015-1-26 12:13:36.846: RTWSControl - errMsg - Got Error_x000D_id: 888_x000D_errorCode: 399_x000D_errorMsg: Order Message:
BUY 52 GBP MAR'15
Warning: your order will not be placed at the exchange until 2015-01-26 08:30:00 US/Central</t>
  </si>
  <si>
    <t>2015-1-26 12:13:36.858: openOrderEx - I am here</t>
  </si>
  <si>
    <t>2015-1-26 12:13:36.872: RTWSControl - orderStatus -  entering orderStatus id is 888 status is PreSubmitted</t>
  </si>
  <si>
    <t>2015-1-26 12:13:36.873: OrderManager - UpdateOrderStatus - id 888 Setting status to PreSubmitted workingOrderCount is now 1 workingQty -1375</t>
  </si>
  <si>
    <t>2015-1-26 12:13:36.874: OrderManagerView - UpdateMainSheetOpenOrder - entering UpdateMainSheetOpenOrder order.status is PreSubmitted</t>
  </si>
  <si>
    <t>2015-1-26 12:13:36.877: RTWSControl - OrderStatus - Got OrderStatus Message id:888 status: PreSubmitted filled: 0</t>
  </si>
  <si>
    <t>2015-1-26 12:13:36.877: RTWSControl - OrderStatus - exiting orderStatus</t>
  </si>
  <si>
    <t>2015-1-26 12:13:36.891: openOrderEx - I am here</t>
  </si>
  <si>
    <t>2015-1-26 12:13:36.913: RTWSControl - orderStatus -  entering orderStatus id is 888 status is PreSubmitted</t>
  </si>
  <si>
    <t>2015-1-26 12:13:36.914: OrderManager - UpdateOrderStatus - id 888 Setting status to PreSubmitted workingOrderCount is now 1 workingQty -1375</t>
  </si>
  <si>
    <t>2015-1-26 12:13:36.915: OrderManagerView - UpdateMainSheetOpenOrder - entering UpdateMainSheetOpenOrder order.status is PreSubmitted</t>
  </si>
  <si>
    <t>2015-1-26 12:13:36.918: RTWSControl - OrderStatus - Got OrderStatus Message id:888 status: PreSubmitted filled: 0</t>
  </si>
  <si>
    <t>2015-1-26 12:13:36.918: RTWSControl - OrderStatus - exiting orderStatus</t>
  </si>
  <si>
    <t>2015-1-26 12:13:46.7: Algorithm - FindNextStrikes - price is 1.501 nextStrikeUp/Down 1.505/1.5</t>
  </si>
  <si>
    <t>2015-1-26 12:13:46.8: Algorithm - getPortfolioForwardDelta - required deltas is -20 currentHedgePosition is 31</t>
  </si>
  <si>
    <t>2015-1-26 12:13:46.9: Algorithm - getHedgeShortfall - required deltas is -20 price is 1.5011 currentHedgePositionDeltas is 31</t>
  </si>
  <si>
    <t>2015-1-26 12:13:46.10: Algorithm - processTransitionPoint - nextUpper/LowerStrikes are 1.505/1.5 requiredDeltas/currentPosition/currentHedgeShortfall/direction/transitionPrice are -20/31/-51/1/1.5011</t>
  </si>
  <si>
    <t>2015-1-26 12:13:46.11: TransitionLogger - processTransitionpoint - checking transition - currentHedgeShortfall is -51</t>
  </si>
  <si>
    <t>2015-1-26 12:13:46.13: Algorithm - updatePortfolio - haveAllDetails is True</t>
  </si>
  <si>
    <t>2015-1-26 12:13:46.15: RTWSControl - updatePortfolioEx - An Error Occured Object variable or With block variable not set</t>
  </si>
  <si>
    <t>2015-1-26 12:13:46.54: Algorithm - FindNextStrikes - price is 1.501 nextStrikeUp/Down 1.505/1.5</t>
  </si>
  <si>
    <t>2015-1-26 12:13:46.55: Algorithm - getPortfolioForwardDelta - required deltas is -20 currentHedgePosition is 31</t>
  </si>
  <si>
    <t>2015-1-26 12:13:46.55: Algorithm - getHedgeShortfall - required deltas is -20 price is 1.5011 currentHedgePositionDeltas is 31</t>
  </si>
  <si>
    <t>2015-1-26 12:13:46.57: Algorithm - processTransitionPoint - nextUpper/LowerStrikes are 1.505/1.5 requiredDeltas/currentPosition/currentHedgeShortfall/direction/transitionPrice are -20/31/-51/1/1.5011</t>
  </si>
  <si>
    <t>2015-1-26 12:13:46.58: TransitionLogger - processTransitionpoint - checking transition - currentHedgeShortfall is -51</t>
  </si>
  <si>
    <t>2015-1-26 12:13:46.59: Algorithm - updatePortfolio - haveAllDetails is True</t>
  </si>
  <si>
    <t>2015-1-26 12:13:46.61: RTWSControl - updatePortfolioEx - An Error Occured Object variable or With block variable not set</t>
  </si>
  <si>
    <t>2015-1-26 12:13:46.100: Algorithm - FindNextStrikes - price is 1.501 nextStrikeUp/Down 1.505/1.5</t>
  </si>
  <si>
    <t>2015-1-26 12:13:46.101: Algorithm - getPortfolioForwardDelta - required deltas is -20 currentHedgePosition is 31</t>
  </si>
  <si>
    <t>2015-1-26 12:13:46.101: Algorithm - getHedgeShortfall - required deltas is -20 price is 1.5011 currentHedgePositionDeltas is 31</t>
  </si>
  <si>
    <t>2015-1-26 12:13:46.102: Algorithm - processTransitionPoint - nextUpper/LowerStrikes are 1.505/1.5 requiredDeltas/currentPosition/currentHedgeShortfall/direction/transitionPrice are -20/31/-51/1/1.5011</t>
  </si>
  <si>
    <t>2015-1-26 12:13:46.103: TransitionLogger - processTransitionpoint - checking transition - currentHedgeShortfall is -51</t>
  </si>
  <si>
    <t>2015-1-26 12:13:46.105: Algorithm - updatePortfolio - haveAllDetails is True</t>
  </si>
  <si>
    <t>2015-1-26 12:13:46.107: RTWSControl - updatePortfolioEx - An Error Occured Object variable or With block variable not set</t>
  </si>
  <si>
    <t>2015-1-26 12:13:46.142: Algorithm - FindNextStrikes - price is 1.501 nextStrikeUp/Down 1.505/1.5</t>
  </si>
  <si>
    <t>2015-1-26 12:13:46.143: Algorithm - getPortfolioForwardDelta - required deltas is -20 currentHedgePosition is 31</t>
  </si>
  <si>
    <t>2015-1-26 12:13:46.143: Algorithm - getHedgeShortfall - required deltas is -20 price is 1.5011 currentHedgePositionDeltas is 31</t>
  </si>
  <si>
    <t>2015-1-26 12:13:46.145: Algorithm - processTransitionPoint - nextUpper/LowerStrikes are 1.505/1.5 requiredDeltas/currentPosition/currentHedgeShortfall/direction/transitionPrice are -20/31/-51/1/1.5011</t>
  </si>
  <si>
    <t>2015-1-26 12:13:46.146: TransitionLogger - processTransitionpoint - checking transition - currentHedgeShortfall is -51</t>
  </si>
  <si>
    <t>2015-1-26 12:13:46.147: Algorithm - updatePortfolio - haveAllDetails is True</t>
  </si>
  <si>
    <t>2015-1-26 12:13:46.149: RTWSControl - updatePortfolioEx - An Error Occured Object variable or With block variable not set</t>
  </si>
  <si>
    <t>2015-1-26 12:13:46.184: Algorithm - FindNextStrikes - price is 1.501 nextStrikeUp/Down 1.505/1.5</t>
  </si>
  <si>
    <t>2015-1-26 12:13:46.185: Algorithm - getPortfolioForwardDelta - required deltas is -20 currentHedgePosition is 31</t>
  </si>
  <si>
    <t>2015-1-26 12:13:46.186: Algorithm - getHedgeShortfall - required deltas is -20 price is 1.5011 currentHedgePositionDeltas is 31</t>
  </si>
  <si>
    <t>2015-1-26 12:13:46.187: Algorithm - processTransitionPoint - nextUpper/LowerStrikes are 1.505/1.5 requiredDeltas/currentPosition/currentHedgeShortfall/direction/transitionPrice are -20/31/-51/1/1.5011</t>
  </si>
  <si>
    <t>2015-1-26 12:13:46.188: TransitionLogger - processTransitionpoint - checking transition - currentHedgeShortfall is -51</t>
  </si>
  <si>
    <t>2015-1-26 12:13:46.189: Algorithm - updatePortfolio - haveAllDetails is True</t>
  </si>
  <si>
    <t>2015-1-26 12:13:46.191: RTWSControl - updatePortfolioEx - An Error Occured Object variable or With block variable not set</t>
  </si>
  <si>
    <t>2015-1-26 12:13:46.226: Algorithm - FindNextStrikes - price is 1.501 nextStrikeUp/Down 1.505/1.5</t>
  </si>
  <si>
    <t>2015-1-26 12:13:46.226: Algorithm - getPortfolioForwardDelta - required deltas is -20 currentHedgePosition is 31</t>
  </si>
  <si>
    <t>2015-1-26 12:13:46.227: Algorithm - getHedgeShortfall - required deltas is -20 price is 1.5011 currentHedgePositionDeltas is 31</t>
  </si>
  <si>
    <t>2015-1-26 12:13:46.228: Algorithm - processTransitionPoint - nextUpper/LowerStrikes are 1.505/1.5 requiredDeltas/currentPosition/currentHedgeShortfall/direction/transitionPrice are -20/31/-51/1/1.5011</t>
  </si>
  <si>
    <t>2015-1-26 12:13:46.229: TransitionLogger - processTransitionpoint - checking transition - currentHedgeShortfall is -51</t>
  </si>
  <si>
    <t>2015-1-26 12:13:46.231: Algorithm - updatePortfolio - haveAllDetails is True</t>
  </si>
  <si>
    <t>2015-1-26 12:13:46.233: RTWSControl - updatePortfolioEx - An Error Occured Object variable or With block variable not set</t>
  </si>
  <si>
    <t>2015-1-26 12:13:46.267: Algorithm - FindNextStrikes - price is 1.501 nextStrikeUp/Down 1.505/1.5</t>
  </si>
  <si>
    <t>2015-1-26 12:13:46.268: Algorithm - getPortfolioForwardDelta - required deltas is -20 currentHedgePosition is 31</t>
  </si>
  <si>
    <t>2015-1-26 12:13:46.269: Algorithm - getHedgeShortfall - required deltas is -20 price is 1.5011 currentHedgePositionDeltas is 31</t>
  </si>
  <si>
    <t>2015-1-26 12:13:46.270: Algorithm - processTransitionPoint - nextUpper/LowerStrikes are 1.505/1.5 requiredDeltas/currentPosition/currentHedgeShortfall/direction/transitionPrice are -20/31/-51/1/1.5011</t>
  </si>
  <si>
    <t>2015-1-26 12:13:46.271: TransitionLogger - processTransitionpoint - checking transition - currentHedgeShortfall is -51</t>
  </si>
  <si>
    <t>2015-1-26 12:13:46.273: Algorithm - updatePortfolio - haveAllDetails is True</t>
  </si>
  <si>
    <t>2015-1-26 12:13:46.275: RTWSControl - updatePortfolioEx - An Error Occured Object variable or With block variable not set</t>
  </si>
  <si>
    <t>2015-1-26 12:13:46.315: Algorithm - FindNextStrikes - price is 1.501 nextStrikeUp/Down 1.505/1.5</t>
  </si>
  <si>
    <t>2015-1-26 12:13:46.316: Algorithm - getPortfolioForwardDelta - required deltas is -20 currentHedgePosition is 31</t>
  </si>
  <si>
    <t>2015-1-26 12:13:46.316: Algorithm - getHedgeShortfall - required deltas is -20 price is 1.5011 currentHedgePositionDeltas is 31</t>
  </si>
  <si>
    <t>2015-1-26 12:13:46.317: Algorithm - processTransitionPoint - nextUpper/LowerStrikes are 1.505/1.5 requiredDeltas/currentPosition/currentHedgeShortfall/direction/transitionPrice are -20/31/-51/1/1.5011</t>
  </si>
  <si>
    <t>2015-1-26 12:13:46.318: TransitionLogger - processTransitionpoint - checking transition - currentHedgeShortfall is -51</t>
  </si>
  <si>
    <t>2015-1-26 12:13:46.320: Algorithm - updatePortfolio - haveAllDetails is True</t>
  </si>
  <si>
    <t>2015-1-26 12:13:46.322: RTWSControl - updatePortfolioEx - An Error Occured Object variable or With block variable not set</t>
  </si>
  <si>
    <t>2015-1-26 12:13:54.141: OrderManager - cancelOrder - cancelling order id 888</t>
  </si>
  <si>
    <t>2015-1-26 12:13:54.142: OrderManager - PlaceOrder - id 889 workingQty -1323</t>
  </si>
  <si>
    <t>2015-1-26 12:13:54.143: OrderManagerView - UpdateMainSheetOpenOrder - entering UpdateMainSheetOpenOrder order.status is In-Flight</t>
  </si>
  <si>
    <t>2015-1-26 12:13:54.146: OrderManager - sendOrder - exiting place order id 889 BUY 52 1.5235  - workingQty -1323 currentPosition is 31 workingOrderCount is 2</t>
  </si>
  <si>
    <t>2015-1-26 12:13:54.435: RTWSControl - nextValidId - entering nextValidId id is 890</t>
  </si>
  <si>
    <t>2015-1-26 12:13:54.462: RTWSControl - orderStatus -  entering orderStatus id is 888 status is Cancelled</t>
  </si>
  <si>
    <t>2015-1-26 12:13:54.463: OrderManager - UpdateOrderStatus - id 888 Setting status to Cancelled workingOrderCount is now 2 workingQty -1323</t>
  </si>
  <si>
    <t>2015-1-26 12:13:54.464: OrderManagerView - UpdateMainSheetOpenOrder - entering UpdateMainSheetOpenOrder order.status is Cancelled</t>
  </si>
  <si>
    <t>2015-1-26 12:13:54.467: RTWSControl - OrderStatus - Got OrderStatus Message id:888 status: Cancelled filled: 0</t>
  </si>
  <si>
    <t>2015-1-26 12:13:54.468: RTWSControl - OrderStatus - exiting orderStatus</t>
  </si>
  <si>
    <t>2015-1-26 12:13:54.478: RTWSControl - errMsg - got error message 202:Order Canceled - reason:with id 888</t>
  </si>
  <si>
    <t>2015-1-26 12:13:54.479: OrderManager - canceledOrder - cleaning up after canceled order 888BEWARE UNACCOUNTED FOR EXECUTIONS!!!</t>
  </si>
  <si>
    <t>2015-1-26 12:13:54.480: OrderManager - terminateOrder - cleaning up after Canceled 888  order was supposed to BUY 52 1.5238 STP LMT workingQty/OrderCount now -1375/1</t>
  </si>
  <si>
    <t>2015-1-26 12:13:54.481: OrderManagerView - UpdateMainSheetOpenOrder - entering UpdateMainSheetOpenOrder order.status is Canceled</t>
  </si>
  <si>
    <t>2015-1-26 12:13:54.501: RTWSControl - errMsg - got error message 399:Order Message:
BUY 52 GBP MAR'15
Warning: your order will not be placed at the exchange until 2015-01-26 08:30:00 US/Centralwith id 889</t>
  </si>
  <si>
    <t>2015-1-26 12:13:54.502: RTWSControl - errMsg - Got Error_x000D_id: 889_x000D_errorCode: 399_x000D_errorMsg: Order Message:
BUY 52 GBP MAR'15
Warning: your order will not be placed at the exchange until 2015-01-26 08:30:00 US/Central</t>
  </si>
  <si>
    <t>2015-1-26 12:13:54.512: openOrderEx - I am here</t>
  </si>
  <si>
    <t>2015-1-26 12:13:54.536: RTWSControl - orderStatus -  entering orderStatus id is 889 status is PreSubmitted</t>
  </si>
  <si>
    <t>2015-1-26 12:13:54.537: OrderManager - UpdateOrderStatus - id 889 Setting status to PreSubmitted workingOrderCount is now 1 workingQty -1375</t>
  </si>
  <si>
    <t>2015-1-26 12:13:54.538: OrderManagerView - UpdateMainSheetOpenOrder - entering UpdateMainSheetOpenOrder order.status is PreSubmitted</t>
  </si>
  <si>
    <t>2015-1-26 12:13:54.541: RTWSControl - OrderStatus - Got OrderStatus Message id:889 status: PreSubmitted filled: 0</t>
  </si>
  <si>
    <t>2015-1-26 12:13:54.542: RTWSControl - OrderStatus - exiting orderStatus</t>
  </si>
  <si>
    <t>2015-1-26 12:13:54.555: openOrderEx - I am here</t>
  </si>
  <si>
    <t>2015-1-26 12:13:54.578: RTWSControl - orderStatus -  entering orderStatus id is 889 status is PreSubmitted</t>
  </si>
  <si>
    <t>2015-1-26 12:13:54.579: OrderManager - UpdateOrderStatus - id 889 Setting status to PreSubmitted workingOrderCount is now 1 workingQty -1375</t>
  </si>
  <si>
    <t>2015-1-26 12:13:54.580: OrderManagerView - UpdateMainSheetOpenOrder - entering UpdateMainSheetOpenOrder order.status is PreSubmitted</t>
  </si>
  <si>
    <t>2015-1-26 12:13:54.583: RTWSControl - OrderStatus - Got OrderStatus Message id:889 status: PreSubmitted filled: 0</t>
  </si>
  <si>
    <t>2015-1-26 12:13:54.583: RTWSControl - OrderStatus - exiting orderStatus</t>
  </si>
  <si>
    <t>2015-1-26 12:13:55.960: OrderManager - cancelOrder - cancelling order id 889</t>
  </si>
  <si>
    <t>2015-1-26 12:13:55.960: OrderManager - PlaceOrder - id 890 workingQty -1323</t>
  </si>
  <si>
    <t>2015-1-26 12:13:55.961: OrderManagerView - UpdateMainSheetOpenOrder - entering UpdateMainSheetOpenOrder order.status is In-Flight</t>
  </si>
  <si>
    <t>2015-1-26 12:13:55.964: OrderManager - sendOrder - exiting place order id 890 BUY 52 1.5238  - workingQty -1323 currentPosition is 31 workingOrderCount is 2</t>
  </si>
  <si>
    <t>2015-1-26 12:13:56.375: RTWSControl - nextValidId - entering nextValidId id is 891</t>
  </si>
  <si>
    <t>2015-1-26 12:13:56.381: RTWSControl - orderStatus -  entering orderStatus id is 889 status is Cancelled</t>
  </si>
  <si>
    <t>2015-1-26 12:13:56.382: OrderManager - UpdateOrderStatus - id 889 Setting status to Cancelled workingOrderCount is now 2 workingQty -1323</t>
  </si>
  <si>
    <t>2015-1-26 12:13:56.383: OrderManagerView - UpdateMainSheetOpenOrder - entering UpdateMainSheetOpenOrder order.status is Cancelled</t>
  </si>
  <si>
    <t>2015-1-26 12:13:56.386: RTWSControl - OrderStatus - Got OrderStatus Message id:889 status: Cancelled filled: 0</t>
  </si>
  <si>
    <t>2015-1-26 12:13:56.386: RTWSControl - OrderStatus - exiting orderStatus</t>
  </si>
  <si>
    <t>2015-1-26 12:13:56.416: RTWSControl - errMsg - got error message 202:Order Canceled - reason:with id 889</t>
  </si>
  <si>
    <t>2015-1-26 12:13:56.416: OrderManager - canceledOrder - cleaning up after canceled order 889BEWARE UNACCOUNTED FOR EXECUTIONS!!!</t>
  </si>
  <si>
    <t>2015-1-26 12:13:56.418: OrderManager - terminateOrder - cleaning up after Canceled 889  order was supposed to BUY 52 1.5235 STP LMT workingQty/OrderCount now -1375/1</t>
  </si>
  <si>
    <t>2015-1-26 12:13:56.419: OrderManagerView - UpdateMainSheetOpenOrder - entering UpdateMainSheetOpenOrder order.status is Canceled</t>
  </si>
  <si>
    <t>2015-1-26 12:13:56.500: RTWSControl - errMsg - got error message 399:Order Message:
BUY 52 GBP MAR'15
Warning: your order will not be placed at the exchange until 2015-01-26 08:30:00 US/Centralwith id 890</t>
  </si>
  <si>
    <t>2015-1-26 12:13:56.502: RTWSControl - errMsg - Got Error_x000D_id: 890_x000D_errorCode: 399_x000D_errorMsg: Order Message:
BUY 52 GBP MAR'15
Warning: your order will not be placed at the exchange until 2015-01-26 08:30:00 US/Central</t>
  </si>
  <si>
    <t>2015-1-26 12:13:56.513: openOrderEx - I am here</t>
  </si>
  <si>
    <t>2015-1-26 12:13:56.540: RTWSControl - orderStatus -  entering orderStatus id is 890 status is PreSubmitted</t>
  </si>
  <si>
    <t>2015-1-26 12:13:56.541: OrderManager - UpdateOrderStatus - id 890 Setting status to PreSubmitted workingOrderCount is now 1 workingQty -1375</t>
  </si>
  <si>
    <t>2015-1-26 12:13:56.542: OrderManagerView - UpdateMainSheetOpenOrder - entering UpdateMainSheetOpenOrder order.status is PreSubmitted</t>
  </si>
  <si>
    <t>2015-1-26 12:13:56.545: RTWSControl - OrderStatus - Got OrderStatus Message id:890 status: PreSubmitted filled: 0</t>
  </si>
  <si>
    <t>2015-1-26 12:13:56.545: RTWSControl - OrderStatus - exiting orderStatus</t>
  </si>
  <si>
    <t>2015-1-26 12:13:56.559: openOrderEx - I am here</t>
  </si>
  <si>
    <t>2015-1-26 12:13:56.579: RTWSControl - orderStatus -  entering orderStatus id is 890 status is PreSubmitted</t>
  </si>
  <si>
    <t>2015-1-26 12:13:56.580: OrderManager - UpdateOrderStatus - id 890 Setting status to PreSubmitted workingOrderCount is now 1 workingQty -1375</t>
  </si>
  <si>
    <t>2015-1-26 12:13:56.581: OrderManagerView - UpdateMainSheetOpenOrder - entering UpdateMainSheetOpenOrder order.status is PreSubmitted</t>
  </si>
  <si>
    <t>2015-1-26 12:13:56.584: RTWSControl - OrderStatus - Got OrderStatus Message id:890 status: PreSubmitted filled: 0</t>
  </si>
  <si>
    <t>2015-1-26 12:13:56.584: RTWSControl - OrderStatus - exiting orderStatus</t>
  </si>
  <si>
    <t>2015-1-26 12:13:58.918: OrderManager - cancelOrder - cancelling order id 890</t>
  </si>
  <si>
    <t>2015-1-26 12:13:58.919: OrderManager - PlaceOrder - id 891 workingQty -1323</t>
  </si>
  <si>
    <t>2015-1-26 12:13:58.920: OrderManagerView - UpdateMainSheetOpenOrder - entering UpdateMainSheetOpenOrder order.status is In-Flight</t>
  </si>
  <si>
    <t>2015-1-26 12:13:58.923: OrderManager - sendOrder - exiting place order id 891 BUY 52 1.5241  - workingQty -1323 currentPosition is 31 workingOrderCount is 2</t>
  </si>
  <si>
    <t>2015-1-26 12:13:59.250: RTWSControl - nextValidId - entering nextValidId id is 892</t>
  </si>
  <si>
    <t>2015-1-26 12:13:59.256: RTWSControl - orderStatus -  entering orderStatus id is 890 status is Cancelled</t>
  </si>
  <si>
    <t>2015-1-26 12:13:59.257: OrderManager - UpdateOrderStatus - id 890 Setting status to Cancelled workingOrderCount is now 2 workingQty -1323</t>
  </si>
  <si>
    <t>2015-1-26 12:13:59.258: OrderManagerView - UpdateMainSheetOpenOrder - entering UpdateMainSheetOpenOrder order.status is Cancelled</t>
  </si>
  <si>
    <t>2015-1-26 12:13:59.261: RTWSControl - OrderStatus - Got OrderStatus Message id:890 status: Cancelled filled: 0</t>
  </si>
  <si>
    <t>2015-1-26 12:13:59.261: RTWSControl - OrderStatus - exiting orderStatus</t>
  </si>
  <si>
    <t>2015-1-26 12:13:59.291: RTWSControl - errMsg - got error message 202:Order Canceled - reason:with id 890</t>
  </si>
  <si>
    <t>2015-1-26 12:13:59.292: OrderManager - canceledOrder - cleaning up after canceled order 890BEWARE UNACCOUNTED FOR EXECUTIONS!!!</t>
  </si>
  <si>
    <t>2015-1-26 12:13:59.293: OrderManager - terminateOrder - cleaning up after Canceled 890  order was supposed to BUY 52 1.5238 STP LMT workingQty/OrderCount now -1375/1</t>
  </si>
  <si>
    <t>2015-1-26 12:13:59.294: OrderManagerView - UpdateMainSheetOpenOrder - entering UpdateMainSheetOpenOrder order.status is Canceled</t>
  </si>
  <si>
    <t>2015-1-26 12:13:59.330: RTWSControl - errMsg - got error message 399:Order Message:
BUY 52 GBP MAR'15
Warning: your order will not be placed at the exchange until 2015-01-26 08:30:00 US/Centralwith id 891</t>
  </si>
  <si>
    <t>2015-1-26 12:13:59.332: RTWSControl - errMsg - Got Error_x000D_id: 891_x000D_errorCode: 399_x000D_errorMsg: Order Message:
BUY 52 GBP MAR'15
Warning: your order will not be placed at the exchange until 2015-01-26 08:30:00 US/Central</t>
  </si>
  <si>
    <t>2015-1-26 12:13:59.343: openOrderEx - I am here</t>
  </si>
  <si>
    <t>2015-1-26 12:13:59.349: RTWSControl - orderStatus -  entering orderStatus id is 891 status is PreSubmitted</t>
  </si>
  <si>
    <t>2015-1-26 12:13:59.350: OrderManager - UpdateOrderStatus - id 891 Setting status to PreSubmitted workingOrderCount is now 1 workingQty -1375</t>
  </si>
  <si>
    <t>2015-1-26 12:13:59.351: OrderManagerView - UpdateMainSheetOpenOrder - entering UpdateMainSheetOpenOrder order.status is PreSubmitted</t>
  </si>
  <si>
    <t>2015-1-26 12:13:59.354: RTWSControl - OrderStatus - Got OrderStatus Message id:891 status: PreSubmitted filled: 0</t>
  </si>
  <si>
    <t>2015-1-26 12:13:59.355: RTWSControl - OrderStatus - exiting orderStatus</t>
  </si>
  <si>
    <t>2015-1-26 12:13:59.378: openOrderEx - I am here</t>
  </si>
  <si>
    <t>2015-1-26 12:13:59.384: RTWSControl - orderStatus -  entering orderStatus id is 891 status is PreSubmitted</t>
  </si>
  <si>
    <t>2015-1-26 12:13:59.385: OrderManager - UpdateOrderStatus - id 891 Setting status to PreSubmitted workingOrderCount is now 1 workingQty -1375</t>
  </si>
  <si>
    <t>2015-1-26 12:13:59.387: OrderManagerView - UpdateMainSheetOpenOrder - entering UpdateMainSheetOpenOrder order.status is PreSubmitted</t>
  </si>
  <si>
    <t>2015-1-26 12:13:59.389: RTWSControl - OrderStatus - Got OrderStatus Message id:891 status: PreSubmitted filled: 0</t>
  </si>
  <si>
    <t>2015-1-26 12:13:59.390: RTWSControl - OrderStatus - exiting orderStatus</t>
  </si>
  <si>
    <t>2015-1-26 12:13:59.942: OrderManager - cancelOrder - cancelling order id 891</t>
  </si>
  <si>
    <t>2015-1-26 12:13:59.943: OrderManager - PlaceOrder - id 892 workingQty -1323</t>
  </si>
  <si>
    <t>2015-1-26 12:13:59.944: OrderManagerView - UpdateMainSheetOpenOrder - entering UpdateMainSheetOpenOrder order.status is In-Flight</t>
  </si>
  <si>
    <t>2015-1-26 12:13:59.947: OrderManager - sendOrder - exiting place order id 892 BUY 52 1.5235  - workingQty -1323 currentPosition is 31 workingOrderCount is 2</t>
  </si>
  <si>
    <t>2015-1-26 12:14:0.260: RTWSControl - nextValidId - entering nextValidId id is 893</t>
  </si>
  <si>
    <t>2015-1-26 12:14:0.287: RTWSControl - orderStatus -  entering orderStatus id is 891 status is Cancelled</t>
  </si>
  <si>
    <t>2015-1-26 12:14:0.288: OrderManager - UpdateOrderStatus - id 891 Setting status to Cancelled workingOrderCount is now 2 workingQty -1323</t>
  </si>
  <si>
    <t>2015-1-26 12:14:0.289: OrderManagerView - UpdateMainSheetOpenOrder - entering UpdateMainSheetOpenOrder order.status is Cancelled</t>
  </si>
  <si>
    <t>2015-1-26 12:14:0.292: RTWSControl - OrderStatus - Got OrderStatus Message id:891 status: Cancelled filled: 0</t>
  </si>
  <si>
    <t>2015-1-26 12:14:0.292: RTWSControl - OrderStatus - exiting orderStatus</t>
  </si>
  <si>
    <t>2015-1-26 12:14:0.303: RTWSControl - errMsg - got error message 202:Order Canceled - reason:with id 891</t>
  </si>
  <si>
    <t>2015-1-26 12:14:0.304: OrderManager - canceledOrder - cleaning up after canceled order 891BEWARE UNACCOUNTED FOR EXECUTIONS!!!</t>
  </si>
  <si>
    <t>2015-1-26 12:14:0.305: OrderManager - terminateOrder - cleaning up after Canceled 891  order was supposed to BUY 52 1.5241 STP LMT workingQty/OrderCount now -1375/1</t>
  </si>
  <si>
    <t>2015-1-26 12:14:0.306: OrderManagerView - UpdateMainSheetOpenOrder - entering UpdateMainSheetOpenOrder order.status is Canceled</t>
  </si>
  <si>
    <t>2015-1-26 12:14:0.332: RTWSControl - errMsg - got error message 399:Order Message:
BUY 52 GBP MAR'15
Warning: your order will not be placed at the exchange until 2015-01-26 08:30:00 US/Centralwith id 892</t>
  </si>
  <si>
    <t>2015-1-26 12:14:0.334: RTWSControl - errMsg - Got Error_x000D_id: 892_x000D_errorCode: 399_x000D_errorMsg: Order Message:
BUY 52 GBP MAR'15
Warning: your order will not be placed at the exchange until 2015-01-26 08:30:00 US/Central</t>
  </si>
  <si>
    <t>2015-1-26 12:14:0.345: openOrderEx - I am here</t>
  </si>
  <si>
    <t>2015-1-26 12:14:0.369: RTWSControl - orderStatus -  entering orderStatus id is 892 status is PreSubmitted</t>
  </si>
  <si>
    <t>2015-1-26 12:14:0.370: OrderManager - UpdateOrderStatus - id 892 Setting status to PreSubmitted workingOrderCount is now 1 workingQty -1375</t>
  </si>
  <si>
    <t>2015-1-26 12:14:0.371: OrderManagerView - UpdateMainSheetOpenOrder - entering UpdateMainSheetOpenOrder order.status is PreSubmitted</t>
  </si>
  <si>
    <t>2015-1-26 12:14:0.374: RTWSControl - OrderStatus - Got OrderStatus Message id:892 status: PreSubmitted filled: 0</t>
  </si>
  <si>
    <t>2015-1-26 12:14:0.374: RTWSControl - OrderStatus - exiting orderStatus</t>
  </si>
  <si>
    <t>2015-1-26 12:14:0.389: openOrderEx - I am here</t>
  </si>
  <si>
    <t>2015-1-26 12:14:0.411: RTWSControl - orderStatus -  entering orderStatus id is 892 status is PreSubmitted</t>
  </si>
  <si>
    <t>2015-1-26 12:14:0.412: OrderManager - UpdateOrderStatus - id 892 Setting status to PreSubmitted workingOrderCount is now 1 workingQty -1375</t>
  </si>
  <si>
    <t>2015-1-26 12:14:0.413: OrderManagerView - UpdateMainSheetOpenOrder - entering UpdateMainSheetOpenOrder order.status is PreSubmitted</t>
  </si>
  <si>
    <t>2015-1-26 12:14:0.416: RTWSControl - OrderStatus - Got OrderStatus Message id:892 status: PreSubmitted filled: 0</t>
  </si>
  <si>
    <t>2015-1-26 12:14:0.416: RTWSControl - OrderStatus - exiting orderStatus</t>
  </si>
  <si>
    <t>2015-1-26 12:14:1.715: OrderManager - cancelOrder - cancelling order id 887</t>
  </si>
  <si>
    <t>2015-1-26 12:14:1.715: OrderManager - PlaceOrder - id 893 workingQty -1426</t>
  </si>
  <si>
    <t>2015-1-26 12:14:1.716: OrderManagerView - UpdateMainSheetOpenOrder - entering UpdateMainSheetOpenOrder order.status is In-Flight</t>
  </si>
  <si>
    <t>2015-1-26 12:14:1.719: OrderManager - sendOrder - exiting place order id 893 SELL 51 1.4996  - workingQty -1426 currentPosition is 31 workingOrderCount is 2</t>
  </si>
  <si>
    <t>2015-1-26 12:14:2.162: RTWSControl - nextValidId - entering nextValidId id is 894</t>
  </si>
  <si>
    <t>2015-1-26 12:14:2.168: RTWSControl - orderStatus -  entering orderStatus id is 887 status is Cancelled</t>
  </si>
  <si>
    <t>2015-1-26 12:14:2.169: OrderManager - UpdateOrderStatus - id 887 Setting status to Cancelled workingOrderCount is now 2 workingQty -1426</t>
  </si>
  <si>
    <t>2015-1-26 12:14:2.170: OrderManagerView - UpdateMainSheetOpenOrder - entering UpdateMainSheetOpenOrder order.status is Cancelled</t>
  </si>
  <si>
    <t>2015-1-26 12:14:2.173: RTWSControl - OrderStatus - Got OrderStatus Message id:887 status: Cancelled filled: 0</t>
  </si>
  <si>
    <t>2015-1-26 12:14:2.173: RTWSControl - OrderStatus - exiting orderStatus</t>
  </si>
  <si>
    <t>2015-1-26 12:14:2.205: RTWSControl - errMsg - got error message 202:Order Canceled - reason:with id 887</t>
  </si>
  <si>
    <t>2015-1-26 12:14:2.206: OrderManager - canceledOrder - cleaning up after canceled order 887BEWARE UNACCOUNTED FOR EXECUTIONS!!!</t>
  </si>
  <si>
    <t>2015-1-26 12:14:2.207: OrderManager - terminateOrder - cleaning up after Canceled 887  order was supposed to SELL 53 1.4995 STP LMT workingQty/OrderCount now -1479/1</t>
  </si>
  <si>
    <t>2015-1-26 12:14:2.208: OrderManagerView - UpdateMainSheetOpenOrder - entering UpdateMainSheetOpenOrder order.status is Canceled</t>
  </si>
  <si>
    <t>2015-1-26 12:14:2.249: RTWSControl - errMsg - got error message 399:Order Message:
SELL 51 GBP MAR'15
Warning: your order will not be placed at the exchange until 2015-01-26 08:30:00 US/Centralwith id 893</t>
  </si>
  <si>
    <t>2015-1-26 12:14:2.251: RTWSControl - errMsg - Got Error_x000D_id: 893_x000D_errorCode: 399_x000D_errorMsg: Order Message:
SELL 51 GBP MAR'15
Warning: your order will not be placed at the exchange until 2015-01-26 08:30:00 US/Central</t>
  </si>
  <si>
    <t>2015-1-26 12:14:2.261: openOrderEx - I am here</t>
  </si>
  <si>
    <t>2015-1-26 12:14:2.286: RTWSControl - orderStatus -  entering orderStatus id is 893 status is PreSubmitted</t>
  </si>
  <si>
    <t>2015-1-26 12:14:2.286: OrderManager - UpdateOrderStatus - id 893 Setting status to PreSubmitted workingOrderCount is now 1 workingQty -1479</t>
  </si>
  <si>
    <t>2015-1-26 12:14:2.287: OrderManagerView - UpdateMainSheetOpenOrder - entering UpdateMainSheetOpenOrder order.status is PreSubmitted</t>
  </si>
  <si>
    <t>2015-1-26 12:14:2.290: RTWSControl - OrderStatus - Got OrderStatus Message id:893 status: PreSubmitted filled: 0</t>
  </si>
  <si>
    <t>2015-1-26 12:14:2.291: RTWSControl - OrderStatus - exiting orderStatus</t>
  </si>
  <si>
    <t>2015-1-26 12:14:2.305: openOrderEx - I am here</t>
  </si>
  <si>
    <t>2015-1-26 12:14:2.328: RTWSControl - orderStatus -  entering orderStatus id is 893 status is PreSubmitted</t>
  </si>
  <si>
    <t>2015-1-26 12:14:2.329: OrderManager - UpdateOrderStatus - id 893 Setting status to PreSubmitted workingOrderCount is now 1 workingQty -1479</t>
  </si>
  <si>
    <t>2015-1-26 12:14:2.330: OrderManagerView - UpdateMainSheetOpenOrder - entering UpdateMainSheetOpenOrder order.status is PreSubmitted</t>
  </si>
  <si>
    <t>2015-1-26 12:14:2.333: RTWSControl - OrderStatus - Got OrderStatus Message id:893 status: PreSubmitted filled: 0</t>
  </si>
  <si>
    <t>2015-1-26 12:14:2.333: RTWSControl - OrderStatus - exiting orderStatus</t>
  </si>
  <si>
    <t>2015-1-26 12:14:6.682: OrderManager - cancelOrder - cancelling order id 892</t>
  </si>
  <si>
    <t>2015-1-26 12:14:6.683: OrderManager - PlaceOrder - id 894 workingQty -1427</t>
  </si>
  <si>
    <t>2015-1-26 12:14:6.684: OrderManagerView - UpdateMainSheetOpenOrder - entering UpdateMainSheetOpenOrder order.status is In-Flight</t>
  </si>
  <si>
    <t>2015-1-26 12:14:6.688: OrderManager - sendOrder - exiting place order id 894 BUY 52 1.5237  - workingQty -1427 currentPosition is 31 workingOrderCount is 2</t>
  </si>
  <si>
    <t>2015-1-26 12:14:6.851: RTWSControl - nextValidId - entering nextValidId id is 895</t>
  </si>
  <si>
    <t>2015-1-26 12:14:7.122: RTWSControl - orderStatus -  entering orderStatus id is 892 status is Cancelled</t>
  </si>
  <si>
    <t>2015-1-26 12:14:7.122: OrderManager - UpdateOrderStatus - id 892 Setting status to Cancelled workingOrderCount is now 2 workingQty -1427</t>
  </si>
  <si>
    <t>2015-1-26 12:14:7.123: OrderManagerView - UpdateMainSheetOpenOrder - entering UpdateMainSheetOpenOrder order.status is Cancelled</t>
  </si>
  <si>
    <t>2015-1-26 12:14:7.126: RTWSControl - OrderStatus - Got OrderStatus Message id:892 status: Cancelled filled: 0</t>
  </si>
  <si>
    <t>2015-1-26 12:14:7.127: RTWSControl - OrderStatus - exiting orderStatus</t>
  </si>
  <si>
    <t>2015-1-26 12:14:7.137: RTWSControl - errMsg - got error message 202:Order Canceled - reason:with id 892</t>
  </si>
  <si>
    <t>2015-1-26 12:14:7.138: OrderManager - canceledOrder - cleaning up after canceled order 892BEWARE UNACCOUNTED FOR EXECUTIONS!!!</t>
  </si>
  <si>
    <t>2015-1-26 12:14:7.139: OrderManager - terminateOrder - cleaning up after Canceled 892  order was supposed to BUY 52 1.5235 STP LMT workingQty/OrderCount now -1479/1</t>
  </si>
  <si>
    <t>2015-1-26 12:14:7.140: OrderManagerView - UpdateMainSheetOpenOrder - entering UpdateMainSheetOpenOrder order.status is Canceled</t>
  </si>
  <si>
    <t>2015-1-26 12:14:7.167: RTWSControl - errMsg - got error message 399:Order Message:
BUY 52 GBP MAR'15
Warning: your order will not be placed at the exchange until 2015-01-26 08:30:00 US/Centralwith id 894</t>
  </si>
  <si>
    <t>2015-1-26 12:14:7.168: RTWSControl - errMsg - Got Error_x000D_id: 894_x000D_errorCode: 399_x000D_errorMsg: Order Message:
BUY 52 GBP MAR'15
Warning: your order will not be placed at the exchange until 2015-01-26 08:30:00 US/Central</t>
  </si>
  <si>
    <t>2015-1-26 12:14:7.179: openOrderEx - I am here</t>
  </si>
  <si>
    <t>2015-1-26 12:14:7.204: RTWSControl - orderStatus -  entering orderStatus id is 894 status is PreSubmitted</t>
  </si>
  <si>
    <t>2015-1-26 12:14:7.205: OrderManager - UpdateOrderStatus - id 894 Setting status to PreSubmitted workingOrderCount is now 1 workingQty -1479</t>
  </si>
  <si>
    <t>2015-1-26 12:14:7.206: OrderManagerView - UpdateMainSheetOpenOrder - entering UpdateMainSheetOpenOrder order.status is PreSubmitted</t>
  </si>
  <si>
    <t>2015-1-26 12:14:7.209: RTWSControl - OrderStatus - Got OrderStatus Message id:894 status: PreSubmitted filled: 0</t>
  </si>
  <si>
    <t>2015-1-26 12:14:7.210: RTWSControl - OrderStatus - exiting orderStatus</t>
  </si>
  <si>
    <t>2015-1-26 12:14:7.224: openOrderEx - I am here</t>
  </si>
  <si>
    <t>2015-1-26 12:14:7.246: RTWSControl - orderStatus -  entering orderStatus id is 894 status is PreSubmitted</t>
  </si>
  <si>
    <t>2015-1-26 12:14:7.247: OrderManager - UpdateOrderStatus - id 894 Setting status to PreSubmitted workingOrderCount is now 1 workingQty -1479</t>
  </si>
  <si>
    <t>2015-1-26 12:14:7.248: OrderManagerView - UpdateMainSheetOpenOrder - entering UpdateMainSheetOpenOrder order.status is PreSubmitted</t>
  </si>
  <si>
    <t>2015-1-26 12:14:7.251: RTWSControl - OrderStatus - Got OrderStatus Message id:894 status: PreSubmitted filled: 0</t>
  </si>
  <si>
    <t>2015-1-26 12:14:7.252: RTWSControl - OrderStatus - exiting orderStatus</t>
  </si>
  <si>
    <t>2015-1-26 12:14:8.169: OrderManager - cancelOrder - cancelling order id 894</t>
  </si>
  <si>
    <t>2015-1-26 12:14:8.170: OrderManager - PlaceOrder - id 895 workingQty -1427</t>
  </si>
  <si>
    <t>2015-1-26 12:14:8.170: OrderManagerView - UpdateMainSheetOpenOrder - entering UpdateMainSheetOpenOrder order.status is In-Flight</t>
  </si>
  <si>
    <t>2015-1-26 12:14:8.171: OrderManagerView - incrementNextOORow - there are no available OpenOrderView Rows!!!!!!</t>
  </si>
  <si>
    <t>2015-1-26 12:14:8.173: OrderManager - sendOrder - exiting place order id 895 BUY 52 1.5239  - workingQty -1427 currentPosition is 31 workingOrderCount is 2</t>
  </si>
  <si>
    <t>2015-1-26 12:14:8.501: RTWSControl - nextValidId - entering nextValidId id is 896</t>
  </si>
  <si>
    <t>2015-1-26 12:14:8.507: RTWSControl - orderStatus -  entering orderStatus id is 894 status is Cancelled</t>
  </si>
  <si>
    <t>2015-1-26 12:14:8.509: OrderManager - UpdateOrderStatus - id 894 Setting status to Cancelled workingOrderCount is now 2 workingQty -1427</t>
  </si>
  <si>
    <t>2015-1-26 12:14:8.510: OrderManagerView - UpdateMainSheetOpenOrder - entering UpdateMainSheetOpenOrder order.status is Cancelled</t>
  </si>
  <si>
    <t>2015-1-26 12:14:8.512: RTWSControl - OrderStatus - Got OrderStatus Message id:894 status: Cancelled filled: 0</t>
  </si>
  <si>
    <t>2015-1-26 12:14:8.513: RTWSControl - OrderStatus - exiting orderStatus</t>
  </si>
  <si>
    <t>2015-1-26 12:14:8.538: RTWSControl - errMsg - got error message 202:Order Canceled - reason:with id 894</t>
  </si>
  <si>
    <t>2015-1-26 12:14:8.539: OrderManager - canceledOrder - cleaning up after canceled order 894BEWARE UNACCOUNTED FOR EXECUTIONS!!!</t>
  </si>
  <si>
    <t>2015-1-26 12:14:8.540: OrderManager - terminateOrder - cleaning up after Canceled 894  order was supposed to BUY 52 1.5237 STP LMT workingQty/OrderCount now -1479/1</t>
  </si>
  <si>
    <t>2015-1-26 12:14:8.541: OrderManagerView - UpdateMainSheetOpenOrder - entering UpdateMainSheetOpenOrder order.status is Canceled</t>
  </si>
  <si>
    <t>2015-1-26 12:14:8.554: RTWSControl - errMsg - got error message 399:Order Message:
BUY 52 GBP MAR'15
Warning: your order will not be placed at the exchange until 2015-01-26 08:30:00 US/Centralwith id 895</t>
  </si>
  <si>
    <t>2015-1-26 12:14:8.556: RTWSControl - errMsg - Got Error_x000D_id: 895_x000D_errorCode: 399_x000D_errorMsg: Order Message:
BUY 52 GBP MAR'15
Warning: your order will not be placed at the exchange until 2015-01-26 08:30:00 US/Central</t>
  </si>
  <si>
    <t>2015-1-26 12:14:8.584: openOrderEx - I am here</t>
  </si>
  <si>
    <t>2015-1-26 12:14:8.590: RTWSControl - orderStatus -  entering orderStatus id is 895 status is PreSubmitted</t>
  </si>
  <si>
    <t>2015-1-26 12:14:8.591: OrderManager - UpdateOrderStatus - id 895 Setting status to PreSubmitted workingOrderCount is now 1 workingQty -1479</t>
  </si>
  <si>
    <t>2015-1-26 12:14:8.592: OrderManagerView - UpdateMainSheetOpenOrder - entering UpdateMainSheetOpenOrder order.status is PreSubmitted</t>
  </si>
  <si>
    <t>2015-1-26 12:14:8.595: RTWSControl - OrderStatus - Got OrderStatus Message id:895 status: PreSubmitted filled: 0</t>
  </si>
  <si>
    <t>2015-1-26 12:14:8.596: RTWSControl - OrderStatus - exiting orderStatus</t>
  </si>
  <si>
    <t>2015-1-26 12:14:8.624: openOrderEx - I am here</t>
  </si>
  <si>
    <t>2015-1-26 12:14:8.630: RTWSControl - orderStatus -  entering orderStatus id is 895 status is PreSubmitted</t>
  </si>
  <si>
    <t>2015-1-26 12:14:8.631: OrderManager - UpdateOrderStatus - id 895 Setting status to PreSubmitted workingOrderCount is now 1 workingQty -1479</t>
  </si>
  <si>
    <t>2015-1-26 12:14:8.632: OrderManagerView - UpdateMainSheetOpenOrder - entering UpdateMainSheetOpenOrder order.status is PreSubmitted</t>
  </si>
  <si>
    <t>2015-1-26 12:14:8.635: RTWSControl - OrderStatus - Got OrderStatus Message id:895 status: PreSubmitted filled: 0</t>
  </si>
  <si>
    <t>2015-1-26 12:14:8.635: RTWSControl - OrderStatus - exiting orderStatus</t>
  </si>
  <si>
    <t>2015-1-26 12:14:10.569: OrderManager - cancelOrder - cancelling order id 895</t>
  </si>
  <si>
    <t>2015-1-26 12:14:10.570: OrderManager - PlaceOrder - id 896 workingQty -1428</t>
  </si>
  <si>
    <t>2015-1-26 12:14:10.571: OrderManagerView - UpdateMainSheetOpenOrder - entering UpdateMainSheetOpenOrder order.status is In-Flight</t>
  </si>
  <si>
    <t>2015-1-26 12:14:10.575: OrderManager - sendOrder - exiting place order id 896 BUY 51 1.5236  - workingQty -1428 currentPosition is 31 workingOrderCount is 2</t>
  </si>
  <si>
    <t>2015-1-26 12:14:10.917: RTWSControl - nextValidId - entering nextValidId id is 897</t>
  </si>
  <si>
    <t>2015-1-26 12:14:10.924: RTWSControl - orderStatus -  entering orderStatus id is 895 status is Cancelled</t>
  </si>
  <si>
    <t>2015-1-26 12:14:10.925: OrderManager - UpdateOrderStatus - id 895 Setting status to Cancelled workingOrderCount is now 2 workingQty -1428</t>
  </si>
  <si>
    <t>2015-1-26 12:14:10.926: OrderManagerView - UpdateMainSheetOpenOrder - entering UpdateMainSheetOpenOrder order.status is Cancelled</t>
  </si>
  <si>
    <t>2015-1-26 12:14:10.929: RTWSControl - OrderStatus - Got OrderStatus Message id:895 status: Cancelled filled: 0</t>
  </si>
  <si>
    <t>2015-1-26 12:14:10.930: RTWSControl - OrderStatus - exiting orderStatus</t>
  </si>
  <si>
    <t>2015-1-26 12:14:10.954: RTWSControl - errMsg - got error message 202:Order Canceled - reason:with id 895</t>
  </si>
  <si>
    <t>2015-1-26 12:14:10.955: OrderManager - canceledOrder - cleaning up after canceled order 895BEWARE UNACCOUNTED FOR EXECUTIONS!!!</t>
  </si>
  <si>
    <t>2015-1-26 12:14:10.956: OrderManager - terminateOrder - cleaning up after Canceled 895  order was supposed to BUY 52 1.5239 STP LMT workingQty/OrderCount now -1480/1</t>
  </si>
  <si>
    <t>2015-1-26 12:14:10.957: OrderManagerView - UpdateMainSheetOpenOrder - entering UpdateMainSheetOpenOrder order.status is Canceled</t>
  </si>
  <si>
    <t>2015-1-26 12:14:10.969: RTWSControl - errMsg - got error message 399:Order Message:
BUY 51 GBP MAR'15
Warning: your order will not be placed at the exchange until 2015-01-26 08:30:00 US/Centralwith id 896</t>
  </si>
  <si>
    <t>2015-1-26 12:14:10.970: RTWSControl - errMsg - Got Error_x000D_id: 896_x000D_errorCode: 399_x000D_errorMsg: Order Message:
BUY 51 GBP MAR'15
Warning: your order will not be placed at the exchange until 2015-01-26 08:30:00 US/Central</t>
  </si>
  <si>
    <t>2015-1-26 12:14:11.0: openOrderEx - I am here</t>
  </si>
  <si>
    <t>2015-1-26 12:14:11.6: RTWSControl - orderStatus -  entering orderStatus id is 896 status is PreSubmitted</t>
  </si>
  <si>
    <t>2015-1-26 12:14:11.7: OrderManager - UpdateOrderStatus - id 896 Setting status to PreSubmitted workingOrderCount is now 1 workingQty -1480</t>
  </si>
  <si>
    <t>2015-1-26 12:14:11.9: OrderManagerView - UpdateMainSheetOpenOrder - entering UpdateMainSheetOpenOrder order.status is PreSubmitted</t>
  </si>
  <si>
    <t>2015-1-26 12:14:11.11: RTWSControl - OrderStatus - Got OrderStatus Message id:896 status: PreSubmitted filled: 0</t>
  </si>
  <si>
    <t>2015-1-26 12:14:11.12: RTWSControl - OrderStatus - exiting orderStatus</t>
  </si>
  <si>
    <t>2015-1-26 12:14:11.42: openOrderEx - I am here</t>
  </si>
  <si>
    <t>2015-1-26 12:14:11.48: RTWSControl - orderStatus -  entering orderStatus id is 896 status is PreSubmitted</t>
  </si>
  <si>
    <t>2015-1-26 12:14:11.49: OrderManager - UpdateOrderStatus - id 896 Setting status to PreSubmitted workingOrderCount is now 1 workingQty -1480</t>
  </si>
  <si>
    <t>2015-1-26 12:14:11.50: OrderManagerView - UpdateMainSheetOpenOrder - entering UpdateMainSheetOpenOrder order.status is PreSubmitted</t>
  </si>
  <si>
    <t>2015-1-26 12:14:11.53: RTWSControl - OrderStatus - Got OrderStatus Message id:896 status: PreSubmitted filled: 0</t>
  </si>
  <si>
    <t>2015-1-26 12:14:11.54: RTWSControl - OrderStatus - exiting orderStatus</t>
  </si>
  <si>
    <t>2015-1-26 12:14:36.479: OrderManager - cancelOrder - cancelling order id 896</t>
  </si>
  <si>
    <t>2015-1-26 12:14:36.480: OrderManager - PlaceOrder - id 897 workingQty -1428</t>
  </si>
  <si>
    <t>2015-1-26 12:14:36.480: OrderManagerView - UpdateMainSheetOpenOrder - entering UpdateMainSheetOpenOrder order.status is In-Flight</t>
  </si>
  <si>
    <t>2015-1-26 12:14:36.483: OrderManager - sendOrder - exiting place order id 897 BUY 52 1.5232  - workingQty -1428 currentPosition is 31 workingOrderCount is 2</t>
  </si>
  <si>
    <t>2015-1-26 12:14:36.630: RTWSControl - nextValidId - entering nextValidId id is 898</t>
  </si>
  <si>
    <t>2015-1-26 12:14:36.636: RTWSControl - orderStatus -  entering orderStatus id is 896 status is Cancelled</t>
  </si>
  <si>
    <t>2015-1-26 12:14:36.637: OrderManager - UpdateOrderStatus - id 896 Setting status to Cancelled workingOrderCount is now 2 workingQty -1428</t>
  </si>
  <si>
    <t>2015-1-26 12:14:36.638: OrderManagerView - UpdateMainSheetOpenOrder - entering UpdateMainSheetOpenOrder order.status is Cancelled</t>
  </si>
  <si>
    <t>2015-1-26 12:14:36.641: RTWSControl - OrderStatus - Got OrderStatus Message id:896 status: Cancelled filled: 0</t>
  </si>
  <si>
    <t>2015-1-26 12:14:36.642: RTWSControl - OrderStatus - exiting orderStatus</t>
  </si>
  <si>
    <t>2015-1-26 12:14:36.666: RTWSControl - errMsg - got error message 202:Order Canceled - reason:with id 896</t>
  </si>
  <si>
    <t>2015-1-26 12:14:36.667: OrderManager - canceledOrder - cleaning up after canceled order 896BEWARE UNACCOUNTED FOR EXECUTIONS!!!</t>
  </si>
  <si>
    <t>2015-1-26 12:14:36.668: OrderManager - terminateOrder - cleaning up after Canceled 896  order was supposed to BUY 51 1.5236 STP LMT workingQty/OrderCount now -1479/1</t>
  </si>
  <si>
    <t>2015-1-26 12:14:36.669: OrderManagerView - UpdateMainSheetOpenOrder - entering UpdateMainSheetOpenOrder order.status is Canceled</t>
  </si>
  <si>
    <t>2015-1-26 12:14:37.334: RTWSControl - errMsg - got error message 399:Order Message:
BUY 52 GBP MAR'15
Warning: your order will not be placed at the exchange until 2015-01-26 08:30:00 US/Centralwith id 897</t>
  </si>
  <si>
    <t>2015-1-26 12:14:37.335: RTWSControl - errMsg - Got Error_x000D_id: 897_x000D_errorCode: 399_x000D_errorMsg: Order Message:
BUY 52 GBP MAR'15
Warning: your order will not be placed at the exchange until 2015-01-26 08:30:00 US/Central</t>
  </si>
  <si>
    <t>2015-1-26 12:14:37.345: openOrderEx - I am here</t>
  </si>
  <si>
    <t>2015-1-26 12:14:37.351: RTWSControl - orderStatus -  entering orderStatus id is 897 status is PreSubmitted</t>
  </si>
  <si>
    <t>2015-1-26 12:14:37.352: OrderManager - UpdateOrderStatus - id 897 Setting status to PreSubmitted workingOrderCount is now 1 workingQty -1479</t>
  </si>
  <si>
    <t>2015-1-26 12:14:37.353: OrderManagerView - UpdateMainSheetOpenOrder - entering UpdateMainSheetOpenOrder order.status is PreSubmitted</t>
  </si>
  <si>
    <t>2015-1-26 12:14:37.356: RTWSControl - OrderStatus - Got OrderStatus Message id:897 status: PreSubmitted filled: 0</t>
  </si>
  <si>
    <t>2015-1-26 12:14:37.356: RTWSControl - OrderStatus - exiting orderStatus</t>
  </si>
  <si>
    <t>2015-1-26 12:14:37.378: openOrderEx - I am here</t>
  </si>
  <si>
    <t>2015-1-26 12:14:37.385: RTWSControl - orderStatus -  entering orderStatus id is 897 status is PreSubmitted</t>
  </si>
  <si>
    <t>2015-1-26 12:14:37.386: OrderManager - UpdateOrderStatus - id 897 Setting status to PreSubmitted workingOrderCount is now 1 workingQty -1479</t>
  </si>
  <si>
    <t>2015-1-26 12:14:37.387: OrderManagerView - UpdateMainSheetOpenOrder - entering UpdateMainSheetOpenOrder order.status is PreSubmitted</t>
  </si>
  <si>
    <t>2015-1-26 12:14:37.390: RTWSControl - OrderStatus - Got OrderStatus Message id:897 status: PreSubmitted filled: 0</t>
  </si>
  <si>
    <t>2015-1-26 12:14:37.390: RTWSControl - OrderStatus - exiting orderStatus</t>
  </si>
  <si>
    <t>2015-1-26 12:14:37.725: OrderManager - cancelOrder - cancelling order id 897</t>
  </si>
  <si>
    <t>2015-1-26 12:14:37.727: OrderManager - PlaceOrder - id 898 workingQty -1427</t>
  </si>
  <si>
    <t>2015-1-26 12:14:37.728: OrderManagerView - UpdateMainSheetOpenOrder - entering UpdateMainSheetOpenOrder order.status is In-Flight</t>
  </si>
  <si>
    <t>2015-1-26 12:14:37.730: OrderManagerView - incrementNextOORow - there are no available OpenOrderView Rows!!!!!!</t>
  </si>
  <si>
    <t>2015-1-26 12:14:37.732: OrderManager - sendOrder - exiting place order id 898 BUY 52 1.5238  - workingQty -1427 currentPosition is 31 workingOrderCount is 2</t>
  </si>
  <si>
    <t>2015-1-26 12:14:38.185: RTWSControl - nextValidId - entering nextValidId id is 899</t>
  </si>
  <si>
    <t>2015-1-26 12:14:38.210: RTWSControl - orderStatus -  entering orderStatus id is 897 status is Cancelled</t>
  </si>
  <si>
    <t>2015-1-26 12:14:38.211: OrderManager - UpdateOrderStatus - id 897 Setting status to Cancelled workingOrderCount is now 2 workingQty -1427</t>
  </si>
  <si>
    <t>2015-1-26 12:14:38.212: OrderManagerView - UpdateMainSheetOpenOrder - entering UpdateMainSheetOpenOrder order.status is Cancelled</t>
  </si>
  <si>
    <t>2015-1-26 12:14:38.214: RTWSControl - OrderStatus - Got OrderStatus Message id:897 status: Cancelled filled: 0</t>
  </si>
  <si>
    <t>2015-1-26 12:14:38.215: RTWSControl - OrderStatus - exiting orderStatus</t>
  </si>
  <si>
    <t>2015-1-26 12:14:38.225: RTWSControl - errMsg - got error message 202:Order Canceled - reason:with id 897</t>
  </si>
  <si>
    <t>2015-1-26 12:14:38.225: OrderManager - canceledOrder - cleaning up after canceled order 897BEWARE UNACCOUNTED FOR EXECUTIONS!!!</t>
  </si>
  <si>
    <t>2015-1-26 12:14:38.227: OrderManager - terminateOrder - cleaning up after Canceled 897  order was supposed to BUY 52 1.5232 STP LMT workingQty/OrderCount now -1479/1</t>
  </si>
  <si>
    <t>2015-1-26 12:14:38.228: OrderManagerView - UpdateMainSheetOpenOrder - entering UpdateMainSheetOpenOrder order.status is Canceled</t>
  </si>
  <si>
    <t>2015-1-26 12:14:38.297: RTWSControl - errMsg - got error message 399:Order Message:
BUY 52 GBP MAR'15
Warning: your order will not be placed at the exchange until 2015-01-26 08:30:00 US/Centralwith id 898</t>
  </si>
  <si>
    <t>2015-1-26 12:14:38.298: RTWSControl - errMsg - Got Error_x000D_id: 898_x000D_errorCode: 399_x000D_errorMsg: Order Message:
BUY 52 GBP MAR'15
Warning: your order will not be placed at the exchange until 2015-01-26 08:30:00 US/Central</t>
  </si>
  <si>
    <t>2015-1-26 12:14:38.334: openOrderEx - I am here</t>
  </si>
  <si>
    <t>2015-1-26 12:14:38.340: RTWSControl - orderStatus -  entering orderStatus id is 898 status is PreSubmitted</t>
  </si>
  <si>
    <t>2015-1-26 12:14:38.341: OrderManager - UpdateOrderStatus - id 898 Setting status to PreSubmitted workingOrderCount is now 1 workingQty -1479</t>
  </si>
  <si>
    <t>2015-1-26 12:14:38.342: OrderManagerView - UpdateMainSheetOpenOrder - entering UpdateMainSheetOpenOrder order.status is PreSubmitted</t>
  </si>
  <si>
    <t>2015-1-26 12:14:38.345: RTWSControl - OrderStatus - Got OrderStatus Message id:898 status: PreSubmitted filled: 0</t>
  </si>
  <si>
    <t>2015-1-26 12:14:38.346: RTWSControl - OrderStatus - exiting orderStatus</t>
  </si>
  <si>
    <t>2015-1-26 12:14:38.375: openOrderEx - I am here</t>
  </si>
  <si>
    <t>2015-1-26 12:14:38.381: RTWSControl - orderStatus -  entering orderStatus id is 898 status is PreSubmitted</t>
  </si>
  <si>
    <t>2015-1-26 12:14:38.383: OrderManager - UpdateOrderStatus - id 898 Setting status to PreSubmitted workingOrderCount is now 1 workingQty -1479</t>
  </si>
  <si>
    <t>2015-1-26 12:14:38.384: OrderManagerView - UpdateMainSheetOpenOrder - entering UpdateMainSheetOpenOrder order.status is PreSubmitted</t>
  </si>
  <si>
    <t>2015-1-26 12:14:38.386: RTWSControl - OrderStatus - Got OrderStatus Message id:898 status: PreSubmitted filled: 0</t>
  </si>
  <si>
    <t>2015-1-26 12:14:38.387: RTWSControl - OrderStatus - exiting orderStatus</t>
  </si>
  <si>
    <t>2015-1-26 12:14:49.750: OrderManager - cancelOrder - cancelling order id 893</t>
  </si>
  <si>
    <t>2015-1-26 12:14:49.750: OrderManager - PlaceOrder - id 899 workingQty -1530</t>
  </si>
  <si>
    <t>2015-1-26 12:14:49.751: OrderManagerView - UpdateMainSheetOpenOrder - entering UpdateMainSheetOpenOrder order.status is In-Flight</t>
  </si>
  <si>
    <t>2015-1-26 12:14:49.754: OrderManager - sendOrder - exiting place order id 899 SELL 51 1.4998  - workingQty -1530 currentPosition is 31 workingOrderCount is 2</t>
  </si>
  <si>
    <t>2015-1-26 12:14:50.638: RTWSControl - nextValidId - entering nextValidId id is 900</t>
  </si>
  <si>
    <t>2015-1-26 12:14:50.658: RTWSControl - orderStatus -  entering orderStatus id is 893 status is Cancelled</t>
  </si>
  <si>
    <t>2015-1-26 12:14:50.659: OrderManager - UpdateOrderStatus - id 893 Setting status to Cancelled workingOrderCount is now 2 workingQty -1530</t>
  </si>
  <si>
    <t>2015-1-26 12:14:50.660: OrderManagerView - UpdateMainSheetOpenOrder - entering UpdateMainSheetOpenOrder order.status is Cancelled</t>
  </si>
  <si>
    <t>2015-1-26 12:14:50.662: RTWSControl - OrderStatus - Got OrderStatus Message id:893 status: Cancelled filled: 0</t>
  </si>
  <si>
    <t>2015-1-26 12:14:50.663: RTWSControl - OrderStatus - exiting orderStatus</t>
  </si>
  <si>
    <t>2015-1-26 12:14:50.673: RTWSControl - errMsg - got error message 202:Order Canceled - reason:with id 893</t>
  </si>
  <si>
    <t>2015-1-26 12:14:50.674: OrderManager - canceledOrder - cleaning up after canceled order 893BEWARE UNACCOUNTED FOR EXECUTIONS!!!</t>
  </si>
  <si>
    <t>2015-1-26 12:14:50.675: OrderManager - terminateOrder - cleaning up after Canceled 893  order was supposed to SELL 51 1.4996 STP LMT workingQty/OrderCount now -1581/1</t>
  </si>
  <si>
    <t>2015-1-26 12:14:50.676: OrderManagerView - UpdateMainSheetOpenOrder - entering UpdateMainSheetOpenOrder order.status is Canceled</t>
  </si>
  <si>
    <t>2015-1-26 12:14:50.710: RTWSControl - errMsg - got error message 399:Order Message:
SELL 51 GBP MAR'15
Warning: your order will not be placed at the exchange until 2015-01-26 08:30:00 US/Centralwith id 899</t>
  </si>
  <si>
    <t>2015-1-26 12:14:50.712: RTWSControl - errMsg - Got Error_x000D_id: 899_x000D_errorCode: 399_x000D_errorMsg: Order Message:
SELL 51 GBP MAR'15
Warning: your order will not be placed at the exchange until 2015-01-26 08:30:00 US/Central</t>
  </si>
  <si>
    <t>2015-1-26 12:14:50.723: openOrderEx - I am here</t>
  </si>
  <si>
    <t>2015-1-26 12:14:50.746: RTWSControl - orderStatus -  entering orderStatus id is 899 status is PreSubmitted</t>
  </si>
  <si>
    <t>2015-1-26 12:14:50.747: OrderManager - UpdateOrderStatus - id 899 Setting status to PreSubmitted workingOrderCount is now 1 workingQty -1581</t>
  </si>
  <si>
    <t>2015-1-26 12:14:50.748: OrderManagerView - UpdateMainSheetOpenOrder - entering UpdateMainSheetOpenOrder order.status is PreSubmitted</t>
  </si>
  <si>
    <t>2015-1-26 12:14:50.750: RTWSControl - OrderStatus - Got OrderStatus Message id:899 status: PreSubmitted filled: 0</t>
  </si>
  <si>
    <t>2015-1-26 12:14:50.751: RTWSControl - OrderStatus - exiting orderStatus</t>
  </si>
  <si>
    <t>2015-1-26 12:14:50.764: openOrderEx - I am here</t>
  </si>
  <si>
    <t>2015-1-26 12:14:50.789: RTWSControl - orderStatus -  entering orderStatus id is 899 status is PreSubmitted</t>
  </si>
  <si>
    <t>2015-1-26 12:14:50.789: OrderManager - UpdateOrderStatus - id 899 Setting status to PreSubmitted workingOrderCount is now 1 workingQty -1581</t>
  </si>
  <si>
    <t>2015-1-26 12:14:50.790: OrderManagerView - UpdateMainSheetOpenOrder - entering UpdateMainSheetOpenOrder order.status is PreSubmitted</t>
  </si>
  <si>
    <t>2015-1-26 12:14:50.793: RTWSControl - OrderStatus - Got OrderStatus Message id:899 status: PreSubmitted filled: 0</t>
  </si>
  <si>
    <t>2015-1-26 12:14:50.793: RTWSControl - OrderStatus - exiting orderStatus</t>
  </si>
  <si>
    <t>2015-1-26 12:14:54.795: OrderManager - cancelOrder - cancelling order id 898</t>
  </si>
  <si>
    <t>2015-1-26 12:14:54.796: OrderManager - PlaceOrder - id 900 workingQty -1530</t>
  </si>
  <si>
    <t>2015-1-26 12:14:54.797: OrderManagerView - UpdateMainSheetOpenOrder - entering UpdateMainSheetOpenOrder order.status is In-Flight</t>
  </si>
  <si>
    <t>2015-1-26 12:14:54.801: OrderManager - sendOrder - exiting place order id 900 BUY 51 1.5235  - workingQty -1530 currentPosition is 31 workingOrderCount is 2</t>
  </si>
  <si>
    <t>2015-1-26 12:14:55.542: RTWSControl - nextValidId - entering nextValidId id is 901</t>
  </si>
  <si>
    <t>2015-1-26 12:14:55.549: RTWSControl - orderStatus -  entering orderStatus id is 898 status is Cancelled</t>
  </si>
  <si>
    <t>2015-1-26 12:14:55.550: OrderManager - UpdateOrderStatus - id 898 Setting status to Cancelled workingOrderCount is now 2 workingQty -1530</t>
  </si>
  <si>
    <t>2015-1-26 12:14:55.551: OrderManagerView - UpdateMainSheetOpenOrder - entering UpdateMainSheetOpenOrder order.status is Cancelled</t>
  </si>
  <si>
    <t>2015-1-26 12:14:55.554: RTWSControl - OrderStatus - Got OrderStatus Message id:898 status: Cancelled filled: 0</t>
  </si>
  <si>
    <t>2015-1-26 12:14:55.554: RTWSControl - OrderStatus - exiting orderStatus</t>
  </si>
  <si>
    <t>2015-1-26 12:14:55.581: RTWSControl - errMsg - got error message 202:Order Canceled - reason:with id 898</t>
  </si>
  <si>
    <t>2015-1-26 12:14:55.581: OrderManager - canceledOrder - cleaning up after canceled order 898BEWARE UNACCOUNTED FOR EXECUTIONS!!!</t>
  </si>
  <si>
    <t>2015-1-26 12:14:55.582: OrderManager - terminateOrder - cleaning up after Canceled 898  order was supposed to BUY 52 1.5238 STP LMT workingQty/OrderCount now -1582/1</t>
  </si>
  <si>
    <t>2015-1-26 12:14:55.583: OrderManagerView - UpdateMainSheetOpenOrder - entering UpdateMainSheetOpenOrder order.status is Canceled</t>
  </si>
  <si>
    <t>2015-1-26 12:14:55.596: RTWSControl - errMsg - got error message 399:Order Message:
BUY 51 GBP MAR'15
Warning: your order will not be placed at the exchange until 2015-01-26 08:30:00 US/Centralwith id 900</t>
  </si>
  <si>
    <t>2015-1-26 12:14:55.598: RTWSControl - errMsg - Got Error_x000D_id: 900_x000D_errorCode: 399_x000D_errorMsg: Order Message:
BUY 51 GBP MAR'15
Warning: your order will not be placed at the exchange until 2015-01-26 08:30:00 US/Central</t>
  </si>
  <si>
    <t>2015-1-26 12:14:55.626: openOrderEx - I am here</t>
  </si>
  <si>
    <t>2015-1-26 12:14:55.632: RTWSControl - orderStatus -  entering orderStatus id is 900 status is PreSubmitted</t>
  </si>
  <si>
    <t>2015-1-26 12:14:55.633: OrderManager - UpdateOrderStatus - id 900 Setting status to PreSubmitted workingOrderCount is now 1 workingQty -1582</t>
  </si>
  <si>
    <t>2015-1-26 12:14:55.634: OrderManagerView - UpdateMainSheetOpenOrder - entering UpdateMainSheetOpenOrder order.status is PreSubmitted</t>
  </si>
  <si>
    <t>2015-1-26 12:14:55.637: RTWSControl - OrderStatus - Got OrderStatus Message id:900 status: PreSubmitted filled: 0</t>
  </si>
  <si>
    <t>2015-1-26 12:14:55.637: RTWSControl - OrderStatus - exiting orderStatus</t>
  </si>
  <si>
    <t>2015-1-26 12:14:55.667: openOrderEx - I am here</t>
  </si>
  <si>
    <t>2015-1-26 12:14:55.673: RTWSControl - orderStatus -  entering orderStatus id is 900 status is PreSubmitted</t>
  </si>
  <si>
    <t>2015-1-26 12:14:55.674: OrderManager - UpdateOrderStatus - id 900 Setting status to PreSubmitted workingOrderCount is now 1 workingQty -1582</t>
  </si>
  <si>
    <t>2015-1-26 12:14:55.675: OrderManagerView - UpdateMainSheetOpenOrder - entering UpdateMainSheetOpenOrder order.status is PreSubmitted</t>
  </si>
  <si>
    <t>2015-1-26 12:14:55.678: RTWSControl - OrderStatus - Got OrderStatus Message id:900 status: PreSubmitted filled: 0</t>
  </si>
  <si>
    <t>2015-1-26 12:14:55.679: RTWSControl - OrderStatus - exiting orderStatus</t>
  </si>
  <si>
    <t>2015-1-26 12:16:1.661: OrderManager - cancelOrder - cancelling order id 900</t>
  </si>
  <si>
    <t>2015-1-26 12:16:1.663: OrderManager - PlaceOrder - id 901 workingQty -1532</t>
  </si>
  <si>
    <t>2015-1-26 12:16:1.665: OrderManagerView - UpdateMainSheetOpenOrder - entering UpdateMainSheetOpenOrder order.status is In-Flight</t>
  </si>
  <si>
    <t>2015-1-26 12:16:1.669: OrderManager - sendOrder - exiting place order id 901 BUY 50 1.5232  - workingQty -1532 currentPosition is 31 workingOrderCount is 2</t>
  </si>
  <si>
    <t>2015-1-26 12:16:1.894: RTWSControl - nextValidId - entering nextValidId id is 902</t>
  </si>
  <si>
    <t>2015-1-26 12:16:1.968: RTWSControl - orderStatus -  entering orderStatus id is 900 status is Cancelled</t>
  </si>
  <si>
    <t>2015-1-26 12:16:1.969: OrderManager - UpdateOrderStatus - id 900 Setting status to Cancelled workingOrderCount is now 2 workingQty -1532</t>
  </si>
  <si>
    <t>2015-1-26 12:16:1.971: OrderManagerView - UpdateMainSheetOpenOrder - entering UpdateMainSheetOpenOrder order.status is Cancelled</t>
  </si>
  <si>
    <t>2015-1-26 12:16:1.976: RTWSControl - OrderStatus - Got OrderStatus Message id:900 status: Cancelled filled: 0</t>
  </si>
  <si>
    <t>2015-1-26 12:16:1.976: RTWSControl - OrderStatus - exiting orderStatus</t>
  </si>
  <si>
    <t>2015-1-26 12:16:2.19: RTWSControl - errMsg - got error message 202:Order Canceled - reason:with id 900</t>
  </si>
  <si>
    <t>2015-1-26 12:16:2.20: OrderManager - canceledOrder - cleaning up after canceled order 900BEWARE UNACCOUNTED FOR EXECUTIONS!!!</t>
  </si>
  <si>
    <t>2015-1-26 12:16:2.22: OrderManager - terminateOrder - cleaning up after Canceled 900  order was supposed to BUY 51 1.5235 STP LMT workingQty/OrderCount now -1583/1</t>
  </si>
  <si>
    <t>2015-1-26 12:16:2.24: OrderManagerView - UpdateMainSheetOpenOrder - entering UpdateMainSheetOpenOrder order.status is Canceled</t>
  </si>
  <si>
    <t>2015-1-26 12:16:2.34: RTWSControl - errMsg - got error message 399:Order Message:
BUY 50 GBP MAR'15
Warning: your order will not be placed at the exchange until 2015-01-26 08:30:00 US/Centralwith id 901</t>
  </si>
  <si>
    <t>2015-1-26 12:16:2.37: RTWSControl - errMsg - Got Error_x000D_id: 901_x000D_errorCode: 399_x000D_errorMsg: Order Message:
BUY 50 GBP MAR'15
Warning: your order will not be placed at the exchange until 2015-01-26 08:30:00 US/Central</t>
  </si>
  <si>
    <t>2015-1-26 12:16:2.48: openOrderEx - I am here</t>
  </si>
  <si>
    <t>2015-1-26 12:16:2.80: RTWSControl - orderStatus -  entering orderStatus id is 901 status is PreSubmitted</t>
  </si>
  <si>
    <t>2015-1-26 12:16:2.81: OrderManager - UpdateOrderStatus - id 901 Setting status to PreSubmitted workingOrderCount is now 1 workingQty -1583</t>
  </si>
  <si>
    <t>2015-1-26 12:16:2.83: OrderManagerView - UpdateMainSheetOpenOrder - entering UpdateMainSheetOpenOrder order.status is PreSubmitted</t>
  </si>
  <si>
    <t>2015-1-26 12:16:2.87: RTWSControl - OrderStatus - Got OrderStatus Message id:901 status: PreSubmitted filled: 0</t>
  </si>
  <si>
    <t>2015-1-26 12:16:2.88: RTWSControl - OrderStatus - exiting orderStatus</t>
  </si>
  <si>
    <t>2015-1-26 12:16:2.99: openOrderEx - I am here</t>
  </si>
  <si>
    <t>2015-1-26 12:16:2.107: RTWSControl - orderStatus -  entering orderStatus id is 901 status is PreSubmitted</t>
  </si>
  <si>
    <t>2015-1-26 12:16:2.108: OrderManager - UpdateOrderStatus - id 901 Setting status to PreSubmitted workingOrderCount is now 1 workingQty -1583</t>
  </si>
  <si>
    <t>2015-1-26 12:16:2.110: OrderManagerView - UpdateMainSheetOpenOrder - entering UpdateMainSheetOpenOrder order.status is PreSubmitted</t>
  </si>
  <si>
    <t>2015-1-26 12:16:2.115: RTWSControl - OrderStatus - Got OrderStatus Message id:901 status: PreSubmitted filled: 0</t>
  </si>
  <si>
    <t>2015-1-26 12:16:2.115: RTWSControl - OrderStatus - exiting orderStatus</t>
  </si>
  <si>
    <t>2015-1-26 12:16:40.226: OrderManager - cancelOrder - cancelling order id 901</t>
  </si>
  <si>
    <t>2015-1-26 12:16:40.231: OrderManager - PlaceOrder - id 902 workingQty -1533</t>
  </si>
  <si>
    <t>2015-1-26 12:16:40.233: OrderManagerView - UpdateMainSheetOpenOrder - entering UpdateMainSheetOpenOrder order.status is In-Flight</t>
  </si>
  <si>
    <t>2015-1-26 12:16:40.240: OrderManager - sendOrder - exiting place order id 902 BUY 50 1.5226  - workingQty -1533 currentPosition is 31 workingOrderCount is 2</t>
  </si>
  <si>
    <t>2015-1-26 12:16:40.402: RTWSControl - nextValidId - entering nextValidId id is 903</t>
  </si>
  <si>
    <t>2015-1-26 12:16:40.405: RTWSControl - orderStatus -  entering orderStatus id is 901 status is Cancelled</t>
  </si>
  <si>
    <t>2015-1-26 12:16:40.406: OrderManager - UpdateOrderStatus - id 901 Setting status to Cancelled workingOrderCount is now 2 workingQty -1533</t>
  </si>
  <si>
    <t>2015-1-26 12:16:40.408: OrderManagerView - UpdateMainSheetOpenOrder - entering UpdateMainSheetOpenOrder order.status is Cancelled</t>
  </si>
  <si>
    <t>2015-1-26 12:16:40.413: RTWSControl - OrderStatus - Got OrderStatus Message id:901 status: Cancelled filled: 0</t>
  </si>
  <si>
    <t>2015-1-26 12:16:40.414: RTWSControl - OrderStatus - exiting orderStatus</t>
  </si>
  <si>
    <t>2015-1-26 12:16:40.417: RTWSControl - errMsg - got error message 202:Order Canceled - reason:with id 901</t>
  </si>
  <si>
    <t>2015-1-26 12:16:40.418: OrderManager - canceledOrder - cleaning up after canceled order 901BEWARE UNACCOUNTED FOR EXECUTIONS!!!</t>
  </si>
  <si>
    <t>2015-1-26 12:16:40.420: OrderManager - terminateOrder - cleaning up after Canceled 901  order was supposed to BUY 50 1.5232 STP LMT workingQty/OrderCount now -1583/1</t>
  </si>
  <si>
    <t>2015-1-26 12:16:40.422: OrderManagerView - UpdateMainSheetOpenOrder - entering UpdateMainSheetOpenOrder order.status is Canceled</t>
  </si>
  <si>
    <t>2015-1-26 12:16:40.626: RTWSControl - errMsg - got error message 399:Order Message:
BUY 50 GBP MAR'15
Warning: your order will not be placed at the exchange until 2015-01-26 08:30:00 US/Centralwith id 902</t>
  </si>
  <si>
    <t>2015-1-26 12:16:40.628: RTWSControl - errMsg - Got Error_x000D_id: 902_x000D_errorCode: 399_x000D_errorMsg: Order Message:
BUY 50 GBP MAR'15
Warning: your order will not be placed at the exchange until 2015-01-26 08:30:00 US/Central</t>
  </si>
  <si>
    <t>2015-1-26 12:16:40.634: openOrderEx - I am here</t>
  </si>
  <si>
    <t>2015-1-26 12:16:40.636: RTWSControl - orderStatus -  entering orderStatus id is 902 status is PreSubmitted</t>
  </si>
  <si>
    <t>2015-1-26 12:16:40.637: OrderManager - UpdateOrderStatus - id 902 Setting status to PreSubmitted workingOrderCount is now 1 workingQty -1583</t>
  </si>
  <si>
    <t>2015-1-26 12:16:40.639: OrderManagerView - UpdateMainSheetOpenOrder - entering UpdateMainSheetOpenOrder order.status is PreSubmitted</t>
  </si>
  <si>
    <t>2015-1-26 12:16:40.643: RTWSControl - OrderStatus - Got OrderStatus Message id:902 status: PreSubmitted filled: 0</t>
  </si>
  <si>
    <t>2015-1-26 12:16:40.644: RTWSControl - OrderStatus - exiting orderStatus</t>
  </si>
  <si>
    <t>2015-1-26 12:16:40.650: openOrderEx - I am here</t>
  </si>
  <si>
    <t>2015-1-26 12:16:40.652: RTWSControl - orderStatus -  entering orderStatus id is 902 status is PreSubmitted</t>
  </si>
  <si>
    <t>2015-1-26 12:16:40.653: OrderManager - UpdateOrderStatus - id 902 Setting status to PreSubmitted workingOrderCount is now 1 workingQty -1583</t>
  </si>
  <si>
    <t>2015-1-26 12:16:40.655: OrderManagerView - UpdateMainSheetOpenOrder - entering UpdateMainSheetOpenOrder order.status is PreSubmitted</t>
  </si>
  <si>
    <t>2015-1-26 12:16:40.659: RTWSControl - OrderStatus - Got OrderStatus Message id:902 status: PreSubmitted filled: 0</t>
  </si>
  <si>
    <t>2015-1-26 12:16:40.660: RTWSControl - OrderStatus - exiting orderStatus</t>
  </si>
  <si>
    <t>2015-1-26 12:16:40.665: OrderManager - cancelOrder - cancelling order id 902</t>
  </si>
  <si>
    <t>2015-1-26 12:16:40.666: OrderManager - PlaceOrder - id 903 workingQty -1533</t>
  </si>
  <si>
    <t>2015-1-26 12:16:40.667: OrderManagerView - UpdateMainSheetOpenOrder - entering UpdateMainSheetOpenOrder order.status is In-Flight</t>
  </si>
  <si>
    <t>2015-1-26 12:16:40.671: OrderManager - sendOrder - exiting place order id 903 BUY 50 1.5232  - workingQty -1533 currentPosition is 31 workingOrderCount is 2</t>
  </si>
  <si>
    <t>2015-1-26 12:16:40.785: RTWSControl - nextValidId - entering nextValidId id is 904</t>
  </si>
  <si>
    <t>2015-1-26 12:16:40.996: RTWSControl - orderStatus -  entering orderStatus id is 902 status is Cancelled</t>
  </si>
  <si>
    <t>2015-1-26 12:16:41.5: OrderManager - UpdateOrderStatus - id 902 Setting status to Cancelled workingOrderCount is now 2 workingQty -1533</t>
  </si>
  <si>
    <t>2015-1-26 12:16:41.14: OrderManagerView - UpdateMainSheetOpenOrder - entering UpdateMainSheetOpenOrder order.status is Cancelled</t>
  </si>
  <si>
    <t>2015-1-26 12:16:41.30: RTWSControl - OrderStatus - Got OrderStatus Message id:902 status: Cancelled filled: 0</t>
  </si>
  <si>
    <t>2015-1-26 12:16:41.32: RTWSControl - OrderStatus - exiting orderStatus</t>
  </si>
  <si>
    <t>2015-1-26 12:16:41.40: RTWSControl - errMsg - got error message 202:Order Canceled - reason:with id 902</t>
  </si>
  <si>
    <t>2015-1-26 12:16:41.42: OrderManager - canceledOrder - cleaning up after canceled order 902BEWARE UNACCOUNTED FOR EXECUTIONS!!!</t>
  </si>
  <si>
    <t>2015-1-26 12:16:41.47: OrderManager - terminateOrder - cleaning up after Canceled 902  order was supposed to BUY 50 1.5226 STP LMT workingQty/OrderCount now -1583/1</t>
  </si>
  <si>
    <t>2015-1-26 12:16:41.53: OrderManagerView - UpdateMainSheetOpenOrder - entering UpdateMainSheetOpenOrder order.status is Canceled</t>
  </si>
  <si>
    <t>2015-1-26 12:16:41.62: RTWSControl - errMsg - got error message 399:Order Message:
BUY 50 GBP MAR'15
Warning: your order will not be placed at the exchange until 2015-01-26 08:30:00 US/Centralwith id 903</t>
  </si>
  <si>
    <t>2015-1-26 12:16:41.64: RTWSControl - errMsg - Got Error_x000D_id: 903_x000D_errorCode: 399_x000D_errorMsg: Order Message:
BUY 50 GBP MAR'15
Warning: your order will not be placed at the exchange until 2015-01-26 08:30:00 US/Central</t>
  </si>
  <si>
    <t>2015-1-26 12:16:41.69: openOrderEx - I am here</t>
  </si>
  <si>
    <t>2015-1-26 12:16:41.72: RTWSControl - orderStatus -  entering orderStatus id is 903 status is PreSubmitted</t>
  </si>
  <si>
    <t>2015-1-26 12:16:41.73: OrderManager - UpdateOrderStatus - id 903 Setting status to PreSubmitted workingOrderCount is now 1 workingQty -1583</t>
  </si>
  <si>
    <t>2015-1-26 12:16:41.76: OrderManagerView - UpdateMainSheetOpenOrder - entering UpdateMainSheetOpenOrder order.status is PreSubmitted</t>
  </si>
  <si>
    <t>2015-1-26 12:16:41.80: RTWSControl - OrderStatus - Got OrderStatus Message id:903 status: PreSubmitted filled: 0</t>
  </si>
  <si>
    <t>2015-1-26 12:16:41.81: RTWSControl - OrderStatus - exiting orderStatus</t>
  </si>
  <si>
    <t>2015-1-26 12:16:41.85: openOrderEx - I am here</t>
  </si>
  <si>
    <t>2015-1-26 12:16:41.88: RTWSControl - orderStatus -  entering orderStatus id is 903 status is PreSubmitted</t>
  </si>
  <si>
    <t>2015-1-26 12:16:41.89: OrderManager - UpdateOrderStatus - id 903 Setting status to PreSubmitted workingOrderCount is now 1 workingQty -1583</t>
  </si>
  <si>
    <t>2015-1-26 12:16:41.91: OrderManagerView - UpdateMainSheetOpenOrder - entering UpdateMainSheetOpenOrder order.status is PreSubmitted</t>
  </si>
  <si>
    <t>2015-1-26 12:16:41.95: RTWSControl - OrderStatus - Got OrderStatus Message id:903 status: PreSubmitted filled: 0</t>
  </si>
  <si>
    <t>2015-1-26 12:16:41.96: RTWSControl - OrderStatus - exiting orderStatus</t>
  </si>
  <si>
    <t>2015-1-26 12:16:45.4: Algorithm - FindNextStrikes - price is 1.50125 nextStrikeUp/Down 1.505/1.5</t>
  </si>
  <si>
    <t>2015-1-26 12:16:45.6: Algorithm - getPortfolioForwardDelta - required deltas is -20 currentHedgePosition is 31</t>
  </si>
  <si>
    <t>2015-1-26 12:16:45.7: Algorithm - getHedgeShortfall - required deltas is -20 price is 1.50115 currentHedgePositionDeltas is 31</t>
  </si>
  <si>
    <t>2015-1-26 12:16:45.9: Algorithm - processTransitionPoint - nextUpper/LowerStrikes are 1.505/1.5 requiredDeltas/currentPosition/currentHedgeShortfall/direction/transitionPrice are -20/31/-51/-1/1.50115</t>
  </si>
  <si>
    <t>2015-1-26 12:16:45.12: TransitionLogger - processTransitionpoint - checking transition - currentHedgeShortfall is -51</t>
  </si>
  <si>
    <t>2015-1-26 12:16:45.15: Algorithm - updatePortfolio - haveAllDetails is True</t>
  </si>
  <si>
    <t>2015-1-26 12:16:45.17: RTWSControl - updatePortfolioEx - An Error Occured Object variable or With block variable not set</t>
  </si>
  <si>
    <t>2015-1-26 12:16:45.44: Algorithm - FindNextStrikes - price is 1.50125 nextStrikeUp/Down 1.505/1.5</t>
  </si>
  <si>
    <t>2015-1-26 12:16:45.45: Algorithm - getPortfolioForwardDelta - required deltas is -20 currentHedgePosition is 31</t>
  </si>
  <si>
    <t>2015-1-26 12:16:45.46: Algorithm - getHedgeShortfall - required deltas is -20 price is 1.50115 currentHedgePositionDeltas is 31</t>
  </si>
  <si>
    <t>2015-1-26 12:16:45.48: Algorithm - processTransitionPoint - nextUpper/LowerStrikes are 1.505/1.5 requiredDeltas/currentPosition/currentHedgeShortfall/direction/transitionPrice are -20/31/-51/-1/1.50115</t>
  </si>
  <si>
    <t>2015-1-26 12:16:45.50: TransitionLogger - processTransitionpoint - checking transition - currentHedgeShortfall is -51</t>
  </si>
  <si>
    <t>2015-1-26 12:16:45.53: Algorithm - updatePortfolio - haveAllDetails is True</t>
  </si>
  <si>
    <t>2015-1-26 12:16:45.55: RTWSControl - updatePortfolioEx - An Error Occured Object variable or With block variable not set</t>
  </si>
  <si>
    <t>2015-1-26 12:16:45.83: Algorithm - FindNextStrikes - price is 1.50125 nextStrikeUp/Down 1.505/1.5</t>
  </si>
  <si>
    <t>2015-1-26 12:16:45.84: Algorithm - getPortfolioForwardDelta - required deltas is -20 currentHedgePosition is 31</t>
  </si>
  <si>
    <t>2015-1-26 12:16:45.85: Algorithm - getHedgeShortfall - required deltas is -20 price is 1.50115 currentHedgePositionDeltas is 31</t>
  </si>
  <si>
    <t>2015-1-26 12:16:45.88: Algorithm - processTransitionPoint - nextUpper/LowerStrikes are 1.505/1.5 requiredDeltas/currentPosition/currentHedgeShortfall/direction/transitionPrice are -20/31/-51/-1/1.50115</t>
  </si>
  <si>
    <t>2015-1-26 12:16:45.90: TransitionLogger - processTransitionpoint - checking transition - currentHedgeShortfall is -51</t>
  </si>
  <si>
    <t>2015-1-26 12:16:45.93: Algorithm - updatePortfolio - haveAllDetails is True</t>
  </si>
  <si>
    <t>2015-1-26 12:16:45.95: RTWSControl - updatePortfolioEx - An Error Occured Object variable or With block variable not set</t>
  </si>
  <si>
    <t>2015-1-26 12:16:45.125: Algorithm - FindNextStrikes - price is 1.50125 nextStrikeUp/Down 1.505/1.5</t>
  </si>
  <si>
    <t>2015-1-26 12:16:45.126: Algorithm - getPortfolioForwardDelta - required deltas is -20 currentHedgePosition is 31</t>
  </si>
  <si>
    <t>2015-1-26 12:16:45.127: Algorithm - getHedgeShortfall - required deltas is -20 price is 1.50115 currentHedgePositionDeltas is 31</t>
  </si>
  <si>
    <t>2015-1-26 12:16:45.129: Algorithm - processTransitionPoint - nextUpper/LowerStrikes are 1.505/1.5 requiredDeltas/currentPosition/currentHedgeShortfall/direction/transitionPrice are -20/31/-51/-1/1.50115</t>
  </si>
  <si>
    <t>2015-1-26 12:16:45.131: TransitionLogger - processTransitionpoint - checking transition - currentHedgeShortfall is -51</t>
  </si>
  <si>
    <t>2015-1-26 12:16:45.133: Algorithm - updatePortfolio - haveAllDetails is True</t>
  </si>
  <si>
    <t>2015-1-26 12:16:45.135: RTWSControl - updatePortfolioEx - An Error Occured Object variable or With block variable not set</t>
  </si>
  <si>
    <t>2015-1-26 12:16:45.184: Algorithm - FindNextStrikes - price is 1.50125 nextStrikeUp/Down 1.505/1.5</t>
  </si>
  <si>
    <t>2015-1-26 12:16:45.185: Algorithm - getPortfolioForwardDelta - required deltas is -20 currentHedgePosition is 31</t>
  </si>
  <si>
    <t>2015-1-26 12:16:45.186: Algorithm - getHedgeShortfall - required deltas is -20 price is 1.50115 currentHedgePositionDeltas is 31</t>
  </si>
  <si>
    <t>2015-1-26 12:16:45.188: Algorithm - processTransitionPoint - nextUpper/LowerStrikes are 1.505/1.5 requiredDeltas/currentPosition/currentHedgeShortfall/direction/transitionPrice are -20/31/-51/-1/1.50115</t>
  </si>
  <si>
    <t>2015-1-26 12:16:45.190: TransitionLogger - processTransitionpoint - checking transition - currentHedgeShortfall is -51</t>
  </si>
  <si>
    <t>2015-1-26 12:16:45.193: Algorithm - updatePortfolio - haveAllDetails is True</t>
  </si>
  <si>
    <t>2015-1-26 12:16:45.196: RTWSControl - updatePortfolioEx - An Error Occured Object variable or With block variable not set</t>
  </si>
  <si>
    <t>2015-1-26 12:16:45.224: Algorithm - FindNextStrikes - price is 1.50125 nextStrikeUp/Down 1.505/1.5</t>
  </si>
  <si>
    <t>2015-1-26 12:16:45.225: Algorithm - getPortfolioForwardDelta - required deltas is -20 currentHedgePosition is 31</t>
  </si>
  <si>
    <t>2015-1-26 12:16:45.226: Algorithm - getHedgeShortfall - required deltas is -20 price is 1.50115 currentHedgePositionDeltas is 31</t>
  </si>
  <si>
    <t>2015-1-26 12:16:45.229: Algorithm - processTransitionPoint - nextUpper/LowerStrikes are 1.505/1.5 requiredDeltas/currentPosition/currentHedgeShortfall/direction/transitionPrice are -20/31/-51/-1/1.50115</t>
  </si>
  <si>
    <t>2015-1-26 12:16:45.231: TransitionLogger - processTransitionpoint - checking transition - currentHedgeShortfall is -51</t>
  </si>
  <si>
    <t>2015-1-26 12:16:45.234: Algorithm - updatePortfolio - haveAllDetails is True</t>
  </si>
  <si>
    <t>2015-1-26 12:16:45.236: RTWSControl - updatePortfolioEx - An Error Occured Object variable or With block variable not set</t>
  </si>
  <si>
    <t>2015-1-26 12:16:45.265: Algorithm - FindNextStrikes - price is 1.50125 nextStrikeUp/Down 1.505/1.5</t>
  </si>
  <si>
    <t>2015-1-26 12:16:45.267: Algorithm - getPortfolioForwardDelta - required deltas is -20 currentHedgePosition is 31</t>
  </si>
  <si>
    <t>2015-1-26 12:16:45.268: Algorithm - getHedgeShortfall - required deltas is -20 price is 1.50115 currentHedgePositionDeltas is 31</t>
  </si>
  <si>
    <t>2015-1-26 12:16:45.270: Algorithm - processTransitionPoint - nextUpper/LowerStrikes are 1.505/1.5 requiredDeltas/currentPosition/currentHedgeShortfall/direction/transitionPrice are -20/31/-51/-1/1.50115</t>
  </si>
  <si>
    <t>2015-1-26 12:16:45.272: TransitionLogger - processTransitionpoint - checking transition - currentHedgeShortfall is -51</t>
  </si>
  <si>
    <t>2015-1-26 12:16:45.275: Algorithm - updatePortfolio - haveAllDetails is True</t>
  </si>
  <si>
    <t>2015-1-26 12:16:45.277: RTWSControl - updatePortfolioEx - An Error Occured Object variable or With block variable not set</t>
  </si>
  <si>
    <t>2015-1-26 12:16:45.333: Algorithm - FindNextStrikes - price is 1.50125 nextStrikeUp/Down 1.505/1.5</t>
  </si>
  <si>
    <t>2015-1-26 12:16:45.334: Algorithm - getPortfolioForwardDelta - required deltas is -20 currentHedgePosition is 31</t>
  </si>
  <si>
    <t>2015-1-26 12:16:45.335: Algorithm - getHedgeShortfall - required deltas is -20 price is 1.50115 currentHedgePositionDeltas is 31</t>
  </si>
  <si>
    <t>2015-1-26 12:16:45.337: Algorithm - processTransitionPoint - nextUpper/LowerStrikes are 1.505/1.5 requiredDeltas/currentPosition/currentHedgeShortfall/direction/transitionPrice are -20/31/-51/-1/1.50115</t>
  </si>
  <si>
    <t>2015-1-26 12:16:45.339: TransitionLogger - processTransitionpoint - checking transition - currentHedgeShortfall is -51</t>
  </si>
  <si>
    <t>2015-1-26 12:16:45.342: Algorithm - updatePortfolio - haveAllDetails is True</t>
  </si>
  <si>
    <t>2015-1-26 12:16:45.344: RTWSControl - updatePortfolioEx - An Error Occured Object variable or With block variable not set</t>
  </si>
  <si>
    <t>2015-1-26 12:16:46.169: OrderManager - cancelOrder - cancelling order id 903</t>
  </si>
  <si>
    <t>2015-1-26 12:16:46.170: OrderManager - PlaceOrder - id 904 workingQty -1532</t>
  </si>
  <si>
    <t>2015-1-26 12:16:46.171: OrderManagerView - UpdateMainSheetOpenOrder - entering UpdateMainSheetOpenOrder order.status is In-Flight</t>
  </si>
  <si>
    <t>2015-1-26 12:16:46.175: OrderManager - sendOrder - exiting place order id 904 BUY 51 1.5236  - workingQty -1532 currentPosition is 31 workingOrderCount is 2</t>
  </si>
  <si>
    <t>2015-1-26 12:16:46.712: RTWSControl - nextValidId - entering nextValidId id is 905</t>
  </si>
  <si>
    <t>2015-1-26 12:16:46.718: RTWSControl - orderStatus -  entering orderStatus id is 903 status is Cancelled</t>
  </si>
  <si>
    <t>2015-1-26 12:16:46.719: OrderManager - UpdateOrderStatus - id 903 Setting status to Cancelled workingOrderCount is now 2 workingQty -1532</t>
  </si>
  <si>
    <t>2015-1-26 12:16:46.722: OrderManagerView - UpdateMainSheetOpenOrder - entering UpdateMainSheetOpenOrder order.status is Cancelled</t>
  </si>
  <si>
    <t>2015-1-26 12:16:46.726: RTWSControl - OrderStatus - Got OrderStatus Message id:903 status: Cancelled filled: 0</t>
  </si>
  <si>
    <t>2015-1-26 12:16:46.727: RTWSControl - OrderStatus - exiting orderStatus</t>
  </si>
  <si>
    <t>2015-1-26 12:16:46.736: RTWSControl - errMsg - got error message 202:Order Canceled - reason:with id 903</t>
  </si>
  <si>
    <t>2015-1-26 12:16:46.737: OrderManager - canceledOrder - cleaning up after canceled order 903BEWARE UNACCOUNTED FOR EXECUTIONS!!!</t>
  </si>
  <si>
    <t>2015-1-26 12:16:46.740: OrderManager - terminateOrder - cleaning up after Canceled 903  order was supposed to BUY 50 1.5232 STP LMT workingQty/OrderCount now -1582/1</t>
  </si>
  <si>
    <t>2015-1-26 12:16:46.742: OrderManagerView - UpdateMainSheetOpenOrder - entering UpdateMainSheetOpenOrder order.status is Canceled</t>
  </si>
  <si>
    <t>2015-1-26 12:16:46.883: RTWSControl - errMsg - got error message 399:Order Message:
BUY 51 GBP MAR'15
Warning: your order will not be placed at the exchange until 2015-01-26 08:30:00 US/Centralwith id 904</t>
  </si>
  <si>
    <t>2015-1-26 12:16:46.886: RTWSControl - errMsg - Got Error_x000D_id: 904_x000D_errorCode: 399_x000D_errorMsg: Order Message:
BUY 51 GBP MAR'15
Warning: your order will not be placed at the exchange until 2015-01-26 08:30:00 US/Central</t>
  </si>
  <si>
    <t>2015-1-26 12:16:46.898: openOrderEx - I am here</t>
  </si>
  <si>
    <t>2015-1-26 12:16:46.915: RTWSControl - orderStatus -  entering orderStatus id is 904 status is PreSubmitted</t>
  </si>
  <si>
    <t>2015-1-26 12:16:46.916: OrderManager - UpdateOrderStatus - id 904 Setting status to PreSubmitted workingOrderCount is now 1 workingQty -1582</t>
  </si>
  <si>
    <t>2015-1-26 12:16:46.918: OrderManagerView - UpdateMainSheetOpenOrder - entering UpdateMainSheetOpenOrder order.status is PreSubmitted</t>
  </si>
  <si>
    <t>2015-1-26 12:16:46.922: RTWSControl - OrderStatus - Got OrderStatus Message id:904 status: PreSubmitted filled: 0</t>
  </si>
  <si>
    <t>2015-1-26 12:16:46.923: RTWSControl - OrderStatus - exiting orderStatus</t>
  </si>
  <si>
    <t>2015-1-26 12:16:46.934: openOrderEx - I am here</t>
  </si>
  <si>
    <t>2015-1-26 12:16:46.941: RTWSControl - orderStatus -  entering orderStatus id is 904 status is PreSubmitted</t>
  </si>
  <si>
    <t>2015-1-26 12:16:46.943: OrderManager - UpdateOrderStatus - id 904 Setting status to PreSubmitted workingOrderCount is now 1 workingQty -1582</t>
  </si>
  <si>
    <t>2015-1-26 12:16:46.945: OrderManagerView - UpdateMainSheetOpenOrder - entering UpdateMainSheetOpenOrder order.status is PreSubmitted</t>
  </si>
  <si>
    <t>2015-1-26 12:16:46.949: RTWSControl - OrderStatus - Got OrderStatus Message id:904 status: PreSubmitted filled: 0</t>
  </si>
  <si>
    <t>2015-1-26 12:16:46.950: RTWSControl - OrderStatus - exiting orderStatus</t>
  </si>
  <si>
    <t>2015-1-26 12:17:1.938: OrderManager - cancelOrder - cancelling order id 904</t>
  </si>
  <si>
    <t>2015-1-26 12:17:1.939: OrderManager - PlaceOrder - id 905 workingQty -1533</t>
  </si>
  <si>
    <t>2015-1-26 12:17:1.940: OrderManagerView - UpdateMainSheetOpenOrder - entering UpdateMainSheetOpenOrder order.status is In-Flight</t>
  </si>
  <si>
    <t>2015-1-26 12:17:1.946: OrderManager - sendOrder - exiting place order id 905 BUY 49 1.5231  - workingQty -1533 currentPosition is 31 workingOrderCount is 2</t>
  </si>
  <si>
    <t>2015-1-26 12:17:1.947: OrderManager - cancelOrder - cancelling order id 899</t>
  </si>
  <si>
    <t>2015-1-26 12:17:1.948: OrderManager - createOrder - exiting without creating order - did not have validID</t>
  </si>
  <si>
    <t>2015-1-26 12:17:2.225: RTWSControl - nextValidId - entering nextValidId id is 906</t>
  </si>
  <si>
    <t>2015-1-26 12:17:2.232: RTWSControl - orderStatus -  entering orderStatus id is 904 status is Cancelled</t>
  </si>
  <si>
    <t>2015-1-26 12:17:2.233: OrderManager - UpdateOrderStatus - id 904 Setting status to Cancelled workingOrderCount is now 2 workingQty -1533</t>
  </si>
  <si>
    <t>2015-1-26 12:17:2.234: OrderManagerView - UpdateMainSheetOpenOrder - entering UpdateMainSheetOpenOrder order.status is Cancelled</t>
  </si>
  <si>
    <t>2015-1-26 12:17:2.237: RTWSControl - OrderStatus - Got OrderStatus Message id:904 status: Cancelled filled: 0</t>
  </si>
  <si>
    <t>2015-1-26 12:17:2.238: RTWSControl - OrderStatus - exiting orderStatus</t>
  </si>
  <si>
    <t>2015-1-26 12:17:2.279: RTWSControl - errMsg - got error message 202:Order Canceled - reason:with id 904</t>
  </si>
  <si>
    <t>2015-1-26 12:17:2.280: OrderManager - canceledOrder - cleaning up after canceled order 904BEWARE UNACCOUNTED FOR EXECUTIONS!!!</t>
  </si>
  <si>
    <t>2015-1-26 12:17:2.281: OrderManager - terminateOrder - cleaning up after Canceled 904  order was supposed to BUY 51 1.5236 STP LMT workingQty/OrderCount now -1584/1</t>
  </si>
  <si>
    <t>2015-1-26 12:17:2.282: OrderManagerView - UpdateMainSheetOpenOrder - entering UpdateMainSheetOpenOrder order.status is Canceled</t>
  </si>
  <si>
    <t>2015-1-26 12:17:2.295: RTWSControl - errMsg - got error message 399:Order Message:
BUY 49 GBP MAR'15
Warning: your order will not be placed at the exchange until 2015-01-26 08:30:00 US/Centralwith id 905</t>
  </si>
  <si>
    <t>2015-1-26 12:17:2.296: RTWSControl - errMsg - Got Error_x000D_id: 905_x000D_errorCode: 399_x000D_errorMsg: Order Message:
BUY 49 GBP MAR'15
Warning: your order will not be placed at the exchange until 2015-01-26 08:30:00 US/Central</t>
  </si>
  <si>
    <t>2015-1-26 12:17:2.336: openOrderEx - I am here</t>
  </si>
  <si>
    <t>2015-1-26 12:17:2.342: RTWSControl - orderStatus -  entering orderStatus id is 905 status is PreSubmitted</t>
  </si>
  <si>
    <t>2015-1-26 12:17:2.343: OrderManager - UpdateOrderStatus - id 905 Setting status to PreSubmitted workingOrderCount is now 1 workingQty -1584</t>
  </si>
  <si>
    <t>2015-1-26 12:17:2.344: OrderManagerView - UpdateMainSheetOpenOrder - entering UpdateMainSheetOpenOrder order.status is PreSubmitted</t>
  </si>
  <si>
    <t>2015-1-26 12:17:2.348: RTWSControl - OrderStatus - Got OrderStatus Message id:905 status: PreSubmitted filled: 0</t>
  </si>
  <si>
    <t>2015-1-26 12:17:2.348: RTWSControl - OrderStatus - exiting orderStatus</t>
  </si>
  <si>
    <t>2015-1-26 12:17:2.374: RTWSControl - orderStatus -  entering orderStatus id is 899 status is Cancelled</t>
  </si>
  <si>
    <t>2015-1-26 12:17:2.375: OrderManager - UpdateOrderStatus - id 899 Setting status to Cancelled workingOrderCount is now 1 workingQty -1584</t>
  </si>
  <si>
    <t>2015-1-26 12:17:2.376: OrderManagerView - UpdateMainSheetOpenOrder - entering UpdateMainSheetOpenOrder order.status is Cancelled</t>
  </si>
  <si>
    <t>2015-1-26 12:17:2.379: RTWSControl - OrderStatus - Got OrderStatus Message id:899 status: Cancelled filled: 0</t>
  </si>
  <si>
    <t>2015-1-26 12:17:2.380: RTWSControl - OrderStatus - exiting orderStatus</t>
  </si>
  <si>
    <t>2015-1-26 12:17:2.390: RTWSControl - errMsg - got error message 202:Order Canceled - reason:with id 899</t>
  </si>
  <si>
    <t>2015-1-26 12:17:2.391: OrderManager - canceledOrder - cleaning up after canceled order 899BEWARE UNACCOUNTED FOR EXECUTIONS!!!</t>
  </si>
  <si>
    <t>2015-1-26 12:17:2.392: OrderManager - terminateOrder - cleaning up after Canceled 899  order was supposed to SELL 51 1.4998 STP LMT workingQty/OrderCount now -1635/0</t>
  </si>
  <si>
    <t>2015-1-26 12:17:2.393: OrderManagerView - UpdateMainSheetOpenOrder - entering UpdateMainSheetOpenOrder order.status is Canceled</t>
  </si>
  <si>
    <t>2015-1-26 12:17:2.422: openOrderEx - I am here</t>
  </si>
  <si>
    <t>2015-1-26 12:17:2.429: RTWSControl - orderStatus -  entering orderStatus id is 905 status is PreSubmitted</t>
  </si>
  <si>
    <t>2015-1-26 12:17:2.430: OrderManager - UpdateOrderStatus - id 905 Setting status to PreSubmitted workingOrderCount is now 0 workingQty -1635</t>
  </si>
  <si>
    <t>2015-1-26 12:17:2.431: OrderManagerView - UpdateMainSheetOpenOrder - entering UpdateMainSheetOpenOrder order.status is PreSubmitted</t>
  </si>
  <si>
    <t>2015-1-26 12:17:2.434: RTWSControl - OrderStatus - Got OrderStatus Message id:905 status: PreSubmitted filled: 0</t>
  </si>
  <si>
    <t>2015-1-26 12:17:2.435: RTWSControl - OrderStatus - exiting orderStatus</t>
  </si>
  <si>
    <t>2015-1-26 12:17:13.875: OrderManager - PlaceOrder - id 906 workingQty -1684</t>
  </si>
  <si>
    <t>2015-1-26 12:17:13.876: OrderManagerView - UpdateMainSheetOpenOrder - entering UpdateMainSheetOpenOrder order.status is In-Flight</t>
  </si>
  <si>
    <t>2015-1-26 12:17:13.879: OrderManager - sendOrder - exiting place order id 906 SELL 49 1.5001  - workingQty -1684 currentPosition is 31 workingOrderCount is 1</t>
  </si>
  <si>
    <t>2015-1-26 12:17:14.277: RTWSControl - nextValidId - entering nextValidId id is 907</t>
  </si>
  <si>
    <t>2015-1-26 12:17:14.295: RTWSControl - errMsg - got error message 399:Order Message:
SELL 49 GBP MAR'15
Warning: your order will not be placed at the exchange until 2015-01-26 08:30:00 US/Centralwith id 906</t>
  </si>
  <si>
    <t>2015-1-26 12:17:14.296: RTWSControl - errMsg - Got Error_x000D_id: 906_x000D_errorCode: 399_x000D_errorMsg: Order Message:
SELL 49 GBP MAR'15
Warning: your order will not be placed at the exchange until 2015-01-26 08:30:00 US/Central</t>
  </si>
  <si>
    <t>2015-1-26 12:17:14.305: openOrderEx - I am here</t>
  </si>
  <si>
    <t>2015-1-26 12:17:14.311: RTWSControl - orderStatus -  entering orderStatus id is 906 status is PreSubmitted</t>
  </si>
  <si>
    <t>2015-1-26 12:17:14.312: OrderManager - UpdateOrderStatus - id 906 Setting status to PreSubmitted workingOrderCount is now 1 workingQty -1684</t>
  </si>
  <si>
    <t>2015-1-26 12:17:14.313: OrderManagerView - UpdateMainSheetOpenOrder - entering UpdateMainSheetOpenOrder order.status is PreSubmitted</t>
  </si>
  <si>
    <t>2015-1-26 12:17:14.316: RTWSControl - OrderStatus - Got OrderStatus Message id:906 status: PreSubmitted filled: 0</t>
  </si>
  <si>
    <t>2015-1-26 12:17:14.317: RTWSControl - OrderStatus - exiting orderStatus</t>
  </si>
  <si>
    <t>2015-1-26 12:17:14.337: openOrderEx - I am here</t>
  </si>
  <si>
    <t>2015-1-26 12:17:14.343: RTWSControl - orderStatus -  entering orderStatus id is 906 status is PreSubmitted</t>
  </si>
  <si>
    <t>2015-1-26 12:17:14.344: OrderManager - UpdateOrderStatus - id 906 Setting status to PreSubmitted workingOrderCount is now 1 workingQty -1684</t>
  </si>
  <si>
    <t>2015-1-26 12:17:14.345: OrderManagerView - UpdateMainSheetOpenOrder - entering UpdateMainSheetOpenOrder order.status is PreSubmitted</t>
  </si>
  <si>
    <t>2015-1-26 12:17:14.348: RTWSControl - OrderStatus - Got OrderStatus Message id:906 status: PreSubmitted filled: 0</t>
  </si>
  <si>
    <t>2015-1-26 12:17:14.349: RTWSControl - OrderStatus - exiting orderStatus</t>
  </si>
  <si>
    <t>2015-1-26 12:17:43.78: OrderManager - cancelOrder - cancelling order id 905</t>
  </si>
  <si>
    <t>2015-1-26 12:17:43.81: OrderManager - PlaceOrder - id 907 workingQty -1636</t>
  </si>
  <si>
    <t>2015-1-26 12:17:43.83: OrderManagerView - UpdateMainSheetOpenOrder - entering UpdateMainSheetOpenOrder order.status is In-Flight</t>
  </si>
  <si>
    <t>2015-1-26 12:17:43.95: OrderManager - sendOrder - exiting place order id 907 BUY 48 1.5228  - workingQty -1636 currentPosition is 31 workingOrderCount is 2</t>
  </si>
  <si>
    <t>2015-1-26 12:17:43.336: RTWSControl - nextValidId - entering nextValidId id is 908</t>
  </si>
  <si>
    <t>2015-1-26 12:17:43.391: RTWSControl - orderStatus -  entering orderStatus id is 905 status is Cancelled</t>
  </si>
  <si>
    <t>2015-1-26 12:17:43.392: OrderManager - UpdateOrderStatus - id 905 Setting status to Cancelled workingOrderCount is now 2 workingQty -1636</t>
  </si>
  <si>
    <t>2015-1-26 12:17:43.393: OrderManagerView - UpdateMainSheetOpenOrder - entering UpdateMainSheetOpenOrder order.status is Cancelled</t>
  </si>
  <si>
    <t>2015-1-26 12:17:43.396: RTWSControl - OrderStatus - Got OrderStatus Message id:905 status: Cancelled filled: 0</t>
  </si>
  <si>
    <t>2015-1-26 12:17:43.397: RTWSControl - OrderStatus - exiting orderStatus</t>
  </si>
  <si>
    <t>2015-1-26 12:17:43.440: RTWSControl - errMsg - got error message 202:Order Canceled - reason:with id 905</t>
  </si>
  <si>
    <t>2015-1-26 12:17:43.441: OrderManager - canceledOrder - cleaning up after canceled order 905BEWARE UNACCOUNTED FOR EXECUTIONS!!!</t>
  </si>
  <si>
    <t>2015-1-26 12:17:43.442: OrderManager - terminateOrder - cleaning up after Canceled 905  order was supposed to BUY 49 1.5231 STP LMT workingQty/OrderCount now -1685/1</t>
  </si>
  <si>
    <t>2015-1-26 12:17:43.444: OrderManagerView - UpdateMainSheetOpenOrder - entering UpdateMainSheetOpenOrder order.status is Canceled</t>
  </si>
  <si>
    <t>2015-1-26 12:17:43.508: RTWSControl - errMsg - got error message 399:Order Message:
BUY 48 GBP MAR'15
Warning: your order will not be placed at the exchange until 2015-01-26 08:30:00 US/Centralwith id 907</t>
  </si>
  <si>
    <t>2015-1-26 12:17:43.511: RTWSControl - errMsg - Got Error_x000D_id: 907_x000D_errorCode: 399_x000D_errorMsg: Order Message:
BUY 48 GBP MAR'15
Warning: your order will not be placed at the exchange until 2015-01-26 08:30:00 US/Central</t>
  </si>
  <si>
    <t>2015-1-26 12:17:43.537: openOrderEx - I am here</t>
  </si>
  <si>
    <t>2015-1-26 12:17:43.549: RTWSControl - orderStatus -  entering orderStatus id is 907 status is PreSubmitted</t>
  </si>
  <si>
    <t>2015-1-26 12:17:43.550: OrderManager - UpdateOrderStatus - id 907 Setting status to PreSubmitted workingOrderCount is now 1 workingQty -1685</t>
  </si>
  <si>
    <t>2015-1-26 12:17:43.551: OrderManagerView - UpdateMainSheetOpenOrder - entering UpdateMainSheetOpenOrder order.status is PreSubmitted</t>
  </si>
  <si>
    <t>2015-1-26 12:17:43.554: RTWSControl - OrderStatus - Got OrderStatus Message id:907 status: PreSubmitted filled: 0</t>
  </si>
  <si>
    <t>2015-1-26 12:17:43.555: RTWSControl - OrderStatus - exiting orderStatus</t>
  </si>
  <si>
    <t>2015-1-26 12:17:43.577: openOrderEx - I am here</t>
  </si>
  <si>
    <t>2015-1-26 12:17:43.584: RTWSControl - orderStatus -  entering orderStatus id is 907 status is PreSubmitted</t>
  </si>
  <si>
    <t>2015-1-26 12:17:43.584: OrderManager - UpdateOrderStatus - id 907 Setting status to PreSubmitted workingOrderCount is now 1 workingQty -1685</t>
  </si>
  <si>
    <t>2015-1-26 12:17:43.585: OrderManagerView - UpdateMainSheetOpenOrder - entering UpdateMainSheetOpenOrder order.status is PreSubmitted</t>
  </si>
  <si>
    <t>2015-1-26 12:17:43.589: RTWSControl - OrderStatus - Got OrderStatus Message id:907 status: PreSubmitted filled: 0</t>
  </si>
  <si>
    <t>2015-1-26 12:17:43.590: RTWSControl - OrderStatus - exiting orderStatus</t>
  </si>
  <si>
    <t>2015-1-26 12:17:51.931: OrderManager - cancelOrder - cancelling order id 907</t>
  </si>
  <si>
    <t>2015-1-26 12:17:51.932: OrderManager - PlaceOrder - id 908 workingQty -1636</t>
  </si>
  <si>
    <t>2015-1-26 12:17:51.933: OrderManagerView - UpdateMainSheetOpenOrder - entering UpdateMainSheetOpenOrder order.status is In-Flight</t>
  </si>
  <si>
    <t>2015-1-26 12:17:51.934: OrderManagerView - incrementNextOORow - there are no available OpenOrderView Rows!!!!!!</t>
  </si>
  <si>
    <t>2015-1-26 12:17:51.937: OrderManager - sendOrder - exiting place order id 908 BUY 49 1.523  - workingQty -1636 currentPosition is 31 workingOrderCount is 2</t>
  </si>
  <si>
    <t>2015-1-26 12:17:52.215: RTWSControl - nextValidId - entering nextValidId id is 909</t>
  </si>
  <si>
    <t>2015-1-26 12:17:52.221: RTWSControl - orderStatus -  entering orderStatus id is 907 status is Cancelled</t>
  </si>
  <si>
    <t>2015-1-26 12:17:52.222: OrderManager - UpdateOrderStatus - id 907 Setting status to Cancelled workingOrderCount is now 2 workingQty -1636</t>
  </si>
  <si>
    <t>2015-1-26 12:17:52.223: OrderManagerView - UpdateMainSheetOpenOrder - entering UpdateMainSheetOpenOrder order.status is Cancelled</t>
  </si>
  <si>
    <t>2015-1-26 12:17:52.226: RTWSControl - OrderStatus - Got OrderStatus Message id:907 status: Cancelled filled: 0</t>
  </si>
  <si>
    <t>2015-1-26 12:17:52.227: RTWSControl - OrderStatus - exiting orderStatus</t>
  </si>
  <si>
    <t>2015-1-26 12:17:52.249: RTWSControl - errMsg - got error message 202:Order Canceled - reason:with id 907</t>
  </si>
  <si>
    <t>2015-1-26 12:17:52.249: OrderManager - canceledOrder - cleaning up after canceled order 907BEWARE UNACCOUNTED FOR EXECUTIONS!!!</t>
  </si>
  <si>
    <t>2015-1-26 12:17:52.250: OrderManager - terminateOrder - cleaning up after Canceled 907  order was supposed to BUY 48 1.5228 STP LMT workingQty/OrderCount now -1684/1</t>
  </si>
  <si>
    <t>2015-1-26 12:17:52.251: OrderManagerView - UpdateMainSheetOpenOrder - entering UpdateMainSheetOpenOrder order.status is Canceled</t>
  </si>
  <si>
    <t>2015-1-26 12:17:52.381: RTWSControl - errMsg - got error message 399:Order Message:
BUY 49 GBP MAR'15
Warning: your order will not be placed at the exchange until 2015-01-26 08:30:00 US/Centralwith id 908</t>
  </si>
  <si>
    <t>2015-1-26 12:17:52.385: RTWSControl - errMsg - Got Error_x000D_id: 908_x000D_errorCode: 399_x000D_errorMsg: Order Message:
BUY 49 GBP MAR'15
Warning: your order will not be placed at the exchange until 2015-01-26 08:30:00 US/Central</t>
  </si>
  <si>
    <t>2015-1-26 12:17:52.412: openOrderEx - I am here</t>
  </si>
  <si>
    <t>2015-1-26 12:17:52.424: RTWSControl - orderStatus -  entering orderStatus id is 908 status is PreSubmitted</t>
  </si>
  <si>
    <t>2015-1-26 12:17:52.425: OrderManager - UpdateOrderStatus - id 908 Setting status to PreSubmitted workingOrderCount is now 1 workingQty -1684</t>
  </si>
  <si>
    <t>2015-1-26 12:17:52.427: OrderManagerView - UpdateMainSheetOpenOrder - entering UpdateMainSheetOpenOrder order.status is PreSubmitted</t>
  </si>
  <si>
    <t>2015-1-26 12:17:52.431: RTWSControl - OrderStatus - Got OrderStatus Message id:908 status: PreSubmitted filled: 0</t>
  </si>
  <si>
    <t>2015-1-26 12:17:52.431: RTWSControl - OrderStatus - exiting orderStatus</t>
  </si>
  <si>
    <t>2015-1-26 12:17:52.456: openOrderEx - I am here</t>
  </si>
  <si>
    <t>2015-1-26 12:17:52.462: RTWSControl - orderStatus -  entering orderStatus id is 908 status is PreSubmitted</t>
  </si>
  <si>
    <t>2015-1-26 12:17:52.463: OrderManager - UpdateOrderStatus - id 908 Setting status to PreSubmitted workingOrderCount is now 1 workingQty -1684</t>
  </si>
  <si>
    <t>2015-1-26 12:17:52.464: OrderManagerView - UpdateMainSheetOpenOrder - entering UpdateMainSheetOpenOrder order.status is PreSubmitted</t>
  </si>
  <si>
    <t>2015-1-26 12:17:52.467: RTWSControl - OrderStatus - Got OrderStatus Message id:908 status: PreSubmitted filled: 0</t>
  </si>
  <si>
    <t>2015-1-26 12:17:52.468: RTWSControl - OrderStatus - exiting orderStatus</t>
  </si>
  <si>
    <t>2015-1-26 12:17:54.418: OrderManager - cancelOrder - cancelling order id 906</t>
  </si>
  <si>
    <t>2015-1-26 12:17:54.421: OrderManager - PlaceOrder - id 909 workingQty -1732</t>
  </si>
  <si>
    <t>2015-1-26 12:17:54.423: OrderManagerView - UpdateMainSheetOpenOrder - entering UpdateMainSheetOpenOrder order.status is In-Flight</t>
  </si>
  <si>
    <t>2015-1-26 12:17:54.435: OrderManager - sendOrder - exiting place order id 909 SELL 48 1.5003  - workingQty -1732 currentPosition is 31 workingOrderCount is 2</t>
  </si>
  <si>
    <t>2015-1-26 12:17:55.436: RTWSControl - nextValidId - entering nextValidId id is 910</t>
  </si>
  <si>
    <t>2015-1-26 12:17:55.458: RTWSControl - orderStatus -  entering orderStatus id is 906 status is Cancelled</t>
  </si>
  <si>
    <t>2015-1-26 12:17:55.459: OrderManager - UpdateOrderStatus - id 906 Setting status to Cancelled workingOrderCount is now 2 workingQty -1732</t>
  </si>
  <si>
    <t>2015-1-26 12:17:55.460: OrderManagerView - UpdateMainSheetOpenOrder - entering UpdateMainSheetOpenOrder order.status is Cancelled</t>
  </si>
  <si>
    <t>2015-1-26 12:17:55.463: RTWSControl - OrderStatus - Got OrderStatus Message id:906 status: Cancelled filled: 0</t>
  </si>
  <si>
    <t>2015-1-26 12:17:55.464: RTWSControl - OrderStatus - exiting orderStatus</t>
  </si>
  <si>
    <t>2015-1-26 12:17:55.474: RTWSControl - errMsg - got error message 202:Order Canceled - reason:with id 906</t>
  </si>
  <si>
    <t>2015-1-26 12:17:55.475: OrderManager - canceledOrder - cleaning up after canceled order 906BEWARE UNACCOUNTED FOR EXECUTIONS!!!</t>
  </si>
  <si>
    <t>2015-1-26 12:17:55.477: OrderManager - terminateOrder - cleaning up after Canceled 906  order was supposed to SELL 49 1.5001 STP LMT workingQty/OrderCount now -1781/1</t>
  </si>
  <si>
    <t>2015-1-26 12:17:55.478: OrderManagerView - UpdateMainSheetOpenOrder - entering UpdateMainSheetOpenOrder order.status is Canceled</t>
  </si>
  <si>
    <t>2015-1-26 12:17:55.794: RTWSControl - errMsg - got error message 399:Order Message:
SELL 48 GBP MAR'15
Warning: your order will not be placed at the exchange until 2015-01-26 08:30:00 US/Centralwith id 909</t>
  </si>
  <si>
    <t>2015-1-26 12:17:55.796: RTWSControl - errMsg - Got Error_x000D_id: 909_x000D_errorCode: 399_x000D_errorMsg: Order Message:
SELL 48 GBP MAR'15
Warning: your order will not be placed at the exchange until 2015-01-26 08:30:00 US/Central</t>
  </si>
  <si>
    <t>2015-1-26 12:17:55.807: openOrderEx - I am here</t>
  </si>
  <si>
    <t>2015-1-26 12:17:55.831: RTWSControl - orderStatus -  entering orderStatus id is 909 status is PreSubmitted</t>
  </si>
  <si>
    <t>2015-1-26 12:17:55.832: OrderManager - UpdateOrderStatus - id 909 Setting status to PreSubmitted workingOrderCount is now 1 workingQty -1781</t>
  </si>
  <si>
    <t>2015-1-26 12:17:55.833: OrderManagerView - UpdateMainSheetOpenOrder - entering UpdateMainSheetOpenOrder order.status is PreSubmitted</t>
  </si>
  <si>
    <t>2015-1-26 12:17:55.836: RTWSControl - OrderStatus - Got OrderStatus Message id:909 status: PreSubmitted filled: 0</t>
  </si>
  <si>
    <t>2015-1-26 12:17:55.837: RTWSControl - OrderStatus - exiting orderStatus</t>
  </si>
  <si>
    <t>2015-1-26 12:17:55.850: openOrderEx - I am here</t>
  </si>
  <si>
    <t>2015-1-26 12:17:55.874: RTWSControl - orderStatus -  entering orderStatus id is 909 status is PreSubmitted</t>
  </si>
  <si>
    <t>2015-1-26 12:17:55.874: OrderManager - UpdateOrderStatus - id 909 Setting status to PreSubmitted workingOrderCount is now 1 workingQty -1781</t>
  </si>
  <si>
    <t>2015-1-26 12:17:55.875: OrderManagerView - UpdateMainSheetOpenOrder - entering UpdateMainSheetOpenOrder order.status is PreSubmitted</t>
  </si>
  <si>
    <t>2015-1-26 12:17:55.878: RTWSControl - OrderStatus - Got OrderStatus Message id:909 status: PreSubmitted filled: 0</t>
  </si>
  <si>
    <t>2015-1-26 12:17:55.879: RTWSControl - OrderStatus - exiting orderStatus</t>
  </si>
  <si>
    <t>2015-1-26 12:17:57.677: OrderManager - cancelOrder - cancelling order id 908</t>
  </si>
  <si>
    <t>2015-1-26 12:17:57.680: OrderManager - PlaceOrder - id 910 workingQty -1734</t>
  </si>
  <si>
    <t>2015-1-26 12:17:57.683: OrderManagerView - UpdateMainSheetOpenOrder - entering UpdateMainSheetOpenOrder order.status is In-Flight</t>
  </si>
  <si>
    <t>2015-1-26 12:17:57.692: OrderManager - sendOrder - exiting place order id 910 BUY 47 1.5225  - workingQty -1734 currentPosition is 31 workingOrderCount is 2</t>
  </si>
  <si>
    <t>2015-1-26 12:17:57.899: RTWSControl - nextValidId - entering nextValidId id is 911</t>
  </si>
  <si>
    <t>2015-1-26 12:17:57.986: RTWSControl - orderStatus -  entering orderStatus id is 908 status is Cancelled</t>
  </si>
  <si>
    <t>2015-1-26 12:17:57.987: OrderManager - UpdateOrderStatus - id 908 Setting status to Cancelled workingOrderCount is now 2 workingQty -1734</t>
  </si>
  <si>
    <t>2015-1-26 12:17:57.988: OrderManagerView - UpdateMainSheetOpenOrder - entering UpdateMainSheetOpenOrder order.status is Cancelled</t>
  </si>
  <si>
    <t>2015-1-26 12:17:57.992: RTWSControl - OrderStatus - Got OrderStatus Message id:908 status: Cancelled filled: 0</t>
  </si>
  <si>
    <t>2015-1-26 12:17:57.993: RTWSControl - OrderStatus - exiting orderStatus</t>
  </si>
  <si>
    <t>2015-1-26 12:17:58.6: RTWSControl - errMsg - got error message 202:Order Canceled - reason:with id 908</t>
  </si>
  <si>
    <t>2015-1-26 12:17:58.6: OrderManager - canceledOrder - cleaning up after canceled order 908BEWARE UNACCOUNTED FOR EXECUTIONS!!!</t>
  </si>
  <si>
    <t>2015-1-26 12:17:58.7: OrderManager - terminateOrder - cleaning up after Canceled 908  order was supposed to BUY 49 1.523 STP LMT workingQty/OrderCount now -1783/1</t>
  </si>
  <si>
    <t>2015-1-26 12:17:58.9: OrderManagerView - UpdateMainSheetOpenOrder - entering UpdateMainSheetOpenOrder order.status is Canceled</t>
  </si>
  <si>
    <t>2015-1-26 12:17:58.38: RTWSControl - errMsg - got error message 399:Order Message:
BUY 47 GBP MAR'15
Warning: your order will not be placed at the exchange until 2015-01-26 08:30:00 US/Centralwith id 910</t>
  </si>
  <si>
    <t>2015-1-26 12:17:58.39: RTWSControl - errMsg - Got Error_x000D_id: 910_x000D_errorCode: 399_x000D_errorMsg: Order Message:
BUY 47 GBP MAR'15
Warning: your order will not be placed at the exchange until 2015-01-26 08:30:00 US/Central</t>
  </si>
  <si>
    <t>2015-1-26 12:17:58.50: openOrderEx - I am here</t>
  </si>
  <si>
    <t>2015-1-26 12:17:58.81: RTWSControl - orderStatus -  entering orderStatus id is 910 status is PreSubmitted</t>
  </si>
  <si>
    <t>2015-1-26 12:17:58.81: OrderManager - UpdateOrderStatus - id 910 Setting status to PreSubmitted workingOrderCount is now 1 workingQty -1783</t>
  </si>
  <si>
    <t>2015-1-26 12:17:58.82: OrderManagerView - UpdateMainSheetOpenOrder - entering UpdateMainSheetOpenOrder order.status is PreSubmitted</t>
  </si>
  <si>
    <t>2015-1-26 12:17:58.86: RTWSControl - OrderStatus - Got OrderStatus Message id:910 status: PreSubmitted filled: 0</t>
  </si>
  <si>
    <t>2015-1-26 12:17:58.86: RTWSControl - OrderStatus - exiting orderStatus</t>
  </si>
  <si>
    <t>2015-1-26 12:17:58.99: openOrderEx - I am here</t>
  </si>
  <si>
    <t>2015-1-26 12:17:58.123: RTWSControl - orderStatus -  entering orderStatus id is 910 status is PreSubmitted</t>
  </si>
  <si>
    <t>2015-1-26 12:17:58.124: OrderManager - UpdateOrderStatus - id 910 Setting status to PreSubmitted workingOrderCount is now 1 workingQty -1783</t>
  </si>
  <si>
    <t>2015-1-26 12:17:58.125: OrderManagerView - UpdateMainSheetOpenOrder - entering UpdateMainSheetOpenOrder order.status is PreSubmitted</t>
  </si>
  <si>
    <t>2015-1-26 12:17:58.128: RTWSControl - OrderStatus - Got OrderStatus Message id:910 status: PreSubmitted filled: 0</t>
  </si>
  <si>
    <t>2015-1-26 12:17:58.129: RTWSControl - OrderStatus - exiting orderStatus</t>
  </si>
  <si>
    <t>2015-1-26 12:18:1.468: Algorithm - FindNextStrikes - price is 1.5014 nextStrikeUp/Down 1.505/1.5</t>
  </si>
  <si>
    <t>2015-1-26 12:18:1.469: Algorithm - getPortfolioForwardDelta - required deltas is -20 currentHedgePosition is 31</t>
  </si>
  <si>
    <t>2015-1-26 12:18:1.470: Algorithm - getHedgeShortfall - required deltas is -20 price is 1.5015 currentHedgePositionDeltas is 31</t>
  </si>
  <si>
    <t>2015-1-26 12:18:1.471: Algorithm - processTransitionPoint - nextUpper/LowerStrikes are 1.505/1.5 requiredDeltas/currentPosition/currentHedgeShortfall/direction/transitionPrice are -20/31/-51/1/1.5015</t>
  </si>
  <si>
    <t>2015-1-26 12:18:1.472: TransitionLogger - processTransitionpoint - checking transition - currentHedgeShortfall is -51</t>
  </si>
  <si>
    <t>2015-1-26 12:18:1.474: Algorithm - updatePortfolio - haveAllDetails is True</t>
  </si>
  <si>
    <t>2015-1-26 12:18:1.476: RTWSControl - updatePortfolioEx - An Error Occured Object variable or With block variable not set</t>
  </si>
  <si>
    <t>2015-1-26 12:18:1.512: Algorithm - FindNextStrikes - price is 1.5014 nextStrikeUp/Down 1.505/1.5</t>
  </si>
  <si>
    <t>2015-1-26 12:18:1.513: Algorithm - getPortfolioForwardDelta - required deltas is -20 currentHedgePosition is 31</t>
  </si>
  <si>
    <t>2015-1-26 12:18:1.514: Algorithm - getHedgeShortfall - required deltas is -20 price is 1.5015 currentHedgePositionDeltas is 31</t>
  </si>
  <si>
    <t>2015-1-26 12:18:1.515: Algorithm - processTransitionPoint - nextUpper/LowerStrikes are 1.505/1.5 requiredDeltas/currentPosition/currentHedgeShortfall/direction/transitionPrice are -20/31/-51/1/1.5015</t>
  </si>
  <si>
    <t>2015-1-26 12:18:1.516: TransitionLogger - processTransitionpoint - checking transition - currentHedgeShortfall is -51</t>
  </si>
  <si>
    <t>2015-1-26 12:18:1.518: Algorithm - updatePortfolio - haveAllDetails is True</t>
  </si>
  <si>
    <t>2015-1-26 12:18:1.519: RTWSControl - updatePortfolioEx - An Error Occured Object variable or With block variable not set</t>
  </si>
  <si>
    <t>2015-1-26 12:18:1.562: Algorithm - FindNextStrikes - price is 1.5014 nextStrikeUp/Down 1.505/1.5</t>
  </si>
  <si>
    <t>2015-1-26 12:18:1.563: Algorithm - getPortfolioForwardDelta - required deltas is -20 currentHedgePosition is 31</t>
  </si>
  <si>
    <t>2015-1-26 12:18:1.564: Algorithm - getHedgeShortfall - required deltas is -20 price is 1.5015 currentHedgePositionDeltas is 31</t>
  </si>
  <si>
    <t>2015-1-26 12:18:1.565: Algorithm - processTransitionPoint - nextUpper/LowerStrikes are 1.505/1.5 requiredDeltas/currentPosition/currentHedgeShortfall/direction/transitionPrice are -20/31/-51/1/1.5015</t>
  </si>
  <si>
    <t>2015-1-26 12:18:1.566: TransitionLogger - processTransitionpoint - checking transition - currentHedgeShortfall is -51</t>
  </si>
  <si>
    <t>2015-1-26 12:18:1.567: Algorithm - updatePortfolio - haveAllDetails is True</t>
  </si>
  <si>
    <t>2015-1-26 12:18:1.569: RTWSControl - updatePortfolioEx - An Error Occured Object variable or With block variable not set</t>
  </si>
  <si>
    <t>2015-1-26 12:18:1.606: Algorithm - FindNextStrikes - price is 1.5014 nextStrikeUp/Down 1.505/1.5</t>
  </si>
  <si>
    <t>2015-1-26 12:18:1.607: Algorithm - getPortfolioForwardDelta - required deltas is -20 currentHedgePosition is 31</t>
  </si>
  <si>
    <t>2015-1-26 12:18:1.607: Algorithm - getHedgeShortfall - required deltas is -20 price is 1.5015 currentHedgePositionDeltas is 31</t>
  </si>
  <si>
    <t>2015-1-26 12:18:1.608: Algorithm - processTransitionPoint - nextUpper/LowerStrikes are 1.505/1.5 requiredDeltas/currentPosition/currentHedgeShortfall/direction/transitionPrice are -20/31/-51/1/1.5015</t>
  </si>
  <si>
    <t>2015-1-26 12:18:1.609: TransitionLogger - processTransitionpoint - checking transition - currentHedgeShortfall is -51</t>
  </si>
  <si>
    <t>2015-1-26 12:18:1.611: Algorithm - updatePortfolio - haveAllDetails is True</t>
  </si>
  <si>
    <t>2015-1-26 12:18:1.613: RTWSControl - updatePortfolioEx - An Error Occured Object variable or With block variable not set</t>
  </si>
  <si>
    <t>2015-1-26 12:18:1.649: Algorithm - FindNextStrikes - price is 1.5014 nextStrikeUp/Down 1.505/1.5</t>
  </si>
  <si>
    <t>2015-1-26 12:18:1.650: Algorithm - getPortfolioForwardDelta - required deltas is -20 currentHedgePosition is 31</t>
  </si>
  <si>
    <t>2015-1-26 12:18:1.651: Algorithm - getHedgeShortfall - required deltas is -20 price is 1.5015 currentHedgePositionDeltas is 31</t>
  </si>
  <si>
    <t>2015-1-26 12:18:1.652: Algorithm - processTransitionPoint - nextUpper/LowerStrikes are 1.505/1.5 requiredDeltas/currentPosition/currentHedgeShortfall/direction/transitionPrice are -20/31/-51/1/1.5015</t>
  </si>
  <si>
    <t>2015-1-26 12:18:1.653: TransitionLogger - processTransitionpoint - checking transition - currentHedgeShortfall is -51</t>
  </si>
  <si>
    <t>2015-1-26 12:18:1.655: Algorithm - updatePortfolio - haveAllDetails is True</t>
  </si>
  <si>
    <t>2015-1-26 12:18:1.656: RTWSControl - updatePortfolioEx - An Error Occured Object variable or With block variable not set</t>
  </si>
  <si>
    <t>2015-1-26 12:18:1.690: Algorithm - FindNextStrikes - price is 1.5014 nextStrikeUp/Down 1.505/1.5</t>
  </si>
  <si>
    <t>2015-1-26 12:18:1.691: Algorithm - getPortfolioForwardDelta - required deltas is -20 currentHedgePosition is 31</t>
  </si>
  <si>
    <t>2015-1-26 12:18:1.692: Algorithm - getHedgeShortfall - required deltas is -20 price is 1.5015 currentHedgePositionDeltas is 31</t>
  </si>
  <si>
    <t>2015-1-26 12:18:1.693: Algorithm - processTransitionPoint - nextUpper/LowerStrikes are 1.505/1.5 requiredDeltas/currentPosition/currentHedgeShortfall/direction/transitionPrice are -20/31/-51/1/1.5015</t>
  </si>
  <si>
    <t>2015-1-26 12:18:1.694: TransitionLogger - processTransitionpoint - checking transition - currentHedgeShortfall is -51</t>
  </si>
  <si>
    <t>2015-1-26 12:18:1.696: Algorithm - updatePortfolio - haveAllDetails is True</t>
  </si>
  <si>
    <t>2015-1-26 12:18:1.697: RTWSControl - updatePortfolioEx - An Error Occured Object variable or With block variable not set</t>
  </si>
  <si>
    <t>2015-1-26 12:18:1.731: Algorithm - FindNextStrikes - price is 1.5014 nextStrikeUp/Down 1.505/1.5</t>
  </si>
  <si>
    <t>2015-1-26 12:18:1.732: Algorithm - getPortfolioForwardDelta - required deltas is -20 currentHedgePosition is 31</t>
  </si>
  <si>
    <t>2015-1-26 12:18:1.733: Algorithm - getHedgeShortfall - required deltas is -20 price is 1.5015 currentHedgePositionDeltas is 31</t>
  </si>
  <si>
    <t>2015-1-26 12:18:1.734: Algorithm - processTransitionPoint - nextUpper/LowerStrikes are 1.505/1.5 requiredDeltas/currentPosition/currentHedgeShortfall/direction/transitionPrice are -20/31/-51/1/1.5015</t>
  </si>
  <si>
    <t>2015-1-26 12:18:1.735: TransitionLogger - processTransitionpoint - checking transition - currentHedgeShortfall is -51</t>
  </si>
  <si>
    <t>2015-1-26 12:18:1.737: Algorithm - updatePortfolio - haveAllDetails is True</t>
  </si>
  <si>
    <t>2015-1-26 12:18:1.738: RTWSControl - updatePortfolioEx - An Error Occured Object variable or With block variable not set</t>
  </si>
  <si>
    <t>2015-1-26 12:18:1.775: Algorithm - FindNextStrikes - price is 1.5014 nextStrikeUp/Down 1.505/1.5</t>
  </si>
  <si>
    <t>2015-1-26 12:18:1.776: Algorithm - getPortfolioForwardDelta - required deltas is -20 currentHedgePosition is 31</t>
  </si>
  <si>
    <t>2015-1-26 12:18:1.777: Algorithm - getHedgeShortfall - required deltas is -20 price is 1.5015 currentHedgePositionDeltas is 31</t>
  </si>
  <si>
    <t>2015-1-26 12:18:1.778: Algorithm - processTransitionPoint - nextUpper/LowerStrikes are 1.505/1.5 requiredDeltas/currentPosition/currentHedgeShortfall/direction/transitionPrice are -20/31/-51/1/1.5015</t>
  </si>
  <si>
    <t>2015-1-26 12:18:1.779: TransitionLogger - processTransitionpoint - checking transition - currentHedgeShortfall is -51</t>
  </si>
  <si>
    <t>2015-1-26 12:18:1.781: Algorithm - updatePortfolio - haveAllDetails is True</t>
  </si>
  <si>
    <t>2015-1-26 12:18:1.782: RTWSControl - updatePortfolioEx - An Error Occured Object variable or With block variable not set</t>
  </si>
  <si>
    <t>2015-1-26 12:18:25.551: OrderManager - cancelOrder - cancelling order id 910</t>
  </si>
  <si>
    <t>2015-1-26 12:18:25.552: OrderManager - PlaceOrder - id 911 workingQty -1735</t>
  </si>
  <si>
    <t>2015-1-26 12:18:25.553: OrderManagerView - UpdateMainSheetOpenOrder - entering UpdateMainSheetOpenOrder order.status is In-Flight</t>
  </si>
  <si>
    <t>2015-1-26 12:18:25.557: OrderManager - sendOrder - exiting place order id 911 BUY 48 1.5227  - workingQty -1735 currentPosition is 31 workingOrderCount is 2</t>
  </si>
  <si>
    <t>2015-1-26 12:18:25.675: RTWSControl - nextValidId - entering nextValidId id is 912</t>
  </si>
  <si>
    <t>2015-1-26 12:18:25.879: RTWSControl - orderStatus -  entering orderStatus id is 910 status is Cancelled</t>
  </si>
  <si>
    <t>2015-1-26 12:18:25.882: OrderManager - UpdateOrderStatus - id 910 Setting status to Cancelled workingOrderCount is now 2 workingQty -1735</t>
  </si>
  <si>
    <t>2015-1-26 12:18:25.887: OrderManagerView - UpdateMainSheetOpenOrder - entering UpdateMainSheetOpenOrder order.status is Cancelled</t>
  </si>
  <si>
    <t>2015-1-26 12:18:25.901: RTWSControl - OrderStatus - Got OrderStatus Message id:910 status: Cancelled filled: 0</t>
  </si>
  <si>
    <t>2015-1-26 12:18:25.904: RTWSControl - OrderStatus - exiting orderStatus</t>
  </si>
  <si>
    <t>2015-1-26 12:18:25.922: RTWSControl - errMsg - got error message 202:Order Canceled - reason:with id 910</t>
  </si>
  <si>
    <t>2015-1-26 12:18:25.923: OrderManager - canceledOrder - cleaning up after canceled order 910BEWARE UNACCOUNTED FOR EXECUTIONS!!!</t>
  </si>
  <si>
    <t>2015-1-26 12:18:25.925: OrderManager - terminateOrder - cleaning up after Canceled 910  order was supposed to BUY 47 1.5225 STP LMT workingQty/OrderCount now -1782/1</t>
  </si>
  <si>
    <t>2015-1-26 12:18:25.927: OrderManagerView - UpdateMainSheetOpenOrder - entering UpdateMainSheetOpenOrder order.status is Canceled</t>
  </si>
  <si>
    <t>2015-1-26 12:18:25.955: RTWSControl - errMsg - got error message 399:Order Message:
BUY 48 GBP MAR'15
Warning: your order will not be placed at the exchange until 2015-01-26 08:30:00 US/Centralwith id 911</t>
  </si>
  <si>
    <t>2015-1-26 12:18:25.956: RTWSControl - errMsg - Got Error_x000D_id: 911_x000D_errorCode: 399_x000D_errorMsg: Order Message:
BUY 48 GBP MAR'15
Warning: your order will not be placed at the exchange until 2015-01-26 08:30:00 US/Central</t>
  </si>
  <si>
    <t>2015-1-26 12:18:25.968: openOrderEx - I am here</t>
  </si>
  <si>
    <t>2015-1-26 12:18:25.999: RTWSControl - orderStatus -  entering orderStatus id is 911 status is PreSubmitted</t>
  </si>
  <si>
    <t>2015-1-26 12:18:25.999: OrderManager - UpdateOrderStatus - id 911 Setting status to PreSubmitted workingOrderCount is now 1 workingQty -1782</t>
  </si>
  <si>
    <t>2015-1-26 12:18:26.1: OrderManagerView - UpdateMainSheetOpenOrder - entering UpdateMainSheetOpenOrder order.status is PreSubmitted</t>
  </si>
  <si>
    <t>2015-1-26 12:18:26.4: RTWSControl - OrderStatus - Got OrderStatus Message id:911 status: PreSubmitted filled: 0</t>
  </si>
  <si>
    <t>2015-1-26 12:18:26.4: RTWSControl - OrderStatus - exiting orderStatus</t>
  </si>
  <si>
    <t>2015-1-26 12:18:26.18: openOrderEx - I am here</t>
  </si>
  <si>
    <t>2015-1-26 12:18:26.40: RTWSControl - orderStatus -  entering orderStatus id is 911 status is PreSubmitted</t>
  </si>
  <si>
    <t>2015-1-26 12:18:26.41: OrderManager - UpdateOrderStatus - id 911 Setting status to PreSubmitted workingOrderCount is now 1 workingQty -1782</t>
  </si>
  <si>
    <t>2015-1-26 12:18:26.42: OrderManagerView - UpdateMainSheetOpenOrder - entering UpdateMainSheetOpenOrder order.status is PreSubmitted</t>
  </si>
  <si>
    <t>2015-1-26 12:18:26.45: RTWSControl - OrderStatus - Got OrderStatus Message id:911 status: PreSubmitted filled: 0</t>
  </si>
  <si>
    <t>2015-1-26 12:18:26.45: RTWSControl - OrderStatus - exiting orderStatus</t>
  </si>
  <si>
    <t>2015-1-26 12:18:45.714: OrderManager - cancelOrder - cancelling order id 911</t>
  </si>
  <si>
    <t>2015-1-26 12:18:45.715: OrderManager - PlaceOrder - id 912 workingQty -1734</t>
  </si>
  <si>
    <t>2015-1-26 12:18:45.715: OrderManagerView - UpdateMainSheetOpenOrder - entering UpdateMainSheetOpenOrder order.status is In-Flight</t>
  </si>
  <si>
    <t>2015-1-26 12:18:45.718: OrderManager - sendOrder - exiting place order id 912 BUY 48 1.5229  - workingQty -1734 currentPosition is 31 workingOrderCount is 2</t>
  </si>
  <si>
    <t>2015-1-26 12:18:46.340: RTWSControl - nextValidId - entering nextValidId id is 913</t>
  </si>
  <si>
    <t>2015-1-26 12:18:46.346: RTWSControl - orderStatus -  entering orderStatus id is 911 status is Cancelled</t>
  </si>
  <si>
    <t>2015-1-26 12:18:46.347: OrderManager - UpdateOrderStatus - id 911 Setting status to Cancelled workingOrderCount is now 2 workingQty -1734</t>
  </si>
  <si>
    <t>2015-1-26 12:18:46.348: OrderManagerView - UpdateMainSheetOpenOrder - entering UpdateMainSheetOpenOrder order.status is Cancelled</t>
  </si>
  <si>
    <t>2015-1-26 12:18:46.351: RTWSControl - OrderStatus - Got OrderStatus Message id:911 status: Cancelled filled: 0</t>
  </si>
  <si>
    <t>2015-1-26 12:18:46.352: RTWSControl - OrderStatus - exiting orderStatus</t>
  </si>
  <si>
    <t>2015-1-26 12:18:46.378: RTWSControl - errMsg - got error message 202:Order Canceled - reason:with id 911</t>
  </si>
  <si>
    <t>2015-1-26 12:18:46.379: OrderManager - canceledOrder - cleaning up after canceled order 911BEWARE UNACCOUNTED FOR EXECUTIONS!!!</t>
  </si>
  <si>
    <t>2015-1-26 12:18:46.380: OrderManager - terminateOrder - cleaning up after Canceled 911  order was supposed to BUY 48 1.5227 STP LMT workingQty/OrderCount now -1782/1</t>
  </si>
  <si>
    <t>2015-1-26 12:18:46.381: OrderManagerView - UpdateMainSheetOpenOrder - entering UpdateMainSheetOpenOrder order.status is Canceled</t>
  </si>
  <si>
    <t>2015-1-26 12:18:46.417: RTWSControl - errMsg - got error message 399:Order Message:
BUY 48 GBP MAR'15
Warning: your order will not be placed at the exchange until 2015-01-26 08:30:00 US/Centralwith id 912</t>
  </si>
  <si>
    <t>2015-1-26 12:18:46.418: RTWSControl - errMsg - Got Error_x000D_id: 912_x000D_errorCode: 399_x000D_errorMsg: Order Message:
BUY 48 GBP MAR'15
Warning: your order will not be placed at the exchange until 2015-01-26 08:30:00 US/Central</t>
  </si>
  <si>
    <t>2015-1-26 12:18:46.429: openOrderEx - I am here</t>
  </si>
  <si>
    <t>2015-1-26 12:18:46.435: RTWSControl - orderStatus -  entering orderStatus id is 912 status is PreSubmitted</t>
  </si>
  <si>
    <t>2015-1-26 12:18:46.436: OrderManager - UpdateOrderStatus - id 912 Setting status to PreSubmitted workingOrderCount is now 1 workingQty -1782</t>
  </si>
  <si>
    <t>2015-1-26 12:18:46.437: OrderManagerView - UpdateMainSheetOpenOrder - entering UpdateMainSheetOpenOrder order.status is PreSubmitted</t>
  </si>
  <si>
    <t>2015-1-26 12:18:46.441: RTWSControl - OrderStatus - Got OrderStatus Message id:912 status: PreSubmitted filled: 0</t>
  </si>
  <si>
    <t>2015-1-26 12:18:46.441: RTWSControl - OrderStatus - exiting orderStatus</t>
  </si>
  <si>
    <t>2015-1-26 12:18:46.465: openOrderEx - I am here</t>
  </si>
  <si>
    <t>2015-1-26 12:18:46.471: RTWSControl - orderStatus -  entering orderStatus id is 912 status is PreSubmitted</t>
  </si>
  <si>
    <t>2015-1-26 12:18:46.472: OrderManager - UpdateOrderStatus - id 912 Setting status to PreSubmitted workingOrderCount is now 1 workingQty -1782</t>
  </si>
  <si>
    <t>2015-1-26 12:18:46.473: OrderManagerView - UpdateMainSheetOpenOrder - entering UpdateMainSheetOpenOrder order.status is PreSubmitted</t>
  </si>
  <si>
    <t>2015-1-26 12:18:46.476: RTWSControl - OrderStatus - Got OrderStatus Message id:912 status: PreSubmitted filled: 0</t>
  </si>
  <si>
    <t>2015-1-26 12:18:46.477: RTWSControl - OrderStatus - exiting orderStatus</t>
  </si>
  <si>
    <t>2015-1-26 12:18:47.543: OrderManager - cancelOrder - cancelling order id 912</t>
  </si>
  <si>
    <t>2015-1-26 12:18:47.544: OrderManager - PlaceOrder - id 913 workingQty -1734</t>
  </si>
  <si>
    <t>2015-1-26 12:18:47.545: OrderManagerView - UpdateMainSheetOpenOrder - entering UpdateMainSheetOpenOrder order.status is In-Flight</t>
  </si>
  <si>
    <t>2015-1-26 12:18:47.548: OrderManager - sendOrder - exiting place order id 913 BUY 48 1.5225  - workingQty -1734 currentPosition is 31 workingOrderCount is 2</t>
  </si>
  <si>
    <t>2015-1-26 12:18:48.97: RTWSControl - nextValidId - entering nextValidId id is 914</t>
  </si>
  <si>
    <t>2015-1-26 12:18:48.103: RTWSControl - orderStatus -  entering orderStatus id is 912 status is Cancelled</t>
  </si>
  <si>
    <t>2015-1-26 12:18:48.104: OrderManager - UpdateOrderStatus - id 912 Setting status to Cancelled workingOrderCount is now 2 workingQty -1734</t>
  </si>
  <si>
    <t>2015-1-26 12:18:48.105: OrderManagerView - UpdateMainSheetOpenOrder - entering UpdateMainSheetOpenOrder order.status is Cancelled</t>
  </si>
  <si>
    <t>2015-1-26 12:18:48.108: RTWSControl - OrderStatus - Got OrderStatus Message id:912 status: Cancelled filled: 0</t>
  </si>
  <si>
    <t>2015-1-26 12:18:48.109: RTWSControl - OrderStatus - exiting orderStatus</t>
  </si>
  <si>
    <t>2015-1-26 12:18:48.127: RTWSControl - errMsg - got error message 202:Order Canceled - reason:with id 912</t>
  </si>
  <si>
    <t>2015-1-26 12:18:48.128: OrderManager - canceledOrder - cleaning up after canceled order 912BEWARE UNACCOUNTED FOR EXECUTIONS!!!</t>
  </si>
  <si>
    <t>2015-1-26 12:18:48.129: OrderManager - terminateOrder - cleaning up after Canceled 912  order was supposed to BUY 48 1.5229 STP LMT workingQty/OrderCount now -1782/1</t>
  </si>
  <si>
    <t>2015-1-26 12:18:48.130: OrderManagerView - UpdateMainSheetOpenOrder - entering UpdateMainSheetOpenOrder order.status is Canceled</t>
  </si>
  <si>
    <t>2015-1-26 12:18:48.211: RTWSControl - errMsg - got error message 399:Order Message:
BUY 48 GBP MAR'15
Warning: your order will not be placed at the exchange until 2015-01-26 08:30:00 US/Centralwith id 913</t>
  </si>
  <si>
    <t>2015-1-26 12:18:48.212: RTWSControl - errMsg - Got Error_x000D_id: 913_x000D_errorCode: 399_x000D_errorMsg: Order Message:
BUY 48 GBP MAR'15
Warning: your order will not be placed at the exchange until 2015-01-26 08:30:00 US/Central</t>
  </si>
  <si>
    <t>2015-1-26 12:18:48.224: openOrderEx - I am here</t>
  </si>
  <si>
    <t>2015-1-26 12:18:48.249: RTWSControl - orderStatus -  entering orderStatus id is 913 status is PreSubmitted</t>
  </si>
  <si>
    <t>2015-1-26 12:18:48.250: OrderManager - UpdateOrderStatus - id 913 Setting status to PreSubmitted workingOrderCount is now 1 workingQty -1782</t>
  </si>
  <si>
    <t>2015-1-26 12:18:48.251: OrderManagerView - UpdateMainSheetOpenOrder - entering UpdateMainSheetOpenOrder order.status is PreSubmitted</t>
  </si>
  <si>
    <t>2015-1-26 12:18:48.254: RTWSControl - OrderStatus - Got OrderStatus Message id:913 status: PreSubmitted filled: 0</t>
  </si>
  <si>
    <t>2015-1-26 12:18:48.255: RTWSControl - OrderStatus - exiting orderStatus</t>
  </si>
  <si>
    <t>2015-1-26 12:18:48.269: openOrderEx - I am here</t>
  </si>
  <si>
    <t>2015-1-26 12:18:48.290: RTWSControl - orderStatus -  entering orderStatus id is 913 status is PreSubmitted</t>
  </si>
  <si>
    <t>2015-1-26 12:18:48.291: OrderManager - UpdateOrderStatus - id 913 Setting status to PreSubmitted workingOrderCount is now 1 workingQty -1782</t>
  </si>
  <si>
    <t>2015-1-26 12:18:48.292: OrderManagerView - UpdateMainSheetOpenOrder - entering UpdateMainSheetOpenOrder order.status is PreSubmitted</t>
  </si>
  <si>
    <t>2015-1-26 12:18:48.295: RTWSControl - OrderStatus - Got OrderStatus Message id:913 status: PreSubmitted filled: 0</t>
  </si>
  <si>
    <t>2015-1-26 12:18:48.296: RTWSControl - OrderStatus - exiting orderStatus</t>
  </si>
  <si>
    <t>2015-1-26 12:18:50.380: OrderManager - cancelOrder - cancelling order id 909</t>
  </si>
  <si>
    <t>2015-1-26 12:18:50.381: OrderManager - PlaceOrder - id 914 workingQty -1829</t>
  </si>
  <si>
    <t>2015-1-26 12:18:50.382: OrderManagerView - UpdateMainSheetOpenOrder - entering UpdateMainSheetOpenOrder order.status is In-Flight</t>
  </si>
  <si>
    <t>2015-1-26 12:18:50.384: OrderManager - sendOrder - exiting place order id 914 SELL 47 1.5005  - workingQty -1829 currentPosition is 31 workingOrderCount is 2</t>
  </si>
  <si>
    <t>2015-1-26 12:18:50.666: RTWSControl - nextValidId - entering nextValidId id is 915</t>
  </si>
  <si>
    <t>2015-1-26 12:18:50.672: RTWSControl - orderStatus -  entering orderStatus id is 909 status is Cancelled</t>
  </si>
  <si>
    <t>2015-1-26 12:18:50.673: OrderManager - UpdateOrderStatus - id 909 Setting status to Cancelled workingOrderCount is now 2 workingQty -1829</t>
  </si>
  <si>
    <t>2015-1-26 12:18:50.675: OrderManagerView - UpdateMainSheetOpenOrder - entering UpdateMainSheetOpenOrder order.status is Cancelled</t>
  </si>
  <si>
    <t>2015-1-26 12:18:50.678: RTWSControl - OrderStatus - Got OrderStatus Message id:909 status: Cancelled filled: 0</t>
  </si>
  <si>
    <t>2015-1-26 12:18:50.678: RTWSControl - OrderStatus - exiting orderStatus</t>
  </si>
  <si>
    <t>2015-1-26 12:18:50.708: RTWSControl - errMsg - got error message 202:Order Canceled - reason:with id 909</t>
  </si>
  <si>
    <t>2015-1-26 12:18:50.709: OrderManager - canceledOrder - cleaning up after canceled order 909BEWARE UNACCOUNTED FOR EXECUTIONS!!!</t>
  </si>
  <si>
    <t>2015-1-26 12:18:50.710: OrderManager - terminateOrder - cleaning up after Canceled 909  order was supposed to SELL 48 1.5003 STP LMT workingQty/OrderCount now -1877/1</t>
  </si>
  <si>
    <t>2015-1-26 12:18:50.711: OrderManagerView - UpdateMainSheetOpenOrder - entering UpdateMainSheetOpenOrder order.status is Canceled</t>
  </si>
  <si>
    <t>2015-1-26 12:18:51.384: RTWSControl - errMsg - got error message 399:Order Message:
SELL 47 GBP MAR'15
Warning: your order will not be placed at the exchange until 2015-01-26 08:30:00 US/Centralwith id 914</t>
  </si>
  <si>
    <t>2015-1-26 12:18:51.385: RTWSControl - errMsg - Got Error_x000D_id: 914_x000D_errorCode: 399_x000D_errorMsg: Order Message:
SELL 47 GBP MAR'15
Warning: your order will not be placed at the exchange until 2015-01-26 08:30:00 US/Central</t>
  </si>
  <si>
    <t>2015-1-26 12:18:51.397: openOrderEx - I am here</t>
  </si>
  <si>
    <t>2015-1-26 12:18:51.416: RTWSControl - orderStatus -  entering orderStatus id is 914 status is PreSubmitted</t>
  </si>
  <si>
    <t>2015-1-26 12:18:51.416: OrderManager - UpdateOrderStatus - id 914 Setting status to PreSubmitted workingOrderCount is now 1 workingQty -1877</t>
  </si>
  <si>
    <t>2015-1-26 12:18:51.417: OrderManagerView - UpdateMainSheetOpenOrder - entering UpdateMainSheetOpenOrder order.status is PreSubmitted</t>
  </si>
  <si>
    <t>2015-1-26 12:18:51.420: RTWSControl - OrderStatus - Got OrderStatus Message id:914 status: PreSubmitted filled: 0</t>
  </si>
  <si>
    <t>2015-1-26 12:18:51.421: RTWSControl - OrderStatus - exiting orderStatus</t>
  </si>
  <si>
    <t>2015-1-26 12:18:51.435: openOrderEx - I am here</t>
  </si>
  <si>
    <t>2015-1-26 12:18:51.457: RTWSControl - orderStatus -  entering orderStatus id is 914 status is PreSubmitted</t>
  </si>
  <si>
    <t>2015-1-26 12:18:51.458: OrderManager - UpdateOrderStatus - id 914 Setting status to PreSubmitted workingOrderCount is now 1 workingQty -1877</t>
  </si>
  <si>
    <t>2015-1-26 12:18:51.459: OrderManagerView - UpdateMainSheetOpenOrder - entering UpdateMainSheetOpenOrder order.status is PreSubmitted</t>
  </si>
  <si>
    <t>2015-1-26 12:18:51.462: RTWSControl - OrderStatus - Got OrderStatus Message id:914 status: PreSubmitted filled: 0</t>
  </si>
  <si>
    <t>2015-1-26 12:18:51.462: RTWSControl - OrderStatus - exiting orderStatus</t>
  </si>
  <si>
    <t>2015-1-26 12:18:57.384: OrderManager - cancelOrder - cancelling order id 913</t>
  </si>
  <si>
    <t>2015-1-26 12:18:57.385: OrderManager - PlaceOrder - id 915 workingQty -1829</t>
  </si>
  <si>
    <t>2015-1-26 12:18:57.385: OrderManagerView - UpdateMainSheetOpenOrder - entering UpdateMainSheetOpenOrder order.status is In-Flight</t>
  </si>
  <si>
    <t>2015-1-26 12:18:57.387: OrderManagerView - incrementNextOORow - there are no available OpenOrderView Rows!!!!!!</t>
  </si>
  <si>
    <t>2015-1-26 12:18:57.389: OrderManager - sendOrder - exiting place order id 915 BUY 48 1.5227  - workingQty -1829 currentPosition is 31 workingOrderCount is 2</t>
  </si>
  <si>
    <t>2015-1-26 12:18:57.673: RTWSControl - nextValidId - entering nextValidId id is 916</t>
  </si>
  <si>
    <t>2015-1-26 12:18:57.709: RTWSControl - orderStatus -  entering orderStatus id is 913 status is Cancelled</t>
  </si>
  <si>
    <t>2015-1-26 12:18:57.710: OrderManager - UpdateOrderStatus - id 913 Setting status to Cancelled workingOrderCount is now 2 workingQty -1829</t>
  </si>
  <si>
    <t>2015-1-26 12:18:57.711: OrderManagerView - UpdateMainSheetOpenOrder - entering UpdateMainSheetOpenOrder order.status is Cancelled</t>
  </si>
  <si>
    <t>2015-1-26 12:18:57.714: RTWSControl - OrderStatus - Got OrderStatus Message id:913 status: Cancelled filled: 0</t>
  </si>
  <si>
    <t>2015-1-26 12:18:57.715: RTWSControl - OrderStatus - exiting orderStatus</t>
  </si>
  <si>
    <t>2015-1-26 12:18:57.725: RTWSControl - errMsg - got error message 202:Order Canceled - reason:with id 913</t>
  </si>
  <si>
    <t>2015-1-26 12:18:57.726: OrderManager - canceledOrder - cleaning up after canceled order 913BEWARE UNACCOUNTED FOR EXECUTIONS!!!</t>
  </si>
  <si>
    <t>2015-1-26 12:18:57.727: OrderManager - terminateOrder - cleaning up after Canceled 913  order was supposed to BUY 48 1.5225 STP LMT workingQty/OrderCount now -1877/1</t>
  </si>
  <si>
    <t>2015-1-26 12:18:57.728: OrderManagerView - UpdateMainSheetOpenOrder - entering UpdateMainSheetOpenOrder order.status is Canceled</t>
  </si>
  <si>
    <t>2015-1-26 12:18:57.753: RTWSControl - errMsg - got error message 399:Order Message:
BUY 48 GBP MAR'15
Warning: your order will not be placed at the exchange until 2015-01-26 08:30:00 US/Centralwith id 915</t>
  </si>
  <si>
    <t>2015-1-26 12:18:57.755: RTWSControl - errMsg - Got Error_x000D_id: 915_x000D_errorCode: 399_x000D_errorMsg: Order Message:
BUY 48 GBP MAR'15
Warning: your order will not be placed at the exchange until 2015-01-26 08:30:00 US/Central</t>
  </si>
  <si>
    <t>2015-1-26 12:18:57.765: openOrderEx - I am here</t>
  </si>
  <si>
    <t>2015-1-26 12:18:57.789: RTWSControl - orderStatus -  entering orderStatus id is 915 status is PreSubmitted</t>
  </si>
  <si>
    <t>2015-1-26 12:18:57.790: OrderManager - UpdateOrderStatus - id 915 Setting status to PreSubmitted workingOrderCount is now 1 workingQty -1877</t>
  </si>
  <si>
    <t>2015-1-26 12:18:57.791: OrderManagerView - UpdateMainSheetOpenOrder - entering UpdateMainSheetOpenOrder order.status is PreSubmitted</t>
  </si>
  <si>
    <t>2015-1-26 12:18:57.794: RTWSControl - OrderStatus - Got OrderStatus Message id:915 status: PreSubmitted filled: 0</t>
  </si>
  <si>
    <t>2015-1-26 12:18:57.795: RTWSControl - OrderStatus - exiting orderStatus</t>
  </si>
  <si>
    <t>2015-1-26 12:18:57.897: openOrderEx - I am here</t>
  </si>
  <si>
    <t>2015-1-26 12:18:57.921: RTWSControl - orderStatus -  entering orderStatus id is 915 status is PreSubmitted</t>
  </si>
  <si>
    <t>2015-1-26 12:18:57.922: OrderManager - UpdateOrderStatus - id 915 Setting status to PreSubmitted workingOrderCount is now 1 workingQty -1877</t>
  </si>
  <si>
    <t>2015-1-26 12:18:57.923: OrderManagerView - UpdateMainSheetOpenOrder - entering UpdateMainSheetOpenOrder order.status is PreSubmitted</t>
  </si>
  <si>
    <t>2015-1-26 12:18:57.926: RTWSControl - OrderStatus - Got OrderStatus Message id:915 status: PreSubmitted filled: 0</t>
  </si>
  <si>
    <t>2015-1-26 12:18:57.927: RTWSControl - OrderStatus - exiting orderStatus</t>
  </si>
  <si>
    <t>2015-1-26 12:19:15.777: OrderManager - cancelOrder - cancelling order id 915</t>
  </si>
  <si>
    <t>2015-1-26 12:19:15.780: OrderManager - PlaceOrder - id 916 workingQty -1828</t>
  </si>
  <si>
    <t>2015-1-26 12:19:15.783: OrderManagerView - UpdateMainSheetOpenOrder - entering UpdateMainSheetOpenOrder order.status is In-Flight</t>
  </si>
  <si>
    <t>2015-1-26 12:19:15.792: OrderManager - sendOrder - exiting place order id 916 BUY 49 1.523  - workingQty -1828 currentPosition is 31 workingOrderCount is 2</t>
  </si>
  <si>
    <t>2015-1-26 12:19:15.796: OrderManager - cancelOrder - cancelling order id 914</t>
  </si>
  <si>
    <t>2015-1-26 12:19:15.798: OrderManager - createOrder - exiting without creating order - did not have validID</t>
  </si>
  <si>
    <t>2015-1-26 12:19:16.24: RTWSControl - nextValidId - entering nextValidId id is 917</t>
  </si>
  <si>
    <t>2015-1-26 12:19:16.75: RTWSControl - orderStatus -  entering orderStatus id is 915 status is Cancelled</t>
  </si>
  <si>
    <t>2015-1-26 12:19:16.76: OrderManager - UpdateOrderStatus - id 915 Setting status to Cancelled workingOrderCount is now 2 workingQty -1828</t>
  </si>
  <si>
    <t>2015-1-26 12:19:16.77: OrderManagerView - UpdateMainSheetOpenOrder - entering UpdateMainSheetOpenOrder order.status is Cancelled</t>
  </si>
  <si>
    <t>2015-1-26 12:19:16.80: RTWSControl - OrderStatus - Got OrderStatus Message id:915 status: Cancelled filled: 0</t>
  </si>
  <si>
    <t>2015-1-26 12:19:16.81: RTWSControl - OrderStatus - exiting orderStatus</t>
  </si>
  <si>
    <t>2015-1-26 12:19:16.91: RTWSControl - errMsg - got error message 202:Order Canceled - reason:with id 915</t>
  </si>
  <si>
    <t>2015-1-26 12:19:16.92: OrderManager - canceledOrder - cleaning up after canceled order 915BEWARE UNACCOUNTED FOR EXECUTIONS!!!</t>
  </si>
  <si>
    <t>2015-1-26 12:19:16.93: OrderManager - terminateOrder - cleaning up after Canceled 915  order was supposed to BUY 48 1.5227 STP LMT workingQty/OrderCount now -1876/1</t>
  </si>
  <si>
    <t>2015-1-26 12:19:16.94: OrderManagerView - UpdateMainSheetOpenOrder - entering UpdateMainSheetOpenOrder order.status is Canceled</t>
  </si>
  <si>
    <t>2015-1-26 12:19:16.122: RTWSControl - errMsg - got error message 399:Order Message:
BUY 49 GBP MAR'15
Warning: your order will not be placed at the exchange until 2015-01-26 08:30:00 US/Centralwith id 916</t>
  </si>
  <si>
    <t>2015-1-26 12:19:16.123: RTWSControl - errMsg - Got Error_x000D_id: 916_x000D_errorCode: 399_x000D_errorMsg: Order Message:
BUY 49 GBP MAR'15
Warning: your order will not be placed at the exchange until 2015-01-26 08:30:00 US/Central</t>
  </si>
  <si>
    <t>2015-1-26 12:19:16.133: openOrderEx - I am here</t>
  </si>
  <si>
    <t>2015-1-26 12:19:16.164: RTWSControl - orderStatus -  entering orderStatus id is 916 status is PreSubmitted</t>
  </si>
  <si>
    <t>2015-1-26 12:19:16.164: OrderManager - UpdateOrderStatus - id 916 Setting status to PreSubmitted workingOrderCount is now 1 workingQty -1876</t>
  </si>
  <si>
    <t>2015-1-26 12:19:16.166: OrderManagerView - UpdateMainSheetOpenOrder - entering UpdateMainSheetOpenOrder order.status is PreSubmitted</t>
  </si>
  <si>
    <t>2015-1-26 12:19:16.168: RTWSControl - OrderStatus - Got OrderStatus Message id:916 status: PreSubmitted filled: 0</t>
  </si>
  <si>
    <t>2015-1-26 12:19:16.169: RTWSControl - OrderStatus - exiting orderStatus</t>
  </si>
  <si>
    <t>2015-1-26 12:19:16.179: RTWSControl - orderStatus -  entering orderStatus id is 914 status is Cancelled</t>
  </si>
  <si>
    <t>2015-1-26 12:19:16.180: OrderManager - UpdateOrderStatus - id 914 Setting status to Cancelled workingOrderCount is now 1 workingQty -1876</t>
  </si>
  <si>
    <t>2015-1-26 12:19:16.181: OrderManagerView - UpdateMainSheetOpenOrder - entering UpdateMainSheetOpenOrder order.status is Cancelled</t>
  </si>
  <si>
    <t>2015-1-26 12:19:16.183: RTWSControl - OrderStatus - Got OrderStatus Message id:914 status: Cancelled filled: 0</t>
  </si>
  <si>
    <t>2015-1-26 12:19:16.184: RTWSControl - OrderStatus - exiting orderStatus</t>
  </si>
  <si>
    <t>2015-1-26 12:19:16.211: RTWSControl - errMsg - got error message 202:Order Canceled - reason:with id 914</t>
  </si>
  <si>
    <t>2015-1-26 12:19:16.212: OrderManager - canceledOrder - cleaning up after canceled order 914BEWARE UNACCOUNTED FOR EXECUTIONS!!!</t>
  </si>
  <si>
    <t>2015-1-26 12:19:16.213: OrderManager - terminateOrder - cleaning up after Canceled 914  order was supposed to SELL 47 1.5005 STP LMT workingQty/OrderCount now -1923/0</t>
  </si>
  <si>
    <t>2015-1-26 12:19:16.214: OrderManagerView - UpdateMainSheetOpenOrder - entering UpdateMainSheetOpenOrder order.status is Canceled</t>
  </si>
  <si>
    <t>2015-1-26 12:19:16.252: openOrderEx - I am here</t>
  </si>
  <si>
    <t>2015-1-26 12:19:16.258: RTWSControl - orderStatus -  entering orderStatus id is 916 status is PreSubmitted</t>
  </si>
  <si>
    <t>2015-1-26 12:19:16.259: OrderManager - UpdateOrderStatus - id 916 Setting status to PreSubmitted workingOrderCount is now 0 workingQty -1923</t>
  </si>
  <si>
    <t>2015-1-26 12:19:16.260: OrderManagerView - UpdateMainSheetOpenOrder - entering UpdateMainSheetOpenOrder order.status is PreSubmitted</t>
  </si>
  <si>
    <t>2015-1-26 12:19:16.263: RTWSControl - OrderStatus - Got OrderStatus Message id:916 status: PreSubmitted filled: 0</t>
  </si>
  <si>
    <t>2015-1-26 12:19:16.263: RTWSControl - OrderStatus - exiting orderStatus</t>
  </si>
  <si>
    <t>2015-1-26 12:19:16.332: OrderManager - PlaceOrder - id 917 workingQty -1972</t>
  </si>
  <si>
    <t>2015-1-26 12:19:16.333: OrderManagerView - UpdateMainSheetOpenOrder - entering UpdateMainSheetOpenOrder order.status is In-Flight</t>
  </si>
  <si>
    <t>2015-1-26 12:19:16.336: OrderManager - sendOrder - exiting place order id 917 SELL 49 1.5002  - workingQty -1972 currentPosition is 31 workingOrderCount is 1</t>
  </si>
  <si>
    <t>2015-1-26 12:19:16.568: RTWSControl - nextValidId - entering nextValidId id is 918</t>
  </si>
  <si>
    <t>2015-1-26 12:19:16.616: RTWSControl - errMsg - got error message 399:Order Message:
SELL 49 GBP MAR'15
Warning: your order will not be placed at the exchange until 2015-01-26 08:30:00 US/Centralwith id 917</t>
  </si>
  <si>
    <t>2015-1-26 12:19:16.618: RTWSControl - errMsg - Got Error_x000D_id: 917_x000D_errorCode: 399_x000D_errorMsg: Order Message:
SELL 49 GBP MAR'15
Warning: your order will not be placed at the exchange until 2015-01-26 08:30:00 US/Central</t>
  </si>
  <si>
    <t>2015-1-26 12:19:16.627: openOrderEx - I am here</t>
  </si>
  <si>
    <t>2015-1-26 12:19:16.633: RTWSControl - orderStatus -  entering orderStatus id is 917 status is PreSubmitted</t>
  </si>
  <si>
    <t>2015-1-26 12:19:16.634: OrderManager - UpdateOrderStatus - id 917 Setting status to PreSubmitted workingOrderCount is now 1 workingQty -1972</t>
  </si>
  <si>
    <t>2015-1-26 12:19:16.635: OrderManagerView - UpdateMainSheetOpenOrder - entering UpdateMainSheetOpenOrder order.status is PreSubmitted</t>
  </si>
  <si>
    <t>2015-1-26 12:19:16.638: RTWSControl - OrderStatus - Got OrderStatus Message id:917 status: PreSubmitted filled: 0</t>
  </si>
  <si>
    <t>2015-1-26 12:19:16.639: RTWSControl - OrderStatus - exiting orderStatus</t>
  </si>
  <si>
    <t>2015-1-26 12:19:16.720: openOrderEx - I am here</t>
  </si>
  <si>
    <t>2015-1-26 12:19:16.748: RTWSControl - orderStatus -  entering orderStatus id is 917 status is PreSubmitted</t>
  </si>
  <si>
    <t>2015-1-26 12:19:16.749: OrderManager - UpdateOrderStatus - id 917 Setting status to PreSubmitted workingOrderCount is now 1 workingQty -1972</t>
  </si>
  <si>
    <t>2015-1-26 12:19:16.750: OrderManagerView - UpdateMainSheetOpenOrder - entering UpdateMainSheetOpenOrder order.status is PreSubmitted</t>
  </si>
  <si>
    <t>2015-1-26 12:19:16.753: RTWSControl - OrderStatus - Got OrderStatus Message id:917 status: PreSubmitted filled: 0</t>
  </si>
  <si>
    <t>2015-1-26 12:19:16.753: RTWSControl - OrderStatus - exiting orderStatus</t>
  </si>
  <si>
    <t>2015-1-26 12:19:18.358: OrderManager - cancelOrder - cancelling order id 916</t>
  </si>
  <si>
    <t>2015-1-26 12:19:18.361: OrderManager - PlaceOrder - id 918 workingQty -1924</t>
  </si>
  <si>
    <t>2015-1-26 12:19:18.363: OrderManagerView - UpdateMainSheetOpenOrder - entering UpdateMainSheetOpenOrder order.status is In-Flight</t>
  </si>
  <si>
    <t>2015-1-26 12:19:18.373: OrderManager - sendOrder - exiting place order id 918 BUY 48 1.5223  - workingQty -1924 currentPosition is 31 workingOrderCount is 2</t>
  </si>
  <si>
    <t>2015-1-26 12:19:18.588: RTWSControl - nextValidId - entering nextValidId id is 919</t>
  </si>
  <si>
    <t>2015-1-26 12:19:18.763: OrderManager - cancelOrder - cancelling order id 918</t>
  </si>
  <si>
    <t>2015-1-26 12:19:18.766: OrderManager - PlaceOrder - id 919 workingQty -1876</t>
  </si>
  <si>
    <t>2015-1-26 12:19:18.767: OrderManagerView - UpdateMainSheetOpenOrder - entering UpdateMainSheetOpenOrder order.status is In-Flight</t>
  </si>
  <si>
    <t>2015-1-26 12:19:18.769: OrderManagerView - incrementNextOORow - there are no available OpenOrderView Rows!!!!!!</t>
  </si>
  <si>
    <t>2015-1-26 12:19:18.771: OrderManager - sendOrder - exiting place order id 919 BUY 48 1.5225  - workingQty -1876 currentPosition is 31 workingOrderCount is 3</t>
  </si>
  <si>
    <t>2015-1-26 12:19:18.878: RTWSControl - orderStatus -  entering orderStatus id is 916 status is Cancelled</t>
  </si>
  <si>
    <t>2015-1-26 12:19:18.879: OrderManager - UpdateOrderStatus - id 916 Setting status to Cancelled workingOrderCount is now 3 workingQty -1876</t>
  </si>
  <si>
    <t>2015-1-26 12:19:18.880: OrderManagerView - UpdateMainSheetOpenOrder - entering UpdateMainSheetOpenOrder order.status is Cancelled</t>
  </si>
  <si>
    <t>2015-1-26 12:19:18.883: RTWSControl - OrderStatus - Got OrderStatus Message id:916 status: Cancelled filled: 0</t>
  </si>
  <si>
    <t>2015-1-26 12:19:18.883: RTWSControl - OrderStatus - exiting orderStatus</t>
  </si>
  <si>
    <t>2015-1-26 12:19:18.917: RTWSControl - errMsg - got error message 202:Order Canceled - reason:with id 916</t>
  </si>
  <si>
    <t>2015-1-26 12:19:18.918: OrderManager - canceledOrder - cleaning up after canceled order 916BEWARE UNACCOUNTED FOR EXECUTIONS!!!</t>
  </si>
  <si>
    <t>2015-1-26 12:19:18.919: OrderManager - terminateOrder - cleaning up after Canceled 916  order was supposed to BUY 49 1.523 STP LMT workingQty/OrderCount now -1925/2</t>
  </si>
  <si>
    <t>2015-1-26 12:19:18.920: OrderManagerView - UpdateMainSheetOpenOrder - entering UpdateMainSheetOpenOrder order.status is Canceled</t>
  </si>
  <si>
    <t>2015-1-26 12:19:18.932: RTWSControl - errMsg - got error message 399:Order Message:
BUY 48 GBP MAR'15
Warning: your order will not be placed at the exchange until 2015-01-26 08:30:00 US/Centralwith id 918</t>
  </si>
  <si>
    <t>2015-1-26 12:19:18.934: RTWSControl - errMsg - Got Error_x000D_id: 918_x000D_errorCode: 399_x000D_errorMsg: Order Message:
BUY 48 GBP MAR'15
Warning: your order will not be placed at the exchange until 2015-01-26 08:30:00 US/Central</t>
  </si>
  <si>
    <t>2015-1-26 12:19:18.964: openOrderEx - I am here</t>
  </si>
  <si>
    <t>2015-1-26 12:19:18.970: RTWSControl - orderStatus -  entering orderStatus id is 918 status is PreSubmitted</t>
  </si>
  <si>
    <t>2015-1-26 12:19:18.971: OrderManager - UpdateOrderStatus - id 918 Setting status to PreSubmitted workingOrderCount is now 2 workingQty -1925</t>
  </si>
  <si>
    <t>2015-1-26 12:19:18.972: OrderManagerView - UpdateMainSheetOpenOrder - entering UpdateMainSheetOpenOrder order.status is PreSubmitted</t>
  </si>
  <si>
    <t>2015-1-26 12:19:18.975: RTWSControl - OrderStatus - Got OrderStatus Message id:918 status: PreSubmitted filled: 0</t>
  </si>
  <si>
    <t>2015-1-26 12:19:18.975: RTWSControl - OrderStatus - exiting orderStatus</t>
  </si>
  <si>
    <t>2015-1-26 12:19:19.3: openOrderEx - I am here</t>
  </si>
  <si>
    <t>2015-1-26 12:19:19.9: RTWSControl - orderStatus -  entering orderStatus id is 918 status is PreSubmitted</t>
  </si>
  <si>
    <t>2015-1-26 12:19:19.10: OrderManager - UpdateOrderStatus - id 918 Setting status to PreSubmitted workingOrderCount is now 2 workingQty -1925</t>
  </si>
  <si>
    <t>2015-1-26 12:19:19.11: OrderManagerView - UpdateMainSheetOpenOrder - entering UpdateMainSheetOpenOrder order.status is PreSubmitted</t>
  </si>
  <si>
    <t>2015-1-26 12:19:19.13: RTWSControl - OrderStatus - Got OrderStatus Message id:918 status: PreSubmitted filled: 0</t>
  </si>
  <si>
    <t>2015-1-26 12:19:19.14: RTWSControl - OrderStatus - exiting orderStatus</t>
  </si>
  <si>
    <t>2015-1-26 12:19:19.41: RTWSControl - nextValidId - entering nextValidId id is 920</t>
  </si>
  <si>
    <t>2015-1-26 12:19:19.47: RTWSControl - orderStatus -  entering orderStatus id is 918 status is Cancelled</t>
  </si>
  <si>
    <t>2015-1-26 12:19:19.48: OrderManager - UpdateOrderStatus - id 918 Setting status to Cancelled workingOrderCount is now 2 workingQty -1925</t>
  </si>
  <si>
    <t>2015-1-26 12:19:19.49: OrderManagerView - UpdateMainSheetOpenOrder - entering UpdateMainSheetOpenOrder order.status is Cancelled</t>
  </si>
  <si>
    <t>2015-1-26 12:19:19.52: RTWSControl - OrderStatus - Got OrderStatus Message id:918 status: Cancelled filled: 0</t>
  </si>
  <si>
    <t>2015-1-26 12:19:19.53: RTWSControl - OrderStatus - exiting orderStatus</t>
  </si>
  <si>
    <t>2015-1-26 12:19:19.82: RTWSControl - errMsg - got error message 202:Order Canceled - reason:with id 918</t>
  </si>
  <si>
    <t>2015-1-26 12:19:19.83: OrderManager - canceledOrder - cleaning up after canceled order 918BEWARE UNACCOUNTED FOR EXECUTIONS!!!</t>
  </si>
  <si>
    <t>2015-1-26 12:19:19.84: OrderManager - terminateOrder - cleaning up after Canceled 918  order was supposed to BUY 48 1.5223 STP LMT workingQty/OrderCount now -1973/1</t>
  </si>
  <si>
    <t>2015-1-26 12:19:19.85: OrderManagerView - UpdateMainSheetOpenOrder - entering UpdateMainSheetOpenOrder order.status is Canceled</t>
  </si>
  <si>
    <t>2015-1-26 12:19:19.212: RTWSControl - errMsg - got error message 399:Order Message:
BUY 48 GBP MAR'15
Warning: your order will not be placed at the exchange until 2015-01-26 08:30:00 US/Centralwith id 919</t>
  </si>
  <si>
    <t>2015-1-26 12:19:19.214: RTWSControl - errMsg - Got Error_x000D_id: 919_x000D_errorCode: 399_x000D_errorMsg: Order Message:
BUY 48 GBP MAR'15
Warning: your order will not be placed at the exchange until 2015-01-26 08:30:00 US/Central</t>
  </si>
  <si>
    <t>2015-1-26 12:19:19.226: openOrderEx - I am here</t>
  </si>
  <si>
    <t>2015-1-26 12:19:19.248: RTWSControl - orderStatus -  entering orderStatus id is 919 status is PreSubmitted</t>
  </si>
  <si>
    <t>2015-1-26 12:19:19.249: OrderManager - UpdateOrderStatus - id 919 Setting status to PreSubmitted workingOrderCount is now 1 workingQty -1973</t>
  </si>
  <si>
    <t>2015-1-26 12:19:19.250: OrderManagerView - UpdateMainSheetOpenOrder - entering UpdateMainSheetOpenOrder order.status is PreSubmitted</t>
  </si>
  <si>
    <t>2015-1-26 12:19:19.253: RTWSControl - OrderStatus - Got OrderStatus Message id:919 status: PreSubmitted filled: 0</t>
  </si>
  <si>
    <t>2015-1-26 12:19:19.254: RTWSControl - OrderStatus - exiting orderStatus</t>
  </si>
  <si>
    <t>2015-1-26 12:19:19.268: openOrderEx - I am here</t>
  </si>
  <si>
    <t>2015-1-26 12:19:19.291: RTWSControl - orderStatus -  entering orderStatus id is 919 status is PreSubmitted</t>
  </si>
  <si>
    <t>2015-1-26 12:19:19.292: OrderManager - UpdateOrderStatus - id 919 Setting status to PreSubmitted workingOrderCount is now 1 workingQty -1973</t>
  </si>
  <si>
    <t>2015-1-26 12:19:19.293: OrderManagerView - UpdateMainSheetOpenOrder - entering UpdateMainSheetOpenOrder order.status is PreSubmitted</t>
  </si>
  <si>
    <t>2015-1-26 12:19:19.295: RTWSControl - OrderStatus - Got OrderStatus Message id:919 status: PreSubmitted filled: 0</t>
  </si>
  <si>
    <t>2015-1-26 12:19:19.296: RTWSControl - OrderStatus - exiting orderStatus</t>
  </si>
  <si>
    <t>2015-1-26 12:19:24.881: OrderManager - cancelOrder - cancelling order id 919</t>
  </si>
  <si>
    <t>2015-1-26 12:19:24.882: OrderManager - PlaceOrder - id 920 workingQty -1925</t>
  </si>
  <si>
    <t>2015-1-26 12:19:24.883: OrderManagerView - UpdateMainSheetOpenOrder - entering UpdateMainSheetOpenOrder order.status is In-Flight</t>
  </si>
  <si>
    <t>2015-1-26 12:19:24.884: OrderManagerView - incrementNextOORow - there are no available OpenOrderView Rows!!!!!!</t>
  </si>
  <si>
    <t>2015-1-26 12:19:24.886: OrderManager - sendOrder - exiting place order id 920 BUY 48 1.5229  - workingQty -1925 currentPosition is 31 workingOrderCount is 2</t>
  </si>
  <si>
    <t>2015-1-26 12:19:25.132: RTWSControl - nextValidId - entering nextValidId id is 921</t>
  </si>
  <si>
    <t>2015-1-26 12:19:25.258: RTWSControl - orderStatus -  entering orderStatus id is 919 status is Cancelled</t>
  </si>
  <si>
    <t>2015-1-26 12:19:25.258: OrderManager - UpdateOrderStatus - id 919 Setting status to Cancelled workingOrderCount is now 2 workingQty -1925</t>
  </si>
  <si>
    <t>2015-1-26 12:19:25.260: OrderManagerView - UpdateMainSheetOpenOrder - entering UpdateMainSheetOpenOrder order.status is Cancelled</t>
  </si>
  <si>
    <t>2015-1-26 12:19:25.262: RTWSControl - OrderStatus - Got OrderStatus Message id:919 status: Cancelled filled: 0</t>
  </si>
  <si>
    <t>2015-1-26 12:19:25.263: RTWSControl - OrderStatus - exiting orderStatus</t>
  </si>
  <si>
    <t>2015-1-26 12:19:25.295: RTWSControl - errMsg - got error message 202:Order Canceled - reason:with id 919</t>
  </si>
  <si>
    <t>2015-1-26 12:19:25.296: OrderManager - canceledOrder - cleaning up after canceled order 919BEWARE UNACCOUNTED FOR EXECUTIONS!!!</t>
  </si>
  <si>
    <t>2015-1-26 12:19:25.297: OrderManager - terminateOrder - cleaning up after Canceled 919  order was supposed to BUY 48 1.5225 STP LMT workingQty/OrderCount now -1973/1</t>
  </si>
  <si>
    <t>2015-1-26 12:19:25.298: OrderManagerView - UpdateMainSheetOpenOrder - entering UpdateMainSheetOpenOrder order.status is Canceled</t>
  </si>
  <si>
    <t>2015-1-26 12:19:25.420: RTWSControl - errMsg - got error message 399:Order Message:
BUY 48 GBP MAR'15
Warning: your order will not be placed at the exchange until 2015-01-26 08:30:00 US/Centralwith id 920</t>
  </si>
  <si>
    <t>2015-1-26 12:19:25.422: RTWSControl - errMsg - Got Error_x000D_id: 920_x000D_errorCode: 399_x000D_errorMsg: Order Message:
BUY 48 GBP MAR'15
Warning: your order will not be placed at the exchange until 2015-01-26 08:30:00 US/Central</t>
  </si>
  <si>
    <t>2015-1-26 12:19:25.432: openOrderEx - I am here</t>
  </si>
  <si>
    <t>2015-1-26 12:19:25.457: RTWSControl - orderStatus -  entering orderStatus id is 920 status is PreSubmitted</t>
  </si>
  <si>
    <t>2015-1-26 12:19:25.458: OrderManager - UpdateOrderStatus - id 920 Setting status to PreSubmitted workingOrderCount is now 1 workingQty -1973</t>
  </si>
  <si>
    <t>2015-1-26 12:19:25.459: OrderManagerView - UpdateMainSheetOpenOrder - entering UpdateMainSheetOpenOrder order.status is PreSubmitted</t>
  </si>
  <si>
    <t>2015-1-26 12:19:25.462: RTWSControl - OrderStatus - Got OrderStatus Message id:920 status: PreSubmitted filled: 0</t>
  </si>
  <si>
    <t>2015-1-26 12:19:25.462: RTWSControl - OrderStatus - exiting orderStatus</t>
  </si>
  <si>
    <t>2015-1-26 12:19:25.477: openOrderEx - I am here</t>
  </si>
  <si>
    <t>2015-1-26 12:19:25.500: RTWSControl - orderStatus -  entering orderStatus id is 920 status is PreSubmitted</t>
  </si>
  <si>
    <t>2015-1-26 12:19:25.501: OrderManager - UpdateOrderStatus - id 920 Setting status to PreSubmitted workingOrderCount is now 1 workingQty -1973</t>
  </si>
  <si>
    <t>2015-1-26 12:19:25.502: OrderManagerView - UpdateMainSheetOpenOrder - entering UpdateMainSheetOpenOrder order.status is PreSubmitted</t>
  </si>
  <si>
    <t>2015-1-26 12:19:25.504: RTWSControl - OrderStatus - Got OrderStatus Message id:920 status: PreSubmitted filled: 0</t>
  </si>
  <si>
    <t>2015-1-26 12:19:25.505: RTWSControl - OrderStatus - exiting orderStatus</t>
  </si>
  <si>
    <t>2015-1-26 12:19:29.262: OrderManager - cancelOrder - cancelling order id 920</t>
  </si>
  <si>
    <t>2015-1-26 12:19:29.263: OrderManager - PlaceOrder - id 921 workingQty -1925</t>
  </si>
  <si>
    <t>2015-1-26 12:19:29.264: OrderManagerView - UpdateMainSheetOpenOrder - entering UpdateMainSheetOpenOrder order.status is In-Flight</t>
  </si>
  <si>
    <t>2015-1-26 12:19:29.266: OrderManager - sendOrder - exiting place order id 921 BUY 48 1.5225  - workingQty -1925 currentPosition is 31 workingOrderCount is 2</t>
  </si>
  <si>
    <t>2015-1-26 12:19:30.53: OrderManager - cancelOrder - cancelling order id 921</t>
  </si>
  <si>
    <t>2015-1-26 12:19:30.53: OrderManager - createOrder - exiting without creating order - did not have validID</t>
  </si>
  <si>
    <t>2015-1-26 12:19:30.392: RTWSControl - nextValidId - entering nextValidId id is 922</t>
  </si>
  <si>
    <t>2015-1-26 12:19:30.411: RTWSControl - orderStatus -  entering orderStatus id is 920 status is Cancelled</t>
  </si>
  <si>
    <t>2015-1-26 12:19:30.412: OrderManager - UpdateOrderStatus - id 920 Setting status to Cancelled workingOrderCount is now 2 workingQty -1925</t>
  </si>
  <si>
    <t>2015-1-26 12:19:30.413: OrderManagerView - UpdateMainSheetOpenOrder - entering UpdateMainSheetOpenOrder order.status is Cancelled</t>
  </si>
  <si>
    <t>2015-1-26 12:19:30.416: RTWSControl - OrderStatus - Got OrderStatus Message id:920 status: Cancelled filled: 0</t>
  </si>
  <si>
    <t>2015-1-26 12:19:30.416: RTWSControl - OrderStatus - exiting orderStatus</t>
  </si>
  <si>
    <t>2015-1-26 12:19:30.426: RTWSControl - errMsg - got error message 202:Order Canceled - reason:with id 920</t>
  </si>
  <si>
    <t>2015-1-26 12:19:30.427: OrderManager - canceledOrder - cleaning up after canceled order 920BEWARE UNACCOUNTED FOR EXECUTIONS!!!</t>
  </si>
  <si>
    <t>2015-1-26 12:19:30.428: OrderManager - terminateOrder - cleaning up after Canceled 920  order was supposed to BUY 48 1.5229 STP LMT workingQty/OrderCount now -1973/1</t>
  </si>
  <si>
    <t>2015-1-26 12:19:30.429: OrderManagerView - UpdateMainSheetOpenOrder - entering UpdateMainSheetOpenOrder order.status is Canceled</t>
  </si>
  <si>
    <t>2015-1-26 12:19:30.461: RTWSControl - errMsg - got error message 399:Order Message:
BUY 48 GBP MAR'15
Warning: your order will not be placed at the exchange until 2015-01-26 08:30:00 US/Centralwith id 921</t>
  </si>
  <si>
    <t>2015-1-26 12:19:30.463: RTWSControl - errMsg - Got Error_x000D_id: 921_x000D_errorCode: 399_x000D_errorMsg: Order Message:
BUY 48 GBP MAR'15
Warning: your order will not be placed at the exchange until 2015-01-26 08:30:00 US/Central</t>
  </si>
  <si>
    <t>2015-1-26 12:19:30.473: openOrderEx - I am here</t>
  </si>
  <si>
    <t>2015-1-26 12:19:30.498: RTWSControl - orderStatus -  entering orderStatus id is 921 status is PreSubmitted</t>
  </si>
  <si>
    <t>2015-1-26 12:19:30.499: OrderManager - UpdateOrderStatus - id 921 Setting status to PreSubmitted workingOrderCount is now 1 workingQty -1973</t>
  </si>
  <si>
    <t>2015-1-26 12:19:30.500: OrderManagerView - UpdateMainSheetOpenOrder - entering UpdateMainSheetOpenOrder order.status is PreSubmitted</t>
  </si>
  <si>
    <t>2015-1-26 12:19:30.503: RTWSControl - OrderStatus - Got OrderStatus Message id:921 status: PreSubmitted filled: 0</t>
  </si>
  <si>
    <t>2015-1-26 12:19:30.503: RTWSControl - OrderStatus - exiting orderStatus</t>
  </si>
  <si>
    <t>2015-1-26 12:19:30.517: openOrderEx - I am here</t>
  </si>
  <si>
    <t>2015-1-26 12:19:30.540: RTWSControl - orderStatus -  entering orderStatus id is 921 status is PreSubmitted</t>
  </si>
  <si>
    <t>2015-1-26 12:19:30.541: OrderManager - UpdateOrderStatus - id 921 Setting status to PreSubmitted workingOrderCount is now 1 workingQty -1973</t>
  </si>
  <si>
    <t>2015-1-26 12:19:30.542: OrderManagerView - UpdateMainSheetOpenOrder - entering UpdateMainSheetOpenOrder order.status is PreSubmitted</t>
  </si>
  <si>
    <t>2015-1-26 12:19:30.545: RTWSControl - OrderStatus - Got OrderStatus Message id:921 status: PreSubmitted filled: 0</t>
  </si>
  <si>
    <t>2015-1-26 12:19:30.545: RTWSControl - OrderStatus - exiting orderStatus</t>
  </si>
  <si>
    <t>2015-1-26 12:19:30.632: RTWSControl - orderStatus -  entering orderStatus id is 921 status is Cancelled</t>
  </si>
  <si>
    <t>2015-1-26 12:19:30.633: OrderManager - UpdateOrderStatus - id 921 Setting status to Cancelled workingOrderCount is now 1 workingQty -1973</t>
  </si>
  <si>
    <t>2015-1-26 12:19:30.634: OrderManagerView - UpdateMainSheetOpenOrder - entering UpdateMainSheetOpenOrder order.status is Cancelled</t>
  </si>
  <si>
    <t>2015-1-26 12:19:30.637: RTWSControl - OrderStatus - Got OrderStatus Message id:921 status: Cancelled filled: 0</t>
  </si>
  <si>
    <t>2015-1-26 12:19:30.637: RTWSControl - OrderStatus - exiting orderStatus</t>
  </si>
  <si>
    <t>2015-1-26 12:19:30.669: RTWSControl - errMsg - got error message 202:Order Canceled - reason:with id 921</t>
  </si>
  <si>
    <t>2015-1-26 12:19:30.670: OrderManager - canceledOrder - cleaning up after canceled order 921BEWARE UNACCOUNTED FOR EXECUTIONS!!!</t>
  </si>
  <si>
    <t>2015-1-26 12:19:30.671: OrderManager - terminateOrder - cleaning up after Canceled 921  order was supposed to BUY 48 1.5225 STP LMT workingQty/OrderCount now -2021/0</t>
  </si>
  <si>
    <t>2015-1-26 12:19:30.672: OrderManagerView - UpdateMainSheetOpenOrder - entering UpdateMainSheetOpenOrder order.status is Canceled</t>
  </si>
  <si>
    <t>2015-1-26 12:19:32.566: OrderManager - PlaceOrder - id 922 workingQty -1973</t>
  </si>
  <si>
    <t>2015-1-26 12:19:32.567: OrderManagerView - UpdateMainSheetOpenOrder - entering UpdateMainSheetOpenOrder order.status is In-Flight</t>
  </si>
  <si>
    <t>2015-1-26 12:19:32.570: OrderManager - sendOrder - exiting place order id 922 BUY 48 1.5227  - workingQty -1973 currentPosition is 31 workingOrderCount is 1</t>
  </si>
  <si>
    <t>2015-1-26 12:19:32.754: RTWSControl - nextValidId - entering nextValidId id is 923</t>
  </si>
  <si>
    <t>2015-1-26 12:19:32.872: RTWSControl - errMsg - got error message 399:Order Message:
BUY 48 GBP MAR'15
Warning: your order will not be placed at the exchange until 2015-01-26 08:30:00 US/Centralwith id 922</t>
  </si>
  <si>
    <t>2015-1-26 12:19:32.873: RTWSControl - errMsg - Got Error_x000D_id: 922_x000D_errorCode: 399_x000D_errorMsg: Order Message:
BUY 48 GBP MAR'15
Warning: your order will not be placed at the exchange until 2015-01-26 08:30:00 US/Central</t>
  </si>
  <si>
    <t>2015-1-26 12:19:32.884: openOrderEx - I am here</t>
  </si>
  <si>
    <t>2015-1-26 12:19:32.894: RTWSControl - orderStatus -  entering orderStatus id is 922 status is PreSubmitted</t>
  </si>
  <si>
    <t>2015-1-26 12:19:32.895: OrderManager - UpdateOrderStatus - id 922 Setting status to PreSubmitted workingOrderCount is now 1 workingQty -1973</t>
  </si>
  <si>
    <t>2015-1-26 12:19:32.897: OrderManagerView - UpdateMainSheetOpenOrder - entering UpdateMainSheetOpenOrder order.status is PreSubmitted</t>
  </si>
  <si>
    <t>2015-1-26 12:19:32.899: RTWSControl - OrderStatus - Got OrderStatus Message id:922 status: PreSubmitted filled: 0</t>
  </si>
  <si>
    <t>2015-1-26 12:19:32.900: RTWSControl - OrderStatus - exiting orderStatus</t>
  </si>
  <si>
    <t>2015-1-26 12:19:32.915: openOrderEx - I am here</t>
  </si>
  <si>
    <t>2015-1-26 12:19:32.951: RTWSControl - orderStatus -  entering orderStatus id is 922 status is PreSubmitted</t>
  </si>
  <si>
    <t>2015-1-26 12:19:32.952: OrderManager - UpdateOrderStatus - id 922 Setting status to PreSubmitted workingOrderCount is now 1 workingQty -1973</t>
  </si>
  <si>
    <t>2015-1-26 12:19:32.953: OrderManagerView - UpdateMainSheetOpenOrder - entering UpdateMainSheetOpenOrder order.status is PreSubmitted</t>
  </si>
  <si>
    <t>2015-1-26 12:19:32.956: RTWSControl - OrderStatus - Got OrderStatus Message id:922 status: PreSubmitted filled: 0</t>
  </si>
  <si>
    <t>2015-1-26 12:19:32.956: RTWSControl - OrderStatus - exiting orderStatus</t>
  </si>
  <si>
    <t>2015-1-26 12:19:35.140: OrderManager - cancelOrder - cancelling order id 922</t>
  </si>
  <si>
    <t>2015-1-26 12:19:35.144: OrderManager - PlaceOrder - id 923 workingQty -1925</t>
  </si>
  <si>
    <t>2015-1-26 12:19:35.147: OrderManagerView - UpdateMainSheetOpenOrder - entering UpdateMainSheetOpenOrder order.status is In-Flight</t>
  </si>
  <si>
    <t>2015-1-26 12:19:35.150: OrderManagerView - incrementNextOORow - there are no available OpenOrderView Rows!!!!!!</t>
  </si>
  <si>
    <t>2015-1-26 12:19:35.154: OrderManager - sendOrder - exiting place order id 923 BUY 48 1.5229  - workingQty -1925 currentPosition is 31 workingOrderCount is 2</t>
  </si>
  <si>
    <t>2015-1-26 12:19:35.767: RTWSControl - nextValidId - entering nextValidId id is 924</t>
  </si>
  <si>
    <t>2015-1-26 12:19:35.787: RTWSControl - orderStatus -  entering orderStatus id is 922 status is Cancelled</t>
  </si>
  <si>
    <t>2015-1-26 12:19:35.788: OrderManager - UpdateOrderStatus - id 922 Setting status to Cancelled workingOrderCount is now 2 workingQty -1925</t>
  </si>
  <si>
    <t>2015-1-26 12:19:35.789: OrderManagerView - UpdateMainSheetOpenOrder - entering UpdateMainSheetOpenOrder order.status is Cancelled</t>
  </si>
  <si>
    <t>2015-1-26 12:19:35.792: RTWSControl - OrderStatus - Got OrderStatus Message id:922 status: Cancelled filled: 0</t>
  </si>
  <si>
    <t>2015-1-26 12:19:35.792: RTWSControl - OrderStatus - exiting orderStatus</t>
  </si>
  <si>
    <t>2015-1-26 12:19:35.803: RTWSControl - errMsg - got error message 202:Order Canceled - reason:with id 922</t>
  </si>
  <si>
    <t>2015-1-26 12:19:35.803: OrderManager - canceledOrder - cleaning up after canceled order 922BEWARE UNACCOUNTED FOR EXECUTIONS!!!</t>
  </si>
  <si>
    <t>2015-1-26 12:19:35.805: OrderManager - terminateOrder - cleaning up after Canceled 922  order was supposed to BUY 48 1.5227 STP LMT workingQty/OrderCount now -1973/1</t>
  </si>
  <si>
    <t>2015-1-26 12:19:35.806: OrderManagerView - UpdateMainSheetOpenOrder - entering UpdateMainSheetOpenOrder order.status is Canceled</t>
  </si>
  <si>
    <t>2015-1-26 12:19:35.839: OrderManager - cancelOrder - cancelling order id 917</t>
  </si>
  <si>
    <t>2015-1-26 12:19:35.840: OrderManager - PlaceOrder - id 924 workingQty -2021</t>
  </si>
  <si>
    <t>2015-1-26 12:19:35.841: OrderManagerView - UpdateMainSheetOpenOrder - entering UpdateMainSheetOpenOrder order.status is In-Flight</t>
  </si>
  <si>
    <t>2015-1-26 12:19:35.843: OrderManager - sendOrder - exiting place order id 924 SELL 48 1.5004  - workingQty -2021 currentPosition is 31 workingOrderCount is 2</t>
  </si>
  <si>
    <t>2015-1-26 12:19:35.958: RTWSControl - errMsg - got error message 399:Order Message:
BUY 48 GBP MAR'15
Warning: your order will not be placed at the exchange until 2015-01-26 08:30:00 US/Centralwith id 923</t>
  </si>
  <si>
    <t>2015-1-26 12:19:35.959: RTWSControl - errMsg - Got Error_x000D_id: 923_x000D_errorCode: 399_x000D_errorMsg: Order Message:
BUY 48 GBP MAR'15
Warning: your order will not be placed at the exchange until 2015-01-26 08:30:00 US/Central</t>
  </si>
  <si>
    <t>2015-1-26 12:19:35.969: openOrderEx - I am here</t>
  </si>
  <si>
    <t>2015-1-26 12:19:35.975: RTWSControl - orderStatus -  entering orderStatus id is 923 status is PreSubmitted</t>
  </si>
  <si>
    <t>2015-1-26 12:19:35.976: OrderManager - UpdateOrderStatus - id 923 Setting status to PreSubmitted workingOrderCount is now 2 workingQty -2021</t>
  </si>
  <si>
    <t>2015-1-26 12:19:35.978: OrderManagerView - UpdateMainSheetOpenOrder - entering UpdateMainSheetOpenOrder order.status is PreSubmitted</t>
  </si>
  <si>
    <t>2015-1-26 12:19:35.980: RTWSControl - OrderStatus - Got OrderStatus Message id:923 status: PreSubmitted filled: 0</t>
  </si>
  <si>
    <t>2015-1-26 12:19:35.981: RTWSControl - OrderStatus - exiting orderStatus</t>
  </si>
  <si>
    <t>2015-1-26 12:19:36.141: openOrderEx - I am here</t>
  </si>
  <si>
    <t>2015-1-26 12:19:36.166: RTWSControl - orderStatus -  entering orderStatus id is 923 status is PreSubmitted</t>
  </si>
  <si>
    <t>2015-1-26 12:19:36.166: OrderManager - UpdateOrderStatus - id 923 Setting status to PreSubmitted workingOrderCount is now 2 workingQty -2021</t>
  </si>
  <si>
    <t>2015-1-26 12:19:36.167: OrderManagerView - UpdateMainSheetOpenOrder - entering UpdateMainSheetOpenOrder order.status is PreSubmitted</t>
  </si>
  <si>
    <t>2015-1-26 12:19:36.170: RTWSControl - OrderStatus - Got OrderStatus Message id:923 status: PreSubmitted filled: 0</t>
  </si>
  <si>
    <t>2015-1-26 12:19:36.170: RTWSControl - OrderStatus - exiting orderStatus</t>
  </si>
  <si>
    <t>2015-1-26 12:19:36.380: RTWSControl - nextValidId - entering nextValidId id is 925</t>
  </si>
  <si>
    <t>2015-1-26 12:19:36.386: RTWSControl - orderStatus -  entering orderStatus id is 917 status is Cancelled</t>
  </si>
  <si>
    <t>2015-1-26 12:19:36.387: OrderManager - UpdateOrderStatus - id 917 Setting status to Cancelled workingOrderCount is now 2 workingQty -2021</t>
  </si>
  <si>
    <t>2015-1-26 12:19:36.388: OrderManagerView - UpdateMainSheetOpenOrder - entering UpdateMainSheetOpenOrder order.status is Cancelled</t>
  </si>
  <si>
    <t>2015-1-26 12:19:36.390: RTWSControl - OrderStatus - Got OrderStatus Message id:917 status: Cancelled filled: 0</t>
  </si>
  <si>
    <t>2015-1-26 12:19:36.391: RTWSControl - OrderStatus - exiting orderStatus</t>
  </si>
  <si>
    <t>2015-1-26 12:19:36.416: RTWSControl - errMsg - got error message 202:Order Canceled - reason:with id 917</t>
  </si>
  <si>
    <t>2015-1-26 12:19:36.417: OrderManager - canceledOrder - cleaning up after canceled order 917BEWARE UNACCOUNTED FOR EXECUTIONS!!!</t>
  </si>
  <si>
    <t>2015-1-26 12:19:36.418: OrderManager - terminateOrder - cleaning up after Canceled 917  order was supposed to SELL 49 1.5002 STP LMT workingQty/OrderCount now -2070/1</t>
  </si>
  <si>
    <t>2015-1-26 12:19:36.419: OrderManagerView - UpdateMainSheetOpenOrder - entering UpdateMainSheetOpenOrder order.status is Canceled</t>
  </si>
  <si>
    <t>2015-1-26 12:19:36.430: RTWSControl - errMsg - got error message 399:Order Message:
SELL 48 GBP MAR'15
Warning: your order will not be placed at the exchange until 2015-01-26 08:30:00 US/Centralwith id 924</t>
  </si>
  <si>
    <t>2015-1-26 12:19:36.432: RTWSControl - errMsg - Got Error_x000D_id: 924_x000D_errorCode: 399_x000D_errorMsg: Order Message:
SELL 48 GBP MAR'15
Warning: your order will not be placed at the exchange until 2015-01-26 08:30:00 US/Central</t>
  </si>
  <si>
    <t>2015-1-26 12:19:36.463: openOrderEx - I am here</t>
  </si>
  <si>
    <t>2015-1-26 12:19:36.469: RTWSControl - orderStatus -  entering orderStatus id is 924 status is PreSubmitted</t>
  </si>
  <si>
    <t>2015-1-26 12:19:36.470: OrderManager - UpdateOrderStatus - id 924 Setting status to PreSubmitted workingOrderCount is now 1 workingQty -2070</t>
  </si>
  <si>
    <t>2015-1-26 12:19:36.471: OrderManagerView - UpdateMainSheetOpenOrder - entering UpdateMainSheetOpenOrder order.status is PreSubmitted</t>
  </si>
  <si>
    <t>2015-1-26 12:19:36.474: RTWSControl - OrderStatus - Got OrderStatus Message id:924 status: PreSubmitted filled: 0</t>
  </si>
  <si>
    <t>2015-1-26 12:19:36.474: RTWSControl - OrderStatus - exiting orderStatus</t>
  </si>
  <si>
    <t>2015-1-26 12:19:36.503: openOrderEx - I am here</t>
  </si>
  <si>
    <t>2015-1-26 12:19:36.509: RTWSControl - orderStatus -  entering orderStatus id is 924 status is PreSubmitted</t>
  </si>
  <si>
    <t>2015-1-26 12:19:36.510: OrderManager - UpdateOrderStatus - id 924 Setting status to PreSubmitted workingOrderCount is now 1 workingQty -2070</t>
  </si>
  <si>
    <t>2015-1-26 12:19:36.511: OrderManagerView - UpdateMainSheetOpenOrder - entering UpdateMainSheetOpenOrder order.status is PreSubmitted</t>
  </si>
  <si>
    <t>2015-1-26 12:19:36.514: RTWSControl - OrderStatus - Got OrderStatus Message id:924 status: PreSubmitted filled: 0</t>
  </si>
  <si>
    <t>2015-1-26 12:19:36.514: RTWSControl - OrderStatus - exiting orderStatus</t>
  </si>
  <si>
    <t>2015-1-26 12:19:43.997: OrderManager - cancelOrder - cancelling order id 923</t>
  </si>
  <si>
    <t>2015-1-26 12:19:43.998: OrderManager - PlaceOrder - id 925 workingQty -2023</t>
  </si>
  <si>
    <t>2015-1-26 12:19:43.999: OrderManagerView - UpdateMainSheetOpenOrder - entering UpdateMainSheetOpenOrder order.status is In-Flight</t>
  </si>
  <si>
    <t>2015-1-26 12:19:44.3: OrderManager - sendOrder - exiting place order id 925 BUY 47 1.5225  - workingQty -2023 currentPosition is 31 workingOrderCount is 2</t>
  </si>
  <si>
    <t>2015-1-26 12:19:44.379: RTWSControl - nextValidId - entering nextValidId id is 926</t>
  </si>
  <si>
    <t>2015-1-26 12:19:44.386: RTWSControl - orderStatus -  entering orderStatus id is 923 status is Cancelled</t>
  </si>
  <si>
    <t>2015-1-26 12:19:44.386: OrderManager - UpdateOrderStatus - id 923 Setting status to Cancelled workingOrderCount is now 2 workingQty -2023</t>
  </si>
  <si>
    <t>2015-1-26 12:19:44.388: OrderManagerView - UpdateMainSheetOpenOrder - entering UpdateMainSheetOpenOrder order.status is Cancelled</t>
  </si>
  <si>
    <t>2015-1-26 12:19:44.390: RTWSControl - OrderStatus - Got OrderStatus Message id:923 status: Cancelled filled: 0</t>
  </si>
  <si>
    <t>2015-1-26 12:19:44.391: RTWSControl - OrderStatus - exiting orderStatus</t>
  </si>
  <si>
    <t>2015-1-26 12:19:44.415: RTWSControl - errMsg - got error message 202:Order Canceled - reason:with id 923</t>
  </si>
  <si>
    <t>2015-1-26 12:19:44.416: OrderManager - canceledOrder - cleaning up after canceled order 923BEWARE UNACCOUNTED FOR EXECUTIONS!!!</t>
  </si>
  <si>
    <t>2015-1-26 12:19:44.417: OrderManager - terminateOrder - cleaning up after Canceled 923  order was supposed to BUY 48 1.5229 STP LMT workingQty/OrderCount now -2071/1</t>
  </si>
  <si>
    <t>2015-1-26 12:19:44.418: OrderManagerView - UpdateMainSheetOpenOrder - entering UpdateMainSheetOpenOrder order.status is Canceled</t>
  </si>
  <si>
    <t>2015-1-26 12:19:46.210: Algorithm - FindNextStrikes - price is 1.5015 nextStrikeUp/Down 1.505/1.5</t>
  </si>
  <si>
    <t>2015-1-26 12:19:46.211: Algorithm - getPortfolioForwardDelta - required deltas is -20 currentHedgePosition is 31</t>
  </si>
  <si>
    <t>2015-1-26 12:19:46.212: Algorithm - getHedgeShortfall - required deltas is -20 price is 1.5016 currentHedgePositionDeltas is 31</t>
  </si>
  <si>
    <t>2015-1-26 12:19:46.213: Algorithm - processTransitionPoint - nextUpper/LowerStrikes are 1.505/1.5 requiredDeltas/currentPosition/currentHedgeShortfall/direction/transitionPrice are -20/31/-51/1/1.5016</t>
  </si>
  <si>
    <t>2015-1-26 12:19:46.214: TransitionLogger - processTransitionpoint - checking transition - currentHedgeShortfall is -51</t>
  </si>
  <si>
    <t>2015-1-26 12:19:46.216: Algorithm - updatePortfolio - haveAllDetails is True</t>
  </si>
  <si>
    <t>2015-1-26 12:19:46.218: RTWSControl - updatePortfolioEx - An Error Occured Object variable or With block variable not set</t>
  </si>
  <si>
    <t>2015-1-26 12:19:46.256: Algorithm - FindNextStrikes - price is 1.5015 nextStrikeUp/Down 1.505/1.5</t>
  </si>
  <si>
    <t>2015-1-26 12:19:46.257: Algorithm - getPortfolioForwardDelta - required deltas is -20 currentHedgePosition is 31</t>
  </si>
  <si>
    <t>2015-1-26 12:19:46.258: Algorithm - getHedgeShortfall - required deltas is -20 price is 1.5016 currentHedgePositionDeltas is 31</t>
  </si>
  <si>
    <t>2015-1-26 12:19:46.259: Algorithm - processTransitionPoint - nextUpper/LowerStrikes are 1.505/1.5 requiredDeltas/currentPosition/currentHedgeShortfall/direction/transitionPrice are -20/31/-51/1/1.5016</t>
  </si>
  <si>
    <t>2015-1-26 12:19:46.260: TransitionLogger - processTransitionpoint - checking transition - currentHedgeShortfall is -51</t>
  </si>
  <si>
    <t>2015-1-26 12:19:46.261: Algorithm - updatePortfolio - haveAllDetails is True</t>
  </si>
  <si>
    <t>2015-1-26 12:19:46.263: RTWSControl - updatePortfolioEx - An Error Occured Object variable or With block variable not set</t>
  </si>
  <si>
    <t>2015-1-26 12:19:46.305: Algorithm - FindNextStrikes - price is 1.5015 nextStrikeUp/Down 1.505/1.5</t>
  </si>
  <si>
    <t>2015-1-26 12:19:46.306: Algorithm - getPortfolioForwardDelta - required deltas is -20 currentHedgePosition is 31</t>
  </si>
  <si>
    <t>2015-1-26 12:19:46.307: Algorithm - getHedgeShortfall - required deltas is -20 price is 1.5016 currentHedgePositionDeltas is 31</t>
  </si>
  <si>
    <t>2015-1-26 12:19:46.308: Algorithm - processTransitionPoint - nextUpper/LowerStrikes are 1.505/1.5 requiredDeltas/currentPosition/currentHedgeShortfall/direction/transitionPrice are -20/31/-51/1/1.5016</t>
  </si>
  <si>
    <t>2015-1-26 12:19:46.309: TransitionLogger - processTransitionpoint - checking transition - currentHedgeShortfall is -51</t>
  </si>
  <si>
    <t>2015-1-26 12:19:46.310: Algorithm - updatePortfolio - haveAllDetails is True</t>
  </si>
  <si>
    <t>2015-1-26 12:19:46.312: RTWSControl - updatePortfolioEx - An Error Occured Object variable or With block variable not set</t>
  </si>
  <si>
    <t>2015-1-26 12:19:46.348: Algorithm - FindNextStrikes - price is 1.5015 nextStrikeUp/Down 1.505/1.5</t>
  </si>
  <si>
    <t>2015-1-26 12:19:46.348: Algorithm - getPortfolioForwardDelta - required deltas is -20 currentHedgePosition is 31</t>
  </si>
  <si>
    <t>2015-1-26 12:19:46.349: Algorithm - getHedgeShortfall - required deltas is -20 price is 1.5016 currentHedgePositionDeltas is 31</t>
  </si>
  <si>
    <t>2015-1-26 12:19:46.350: Algorithm - processTransitionPoint - nextUpper/LowerStrikes are 1.505/1.5 requiredDeltas/currentPosition/currentHedgeShortfall/direction/transitionPrice are -20/31/-51/1/1.5016</t>
  </si>
  <si>
    <t>2015-1-26 12:19:46.351: TransitionLogger - processTransitionpoint - checking transition - currentHedgeShortfall is -51</t>
  </si>
  <si>
    <t>2015-1-26 12:19:46.353: Algorithm - updatePortfolio - haveAllDetails is True</t>
  </si>
  <si>
    <t>2015-1-26 12:19:46.354: RTWSControl - updatePortfolioEx - An Error Occured Object variable or With block variable not set</t>
  </si>
  <si>
    <t>2015-1-26 12:19:46.390: Algorithm - FindNextStrikes - price is 1.5015 nextStrikeUp/Down 1.505/1.5</t>
  </si>
  <si>
    <t>2015-1-26 12:19:46.391: Algorithm - getPortfolioForwardDelta - required deltas is -20 currentHedgePosition is 31</t>
  </si>
  <si>
    <t>2015-1-26 12:19:46.392: Algorithm - getHedgeShortfall - required deltas is -20 price is 1.5016 currentHedgePositionDeltas is 31</t>
  </si>
  <si>
    <t>2015-1-26 12:19:46.393: Algorithm - processTransitionPoint - nextUpper/LowerStrikes are 1.505/1.5 requiredDeltas/currentPosition/currentHedgeShortfall/direction/transitionPrice are -20/31/-51/1/1.5016</t>
  </si>
  <si>
    <t>2015-1-26 12:19:46.393: TransitionLogger - processTransitionpoint - checking transition - currentHedgeShortfall is -51</t>
  </si>
  <si>
    <t>2015-1-26 12:19:46.395: Algorithm - updatePortfolio - haveAllDetails is True</t>
  </si>
  <si>
    <t>2015-1-26 12:19:46.397: RTWSControl - updatePortfolioEx - An Error Occured Object variable or With block variable not set</t>
  </si>
  <si>
    <t>2015-1-26 12:19:46.432: Algorithm - FindNextStrikes - price is 1.5015 nextStrikeUp/Down 1.505/1.5</t>
  </si>
  <si>
    <t>2015-1-26 12:19:46.433: Algorithm - getPortfolioForwardDelta - required deltas is -20 currentHedgePosition is 31</t>
  </si>
  <si>
    <t>2015-1-26 12:19:46.433: Algorithm - getHedgeShortfall - required deltas is -20 price is 1.5016 currentHedgePositionDeltas is 31</t>
  </si>
  <si>
    <t>2015-1-26 12:19:46.434: Algorithm - processTransitionPoint - nextUpper/LowerStrikes are 1.505/1.5 requiredDeltas/currentPosition/currentHedgeShortfall/direction/transitionPrice are -20/31/-51/1/1.5016</t>
  </si>
  <si>
    <t>2015-1-26 12:19:46.435: TransitionLogger - processTransitionpoint - checking transition - currentHedgeShortfall is -51</t>
  </si>
  <si>
    <t>2015-1-26 12:19:46.437: Algorithm - updatePortfolio - haveAllDetails is True</t>
  </si>
  <si>
    <t>2015-1-26 12:19:46.438: RTWSControl - updatePortfolioEx - An Error Occured Object variable or With block variable not set</t>
  </si>
  <si>
    <t>2015-1-26 12:19:46.473: Algorithm - FindNextStrikes - price is 1.5015 nextStrikeUp/Down 1.505/1.5</t>
  </si>
  <si>
    <t>2015-1-26 12:19:46.474: Algorithm - getPortfolioForwardDelta - required deltas is -20 currentHedgePosition is 31</t>
  </si>
  <si>
    <t>2015-1-26 12:19:46.474: Algorithm - getHedgeShortfall - required deltas is -20 price is 1.5016 currentHedgePositionDeltas is 31</t>
  </si>
  <si>
    <t>2015-1-26 12:19:46.475: Algorithm - processTransitionPoint - nextUpper/LowerStrikes are 1.505/1.5 requiredDeltas/currentPosition/currentHedgeShortfall/direction/transitionPrice are -20/31/-51/1/1.5016</t>
  </si>
  <si>
    <t>2015-1-26 12:19:46.476: TransitionLogger - processTransitionpoint - checking transition - currentHedgeShortfall is -51</t>
  </si>
  <si>
    <t>2015-1-26 12:19:46.478: Algorithm - updatePortfolio - haveAllDetails is True</t>
  </si>
  <si>
    <t>2015-1-26 12:19:46.479: RTWSControl - updatePortfolioEx - An Error Occured Object variable or With block variable not set</t>
  </si>
  <si>
    <t>2015-1-26 12:19:46.516: Algorithm - FindNextStrikes - price is 1.5015 nextStrikeUp/Down 1.505/1.5</t>
  </si>
  <si>
    <t>2015-1-26 12:19:46.517: Algorithm - getPortfolioForwardDelta - required deltas is -20 currentHedgePosition is 31</t>
  </si>
  <si>
    <t>2015-1-26 12:19:46.518: Algorithm - getHedgeShortfall - required deltas is -20 price is 1.5016 currentHedgePositionDeltas is 31</t>
  </si>
  <si>
    <t>2015-1-26 12:19:46.518: Algorithm - processTransitionPoint - nextUpper/LowerStrikes are 1.505/1.5 requiredDeltas/currentPosition/currentHedgeShortfall/direction/transitionPrice are -20/31/-51/1/1.5016</t>
  </si>
  <si>
    <t>2015-1-26 12:19:46.519: TransitionLogger - processTransitionpoint - checking transition - currentHedgeShortfall is -51</t>
  </si>
  <si>
    <t>2015-1-26 12:19:46.521: Algorithm - updatePortfolio - haveAllDetails is True</t>
  </si>
  <si>
    <t>2015-1-26 12:19:46.523: RTWSControl - updatePortfolioEx - An Error Occured Object variable or With block variable not set</t>
  </si>
  <si>
    <t>2015-1-26 12:19:46.549: RTWSControl - errMsg - got error message 399:Order Message:
BUY 47 GBP MAR'15
Warning: your order will not be placed at the exchange until 2015-01-26 08:30:00 US/Centralwith id 925</t>
  </si>
  <si>
    <t>2015-1-26 12:19:46.550: RTWSControl - errMsg - Got Error_x000D_id: 925_x000D_errorCode: 399_x000D_errorMsg: Order Message:
BUY 47 GBP MAR'15
Warning: your order will not be placed at the exchange until 2015-01-26 08:30:00 US/Central</t>
  </si>
  <si>
    <t>2015-1-26 12:19:46.560: openOrderEx - I am here</t>
  </si>
  <si>
    <t>2015-1-26 12:19:46.566: RTWSControl - orderStatus -  entering orderStatus id is 925 status is PreSubmitted</t>
  </si>
  <si>
    <t>2015-1-26 12:19:46.567: OrderManager - UpdateOrderStatus - id 925 Setting status to PreSubmitted workingOrderCount is now 1 workingQty -2071</t>
  </si>
  <si>
    <t>2015-1-26 12:19:46.568: OrderManagerView - UpdateMainSheetOpenOrder - entering UpdateMainSheetOpenOrder order.status is PreSubmitted</t>
  </si>
  <si>
    <t>2015-1-26 12:19:46.571: RTWSControl - OrderStatus - Got OrderStatus Message id:925 status: PreSubmitted filled: 0</t>
  </si>
  <si>
    <t>2015-1-26 12:19:46.572: RTWSControl - OrderStatus - exiting orderStatus</t>
  </si>
  <si>
    <t>2015-1-26 12:19:46.590: openOrderEx - I am here</t>
  </si>
  <si>
    <t>2015-1-26 12:19:46.597: RTWSControl - orderStatus -  entering orderStatus id is 925 status is PreSubmitted</t>
  </si>
  <si>
    <t>2015-1-26 12:19:46.598: OrderManager - UpdateOrderStatus - id 925 Setting status to PreSubmitted workingOrderCount is now 1 workingQty -2071</t>
  </si>
  <si>
    <t>2015-1-26 12:19:46.599: OrderManagerView - UpdateMainSheetOpenOrder - entering UpdateMainSheetOpenOrder order.status is PreSubmitted</t>
  </si>
  <si>
    <t>2015-1-26 12:19:46.601: RTWSControl - OrderStatus - Got OrderStatus Message id:925 status: PreSubmitted filled: 0</t>
  </si>
  <si>
    <t>2015-1-26 12:19:46.602: RTWSControl - OrderStatus - exiting orderStatus</t>
  </si>
  <si>
    <t>2015-1-26 12:19:49.755: OrderManager - cancelOrder - cancelling order id 925</t>
  </si>
  <si>
    <t>2015-1-26 12:19:49.756: OrderManager - PlaceOrder - id 926 workingQty -2023</t>
  </si>
  <si>
    <t>2015-1-26 12:19:49.757: OrderManagerView - UpdateMainSheetOpenOrder - entering UpdateMainSheetOpenOrder order.status is In-Flight</t>
  </si>
  <si>
    <t>2015-1-26 12:19:49.759: OrderManager - sendOrder - exiting place order id 926 BUY 48 1.5227  - workingQty -2023 currentPosition is 31 workingOrderCount is 2</t>
  </si>
  <si>
    <t>2015-1-26 12:19:50.169: RTWSControl - nextValidId - entering nextValidId id is 927</t>
  </si>
  <si>
    <t>2015-1-26 12:19:50.176: RTWSControl - orderStatus -  entering orderStatus id is 925 status is Cancelled</t>
  </si>
  <si>
    <t>2015-1-26 12:19:50.177: OrderManager - UpdateOrderStatus - id 925 Setting status to Cancelled workingOrderCount is now 2 workingQty -2023</t>
  </si>
  <si>
    <t>2015-1-26 12:19:50.178: OrderManagerView - UpdateMainSheetOpenOrder - entering UpdateMainSheetOpenOrder order.status is Cancelled</t>
  </si>
  <si>
    <t>2015-1-26 12:19:50.180: RTWSControl - OrderStatus - Got OrderStatus Message id:925 status: Cancelled filled: 0</t>
  </si>
  <si>
    <t>2015-1-26 12:19:50.181: RTWSControl - OrderStatus - exiting orderStatus</t>
  </si>
  <si>
    <t>2015-1-26 12:19:50.211: RTWSControl - errMsg - got error message 202:Order Canceled - reason:with id 925</t>
  </si>
  <si>
    <t>2015-1-26 12:19:50.211: OrderManager - canceledOrder - cleaning up after canceled order 925BEWARE UNACCOUNTED FOR EXECUTIONS!!!</t>
  </si>
  <si>
    <t>2015-1-26 12:19:50.213: OrderManager - terminateOrder - cleaning up after Canceled 925  order was supposed to BUY 47 1.5225 STP LMT workingQty/OrderCount now -2070/1</t>
  </si>
  <si>
    <t>2015-1-26 12:19:50.214: OrderManagerView - UpdateMainSheetOpenOrder - entering UpdateMainSheetOpenOrder order.status is Canceled</t>
  </si>
  <si>
    <t>2015-1-26 12:19:50.435: RTWSControl - errMsg - got error message 399:Order Message:
BUY 48 GBP MAR'15
Warning: your order will not be placed at the exchange until 2015-01-26 08:30:00 US/Centralwith id 926</t>
  </si>
  <si>
    <t>2015-1-26 12:19:50.436: RTWSControl - errMsg - Got Error_x000D_id: 926_x000D_errorCode: 399_x000D_errorMsg: Order Message:
BUY 48 GBP MAR'15
Warning: your order will not be placed at the exchange until 2015-01-26 08:30:00 US/Central</t>
  </si>
  <si>
    <t>2015-1-26 12:19:50.466: openOrderEx - I am here</t>
  </si>
  <si>
    <t>2015-1-26 12:19:50.473: RTWSControl - orderStatus -  entering orderStatus id is 926 status is PreSubmitted</t>
  </si>
  <si>
    <t>2015-1-26 12:19:50.474: OrderManager - UpdateOrderStatus - id 926 Setting status to PreSubmitted workingOrderCount is now 1 workingQty -2070</t>
  </si>
  <si>
    <t>2015-1-26 12:19:50.475: OrderManagerView - UpdateMainSheetOpenOrder - entering UpdateMainSheetOpenOrder order.status is PreSubmitted</t>
  </si>
  <si>
    <t>2015-1-26 12:19:50.477: RTWSControl - OrderStatus - Got OrderStatus Message id:926 status: PreSubmitted filled: 0</t>
  </si>
  <si>
    <t>2015-1-26 12:19:50.478: RTWSControl - OrderStatus - exiting orderStatus</t>
  </si>
  <si>
    <t>2015-1-26 12:19:50.817: openOrderEx - I am here</t>
  </si>
  <si>
    <t>2015-1-26 12:19:50.838: RTWSControl - orderStatus -  entering orderStatus id is 926 status is PreSubmitted</t>
  </si>
  <si>
    <t>2015-1-26 12:19:50.839: OrderManager - UpdateOrderStatus - id 926 Setting status to PreSubmitted workingOrderCount is now 1 workingQty -2070</t>
  </si>
  <si>
    <t>2015-1-26 12:19:50.840: OrderManagerView - UpdateMainSheetOpenOrder - entering UpdateMainSheetOpenOrder order.status is PreSubmitted</t>
  </si>
  <si>
    <t>2015-1-26 12:19:50.842: RTWSControl - OrderStatus - Got OrderStatus Message id:926 status: PreSubmitted filled: 0</t>
  </si>
  <si>
    <t>2015-1-26 12:19:50.843: RTWSControl - OrderStatus - exiting orderStatus</t>
  </si>
  <si>
    <t>2015-1-26 12:19:55.274: OrderManager - cancelOrder - cancelling order id 926</t>
  </si>
  <si>
    <t>2015-1-26 12:19:55.276: OrderManager - PlaceOrder - id 927 workingQty -2023</t>
  </si>
  <si>
    <t>2015-1-26 12:19:55.279: OrderManagerView - UpdateMainSheetOpenOrder - entering UpdateMainSheetOpenOrder order.status is In-Flight</t>
  </si>
  <si>
    <t>2015-1-26 12:19:55.288: OrderManager - sendOrder - exiting place order id 927 BUY 47 1.5224  - workingQty -2023 currentPosition is 31 workingOrderCount is 2</t>
  </si>
  <si>
    <t>2015-1-26 12:19:55.546: RTWSControl - nextValidId - entering nextValidId id is 928</t>
  </si>
  <si>
    <t>2015-1-26 12:19:55.588: RTWSControl - orderStatus -  entering orderStatus id is 926 status is Cancelled</t>
  </si>
  <si>
    <t>2015-1-26 12:19:55.588: OrderManager - UpdateOrderStatus - id 926 Setting status to Cancelled workingOrderCount is now 2 workingQty -2023</t>
  </si>
  <si>
    <t>2015-1-26 12:19:55.589: OrderManagerView - UpdateMainSheetOpenOrder - entering UpdateMainSheetOpenOrder order.status is Cancelled</t>
  </si>
  <si>
    <t>2015-1-26 12:19:55.592: RTWSControl - OrderStatus - Got OrderStatus Message id:926 status: Cancelled filled: 0</t>
  </si>
  <si>
    <t>2015-1-26 12:19:55.593: RTWSControl - OrderStatus - exiting orderStatus</t>
  </si>
  <si>
    <t>2015-1-26 12:19:55.611: RTWSControl - errMsg - got error message 202:Order Canceled - reason:with id 926</t>
  </si>
  <si>
    <t>2015-1-26 12:19:55.612: OrderManager - canceledOrder - cleaning up after canceled order 926BEWARE UNACCOUNTED FOR EXECUTIONS!!!</t>
  </si>
  <si>
    <t>2015-1-26 12:19:55.613: OrderManager - terminateOrder - cleaning up after Canceled 926  order was supposed to BUY 48 1.5227 STP LMT workingQty/OrderCount now -2071/1</t>
  </si>
  <si>
    <t>2015-1-26 12:19:55.614: OrderManagerView - UpdateMainSheetOpenOrder - entering UpdateMainSheetOpenOrder order.status is Canceled</t>
  </si>
  <si>
    <t>2015-1-26 12:19:55.665: RTWSControl - errMsg - got error message 399:Order Message:
BUY 47 GBP MAR'15
Warning: your order will not be placed at the exchange until 2015-01-26 08:30:00 US/Centralwith id 927</t>
  </si>
  <si>
    <t>2015-1-26 12:19:55.666: RTWSControl - errMsg - Got Error_x000D_id: 927_x000D_errorCode: 399_x000D_errorMsg: Order Message:
BUY 47 GBP MAR'15
Warning: your order will not be placed at the exchange until 2015-01-26 08:30:00 US/Central</t>
  </si>
  <si>
    <t>2015-1-26 12:19:55.676: openOrderEx - I am here</t>
  </si>
  <si>
    <t>2015-1-26 12:19:55.683: RTWSControl - orderStatus -  entering orderStatus id is 927 status is PreSubmitted</t>
  </si>
  <si>
    <t>2015-1-26 12:19:55.683: OrderManager - UpdateOrderStatus - id 927 Setting status to PreSubmitted workingOrderCount is now 1 workingQty -2071</t>
  </si>
  <si>
    <t>2015-1-26 12:19:55.685: OrderManagerView - UpdateMainSheetOpenOrder - entering UpdateMainSheetOpenOrder order.status is PreSubmitted</t>
  </si>
  <si>
    <t>2015-1-26 12:19:55.687: RTWSControl - OrderStatus - Got OrderStatus Message id:927 status: PreSubmitted filled: 0</t>
  </si>
  <si>
    <t>2015-1-26 12:19:55.688: RTWSControl - OrderStatus - exiting orderStatus</t>
  </si>
  <si>
    <t>2015-1-26 12:19:56.856: openOrderEx - I am here</t>
  </si>
  <si>
    <t>2015-1-26 12:19:56.872: RTWSControl - orderStatus -  entering orderStatus id is 927 status is PreSubmitted</t>
  </si>
  <si>
    <t>2015-1-26 12:19:56.872: OrderManager - UpdateOrderStatus - id 927 Setting status to PreSubmitted workingOrderCount is now 1 workingQty -2071</t>
  </si>
  <si>
    <t>2015-1-26 12:19:56.874: OrderManagerView - UpdateMainSheetOpenOrder - entering UpdateMainSheetOpenOrder order.status is PreSubmitted</t>
  </si>
  <si>
    <t>2015-1-26 12:19:56.876: RTWSControl - OrderStatus - Got OrderStatus Message id:927 status: PreSubmitted filled: 0</t>
  </si>
  <si>
    <t>2015-1-26 12:19:56.877: RTWSControl - OrderStatus - exiting orderStatus</t>
  </si>
  <si>
    <t>2015-1-26 12:19:57.377: OrderManager - cancelOrder - cancelling order id 924</t>
  </si>
  <si>
    <t>2015-1-26 12:19:57.378: OrderManager - PlaceOrder - id 928 workingQty -2118</t>
  </si>
  <si>
    <t>2015-1-26 12:19:57.379: OrderManagerView - UpdateMainSheetOpenOrder - entering UpdateMainSheetOpenOrder order.status is In-Flight</t>
  </si>
  <si>
    <t>2015-1-26 12:19:57.381: OrderManager - sendOrder - exiting place order id 928 SELL 47 1.5006  - workingQty -2118 currentPosition is 31 workingOrderCount is 2</t>
  </si>
  <si>
    <t>2015-1-26 12:19:57.851: RTWSControl - nextValidId - entering nextValidId id is 929</t>
  </si>
  <si>
    <t>2015-1-26 12:19:57.870: RTWSControl - orderStatus -  entering orderStatus id is 924 status is Cancelled</t>
  </si>
  <si>
    <t>2015-1-26 12:19:57.871: OrderManager - UpdateOrderStatus - id 924 Setting status to Cancelled workingOrderCount is now 2 workingQty -2118</t>
  </si>
  <si>
    <t>2015-1-26 12:19:57.872: OrderManagerView - UpdateMainSheetOpenOrder - entering UpdateMainSheetOpenOrder order.status is Cancelled</t>
  </si>
  <si>
    <t>2015-1-26 12:19:57.875: RTWSControl - OrderStatus - Got OrderStatus Message id:924 status: Cancelled filled: 0</t>
  </si>
  <si>
    <t>2015-1-26 12:19:57.876: RTWSControl - OrderStatus - exiting orderStatus</t>
  </si>
  <si>
    <t>2015-1-26 12:19:57.886: RTWSControl - errMsg - got error message 202:Order Canceled - reason:with id 924</t>
  </si>
  <si>
    <t>2015-1-26 12:19:57.886: OrderManager - canceledOrder - cleaning up after canceled order 924BEWARE UNACCOUNTED FOR EXECUTIONS!!!</t>
  </si>
  <si>
    <t>2015-1-26 12:19:57.888: OrderManager - terminateOrder - cleaning up after Canceled 924  order was supposed to SELL 48 1.5004 STP LMT workingQty/OrderCount now -2166/1</t>
  </si>
  <si>
    <t>2015-1-26 12:19:57.889: OrderManagerView - UpdateMainSheetOpenOrder - entering UpdateMainSheetOpenOrder order.status is Canceled</t>
  </si>
  <si>
    <t>2015-1-26 12:19:58.105: RTWSControl - errMsg - got error message 399:Order Message:
SELL 47 GBP MAR'15
Warning: your order will not be placed at the exchange until 2015-01-26 08:30:00 US/Centralwith id 928</t>
  </si>
  <si>
    <t>2015-1-26 12:19:58.106: RTWSControl - errMsg - Got Error_x000D_id: 928_x000D_errorCode: 399_x000D_errorMsg: Order Message:
SELL 47 GBP MAR'15
Warning: your order will not be placed at the exchange until 2015-01-26 08:30:00 US/Central</t>
  </si>
  <si>
    <t>2015-1-26 12:19:58.144: openOrderEx - I am here</t>
  </si>
  <si>
    <t>2015-1-26 12:19:58.166: RTWSControl - orderStatus -  entering orderStatus id is 928 status is PreSubmitted</t>
  </si>
  <si>
    <t>2015-1-26 12:19:58.166: OrderManager - UpdateOrderStatus - id 928 Setting status to PreSubmitted workingOrderCount is now 1 workingQty -2166</t>
  </si>
  <si>
    <t>2015-1-26 12:19:58.168: OrderManagerView - UpdateMainSheetOpenOrder - entering UpdateMainSheetOpenOrder order.status is PreSubmitted</t>
  </si>
  <si>
    <t>2015-1-26 12:19:58.170: RTWSControl - OrderStatus - Got OrderStatus Message id:928 status: PreSubmitted filled: 0</t>
  </si>
  <si>
    <t>2015-1-26 12:19:58.171: RTWSControl - OrderStatus - exiting orderStatus</t>
  </si>
  <si>
    <t>2015-1-26 12:19:58.184: openOrderEx - I am here</t>
  </si>
  <si>
    <t>2015-1-26 12:19:58.209: RTWSControl - orderStatus -  entering orderStatus id is 928 status is PreSubmitted</t>
  </si>
  <si>
    <t>2015-1-26 12:19:58.210: OrderManager - UpdateOrderStatus - id 928 Setting status to PreSubmitted workingOrderCount is now 1 workingQty -2166</t>
  </si>
  <si>
    <t>2015-1-26 12:19:58.211: OrderManagerView - UpdateMainSheetOpenOrder - entering UpdateMainSheetOpenOrder order.status is PreSubmitted</t>
  </si>
  <si>
    <t>2015-1-26 12:19:58.213: RTWSControl - OrderStatus - Got OrderStatus Message id:928 status: PreSubmitted filled: 0</t>
  </si>
  <si>
    <t>2015-1-26 12:19:58.214: RTWSControl - OrderStatus - exiting orderStatus</t>
  </si>
  <si>
    <t>2015-1-26 12:20:10.59: OrderManager - cancelOrder - cancelling order id 928</t>
  </si>
  <si>
    <t>2015-1-26 12:20:10.60: OrderManager - PlaceOrder - id 929 workingQty -2212</t>
  </si>
  <si>
    <t>2015-1-26 12:20:10.61: OrderManagerView - UpdateMainSheetOpenOrder - entering UpdateMainSheetOpenOrder order.status is In-Flight</t>
  </si>
  <si>
    <t>2015-1-26 12:20:10.66: OrderManager - sendOrder - exiting place order id 929 SELL 46 1.5003  - workingQty -2212 currentPosition is 31 workingOrderCount is 2</t>
  </si>
  <si>
    <t>2015-1-26 12:20:10.691: RTWSControl - nextValidId - entering nextValidId id is 930</t>
  </si>
  <si>
    <t>2015-1-26 12:20:10.714: RTWSControl - orderStatus -  entering orderStatus id is 928 status is Cancelled</t>
  </si>
  <si>
    <t>2015-1-26 12:20:10.715: OrderManager - UpdateOrderStatus - id 928 Setting status to Cancelled workingOrderCount is now 2 workingQty -2212</t>
  </si>
  <si>
    <t>2015-1-26 12:20:10.716: OrderManagerView - UpdateMainSheetOpenOrder - entering UpdateMainSheetOpenOrder order.status is Cancelled</t>
  </si>
  <si>
    <t>2015-1-26 12:20:10.718: RTWSControl - OrderStatus - Got OrderStatus Message id:928 status: Cancelled filled: 0</t>
  </si>
  <si>
    <t>2015-1-26 12:20:10.719: RTWSControl - OrderStatus - exiting orderStatus</t>
  </si>
  <si>
    <t>2015-1-26 12:20:10.729: RTWSControl - errMsg - got error message 202:Order Canceled - reason:with id 928</t>
  </si>
  <si>
    <t>2015-1-26 12:20:10.729: OrderManager - canceledOrder - cleaning up after canceled order 928BEWARE UNACCOUNTED FOR EXECUTIONS!!!</t>
  </si>
  <si>
    <t>2015-1-26 12:20:10.731: OrderManager - terminateOrder - cleaning up after Canceled 928  order was supposed to SELL 47 1.5006 STP LMT workingQty/OrderCount now -2259/1</t>
  </si>
  <si>
    <t>2015-1-26 12:20:10.732: OrderManagerView - UpdateMainSheetOpenOrder - entering UpdateMainSheetOpenOrder order.status is Canceled</t>
  </si>
  <si>
    <t>2015-1-26 12:20:10.755: RTWSControl - errMsg - got error message 399:Order Message:
SELL 46 GBP MAR'15
Warning: your order will not be placed at the exchange until 2015-01-26 08:30:00 US/Centralwith id 929</t>
  </si>
  <si>
    <t>2015-1-26 12:20:10.757: RTWSControl - errMsg - Got Error_x000D_id: 929_x000D_errorCode: 399_x000D_errorMsg: Order Message:
SELL 46 GBP MAR'15
Warning: your order will not be placed at the exchange until 2015-01-26 08:30:00 US/Central</t>
  </si>
  <si>
    <t>2015-1-26 12:20:10.768: openOrderEx - I am here</t>
  </si>
  <si>
    <t>2015-1-26 12:20:10.792: RTWSControl - orderStatus -  entering orderStatus id is 929 status is PreSubmitted</t>
  </si>
  <si>
    <t>2015-1-26 12:20:10.792: OrderManager - UpdateOrderStatus - id 929 Setting status to PreSubmitted workingOrderCount is now 1 workingQty -2259</t>
  </si>
  <si>
    <t>2015-1-26 12:20:10.793: OrderManagerView - UpdateMainSheetOpenOrder - entering UpdateMainSheetOpenOrder order.status is PreSubmitted</t>
  </si>
  <si>
    <t>2015-1-26 12:20:10.796: RTWSControl - OrderStatus - Got OrderStatus Message id:929 status: PreSubmitted filled: 0</t>
  </si>
  <si>
    <t>2015-1-26 12:20:10.796: RTWSControl - OrderStatus - exiting orderStatus</t>
  </si>
  <si>
    <t>2015-1-26 12:20:10.810: openOrderEx - I am here</t>
  </si>
  <si>
    <t>2015-1-26 12:20:10.834: RTWSControl - orderStatus -  entering orderStatus id is 929 status is PreSubmitted</t>
  </si>
  <si>
    <t>2015-1-26 12:20:10.835: OrderManager - UpdateOrderStatus - id 929 Setting status to PreSubmitted workingOrderCount is now 1 workingQty -2259</t>
  </si>
  <si>
    <t>2015-1-26 12:20:10.836: OrderManagerView - UpdateMainSheetOpenOrder - entering UpdateMainSheetOpenOrder order.status is PreSubmitted</t>
  </si>
  <si>
    <t>2015-1-26 12:20:10.838: RTWSControl - OrderStatus - Got OrderStatus Message id:929 status: PreSubmitted filled: 0</t>
  </si>
  <si>
    <t>2015-1-26 12:20:10.839: RTWSControl - OrderStatus - exiting orderStatus</t>
  </si>
  <si>
    <t>2015-1-26 12:20:17.689: OrderManager - cancelOrder - cancelling order id 927</t>
  </si>
  <si>
    <t>2015-1-26 12:20:17.690: OrderManager - PlaceOrder - id 930 workingQty -2211</t>
  </si>
  <si>
    <t>2015-1-26 12:20:17.691: OrderManagerView - UpdateMainSheetOpenOrder - entering UpdateMainSheetOpenOrder order.status is In-Flight</t>
  </si>
  <si>
    <t>2015-1-26 12:20:17.693: OrderManager - sendOrder - exiting place order id 930 BUY 48 1.5227  - workingQty -2211 currentPosition is 31 workingOrderCount is 2</t>
  </si>
  <si>
    <t>2015-1-26 12:20:17.695: OrderManager - cancelOrder - cancelling order id 929</t>
  </si>
  <si>
    <t>2015-1-26 12:20:17.695: OrderManager - createOrder - exiting without creating order - did not have validID</t>
  </si>
  <si>
    <t>2015-1-26 12:20:17.858: OrderManager - createOrder - exiting without creating order - did not have validID</t>
  </si>
  <si>
    <t>2015-1-26 12:20:18.10: OrderManager - createOrder - exiting without creating order - did not have validID</t>
  </si>
  <si>
    <t>2015-1-26 12:20:18.379: RTWSControl - nextValidId - entering nextValidId id is 931</t>
  </si>
  <si>
    <t>2015-1-26 12:20:18.386: RTWSControl - orderStatus -  entering orderStatus id is 927 status is Cancelled</t>
  </si>
  <si>
    <t>2015-1-26 12:20:18.387: OrderManager - UpdateOrderStatus - id 927 Setting status to Cancelled workingOrderCount is now 2 workingQty -2211</t>
  </si>
  <si>
    <t>2015-1-26 12:20:18.388: OrderManagerView - UpdateMainSheetOpenOrder - entering UpdateMainSheetOpenOrder order.status is Cancelled</t>
  </si>
  <si>
    <t>2015-1-26 12:20:18.391: RTWSControl - OrderStatus - Got OrderStatus Message id:927 status: Cancelled filled: 0</t>
  </si>
  <si>
    <t>2015-1-26 12:20:18.392: RTWSControl - OrderStatus - exiting orderStatus</t>
  </si>
  <si>
    <t>2015-1-26 12:20:18.420: RTWSControl - errMsg - got error message 202:Order Canceled - reason:with id 927</t>
  </si>
  <si>
    <t>2015-1-26 12:20:18.421: OrderManager - canceledOrder - cleaning up after canceled order 927BEWARE UNACCOUNTED FOR EXECUTIONS!!!</t>
  </si>
  <si>
    <t>2015-1-26 12:20:18.422: OrderManager - terminateOrder - cleaning up after Canceled 927  order was supposed to BUY 47 1.5224 STP LMT workingQty/OrderCount now -2258/1</t>
  </si>
  <si>
    <t>2015-1-26 12:20:18.423: OrderManagerView - UpdateMainSheetOpenOrder - entering UpdateMainSheetOpenOrder order.status is Canceled</t>
  </si>
  <si>
    <t>2015-1-26 12:20:18.584: OrderManager - PlaceOrder - id 931 workingQty -2306</t>
  </si>
  <si>
    <t>2015-1-26 12:20:18.585: OrderManagerView - UpdateMainSheetOpenOrder - entering UpdateMainSheetOpenOrder order.status is In-Flight</t>
  </si>
  <si>
    <t>2015-1-26 12:20:18.587: OrderManager - sendOrder - exiting place order id 931 SELL 48 1.5004  - workingQty -2306 currentPosition is 31 workingOrderCount is 2</t>
  </si>
  <si>
    <t>2015-1-26 12:20:18.919: RTWSControl - errMsg - got error message 399:Order Message:
BUY 48 GBP MAR'15
Warning: your order will not be placed at the exchange until 2015-01-26 08:30:00 US/Centralwith id 930</t>
  </si>
  <si>
    <t>2015-1-26 12:20:18.921: RTWSControl - errMsg - Got Error_x000D_id: 930_x000D_errorCode: 399_x000D_errorMsg: Order Message:
BUY 48 GBP MAR'15
Warning: your order will not be placed at the exchange until 2015-01-26 08:30:00 US/Central</t>
  </si>
  <si>
    <t>2015-1-26 12:20:18.965: openOrderEx - I am here</t>
  </si>
  <si>
    <t>2015-1-26 12:20:18.972: RTWSControl - orderStatus -  entering orderStatus id is 930 status is PreSubmitted</t>
  </si>
  <si>
    <t>2015-1-26 12:20:18.973: OrderManager - UpdateOrderStatus - id 930 Setting status to PreSubmitted workingOrderCount is now 2 workingQty -2306</t>
  </si>
  <si>
    <t>2015-1-26 12:20:18.975: OrderManagerView - UpdateMainSheetOpenOrder - entering UpdateMainSheetOpenOrder order.status is PreSubmitted</t>
  </si>
  <si>
    <t>2015-1-26 12:20:18.978: RTWSControl - OrderStatus - Got OrderStatus Message id:930 status: PreSubmitted filled: 0</t>
  </si>
  <si>
    <t>2015-1-26 12:20:18.978: RTWSControl - OrderStatus - exiting orderStatus</t>
  </si>
  <si>
    <t>2015-1-26 12:20:19.1: RTWSControl - orderStatus -  entering orderStatus id is 929 status is Cancelled</t>
  </si>
  <si>
    <t>2015-1-26 12:20:19.2: OrderManager - UpdateOrderStatus - id 929 Setting status to Cancelled workingOrderCount is now 2 workingQty -2306</t>
  </si>
  <si>
    <t>2015-1-26 12:20:19.3: OrderManagerView - UpdateMainSheetOpenOrder - entering UpdateMainSheetOpenOrder order.status is Cancelled</t>
  </si>
  <si>
    <t>2015-1-26 12:20:19.6: RTWSControl - OrderStatus - Got OrderStatus Message id:929 status: Cancelled filled: 0</t>
  </si>
  <si>
    <t>2015-1-26 12:20:19.7: RTWSControl - OrderStatus - exiting orderStatus</t>
  </si>
  <si>
    <t>2015-1-26 12:20:19.18: RTWSControl - errMsg - got error message 202:Order Canceled - reason:with id 929</t>
  </si>
  <si>
    <t>2015-1-26 12:20:19.19: OrderManager - canceledOrder - cleaning up after canceled order 929BEWARE UNACCOUNTED FOR EXECUTIONS!!!</t>
  </si>
  <si>
    <t>2015-1-26 12:20:19.20: OrderManager - terminateOrder - cleaning up after Canceled 929  order was supposed to SELL 46 1.5003 STP LMT workingQty/OrderCount now -2352/1</t>
  </si>
  <si>
    <t>2015-1-26 12:20:19.22: OrderManagerView - UpdateMainSheetOpenOrder - entering UpdateMainSheetOpenOrder order.status is Canceled</t>
  </si>
  <si>
    <t>2015-1-26 12:20:19.53: openOrderEx - I am here</t>
  </si>
  <si>
    <t>2015-1-26 12:20:19.60: RTWSControl - orderStatus -  entering orderStatus id is 930 status is PreSubmitted</t>
  </si>
  <si>
    <t>2015-1-26 12:20:19.61: OrderManager - UpdateOrderStatus - id 930 Setting status to PreSubmitted workingOrderCount is now 1 workingQty -2352</t>
  </si>
  <si>
    <t>2015-1-26 12:20:19.62: OrderManagerView - UpdateMainSheetOpenOrder - entering UpdateMainSheetOpenOrder order.status is PreSubmitted</t>
  </si>
  <si>
    <t>2015-1-26 12:20:19.65: RTWSControl - OrderStatus - Got OrderStatus Message id:930 status: PreSubmitted filled: 0</t>
  </si>
  <si>
    <t>2015-1-26 12:20:19.66: RTWSControl - OrderStatus - exiting orderStatus</t>
  </si>
  <si>
    <t>2015-1-26 12:20:19.297: RTWSControl - nextValidId - entering nextValidId id is 932</t>
  </si>
  <si>
    <t>2015-1-26 12:20:19.344: RTWSControl - errMsg - got error message 399:Order Message:
SELL 48 GBP MAR'15
Warning: your order will not be placed at the exchange until 2015-01-26 08:30:00 US/Centralwith id 931</t>
  </si>
  <si>
    <t>2015-1-26 12:20:19.345: RTWSControl - errMsg - Got Error_x000D_id: 931_x000D_errorCode: 399_x000D_errorMsg: Order Message:
SELL 48 GBP MAR'15
Warning: your order will not be placed at the exchange until 2015-01-26 08:30:00 US/Central</t>
  </si>
  <si>
    <t>2015-1-26 12:20:19.380: openOrderEx - I am here</t>
  </si>
  <si>
    <t>2015-1-26 12:20:19.386: RTWSControl - orderStatus -  entering orderStatus id is 931 status is PreSubmitted</t>
  </si>
  <si>
    <t>2015-1-26 12:20:19.387: OrderManager - UpdateOrderStatus - id 931 Setting status to PreSubmitted workingOrderCount is now 1 workingQty -2352</t>
  </si>
  <si>
    <t>2015-1-26 12:20:19.388: OrderManagerView - UpdateMainSheetOpenOrder - entering UpdateMainSheetOpenOrder order.status is PreSubmitted</t>
  </si>
  <si>
    <t>2015-1-26 12:20:19.391: RTWSControl - OrderStatus - Got OrderStatus Message id:931 status: PreSubmitted filled: 0</t>
  </si>
  <si>
    <t>2015-1-26 12:20:19.391: RTWSControl - OrderStatus - exiting orderStatus</t>
  </si>
  <si>
    <t>2015-1-26 12:20:19.420: openOrderEx - I am here</t>
  </si>
  <si>
    <t>2015-1-26 12:20:19.427: RTWSControl - orderStatus -  entering orderStatus id is 931 status is PreSubmitted</t>
  </si>
  <si>
    <t>2015-1-26 12:20:19.427: OrderManager - UpdateOrderStatus - id 931 Setting status to PreSubmitted workingOrderCount is now 1 workingQty -2352</t>
  </si>
  <si>
    <t>2015-1-26 12:20:19.429: OrderManagerView - UpdateMainSheetOpenOrder - entering UpdateMainSheetOpenOrder order.status is PreSubmitted</t>
  </si>
  <si>
    <t>2015-1-26 12:20:19.431: RTWSControl - OrderStatus - Got OrderStatus Message id:931 status: PreSubmitted filled: 0</t>
  </si>
  <si>
    <t>2015-1-26 12:20:19.432: RTWSControl - OrderStatus - exiting orderStatus</t>
  </si>
  <si>
    <t>2015-1-26 12:20:31.942: OrderManager - cancelOrder - cancelling order id 930</t>
  </si>
  <si>
    <t>2015-1-26 12:20:31.944: OrderManager - PlaceOrder - id 932 workingQty -2306</t>
  </si>
  <si>
    <t>2015-1-26 12:20:31.945: OrderManagerView - UpdateMainSheetOpenOrder - entering UpdateMainSheetOpenOrder order.status is In-Flight</t>
  </si>
  <si>
    <t>2015-1-26 12:20:31.949: OrderManager - sendOrder - exiting place order id 932 BUY 46 1.5225  - workingQty -2306 currentPosition is 31 workingOrderCount is 2</t>
  </si>
  <si>
    <t>2015-1-26 12:20:31.951: OrderManager - cancelOrder - cancelling order id 931</t>
  </si>
  <si>
    <t>2015-1-26 12:20:31.951: OrderManager - createOrder - exiting without creating order - did not have validID</t>
  </si>
  <si>
    <t>2015-1-26 12:20:32.219: RTWSControl - nextValidId - entering nextValidId id is 933</t>
  </si>
  <si>
    <t>2015-1-26 12:20:32.246: RTWSControl - orderStatus -  entering orderStatus id is 930 status is Cancelled</t>
  </si>
  <si>
    <t>2015-1-26 12:20:32.247: OrderManager - UpdateOrderStatus - id 930 Setting status to Cancelled workingOrderCount is now 2 workingQty -2306</t>
  </si>
  <si>
    <t>2015-1-26 12:20:32.249: OrderManagerView - UpdateMainSheetOpenOrder - entering UpdateMainSheetOpenOrder order.status is Cancelled</t>
  </si>
  <si>
    <t>2015-1-26 12:20:32.253: RTWSControl - OrderStatus - Got OrderStatus Message id:930 status: Cancelled filled: 0</t>
  </si>
  <si>
    <t>2015-1-26 12:20:32.254: RTWSControl - OrderStatus - exiting orderStatus</t>
  </si>
  <si>
    <t>2015-1-26 12:20:32.275: RTWSControl - errMsg - got error message 202:Order Canceled - reason:with id 930</t>
  </si>
  <si>
    <t>2015-1-26 12:20:32.276: OrderManager - canceledOrder - cleaning up after canceled order 930BEWARE UNACCOUNTED FOR EXECUTIONS!!!</t>
  </si>
  <si>
    <t>2015-1-26 12:20:32.278: OrderManager - terminateOrder - cleaning up after Canceled 930  order was supposed to BUY 48 1.5227 STP LMT workingQty/OrderCount now -2354/1</t>
  </si>
  <si>
    <t>2015-1-26 12:20:32.280: OrderManagerView - UpdateMainSheetOpenOrder - entering UpdateMainSheetOpenOrder order.status is Canceled</t>
  </si>
  <si>
    <t>2015-1-26 12:20:32.291: RTWSControl - errMsg - got error message 399:Order Message:
BUY 46 GBP MAR'15
Warning: your order will not be placed at the exchange until 2015-01-26 08:30:00 US/Centralwith id 932</t>
  </si>
  <si>
    <t>2015-1-26 12:20:32.292: RTWSControl - errMsg - Got Error_x000D_id: 932_x000D_errorCode: 399_x000D_errorMsg: Order Message:
BUY 46 GBP MAR'15
Warning: your order will not be placed at the exchange until 2015-01-26 08:30:00 US/Central</t>
  </si>
  <si>
    <t>2015-1-26 12:20:32.303: openOrderEx - I am here</t>
  </si>
  <si>
    <t>2015-1-26 12:20:32.332: RTWSControl - orderStatus -  entering orderStatus id is 932 status is PreSubmitted</t>
  </si>
  <si>
    <t>2015-1-26 12:20:32.333: OrderManager - UpdateOrderStatus - id 932 Setting status to PreSubmitted workingOrderCount is now 1 workingQty -2354</t>
  </si>
  <si>
    <t>2015-1-26 12:20:32.335: OrderManagerView - UpdateMainSheetOpenOrder - entering UpdateMainSheetOpenOrder order.status is PreSubmitted</t>
  </si>
  <si>
    <t>2015-1-26 12:20:32.339: RTWSControl - OrderStatus - Got OrderStatus Message id:932 status: PreSubmitted filled: 0</t>
  </si>
  <si>
    <t>2015-1-26 12:20:32.340: RTWSControl - OrderStatus - exiting orderStatus</t>
  </si>
  <si>
    <t>2015-1-26 12:20:32.347: RTWSControl - orderStatus -  entering orderStatus id is 931 status is Cancelled</t>
  </si>
  <si>
    <t>2015-1-26 12:20:32.348: OrderManager - UpdateOrderStatus - id 931 Setting status to Cancelled workingOrderCount is now 1 workingQty -2354</t>
  </si>
  <si>
    <t>2015-1-26 12:20:32.351: OrderManagerView - UpdateMainSheetOpenOrder - entering UpdateMainSheetOpenOrder order.status is Cancelled</t>
  </si>
  <si>
    <t>2015-1-26 12:20:32.355: RTWSControl - OrderStatus - Got OrderStatus Message id:931 status: Cancelled filled: 0</t>
  </si>
  <si>
    <t>2015-1-26 12:20:32.356: RTWSControl - OrderStatus - exiting orderStatus</t>
  </si>
  <si>
    <t>2015-1-26 12:20:32.365: RTWSControl - errMsg - got error message 202:Order Canceled - reason:with id 931</t>
  </si>
  <si>
    <t>2015-1-26 12:20:32.366: OrderManager - canceledOrder - cleaning up after canceled order 931BEWARE UNACCOUNTED FOR EXECUTIONS!!!</t>
  </si>
  <si>
    <t>2015-1-26 12:20:32.368: OrderManager - terminateOrder - cleaning up after Canceled 931  order was supposed to SELL 48 1.5004 STP LMT workingQty/OrderCount now -2402/0</t>
  </si>
  <si>
    <t>2015-1-26 12:20:32.370: OrderManagerView - UpdateMainSheetOpenOrder - entering UpdateMainSheetOpenOrder order.status is Canceled</t>
  </si>
  <si>
    <t>2015-1-26 12:20:32.402: openOrderEx - I am here</t>
  </si>
  <si>
    <t>2015-1-26 12:20:32.409: RTWSControl - orderStatus -  entering orderStatus id is 932 status is PreSubmitted</t>
  </si>
  <si>
    <t>2015-1-26 12:20:32.410: OrderManager - UpdateOrderStatus - id 932 Setting status to PreSubmitted workingOrderCount is now 0 workingQty -2402</t>
  </si>
  <si>
    <t>2015-1-26 12:20:32.412: OrderManagerView - UpdateMainSheetOpenOrder - entering UpdateMainSheetOpenOrder order.status is PreSubmitted</t>
  </si>
  <si>
    <t>2015-1-26 12:20:32.417: RTWSControl - OrderStatus - Got OrderStatus Message id:932 status: PreSubmitted filled: 0</t>
  </si>
  <si>
    <t>2015-1-26 12:20:32.417: RTWSControl - OrderStatus - exiting orderStatus</t>
  </si>
  <si>
    <t>2015-1-26 12:20:41.999: OrderManager - PlaceOrder - id 933 workingQty -2449</t>
  </si>
  <si>
    <t>2015-1-26 12:20:42.1: OrderManagerView - UpdateMainSheetOpenOrder - entering UpdateMainSheetOpenOrder order.status is In-Flight</t>
  </si>
  <si>
    <t>2015-1-26 12:20:42.4: OrderManager - sendOrder - exiting place order id 933 SELL 47 1.5005  - workingQty -2449 currentPosition is 31 workingOrderCount is 1</t>
  </si>
  <si>
    <t>2015-1-26 12:20:42.431: RTWSControl - nextValidId - entering nextValidId id is 934</t>
  </si>
  <si>
    <t>2015-1-26 12:20:42.438: RTWSControl - errMsg - got error message 399:Order Message:
SELL 47 GBP MAR'15
Warning: your order will not be placed at the exchange until 2015-01-26 08:30:00 US/Centralwith id 933</t>
  </si>
  <si>
    <t>2015-1-26 12:20:42.440: RTWSControl - errMsg - Got Error_x000D_id: 933_x000D_errorCode: 399_x000D_errorMsg: Order Message:
SELL 47 GBP MAR'15
Warning: your order will not be placed at the exchange until 2015-01-26 08:30:00 US/Central</t>
  </si>
  <si>
    <t>2015-1-26 12:20:42.462: openOrderEx - I am here</t>
  </si>
  <si>
    <t>2015-1-26 12:20:42.468: RTWSControl - orderStatus -  entering orderStatus id is 933 status is PreSubmitted</t>
  </si>
  <si>
    <t>2015-1-26 12:20:42.469: OrderManager - UpdateOrderStatus - id 933 Setting status to PreSubmitted workingOrderCount is now 1 workingQty -2449</t>
  </si>
  <si>
    <t>2015-1-26 12:20:42.471: OrderManagerView - UpdateMainSheetOpenOrder - entering UpdateMainSheetOpenOrder order.status is PreSubmitted</t>
  </si>
  <si>
    <t>2015-1-26 12:20:42.475: RTWSControl - OrderStatus - Got OrderStatus Message id:933 status: PreSubmitted filled: 0</t>
  </si>
  <si>
    <t>2015-1-26 12:20:42.476: RTWSControl - OrderStatus - exiting orderStatus</t>
  </si>
  <si>
    <t>2015-1-26 12:20:42.601: openOrderEx - I am here</t>
  </si>
  <si>
    <t>2015-1-26 12:20:42.608: RTWSControl - orderStatus -  entering orderStatus id is 933 status is PreSubmitted</t>
  </si>
  <si>
    <t>2015-1-26 12:20:42.609: OrderManager - UpdateOrderStatus - id 933 Setting status to PreSubmitted workingOrderCount is now 1 workingQty -2449</t>
  </si>
  <si>
    <t>2015-1-26 12:20:42.611: OrderManagerView - UpdateMainSheetOpenOrder - entering UpdateMainSheetOpenOrder order.status is PreSubmitted</t>
  </si>
  <si>
    <t>2015-1-26 12:20:42.616: RTWSControl - OrderStatus - Got OrderStatus Message id:933 status: PreSubmitted filled: 0</t>
  </si>
  <si>
    <t>2015-1-26 12:20:42.617: RTWSControl - OrderStatus - exiting orderStatus</t>
  </si>
  <si>
    <t>2015-1-26 12:20:49.919: OrderManager - cancelOrder - cancelling order id 932</t>
  </si>
  <si>
    <t>2015-1-26 12:20:49.920: OrderManager - PlaceOrder - id 934 workingQty -2403</t>
  </si>
  <si>
    <t>2015-1-26 12:20:49.920: OrderManagerView - UpdateMainSheetOpenOrder - entering UpdateMainSheetOpenOrder order.status is In-Flight</t>
  </si>
  <si>
    <t>2015-1-26 12:20:49.923: OrderManager - sendOrder - exiting place order id 934 BUY 46 1.5222  - workingQty -2403 currentPosition is 31 workingOrderCount is 2</t>
  </si>
  <si>
    <t>2015-1-26 12:20:50.69: RTWSControl - nextValidId - entering nextValidId id is 935</t>
  </si>
  <si>
    <t>2015-1-26 12:20:50.228: RTWSControl - orderStatus -  entering orderStatus id is 932 status is Cancelled</t>
  </si>
  <si>
    <t>2015-1-26 12:20:50.229: OrderManager - UpdateOrderStatus - id 932 Setting status to Cancelled workingOrderCount is now 2 workingQty -2403</t>
  </si>
  <si>
    <t>2015-1-26 12:20:50.232: OrderManagerView - UpdateMainSheetOpenOrder - entering UpdateMainSheetOpenOrder order.status is Cancelled</t>
  </si>
  <si>
    <t>2015-1-26 12:20:50.236: RTWSControl - OrderStatus - Got OrderStatus Message id:932 status: Cancelled filled: 0</t>
  </si>
  <si>
    <t>2015-1-26 12:20:50.236: RTWSControl - OrderStatus - exiting orderStatus</t>
  </si>
  <si>
    <t>2015-1-26 12:20:50.245: RTWSControl - errMsg - got error message 202:Order Canceled - reason:with id 932</t>
  </si>
  <si>
    <t>2015-1-26 12:20:50.246: OrderManager - canceledOrder - cleaning up after canceled order 932BEWARE UNACCOUNTED FOR EXECUTIONS!!!</t>
  </si>
  <si>
    <t>2015-1-26 12:20:50.248: OrderManager - terminateOrder - cleaning up after Canceled 932  order was supposed to BUY 46 1.5225 STP LMT workingQty/OrderCount now -2449/1</t>
  </si>
  <si>
    <t>2015-1-26 12:20:50.250: OrderManagerView - UpdateMainSheetOpenOrder - entering UpdateMainSheetOpenOrder order.status is Canceled</t>
  </si>
  <si>
    <t>2015-1-26 12:20:50.260: RTWSControl - errMsg - got error message 399:Order Message:
BUY 46 GBP MAR'15
Warning: your order will not be placed at the exchange until 2015-01-26 08:30:00 US/Centralwith id 934</t>
  </si>
  <si>
    <t>2015-1-26 12:20:50.262: RTWSControl - errMsg - Got Error_x000D_id: 934_x000D_errorCode: 399_x000D_errorMsg: Order Message:
BUY 46 GBP MAR'15
Warning: your order will not be placed at the exchange until 2015-01-26 08:30:00 US/Central</t>
  </si>
  <si>
    <t>2015-1-26 12:20:50.288: openOrderEx - I am here</t>
  </si>
  <si>
    <t>2015-1-26 12:20:50.295: RTWSControl - orderStatus -  entering orderStatus id is 934 status is PreSubmitted</t>
  </si>
  <si>
    <t>2015-1-26 12:20:50.296: OrderManager - UpdateOrderStatus - id 934 Setting status to PreSubmitted workingOrderCount is now 1 workingQty -2449</t>
  </si>
  <si>
    <t>2015-1-26 12:20:50.298: OrderManagerView - UpdateMainSheetOpenOrder - entering UpdateMainSheetOpenOrder order.status is PreSubmitted</t>
  </si>
  <si>
    <t>2015-1-26 12:20:50.302: RTWSControl - OrderStatus - Got OrderStatus Message id:934 status: PreSubmitted filled: 0</t>
  </si>
  <si>
    <t>2015-1-26 12:20:50.303: RTWSControl - OrderStatus - exiting orderStatus</t>
  </si>
  <si>
    <t>2015-1-26 12:20:50.383: openOrderEx - I am here</t>
  </si>
  <si>
    <t>2015-1-26 12:20:50.391: RTWSControl - orderStatus -  entering orderStatus id is 934 status is PreSubmitted</t>
  </si>
  <si>
    <t>2015-1-26 12:20:50.392: OrderManager - UpdateOrderStatus - id 934 Setting status to PreSubmitted workingOrderCount is now 1 workingQty -2449</t>
  </si>
  <si>
    <t>2015-1-26 12:20:50.394: OrderManagerView - UpdateMainSheetOpenOrder - entering UpdateMainSheetOpenOrder order.status is PreSubmitted</t>
  </si>
  <si>
    <t>2015-1-26 12:20:50.398: RTWSControl - OrderStatus - Got OrderStatus Message id:934 status: PreSubmitted filled: 0</t>
  </si>
  <si>
    <t>2015-1-26 12:20:50.399: RTWSControl - OrderStatus - exiting orderStatus</t>
  </si>
  <si>
    <t>2015-1-26 12:22:12.848: OrderManager - cancelOrder - cancelling order id 934</t>
  </si>
  <si>
    <t>2015-1-26 12:22:12.849: OrderManager - PlaceOrder - id 935 workingQty -2402</t>
  </si>
  <si>
    <t>2015-1-26 12:22:12.850: OrderManagerView - UpdateMainSheetOpenOrder - entering UpdateMainSheetOpenOrder order.status is In-Flight</t>
  </si>
  <si>
    <t>2015-1-26 12:22:12.853: OrderManager - sendOrder - exiting place order id 935 BUY 47 1.5224  - workingQty -2402 currentPosition is 31 workingOrderCount is 2</t>
  </si>
  <si>
    <t>2015-1-26 12:22:12.944: RTWSControl - nextValidId - entering nextValidId id is 936</t>
  </si>
  <si>
    <t>2015-1-26 12:22:13.155: RTWSControl - orderStatus -  entering orderStatus id is 934 status is Cancelled</t>
  </si>
  <si>
    <t>2015-1-26 12:22:13.158: OrderManager - UpdateOrderStatus - id 934 Setting status to Cancelled workingOrderCount is now 2 workingQty -2402</t>
  </si>
  <si>
    <t>2015-1-26 12:22:13.165: OrderManagerView - UpdateMainSheetOpenOrder - entering UpdateMainSheetOpenOrder order.status is Cancelled</t>
  </si>
  <si>
    <t>2015-1-26 12:22:13.177: RTWSControl - OrderStatus - Got OrderStatus Message id:934 status: Cancelled filled: 0</t>
  </si>
  <si>
    <t>2015-1-26 12:22:13.180: RTWSControl - OrderStatus - exiting orderStatus</t>
  </si>
  <si>
    <t>2015-1-26 12:22:13.197: RTWSControl - errMsg - got error message 202:Order Canceled - reason:with id 934</t>
  </si>
  <si>
    <t>2015-1-26 12:22:13.199: OrderManager - canceledOrder - cleaning up after canceled order 934BEWARE UNACCOUNTED FOR EXECUTIONS!!!</t>
  </si>
  <si>
    <t>2015-1-26 12:22:13.203: OrderManager - terminateOrder - cleaning up after Canceled 934  order was supposed to BUY 46 1.5222 STP LMT workingQty/OrderCount now -2448/1</t>
  </si>
  <si>
    <t>2015-1-26 12:22:13.206: OrderManagerView - UpdateMainSheetOpenOrder - entering UpdateMainSheetOpenOrder order.status is Canceled</t>
  </si>
  <si>
    <t>2015-1-26 12:22:13.265: RTWSControl - errMsg - got error message 399:Order Message:
BUY 47 GBP MAR'15
Warning: your order will not be placed at the exchange until 2015-01-26 08:30:00 US/Centralwith id 935</t>
  </si>
  <si>
    <t>2015-1-26 12:22:13.267: RTWSControl - errMsg - Got Error_x000D_id: 935_x000D_errorCode: 399_x000D_errorMsg: Order Message:
BUY 47 GBP MAR'15
Warning: your order will not be placed at the exchange until 2015-01-26 08:30:00 US/Central</t>
  </si>
  <si>
    <t>2015-1-26 12:22:13.279: openOrderEx - I am here</t>
  </si>
  <si>
    <t>2015-1-26 12:22:13.299: RTWSControl - orderStatus -  entering orderStatus id is 935 status is PreSubmitted</t>
  </si>
  <si>
    <t>2015-1-26 12:22:13.300: OrderManager - UpdateOrderStatus - id 935 Setting status to PreSubmitted workingOrderCount is now 1 workingQty -2448</t>
  </si>
  <si>
    <t>2015-1-26 12:22:13.302: OrderManagerView - UpdateMainSheetOpenOrder - entering UpdateMainSheetOpenOrder order.status is PreSubmitted</t>
  </si>
  <si>
    <t>2015-1-26 12:22:13.305: RTWSControl - OrderStatus - Got OrderStatus Message id:935 status: PreSubmitted filled: 0</t>
  </si>
  <si>
    <t>2015-1-26 12:22:13.306: RTWSControl - OrderStatus - exiting orderStatus</t>
  </si>
  <si>
    <t>2015-1-26 12:22:13.317: openOrderEx - I am here</t>
  </si>
  <si>
    <t>2015-1-26 12:22:13.324: RTWSControl - orderStatus -  entering orderStatus id is 935 status is PreSubmitted</t>
  </si>
  <si>
    <t>2015-1-26 12:22:13.325: OrderManager - UpdateOrderStatus - id 935 Setting status to PreSubmitted workingOrderCount is now 1 workingQty -2448</t>
  </si>
  <si>
    <t>2015-1-26 12:22:13.327: OrderManagerView - UpdateMainSheetOpenOrder - entering UpdateMainSheetOpenOrder order.status is PreSubmitted</t>
  </si>
  <si>
    <t>2015-1-26 12:22:13.332: RTWSControl - OrderStatus - Got OrderStatus Message id:935 status: PreSubmitted filled: 0</t>
  </si>
  <si>
    <t>2015-1-26 12:22:13.333: RTWSControl - OrderStatus - exiting orderStatus</t>
  </si>
  <si>
    <t>2015-1-26 12:22:39.578: OrderManager - cancelOrder - cancelling order id 935</t>
  </si>
  <si>
    <t>2015-1-26 12:22:39.582: OrderManager - PlaceOrder - id 936 workingQty -2401</t>
  </si>
  <si>
    <t>2015-1-26 12:22:39.585: OrderManagerView - UpdateMainSheetOpenOrder - entering UpdateMainSheetOpenOrder order.status is In-Flight</t>
  </si>
  <si>
    <t>2015-1-26 12:22:39.590: OrderManagerView - incrementNextOORow - there are no available OpenOrderView Rows!!!!!!</t>
  </si>
  <si>
    <t>2015-1-26 12:22:39.594: OrderManager - sendOrder - exiting place order id 936 BUY 47 1.5226  - workingQty -2401 currentPosition is 31 workingOrderCount is 2</t>
  </si>
  <si>
    <t>2015-1-26 12:22:39.801: RTWSControl - nextValidId - entering nextValidId id is 937</t>
  </si>
  <si>
    <t>2015-1-26 12:22:39.874: RTWSControl - orderStatus -  entering orderStatus id is 935 status is Cancelled</t>
  </si>
  <si>
    <t>2015-1-26 12:22:39.875: OrderManager - UpdateOrderStatus - id 935 Setting status to Cancelled workingOrderCount is now 2 workingQty -2401</t>
  </si>
  <si>
    <t>2015-1-26 12:22:39.877: OrderManagerView - UpdateMainSheetOpenOrder - entering UpdateMainSheetOpenOrder order.status is Cancelled</t>
  </si>
  <si>
    <t>2015-1-26 12:22:39.881: RTWSControl - OrderStatus - Got OrderStatus Message id:935 status: Cancelled filled: 0</t>
  </si>
  <si>
    <t>2015-1-26 12:22:39.882: RTWSControl - OrderStatus - exiting orderStatus</t>
  </si>
  <si>
    <t>2015-1-26 12:22:39.890: RTWSControl - errMsg - got error message 202:Order Canceled - reason:with id 935</t>
  </si>
  <si>
    <t>2015-1-26 12:22:39.891: OrderManager - canceledOrder - cleaning up after canceled order 935BEWARE UNACCOUNTED FOR EXECUTIONS!!!</t>
  </si>
  <si>
    <t>2015-1-26 12:22:39.893: OrderManager - terminateOrder - cleaning up after Canceled 935  order was supposed to BUY 47 1.5224 STP LMT workingQty/OrderCount now -2448/1</t>
  </si>
  <si>
    <t>2015-1-26 12:22:39.895: OrderManagerView - UpdateMainSheetOpenOrder - entering UpdateMainSheetOpenOrder order.status is Canceled</t>
  </si>
  <si>
    <t>2015-1-26 12:22:39.907: RTWSControl - errMsg - got error message 399:Order Message:
BUY 47 GBP MAR'15
Warning: your order will not be placed at the exchange until 2015-01-26 08:30:00 US/Centralwith id 936</t>
  </si>
  <si>
    <t>2015-1-26 12:22:39.909: RTWSControl - errMsg - Got Error_x000D_id: 936_x000D_errorCode: 399_x000D_errorMsg: Order Message:
BUY 47 GBP MAR'15
Warning: your order will not be placed at the exchange until 2015-01-26 08:30:00 US/Central</t>
  </si>
  <si>
    <t>2015-1-26 12:22:39.920: openOrderEx - I am here</t>
  </si>
  <si>
    <t>2015-1-26 12:22:39.926: RTWSControl - orderStatus -  entering orderStatus id is 936 status is PreSubmitted</t>
  </si>
  <si>
    <t>2015-1-26 12:22:39.927: OrderManager - UpdateOrderStatus - id 936 Setting status to PreSubmitted workingOrderCount is now 1 workingQty -2448</t>
  </si>
  <si>
    <t>2015-1-26 12:22:39.929: OrderManagerView - UpdateMainSheetOpenOrder - entering UpdateMainSheetOpenOrder order.status is PreSubmitted</t>
  </si>
  <si>
    <t>2015-1-26 12:22:39.933: RTWSControl - OrderStatus - Got OrderStatus Message id:936 status: PreSubmitted filled: 0</t>
  </si>
  <si>
    <t>2015-1-26 12:22:39.934: RTWSControl - OrderStatus - exiting orderStatus</t>
  </si>
  <si>
    <t>2015-1-26 12:22:39.964: openOrderEx - I am here</t>
  </si>
  <si>
    <t>2015-1-26 12:22:39.970: RTWSControl - orderStatus -  entering orderStatus id is 936 status is PreSubmitted</t>
  </si>
  <si>
    <t>2015-1-26 12:22:39.971: OrderManager - UpdateOrderStatus - id 936 Setting status to PreSubmitted workingOrderCount is now 1 workingQty -2448</t>
  </si>
  <si>
    <t>2015-1-26 12:22:39.973: OrderManagerView - UpdateMainSheetOpenOrder - entering UpdateMainSheetOpenOrder order.status is PreSubmitted</t>
  </si>
  <si>
    <t>2015-1-26 12:22:39.977: RTWSControl - OrderStatus - Got OrderStatus Message id:936 status: PreSubmitted filled: 0</t>
  </si>
  <si>
    <t>2015-1-26 12:22:39.978: RTWSControl - OrderStatus - exiting orderStatus</t>
  </si>
  <si>
    <t>2015-1-26 12:22:45.294: Algorithm - FindNextStrikes - price is 1.50165 nextStrikeUp/Down 1.505/1.5</t>
  </si>
  <si>
    <t>2015-1-26 12:22:45.295: Algorithm - getPortfolioForwardDelta - required deltas is -20 currentHedgePosition is 31</t>
  </si>
  <si>
    <t>2015-1-26 12:22:45.296: Algorithm - getHedgeShortfall - required deltas is -20 price is 1.50155 currentHedgePositionDeltas is 31</t>
  </si>
  <si>
    <t>2015-1-26 12:22:45.298: Algorithm - processTransitionPoint - nextUpper/LowerStrikes are 1.505/1.5 requiredDeltas/currentPosition/currentHedgeShortfall/direction/transitionPrice are -20/31/-51/-1/1.50155</t>
  </si>
  <si>
    <t>2015-1-26 12:22:45.299: TransitionLogger - processTransitionpoint - checking transition - currentHedgeShortfall is -51</t>
  </si>
  <si>
    <t>2015-1-26 12:22:45.302: Algorithm - updatePortfolio - haveAllDetails is True</t>
  </si>
  <si>
    <t>2015-1-26 12:22:45.304: RTWSControl - updatePortfolioEx - An Error Occured Object variable or With block variable not set</t>
  </si>
  <si>
    <t>2015-1-26 12:22:45.324: Algorithm - FindNextStrikes - price is 1.50165 nextStrikeUp/Down 1.505/1.5</t>
  </si>
  <si>
    <t>2015-1-26 12:22:45.325: Algorithm - getPortfolioForwardDelta - required deltas is -20 currentHedgePosition is 31</t>
  </si>
  <si>
    <t>2015-1-26 12:22:45.326: Algorithm - getHedgeShortfall - required deltas is -20 price is 1.50155 currentHedgePositionDeltas is 31</t>
  </si>
  <si>
    <t>2015-1-26 12:22:45.328: Algorithm - processTransitionPoint - nextUpper/LowerStrikes are 1.505/1.5 requiredDeltas/currentPosition/currentHedgeShortfall/direction/transitionPrice are -20/31/-51/-1/1.50155</t>
  </si>
  <si>
    <t>2015-1-26 12:22:45.330: TransitionLogger - processTransitionpoint - checking transition - currentHedgeShortfall is -51</t>
  </si>
  <si>
    <t>2015-1-26 12:22:45.333: Algorithm - updatePortfolio - haveAllDetails is True</t>
  </si>
  <si>
    <t>2015-1-26 12:22:45.335: RTWSControl - updatePortfolioEx - An Error Occured Object variable or With block variable not set</t>
  </si>
  <si>
    <t>2015-1-26 12:22:45.377: Algorithm - FindNextStrikes - price is 1.50165 nextStrikeUp/Down 1.505/1.5</t>
  </si>
  <si>
    <t>2015-1-26 12:22:45.378: Algorithm - getPortfolioForwardDelta - required deltas is -20 currentHedgePosition is 31</t>
  </si>
  <si>
    <t>2015-1-26 12:22:45.379: Algorithm - getHedgeShortfall - required deltas is -20 price is 1.50155 currentHedgePositionDeltas is 31</t>
  </si>
  <si>
    <t>2015-1-26 12:22:45.381: Algorithm - processTransitionPoint - nextUpper/LowerStrikes are 1.505/1.5 requiredDeltas/currentPosition/currentHedgeShortfall/direction/transitionPrice are -20/31/-51/-1/1.50155</t>
  </si>
  <si>
    <t>2015-1-26 12:22:45.383: TransitionLogger - processTransitionpoint - checking transition - currentHedgeShortfall is -51</t>
  </si>
  <si>
    <t>2015-1-26 12:22:45.385: Algorithm - updatePortfolio - haveAllDetails is True</t>
  </si>
  <si>
    <t>2015-1-26 12:22:45.387: RTWSControl - updatePortfolioEx - An Error Occured Object variable or With block variable not set</t>
  </si>
  <si>
    <t>2015-1-26 12:22:45.432: Algorithm - FindNextStrikes - price is 1.50165 nextStrikeUp/Down 1.505/1.5</t>
  </si>
  <si>
    <t>2015-1-26 12:22:45.433: Algorithm - getPortfolioForwardDelta - required deltas is -20 currentHedgePosition is 31</t>
  </si>
  <si>
    <t>2015-1-26 12:22:45.434: Algorithm - getHedgeShortfall - required deltas is -20 price is 1.50155 currentHedgePositionDeltas is 31</t>
  </si>
  <si>
    <t>2015-1-26 12:22:45.436: Algorithm - processTransitionPoint - nextUpper/LowerStrikes are 1.505/1.5 requiredDeltas/currentPosition/currentHedgeShortfall/direction/transitionPrice are -20/31/-51/-1/1.50155</t>
  </si>
  <si>
    <t>2015-1-26 12:22:45.437: TransitionLogger - processTransitionpoint - checking transition - currentHedgeShortfall is -51</t>
  </si>
  <si>
    <t>2015-1-26 12:22:45.440: Algorithm - updatePortfolio - haveAllDetails is True</t>
  </si>
  <si>
    <t>2015-1-26 12:22:45.442: RTWSControl - updatePortfolioEx - An Error Occured Object variable or With block variable not set</t>
  </si>
  <si>
    <t>2015-1-26 12:22:45.472: Algorithm - FindNextStrikes - price is 1.50165 nextStrikeUp/Down 1.505/1.5</t>
  </si>
  <si>
    <t>2015-1-26 12:22:45.473: Algorithm - getPortfolioForwardDelta - required deltas is -20 currentHedgePosition is 31</t>
  </si>
  <si>
    <t>2015-1-26 12:22:45.474: Algorithm - getHedgeShortfall - required deltas is -20 price is 1.50155 currentHedgePositionDeltas is 31</t>
  </si>
  <si>
    <t>2015-1-26 12:22:45.476: Algorithm - processTransitionPoint - nextUpper/LowerStrikes are 1.505/1.5 requiredDeltas/currentPosition/currentHedgeShortfall/direction/transitionPrice are -20/31/-51/-1/1.50155</t>
  </si>
  <si>
    <t>2015-1-26 12:22:45.477: TransitionLogger - processTransitionpoint - checking transition - currentHedgeShortfall is -51</t>
  </si>
  <si>
    <t>2015-1-26 12:22:45.480: Algorithm - updatePortfolio - haveAllDetails is True</t>
  </si>
  <si>
    <t>2015-1-26 12:22:45.482: RTWSControl - updatePortfolioEx - An Error Occured Object variable or With block variable not set</t>
  </si>
  <si>
    <t>2015-1-26 12:22:45.508: Algorithm - FindNextStrikes - price is 1.50165 nextStrikeUp/Down 1.505/1.5</t>
  </si>
  <si>
    <t>2015-1-26 12:22:45.509: Algorithm - getPortfolioForwardDelta - required deltas is -20 currentHedgePosition is 31</t>
  </si>
  <si>
    <t>2015-1-26 12:22:45.510: Algorithm - getHedgeShortfall - required deltas is -20 price is 1.50155 currentHedgePositionDeltas is 31</t>
  </si>
  <si>
    <t>2015-1-26 12:22:45.512: Algorithm - processTransitionPoint - nextUpper/LowerStrikes are 1.505/1.5 requiredDeltas/currentPosition/currentHedgeShortfall/direction/transitionPrice are -20/31/-51/-1/1.50155</t>
  </si>
  <si>
    <t>2015-1-26 12:22:45.514: TransitionLogger - processTransitionpoint - checking transition - currentHedgeShortfall is -51</t>
  </si>
  <si>
    <t>2015-1-26 12:22:45.516: Algorithm - updatePortfolio - haveAllDetails is True</t>
  </si>
  <si>
    <t>2015-1-26 12:22:45.518: RTWSControl - updatePortfolioEx - An Error Occured Object variable or With block variable not set</t>
  </si>
  <si>
    <t>2015-1-26 12:22:45.565: Algorithm - FindNextStrikes - price is 1.50165 nextStrikeUp/Down 1.505/1.5</t>
  </si>
  <si>
    <t>2015-1-26 12:22:45.567: Algorithm - getPortfolioForwardDelta - required deltas is -20 currentHedgePosition is 31</t>
  </si>
  <si>
    <t>2015-1-26 12:22:45.567: Algorithm - getHedgeShortfall - required deltas is -20 price is 1.50155 currentHedgePositionDeltas is 31</t>
  </si>
  <si>
    <t>2015-1-26 12:22:45.569: Algorithm - processTransitionPoint - nextUpper/LowerStrikes are 1.505/1.5 requiredDeltas/currentPosition/currentHedgeShortfall/direction/transitionPrice are -20/31/-51/-1/1.50155</t>
  </si>
  <si>
    <t>2015-1-26 12:22:45.571: TransitionLogger - processTransitionpoint - checking transition - currentHedgeShortfall is -51</t>
  </si>
  <si>
    <t>2015-1-26 12:22:45.574: Algorithm - updatePortfolio - haveAllDetails is True</t>
  </si>
  <si>
    <t>2015-1-26 12:22:45.576: RTWSControl - updatePortfolioEx - An Error Occured Object variable or With block variable not set</t>
  </si>
  <si>
    <t>2015-1-26 12:22:45.609: Algorithm - FindNextStrikes - price is 1.50165 nextStrikeUp/Down 1.505/1.5</t>
  </si>
  <si>
    <t>2015-1-26 12:22:45.611: Algorithm - getPortfolioForwardDelta - required deltas is -20 currentHedgePosition is 31</t>
  </si>
  <si>
    <t>2015-1-26 12:22:45.612: Algorithm - getHedgeShortfall - required deltas is -20 price is 1.50155 currentHedgePositionDeltas is 31</t>
  </si>
  <si>
    <t>2015-1-26 12:22:45.614: Algorithm - processTransitionPoint - nextUpper/LowerStrikes are 1.505/1.5 requiredDeltas/currentPosition/currentHedgeShortfall/direction/transitionPrice are -20/31/-51/-1/1.50155</t>
  </si>
  <si>
    <t>2015-1-26 12:22:45.616: TransitionLogger - processTransitionpoint - checking transition - currentHedgeShortfall is -51</t>
  </si>
  <si>
    <t>2015-1-26 12:22:45.619: Algorithm - updatePortfolio - haveAllDetails is True</t>
  </si>
  <si>
    <t>2015-1-26 12:22:45.621: RTWSControl - updatePortfolioEx - An Error Occured Object variable or With block variable not set</t>
  </si>
  <si>
    <t>2015-1-26 12:22:56.606: OrderManager - cancelOrder - cancelling order id 936</t>
  </si>
  <si>
    <t>2015-1-26 12:22:56.607: OrderManager - PlaceOrder - id 937 workingQty -2402</t>
  </si>
  <si>
    <t>2015-1-26 12:22:56.608: OrderManagerView - UpdateMainSheetOpenOrder - entering UpdateMainSheetOpenOrder order.status is In-Flight</t>
  </si>
  <si>
    <t>2015-1-26 12:22:56.612: OrderManager - sendOrder - exiting place order id 937 BUY 46 1.5221  - workingQty -2402 currentPosition is 31 workingOrderCount is 2</t>
  </si>
  <si>
    <t>2015-1-26 12:22:56.770: RTWSControl - nextValidId - entering nextValidId id is 938</t>
  </si>
  <si>
    <t>2015-1-26 12:22:56.868: RTWSControl - orderStatus -  entering orderStatus id is 936 status is Cancelled</t>
  </si>
  <si>
    <t>2015-1-26 12:22:56.869: OrderManager - UpdateOrderStatus - id 936 Setting status to Cancelled workingOrderCount is now 2 workingQty -2402</t>
  </si>
  <si>
    <t>2015-1-26 12:22:56.871: OrderManagerView - UpdateMainSheetOpenOrder - entering UpdateMainSheetOpenOrder order.status is Cancelled</t>
  </si>
  <si>
    <t>2015-1-26 12:22:56.875: RTWSControl - OrderStatus - Got OrderStatus Message id:936 status: Cancelled filled: 0</t>
  </si>
  <si>
    <t>2015-1-26 12:22:56.876: RTWSControl - OrderStatus - exiting orderStatus</t>
  </si>
  <si>
    <t>2015-1-26 12:22:56.884: RTWSControl - errMsg - got error message 202:Order Canceled - reason:with id 936</t>
  </si>
  <si>
    <t>2015-1-26 12:22:56.885: OrderManager - canceledOrder - cleaning up after canceled order 936BEWARE UNACCOUNTED FOR EXECUTIONS!!!</t>
  </si>
  <si>
    <t>2015-1-26 12:22:56.888: OrderManager - terminateOrder - cleaning up after Canceled 936  order was supposed to BUY 47 1.5226 STP LMT workingQty/OrderCount now -2449/1</t>
  </si>
  <si>
    <t>2015-1-26 12:22:56.890: OrderManagerView - UpdateMainSheetOpenOrder - entering UpdateMainSheetOpenOrder order.status is Canceled</t>
  </si>
  <si>
    <t>2015-1-26 12:22:56.900: RTWSControl - errMsg - got error message 399:Order Message:
BUY 46 GBP MAR'15
Warning: your order will not be placed at the exchange until 2015-01-26 08:30:00 US/Centralwith id 937</t>
  </si>
  <si>
    <t>2015-1-26 12:22:56.902: RTWSControl - errMsg - Got Error_x000D_id: 937_x000D_errorCode: 399_x000D_errorMsg: Order Message:
BUY 46 GBP MAR'15
Warning: your order will not be placed at the exchange until 2015-01-26 08:30:00 US/Central</t>
  </si>
  <si>
    <t>2015-1-26 12:22:56.916: openOrderEx - I am here</t>
  </si>
  <si>
    <t>2015-1-26 12:22:56.922: RTWSControl - orderStatus -  entering orderStatus id is 937 status is PreSubmitted</t>
  </si>
  <si>
    <t>2015-1-26 12:22:56.923: OrderManager - UpdateOrderStatus - id 937 Setting status to PreSubmitted workingOrderCount is now 1 workingQty -2449</t>
  </si>
  <si>
    <t>2015-1-26 12:22:56.925: OrderManagerView - UpdateMainSheetOpenOrder - entering UpdateMainSheetOpenOrder order.status is PreSubmitted</t>
  </si>
  <si>
    <t>2015-1-26 12:22:56.929: RTWSControl - OrderStatus - Got OrderStatus Message id:937 status: PreSubmitted filled: 0</t>
  </si>
  <si>
    <t>2015-1-26 12:22:56.930: RTWSControl - OrderStatus - exiting orderStatus</t>
  </si>
  <si>
    <t>2015-1-26 12:22:56.941: openOrderEx - I am here</t>
  </si>
  <si>
    <t>2015-1-26 12:22:56.960: RTWSControl - orderStatus -  entering orderStatus id is 937 status is PreSubmitted</t>
  </si>
  <si>
    <t>2015-1-26 12:22:56.961: OrderManager - UpdateOrderStatus - id 937 Setting status to PreSubmitted workingOrderCount is now 1 workingQty -2449</t>
  </si>
  <si>
    <t>2015-1-26 12:22:56.963: OrderManagerView - UpdateMainSheetOpenOrder - entering UpdateMainSheetOpenOrder order.status is PreSubmitted</t>
  </si>
  <si>
    <t>2015-1-26 12:22:56.967: RTWSControl - OrderStatus - Got OrderStatus Message id:937 status: PreSubmitted filled: 0</t>
  </si>
  <si>
    <t>2015-1-26 12:22:56.967: RTWSControl - OrderStatus - exiting orderStatus</t>
  </si>
  <si>
    <t>2015-1-26 12:22:57.796: OrderManager - cancelOrder - cancelling order id 937</t>
  </si>
  <si>
    <t>2015-1-26 12:22:57.797: OrderManager - PlaceOrder - id 938 workingQty -2403</t>
  </si>
  <si>
    <t>2015-1-26 12:22:57.798: OrderManagerView - UpdateMainSheetOpenOrder - entering UpdateMainSheetOpenOrder order.status is In-Flight</t>
  </si>
  <si>
    <t>2015-1-26 12:22:57.801: OrderManager - sendOrder - exiting place order id 938 BUY 46 1.5223  - workingQty -2403 currentPosition is 31 workingOrderCount is 2</t>
  </si>
  <si>
    <t>2015-1-26 12:22:57.892: RTWSControl - nextValidId - entering nextValidId id is 939</t>
  </si>
  <si>
    <t>2015-1-26 12:22:58.150: RTWSControl - orderStatus -  entering orderStatus id is 937 status is Cancelled</t>
  </si>
  <si>
    <t>2015-1-26 12:22:58.152: OrderManager - UpdateOrderStatus - id 937 Setting status to Cancelled workingOrderCount is now 2 workingQty -2403</t>
  </si>
  <si>
    <t>2015-1-26 12:22:58.156: OrderManagerView - UpdateMainSheetOpenOrder - entering UpdateMainSheetOpenOrder order.status is Cancelled</t>
  </si>
  <si>
    <t>2015-1-26 12:22:58.164: RTWSControl - OrderStatus - Got OrderStatus Message id:937 status: Cancelled filled: 0</t>
  </si>
  <si>
    <t>2015-1-26 12:22:58.165: RTWSControl - OrderStatus - exiting orderStatus</t>
  </si>
  <si>
    <t>2015-1-26 12:22:58.182: RTWSControl - errMsg - got error message 202:Order Canceled - reason:with id 937</t>
  </si>
  <si>
    <t>2015-1-26 12:22:58.183: OrderManager - canceledOrder - cleaning up after canceled order 937BEWARE UNACCOUNTED FOR EXECUTIONS!!!</t>
  </si>
  <si>
    <t>2015-1-26 12:22:58.187: OrderManager - terminateOrder - cleaning up after Canceled 937  order was supposed to BUY 46 1.5221 STP LMT workingQty/OrderCount now -2449/1</t>
  </si>
  <si>
    <t>2015-1-26 12:22:58.189: OrderManagerView - UpdateMainSheetOpenOrder - entering UpdateMainSheetOpenOrder order.status is Canceled</t>
  </si>
  <si>
    <t>2015-1-26 12:22:58.234: RTWSControl - errMsg - got error message 399:Order Message:
BUY 46 GBP MAR'15
Warning: your order will not be placed at the exchange until 2015-01-26 08:30:00 US/Centralwith id 938</t>
  </si>
  <si>
    <t>2015-1-26 12:22:58.236: RTWSControl - errMsg - Got Error_x000D_id: 938_x000D_errorCode: 399_x000D_errorMsg: Order Message:
BUY 46 GBP MAR'15
Warning: your order will not be placed at the exchange until 2015-01-26 08:30:00 US/Central</t>
  </si>
  <si>
    <t>2015-1-26 12:22:58.247: openOrderEx - I am here</t>
  </si>
  <si>
    <t>2015-1-26 12:22:58.254: RTWSControl - orderStatus -  entering orderStatus id is 938 status is PreSubmitted</t>
  </si>
  <si>
    <t>2015-1-26 12:22:58.255: OrderManager - UpdateOrderStatus - id 938 Setting status to PreSubmitted workingOrderCount is now 1 workingQty -2449</t>
  </si>
  <si>
    <t>2015-1-26 12:22:58.257: OrderManagerView - UpdateMainSheetOpenOrder - entering UpdateMainSheetOpenOrder order.status is PreSubmitted</t>
  </si>
  <si>
    <t>2015-1-26 12:22:58.261: RTWSControl - OrderStatus - Got OrderStatus Message id:938 status: PreSubmitted filled: 0</t>
  </si>
  <si>
    <t>2015-1-26 12:22:58.261: RTWSControl - OrderStatus - exiting orderStatus</t>
  </si>
  <si>
    <t>2015-1-26 12:22:58.290: openOrderEx - I am here</t>
  </si>
  <si>
    <t>2015-1-26 12:22:58.297: RTWSControl - orderStatus -  entering orderStatus id is 938 status is PreSubmitted</t>
  </si>
  <si>
    <t>2015-1-26 12:22:58.298: OrderManager - UpdateOrderStatus - id 938 Setting status to PreSubmitted workingOrderCount is now 1 workingQty -2449</t>
  </si>
  <si>
    <t>2015-1-26 12:22:58.299: OrderManagerView - UpdateMainSheetOpenOrder - entering UpdateMainSheetOpenOrder order.status is PreSubmitted</t>
  </si>
  <si>
    <t>2015-1-26 12:22:58.303: RTWSControl - OrderStatus - Got OrderStatus Message id:938 status: PreSubmitted filled: 0</t>
  </si>
  <si>
    <t>2015-1-26 12:22:58.304: RTWSControl - OrderStatus - exiting orderStatus</t>
  </si>
  <si>
    <t>2015-1-26 12:23:13.360: OrderManager - cancelOrder - cancelling order id 938</t>
  </si>
  <si>
    <t>2015-1-26 12:23:13.364: OrderManager - PlaceOrder - id 939 workingQty -2402</t>
  </si>
  <si>
    <t>2015-1-26 12:23:13.367: OrderManagerView - UpdateMainSheetOpenOrder - entering UpdateMainSheetOpenOrder order.status is In-Flight</t>
  </si>
  <si>
    <t>2015-1-26 12:23:13.371: OrderManagerView - incrementNextOORow - there are no available OpenOrderView Rows!!!!!!</t>
  </si>
  <si>
    <t>2015-1-26 12:23:13.376: OrderManager - sendOrder - exiting place order id 939 BUY 47 1.5225  - workingQty -2402 currentPosition is 31 workingOrderCount is 2</t>
  </si>
  <si>
    <t>2015-1-26 12:23:13.550: RTWSControl - nextValidId - entering nextValidId id is 940</t>
  </si>
  <si>
    <t>2015-1-26 12:23:13.652: RTWSControl - orderStatus -  entering orderStatus id is 938 status is Cancelled</t>
  </si>
  <si>
    <t>2015-1-26 12:23:13.653: OrderManager - UpdateOrderStatus - id 938 Setting status to Cancelled workingOrderCount is now 2 workingQty -2402</t>
  </si>
  <si>
    <t>2015-1-26 12:23:13.655: OrderManagerView - UpdateMainSheetOpenOrder - entering UpdateMainSheetOpenOrder order.status is Cancelled</t>
  </si>
  <si>
    <t>2015-1-26 12:23:13.659: RTWSControl - OrderStatus - Got OrderStatus Message id:938 status: Cancelled filled: 0</t>
  </si>
  <si>
    <t>2015-1-26 12:23:13.660: RTWSControl - OrderStatus - exiting orderStatus</t>
  </si>
  <si>
    <t>2015-1-26 12:23:13.668: RTWSControl - errMsg - got error message 202:Order Canceled - reason:with id 938</t>
  </si>
  <si>
    <t>2015-1-26 12:23:13.669: OrderManager - canceledOrder - cleaning up after canceled order 938BEWARE UNACCOUNTED FOR EXECUTIONS!!!</t>
  </si>
  <si>
    <t>2015-1-26 12:23:13.671: OrderManager - terminateOrder - cleaning up after Canceled 938  order was supposed to BUY 46 1.5223 STP LMT workingQty/OrderCount now -2448/1</t>
  </si>
  <si>
    <t>2015-1-26 12:23:13.673: OrderManagerView - UpdateMainSheetOpenOrder - entering UpdateMainSheetOpenOrder order.status is Canceled</t>
  </si>
  <si>
    <t>2015-1-26 12:23:13.808: RTWSControl - errMsg - got error message 399:Order Message:
BUY 47 GBP MAR'15
Warning: your order will not be placed at the exchange until 2015-01-26 08:30:00 US/Centralwith id 939</t>
  </si>
  <si>
    <t>2015-1-26 12:23:13.809: RTWSControl - errMsg - Got Error_x000D_id: 939_x000D_errorCode: 399_x000D_errorMsg: Order Message:
BUY 47 GBP MAR'15
Warning: your order will not be placed at the exchange until 2015-01-26 08:30:00 US/Central</t>
  </si>
  <si>
    <t>2015-1-26 12:23:13.821: openOrderEx - I am here</t>
  </si>
  <si>
    <t>2015-1-26 12:23:13.831: RTWSControl - orderStatus -  entering orderStatus id is 939 status is PreSubmitted</t>
  </si>
  <si>
    <t>2015-1-26 12:23:13.832: OrderManager - UpdateOrderStatus - id 939 Setting status to PreSubmitted workingOrderCount is now 1 workingQty -2448</t>
  </si>
  <si>
    <t>2015-1-26 12:23:13.834: OrderManagerView - UpdateMainSheetOpenOrder - entering UpdateMainSheetOpenOrder order.status is PreSubmitted</t>
  </si>
  <si>
    <t>2015-1-26 12:23:13.837: RTWSControl - OrderStatus - Got OrderStatus Message id:939 status: PreSubmitted filled: 0</t>
  </si>
  <si>
    <t>2015-1-26 12:23:13.838: RTWSControl - OrderStatus - exiting orderStatus</t>
  </si>
  <si>
    <t>2015-1-26 12:23:13.848: openOrderEx - I am here</t>
  </si>
  <si>
    <t>2015-1-26 12:23:13.855: RTWSControl - orderStatus -  entering orderStatus id is 939 status is PreSubmitted</t>
  </si>
  <si>
    <t>2015-1-26 12:23:13.856: OrderManager - UpdateOrderStatus - id 939 Setting status to PreSubmitted workingOrderCount is now 1 workingQty -2448</t>
  </si>
  <si>
    <t>2015-1-26 12:23:13.859: OrderManagerView - UpdateMainSheetOpenOrder - entering UpdateMainSheetOpenOrder order.status is PreSubmitted</t>
  </si>
  <si>
    <t>2015-1-26 12:23:13.863: RTWSControl - OrderStatus - Got OrderStatus Message id:939 status: PreSubmitted filled: 0</t>
  </si>
  <si>
    <t>2015-1-26 12:23:13.864: RTWSControl - OrderStatus - exiting orderStatus</t>
  </si>
  <si>
    <t>2015-1-26 12:24:7.354: OrderManager - cancelOrder - cancelling order id 933</t>
  </si>
  <si>
    <t>2015-1-26 12:24:7.356: OrderManager - PlaceOrder - id 940 workingQty -2495</t>
  </si>
  <si>
    <t>2015-1-26 12:24:7.357: OrderManagerView - UpdateMainSheetOpenOrder - entering UpdateMainSheetOpenOrder order.status is In-Flight</t>
  </si>
  <si>
    <t>2015-1-26 12:24:7.361: OrderManager - sendOrder - exiting place order id 940 SELL 47 1.5002  - workingQty -2495 currentPosition is 31 workingOrderCount is 2</t>
  </si>
  <si>
    <t>2015-1-26 12:24:8.399: RTWSControl - nextValidId - entering nextValidId id is 941</t>
  </si>
  <si>
    <t>2015-1-26 12:24:8.406: RTWSControl - orderStatus -  entering orderStatus id is 933 status is Cancelled</t>
  </si>
  <si>
    <t>2015-1-26 12:24:8.407: OrderManager - UpdateOrderStatus - id 933 Setting status to Cancelled workingOrderCount is now 2 workingQty -2495</t>
  </si>
  <si>
    <t>2015-1-26 12:24:8.409: OrderManagerView - UpdateMainSheetOpenOrder - entering UpdateMainSheetOpenOrder order.status is Cancelled</t>
  </si>
  <si>
    <t>2015-1-26 12:24:8.412: RTWSControl - OrderStatus - Got OrderStatus Message id:933 status: Cancelled filled: 0</t>
  </si>
  <si>
    <t>2015-1-26 12:24:8.413: RTWSControl - OrderStatus - exiting orderStatus</t>
  </si>
  <si>
    <t>2015-1-26 12:24:8.428: RTWSControl - errMsg - got error message 202:Order Canceled - reason:with id 933</t>
  </si>
  <si>
    <t>2015-1-26 12:24:8.429: OrderManager - canceledOrder - cleaning up after canceled order 933BEWARE UNACCOUNTED FOR EXECUTIONS!!!</t>
  </si>
  <si>
    <t>2015-1-26 12:24:8.431: OrderManager - terminateOrder - cleaning up after Canceled 933  order was supposed to SELL 47 1.5005 STP LMT workingQty/OrderCount now -2542/1</t>
  </si>
  <si>
    <t>2015-1-26 12:24:8.432: OrderManagerView - UpdateMainSheetOpenOrder - entering UpdateMainSheetOpenOrder order.status is Canceled</t>
  </si>
  <si>
    <t>2015-1-26 12:24:8.443: RTWSControl - errMsg - got error message 399:Order Message:
SELL 47 GBP MAR'15
Warning: your order will not be placed at the exchange until 2015-01-26 08:30:00 US/Centralwith id 940</t>
  </si>
  <si>
    <t>2015-1-26 12:24:8.445: RTWSControl - errMsg - Got Error_x000D_id: 940_x000D_errorCode: 399_x000D_errorMsg: Order Message:
SELL 47 GBP MAR'15
Warning: your order will not be placed at the exchange until 2015-01-26 08:30:00 US/Central</t>
  </si>
  <si>
    <t>2015-1-26 12:24:8.457: openOrderEx - I am here</t>
  </si>
  <si>
    <t>2015-1-26 12:24:8.465: RTWSControl - orderStatus -  entering orderStatus id is 940 status is PreSubmitted</t>
  </si>
  <si>
    <t>2015-1-26 12:24:8.466: OrderManager - UpdateOrderStatus - id 940 Setting status to PreSubmitted workingOrderCount is now 1 workingQty -2542</t>
  </si>
  <si>
    <t>2015-1-26 12:24:8.467: OrderManagerView - UpdateMainSheetOpenOrder - entering UpdateMainSheetOpenOrder order.status is PreSubmitted</t>
  </si>
  <si>
    <t>2015-1-26 12:24:8.471: RTWSControl - OrderStatus - Got OrderStatus Message id:940 status: PreSubmitted filled: 0</t>
  </si>
  <si>
    <t>2015-1-26 12:24:8.472: RTWSControl - OrderStatus - exiting orderStatus</t>
  </si>
  <si>
    <t>2015-1-26 12:24:8.484: openOrderEx - I am here</t>
  </si>
  <si>
    <t>2015-1-26 12:24:8.491: RTWSControl - orderStatus -  entering orderStatus id is 940 status is PreSubmitted</t>
  </si>
  <si>
    <t>2015-1-26 12:24:8.493: OrderManager - UpdateOrderStatus - id 940 Setting status to PreSubmitted workingOrderCount is now 1 workingQty -2542</t>
  </si>
  <si>
    <t>2015-1-26 12:24:8.494: OrderManagerView - UpdateMainSheetOpenOrder - entering UpdateMainSheetOpenOrder order.status is PreSubmitted</t>
  </si>
  <si>
    <t>2015-1-26 12:24:8.499: RTWSControl - OrderStatus - Got OrderStatus Message id:940 status: PreSubmitted filled: 0</t>
  </si>
  <si>
    <t>2015-1-26 12:24:8.500: RTWSControl - OrderStatus - exiting orderStatus</t>
  </si>
  <si>
    <t>2015-1-26 12:24:17.681: OrderManager - cancelOrder - cancelling order id 939</t>
  </si>
  <si>
    <t>2015-1-26 12:24:17.684: OrderManager - PlaceOrder - id 941 workingQty -2493</t>
  </si>
  <si>
    <t>2015-1-26 12:24:17.687: OrderManagerView - UpdateMainSheetOpenOrder - entering UpdateMainSheetOpenOrder order.status is In-Flight</t>
  </si>
  <si>
    <t>2015-1-26 12:24:17.691: OrderManager - sendOrder - exiting place order id 941 BUY 49 1.523  - workingQty -2493 currentPosition is 31 workingOrderCount is 2</t>
  </si>
  <si>
    <t>2015-1-26 12:24:17.694: OrderManager - cancelOrder - cancelling order id 940</t>
  </si>
  <si>
    <t>2015-1-26 12:24:17.695: OrderManager - createOrder - exiting without creating order - did not have validID</t>
  </si>
  <si>
    <t>2015-1-26 12:24:17.727: OrderManager - createOrder - exiting without creating order - did not have validID</t>
  </si>
  <si>
    <t>2015-1-26 12:24:18.133: RTWSControl - nextValidId - entering nextValidId id is 942</t>
  </si>
  <si>
    <t>2015-1-26 12:24:18.139: RTWSControl - orderStatus -  entering orderStatus id is 939 status is Cancelled</t>
  </si>
  <si>
    <t>2015-1-26 12:24:18.140: OrderManager - UpdateOrderStatus - id 939 Setting status to Cancelled workingOrderCount is now 2 workingQty -2493</t>
  </si>
  <si>
    <t>2015-1-26 12:24:18.143: OrderManagerView - UpdateMainSheetOpenOrder - entering UpdateMainSheetOpenOrder order.status is Cancelled</t>
  </si>
  <si>
    <t>2015-1-26 12:24:18.147: RTWSControl - OrderStatus - Got OrderStatus Message id:939 status: Cancelled filled: 0</t>
  </si>
  <si>
    <t>2015-1-26 12:24:18.148: RTWSControl - OrderStatus - exiting orderStatus</t>
  </si>
  <si>
    <t>2015-1-26 12:24:18.156: RTWSControl - errMsg - got error message 202:Order Canceled - reason:with id 939</t>
  </si>
  <si>
    <t>2015-1-26 12:24:18.158: OrderManager - canceledOrder - cleaning up after canceled order 939BEWARE UNACCOUNTED FOR EXECUTIONS!!!</t>
  </si>
  <si>
    <t>2015-1-26 12:24:18.160: OrderManager - terminateOrder - cleaning up after Canceled 939  order was supposed to BUY 47 1.5225 STP LMT workingQty/OrderCount now -2540/1</t>
  </si>
  <si>
    <t>2015-1-26 12:24:18.162: OrderManagerView - UpdateMainSheetOpenOrder - entering UpdateMainSheetOpenOrder order.status is Canceled</t>
  </si>
  <si>
    <t>2015-1-26 12:24:18.227: RTWSControl - errMsg - got error message 399:Order Message:
BUY 49 GBP MAR'15
Warning: your order will not be placed at the exchange until 2015-01-26 08:30:00 US/Centralwith id 941</t>
  </si>
  <si>
    <t>2015-1-26 12:24:18.229: RTWSControl - errMsg - Got Error_x000D_id: 941_x000D_errorCode: 399_x000D_errorMsg: Order Message:
BUY 49 GBP MAR'15
Warning: your order will not be placed at the exchange until 2015-01-26 08:30:00 US/Central</t>
  </si>
  <si>
    <t>2015-1-26 12:24:18.241: openOrderEx - I am here</t>
  </si>
  <si>
    <t>2015-1-26 12:24:18.249: RTWSControl - orderStatus -  entering orderStatus id is 941 status is PreSubmitted</t>
  </si>
  <si>
    <t>2015-1-26 12:24:18.250: OrderManager - UpdateOrderStatus - id 941 Setting status to PreSubmitted workingOrderCount is now 1 workingQty -2540</t>
  </si>
  <si>
    <t>2015-1-26 12:24:18.252: OrderManagerView - UpdateMainSheetOpenOrder - entering UpdateMainSheetOpenOrder order.status is PreSubmitted</t>
  </si>
  <si>
    <t>2015-1-26 12:24:18.255: RTWSControl - OrderStatus - Got OrderStatus Message id:941 status: PreSubmitted filled: 0</t>
  </si>
  <si>
    <t>2015-1-26 12:24:18.256: RTWSControl - OrderStatus - exiting orderStatus</t>
  </si>
  <si>
    <t>2015-1-26 12:24:18.264: RTWSControl - orderStatus -  entering orderStatus id is 940 status is Cancelled</t>
  </si>
  <si>
    <t>2015-1-26 12:24:18.265: OrderManager - UpdateOrderStatus - id 940 Setting status to Cancelled workingOrderCount is now 1 workingQty -2540</t>
  </si>
  <si>
    <t>2015-1-26 12:24:18.267: OrderManagerView - UpdateMainSheetOpenOrder - entering UpdateMainSheetOpenOrder order.status is Cancelled</t>
  </si>
  <si>
    <t>2015-1-26 12:24:18.271: RTWSControl - OrderStatus - Got OrderStatus Message id:940 status: Cancelled filled: 0</t>
  </si>
  <si>
    <t>2015-1-26 12:24:18.271: RTWSControl - OrderStatus - exiting orderStatus</t>
  </si>
  <si>
    <t>2015-1-26 12:24:18.280: RTWSControl - errMsg - got error message 202:Order Canceled - reason:with id 940</t>
  </si>
  <si>
    <t>2015-1-26 12:24:18.281: OrderManager - canceledOrder - cleaning up after canceled order 940BEWARE UNACCOUNTED FOR EXECUTIONS!!!</t>
  </si>
  <si>
    <t>2015-1-26 12:24:18.283: OrderManager - terminateOrder - cleaning up after Canceled 940  order was supposed to SELL 47 1.5002 STP LMT workingQty/OrderCount now -2587/0</t>
  </si>
  <si>
    <t>2015-1-26 12:24:18.285: OrderManagerView - UpdateMainSheetOpenOrder - entering UpdateMainSheetOpenOrder order.status is Canceled</t>
  </si>
  <si>
    <t>2015-1-26 12:24:18.301: openOrderEx - I am here</t>
  </si>
  <si>
    <t>2015-1-26 12:24:18.308: RTWSControl - orderStatus -  entering orderStatus id is 941 status is PreSubmitted</t>
  </si>
  <si>
    <t>2015-1-26 12:24:18.309: OrderManager - UpdateOrderStatus - id 941 Setting status to PreSubmitted workingOrderCount is now 0 workingQty -2587</t>
  </si>
  <si>
    <t>2015-1-26 12:24:18.311: OrderManagerView - UpdateMainSheetOpenOrder - entering UpdateMainSheetOpenOrder order.status is PreSubmitted</t>
  </si>
  <si>
    <t>2015-1-26 12:24:18.315: RTWSControl - OrderStatus - Got OrderStatus Message id:941 status: PreSubmitted filled: 0</t>
  </si>
  <si>
    <t>2015-1-26 12:24:18.316: RTWSControl - OrderStatus - exiting orderStatus</t>
  </si>
  <si>
    <t>2015-1-26 12:24:18.463: OrderManager - PlaceOrder - id 942 workingQty -2636</t>
  </si>
  <si>
    <t>2015-1-26 12:24:18.464: OrderManagerView - UpdateMainSheetOpenOrder - entering UpdateMainSheetOpenOrder order.status is In-Flight</t>
  </si>
  <si>
    <t>2015-1-26 12:24:18.468: OrderManager - sendOrder - exiting place order id 942 SELL 49 1.5002  - workingQty -2636 currentPosition is 31 workingOrderCount is 1</t>
  </si>
  <si>
    <t>2015-1-26 12:24:18.553: RTWSControl - nextValidId - entering nextValidId id is 943</t>
  </si>
  <si>
    <t>2015-1-26 12:24:18.878: RTWSControl - errMsg - got error message 399:Order Message:
SELL 49 GBP MAR'15
Warning: your order will not be placed at the exchange until 2015-01-26 08:30:00 US/Centralwith id 942</t>
  </si>
  <si>
    <t>2015-1-26 12:24:18.879: RTWSControl - errMsg - Got Error_x000D_id: 942_x000D_errorCode: 399_x000D_errorMsg: Order Message:
SELL 49 GBP MAR'15
Warning: your order will not be placed at the exchange until 2015-01-26 08:30:00 US/Central</t>
  </si>
  <si>
    <t>2015-1-26 12:24:18.890: openOrderEx - I am here</t>
  </si>
  <si>
    <t>2015-1-26 12:24:18.896: RTWSControl - orderStatus -  entering orderStatus id is 942 status is PreSubmitted</t>
  </si>
  <si>
    <t>2015-1-26 12:24:18.897: OrderManager - UpdateOrderStatus - id 942 Setting status to PreSubmitted workingOrderCount is now 1 workingQty -2636</t>
  </si>
  <si>
    <t>2015-1-26 12:24:18.900: OrderManagerView - UpdateMainSheetOpenOrder - entering UpdateMainSheetOpenOrder order.status is PreSubmitted</t>
  </si>
  <si>
    <t>2015-1-26 12:24:18.904: RTWSControl - OrderStatus - Got OrderStatus Message id:942 status: PreSubmitted filled: 0</t>
  </si>
  <si>
    <t>2015-1-26 12:24:18.905: RTWSControl - OrderStatus - exiting orderStatus</t>
  </si>
  <si>
    <t>2015-1-26 12:24:18.936: openOrderEx - I am here</t>
  </si>
  <si>
    <t>2015-1-26 12:24:18.942: RTWSControl - orderStatus -  entering orderStatus id is 942 status is PreSubmitted</t>
  </si>
  <si>
    <t>2015-1-26 12:24:18.943: OrderManager - UpdateOrderStatus - id 942 Setting status to PreSubmitted workingOrderCount is now 1 workingQty -2636</t>
  </si>
  <si>
    <t>2015-1-26 12:24:18.946: OrderManagerView - UpdateMainSheetOpenOrder - entering UpdateMainSheetOpenOrder order.status is PreSubmitted</t>
  </si>
  <si>
    <t>2015-1-26 12:24:18.950: RTWSControl - OrderStatus - Got OrderStatus Message id:942 status: PreSubmitted filled: 0</t>
  </si>
  <si>
    <t>2015-1-26 12:24:18.951: RTWSControl - OrderStatus - exiting orderStatus</t>
  </si>
  <si>
    <t>2015-1-26 12:24:49.939: OrderManager - cancelOrder - cancelling order id 941</t>
  </si>
  <si>
    <t>2015-1-26 12:24:49.940: OrderManager - PlaceOrder - id 943 workingQty -2588</t>
  </si>
  <si>
    <t>2015-1-26 12:24:49.941: OrderManagerView - UpdateMainSheetOpenOrder - entering UpdateMainSheetOpenOrder order.status is In-Flight</t>
  </si>
  <si>
    <t>2015-1-26 12:24:49.943: OrderManagerView - incrementNextOORow - there are no available OpenOrderView Rows!!!!!!</t>
  </si>
  <si>
    <t>2015-1-26 12:24:49.946: OrderManager - sendOrder - exiting place order id 943 BUY 48 1.5227  - workingQty -2588 currentPosition is 31 workingOrderCount is 2</t>
  </si>
  <si>
    <t>2015-1-26 12:24:50.63: RTWSControl - nextValidId - entering nextValidId id is 944</t>
  </si>
  <si>
    <t>2015-1-26 12:24:50.259: RTWSControl - orderStatus -  entering orderStatus id is 941 status is Cancelled</t>
  </si>
  <si>
    <t>2015-1-26 12:24:50.262: OrderManager - UpdateOrderStatus - id 941 Setting status to Cancelled workingOrderCount is now 2 workingQty -2588</t>
  </si>
  <si>
    <t>2015-1-26 12:24:50.269: OrderManagerView - UpdateMainSheetOpenOrder - entering UpdateMainSheetOpenOrder order.status is Cancelled</t>
  </si>
  <si>
    <t>2015-1-26 12:24:50.281: RTWSControl - OrderStatus - Got OrderStatus Message id:941 status: Cancelled filled: 0</t>
  </si>
  <si>
    <t>2015-1-26 12:24:50.284: RTWSControl - OrderStatus - exiting orderStatus</t>
  </si>
  <si>
    <t>2015-1-26 12:24:50.318: RTWSControl - errMsg - got error message 202:Order Canceled - reason:with id 941</t>
  </si>
  <si>
    <t>2015-1-26 12:24:50.319: OrderManager - canceledOrder - cleaning up after canceled order 941BEWARE UNACCOUNTED FOR EXECUTIONS!!!</t>
  </si>
  <si>
    <t>2015-1-26 12:24:50.321: OrderManager - terminateOrder - cleaning up after Canceled 941  order was supposed to BUY 49 1.523 STP LMT workingQty/OrderCount now -2637/1</t>
  </si>
  <si>
    <t>2015-1-26 12:24:50.324: OrderManagerView - UpdateMainSheetOpenOrder - entering UpdateMainSheetOpenOrder order.status is Canceled</t>
  </si>
  <si>
    <t>2015-1-26 12:24:50.336: RTWSControl - errMsg - got error message 399:Order Message:
BUY 48 GBP MAR'15
Warning: your order will not be placed at the exchange until 2015-01-26 08:30:00 US/Centralwith id 943</t>
  </si>
  <si>
    <t>2015-1-26 12:24:50.338: RTWSControl - errMsg - Got Error_x000D_id: 943_x000D_errorCode: 399_x000D_errorMsg: Order Message:
BUY 48 GBP MAR'15
Warning: your order will not be placed at the exchange until 2015-01-26 08:30:00 US/Central</t>
  </si>
  <si>
    <t>2015-1-26 12:24:50.352: openOrderEx - I am here</t>
  </si>
  <si>
    <t>2015-1-26 12:24:50.377: RTWSControl - orderStatus -  entering orderStatus id is 943 status is PreSubmitted</t>
  </si>
  <si>
    <t>2015-1-26 12:24:50.377: OrderManager - UpdateOrderStatus - id 943 Setting status to PreSubmitted workingOrderCount is now 1 workingQty -2637</t>
  </si>
  <si>
    <t>2015-1-26 12:24:50.379: OrderManagerView - UpdateMainSheetOpenOrder - entering UpdateMainSheetOpenOrder order.status is PreSubmitted</t>
  </si>
  <si>
    <t>2015-1-26 12:24:50.383: RTWSControl - OrderStatus - Got OrderStatus Message id:943 status: PreSubmitted filled: 0</t>
  </si>
  <si>
    <t>2015-1-26 12:24:50.384: RTWSControl - OrderStatus - exiting orderStatus</t>
  </si>
  <si>
    <t>2015-1-26 12:24:50.395: openOrderEx - I am here</t>
  </si>
  <si>
    <t>2015-1-26 12:24:50.402: RTWSControl - orderStatus -  entering orderStatus id is 943 status is PreSubmitted</t>
  </si>
  <si>
    <t>2015-1-26 12:24:50.403: OrderManager - UpdateOrderStatus - id 943 Setting status to PreSubmitted workingOrderCount is now 1 workingQty -2637</t>
  </si>
  <si>
    <t>2015-1-26 12:24:50.405: OrderManagerView - UpdateMainSheetOpenOrder - entering UpdateMainSheetOpenOrder order.status is PreSubmitted</t>
  </si>
  <si>
    <t>2015-1-26 12:24:50.409: RTWSControl - OrderStatus - Got OrderStatus Message id:943 status: PreSubmitted filled: 0</t>
  </si>
  <si>
    <t>2015-1-26 12:24:50.410: RTWSControl - OrderStatus - exiting orderStatus</t>
  </si>
  <si>
    <t>2015-1-26 12:24:57.38: OrderManager - cancelOrder - cancelling order id 943</t>
  </si>
  <si>
    <t>2015-1-26 12:24:57.39: OrderManager - PlaceOrder - id 944 workingQty -2588</t>
  </si>
  <si>
    <t>2015-1-26 12:24:57.40: OrderManagerView - UpdateMainSheetOpenOrder - entering UpdateMainSheetOpenOrder order.status is In-Flight</t>
  </si>
  <si>
    <t>2015-1-26 12:24:57.43: OrderManager - sendOrder - exiting place order id 944 BUY 49 1.523  - workingQty -2588 currentPosition is 31 workingOrderCount is 2</t>
  </si>
  <si>
    <t>2015-1-26 12:24:57.139: RTWSControl - nextValidId - entering nextValidId id is 945</t>
  </si>
  <si>
    <t>2015-1-26 12:24:57.364: RTWSControl - orderStatus -  entering orderStatus id is 943 status is Cancelled</t>
  </si>
  <si>
    <t>2015-1-26 12:24:57.368: OrderManager - UpdateOrderStatus - id 943 Setting status to Cancelled workingOrderCount is now 2 workingQty -2588</t>
  </si>
  <si>
    <t>2015-1-26 12:24:57.376: OrderManagerView - UpdateMainSheetOpenOrder - entering UpdateMainSheetOpenOrder order.status is Cancelled</t>
  </si>
  <si>
    <t>2015-1-26 12:24:57.388: RTWSControl - OrderStatus - Got OrderStatus Message id:943 status: Cancelled filled: 0</t>
  </si>
  <si>
    <t>2015-1-26 12:24:57.391: RTWSControl - OrderStatus - exiting orderStatus</t>
  </si>
  <si>
    <t>2015-1-26 12:24:57.410: RTWSControl - errMsg - got error message 202:Order Canceled - reason:with id 943</t>
  </si>
  <si>
    <t>2015-1-26 12:24:57.412: OrderManager - canceledOrder - cleaning up after canceled order 943BEWARE UNACCOUNTED FOR EXECUTIONS!!!</t>
  </si>
  <si>
    <t>2015-1-26 12:24:57.416: OrderManager - terminateOrder - cleaning up after Canceled 943  order was supposed to BUY 48 1.5227 STP LMT workingQty/OrderCount now -2636/1</t>
  </si>
  <si>
    <t>2015-1-26 12:24:57.419: OrderManagerView - UpdateMainSheetOpenOrder - entering UpdateMainSheetOpenOrder order.status is Canceled</t>
  </si>
  <si>
    <t>2015-1-26 12:24:57.453: RTWSControl - errMsg - got error message 399:Order Message:
BUY 49 GBP MAR'15
Warning: your order will not be placed at the exchange until 2015-01-26 08:30:00 US/Centralwith id 944</t>
  </si>
  <si>
    <t>2015-1-26 12:24:57.455: RTWSControl - errMsg - Got Error_x000D_id: 944_x000D_errorCode: 399_x000D_errorMsg: Order Message:
BUY 49 GBP MAR'15
Warning: your order will not be placed at the exchange until 2015-01-26 08:30:00 US/Central</t>
  </si>
  <si>
    <t>2015-1-26 12:24:57.474: openOrderEx - I am here</t>
  </si>
  <si>
    <t>2015-1-26 12:24:57.484: RTWSControl - orderStatus -  entering orderStatus id is 944 status is PreSubmitted</t>
  </si>
  <si>
    <t>2015-1-26 12:24:57.486: OrderManager - UpdateOrderStatus - id 944 Setting status to PreSubmitted workingOrderCount is now 1 workingQty -2636</t>
  </si>
  <si>
    <t>2015-1-26 12:24:57.489: OrderManagerView - UpdateMainSheetOpenOrder - entering UpdateMainSheetOpenOrder order.status is PreSubmitted</t>
  </si>
  <si>
    <t>2015-1-26 12:24:57.495: RTWSControl - OrderStatus - Got OrderStatus Message id:944 status: PreSubmitted filled: 0</t>
  </si>
  <si>
    <t>2015-1-26 12:24:57.496: RTWSControl - OrderStatus - exiting orderStatus</t>
  </si>
  <si>
    <t>2015-1-26 12:24:57.511: openOrderEx - I am here</t>
  </si>
  <si>
    <t>2015-1-26 12:24:57.518: RTWSControl - orderStatus -  entering orderStatus id is 944 status is PreSubmitted</t>
  </si>
  <si>
    <t>2015-1-26 12:24:57.519: OrderManager - UpdateOrderStatus - id 944 Setting status to PreSubmitted workingOrderCount is now 1 workingQty -2636</t>
  </si>
  <si>
    <t>2015-1-26 12:24:57.521: OrderManagerView - UpdateMainSheetOpenOrder - entering UpdateMainSheetOpenOrder order.status is PreSubmitted</t>
  </si>
  <si>
    <t>2015-1-26 12:24:57.525: RTWSControl - OrderStatus - Got OrderStatus Message id:944 status: PreSubmitted filled: 0</t>
  </si>
  <si>
    <t>2015-1-26 12:24:57.526: RTWSControl - OrderStatus - exiting orderStatus</t>
  </si>
  <si>
    <t>2015-1-26 12:25:18.166: OrderManager - cancelOrder - cancelling order id 944</t>
  </si>
  <si>
    <t>2015-1-26 12:25:18.170: OrderManager - PlaceOrder - id 945 workingQty -2588</t>
  </si>
  <si>
    <t>2015-1-26 12:25:18.173: OrderManagerView - UpdateMainSheetOpenOrder - entering UpdateMainSheetOpenOrder order.status is In-Flight</t>
  </si>
  <si>
    <t>2015-1-26 12:25:18.185: OrderManager - sendOrder - exiting place order id 945 BUY 48 1.5227  - workingQty -2588 currentPosition is 31 workingOrderCount is 2</t>
  </si>
  <si>
    <t>2015-1-26 12:25:18.398: RTWSControl - nextValidId - entering nextValidId id is 946</t>
  </si>
  <si>
    <t>2015-1-26 12:25:18.467: RTWSControl - orderStatus -  entering orderStatus id is 944 status is Cancelled</t>
  </si>
  <si>
    <t>2015-1-26 12:25:18.468: OrderManager - UpdateOrderStatus - id 944 Setting status to Cancelled workingOrderCount is now 2 workingQty -2588</t>
  </si>
  <si>
    <t>2015-1-26 12:25:18.470: OrderManagerView - UpdateMainSheetOpenOrder - entering UpdateMainSheetOpenOrder order.status is Cancelled</t>
  </si>
  <si>
    <t>2015-1-26 12:25:18.474: RTWSControl - OrderStatus - Got OrderStatus Message id:944 status: Cancelled filled: 0</t>
  </si>
  <si>
    <t>2015-1-26 12:25:18.475: RTWSControl - OrderStatus - exiting orderStatus</t>
  </si>
  <si>
    <t>2015-1-26 12:25:18.484: RTWSControl - errMsg - got error message 202:Order Canceled - reason:with id 944</t>
  </si>
  <si>
    <t>2015-1-26 12:25:18.485: OrderManager - canceledOrder - cleaning up after canceled order 944BEWARE UNACCOUNTED FOR EXECUTIONS!!!</t>
  </si>
  <si>
    <t>2015-1-26 12:25:18.487: OrderManager - terminateOrder - cleaning up after Canceled 944  order was supposed to BUY 49 1.523 STP LMT workingQty/OrderCount now -2637/1</t>
  </si>
  <si>
    <t>2015-1-26 12:25:18.489: OrderManagerView - UpdateMainSheetOpenOrder - entering UpdateMainSheetOpenOrder order.status is Canceled</t>
  </si>
  <si>
    <t>2015-1-26 12:25:18.499: RTWSControl - errMsg - got error message 399:Order Message:
BUY 48 GBP MAR'15
Warning: your order will not be placed at the exchange until 2015-01-26 08:30:00 US/Centralwith id 945</t>
  </si>
  <si>
    <t>2015-1-26 12:25:18.501: RTWSControl - errMsg - Got Error_x000D_id: 945_x000D_errorCode: 399_x000D_errorMsg: Order Message:
BUY 48 GBP MAR'15
Warning: your order will not be placed at the exchange until 2015-01-26 08:30:00 US/Central</t>
  </si>
  <si>
    <t>2015-1-26 12:25:18.511: openOrderEx - I am here</t>
  </si>
  <si>
    <t>2015-1-26 12:25:18.545: RTWSControl - orderStatus -  entering orderStatus id is 945 status is PreSubmitted</t>
  </si>
  <si>
    <t>2015-1-26 12:25:18.546: OrderManager - UpdateOrderStatus - id 945 Setting status to PreSubmitted workingOrderCount is now 1 workingQty -2637</t>
  </si>
  <si>
    <t>2015-1-26 12:25:18.548: OrderManagerView - UpdateMainSheetOpenOrder - entering UpdateMainSheetOpenOrder order.status is PreSubmitted</t>
  </si>
  <si>
    <t>2015-1-26 12:25:18.551: RTWSControl - OrderStatus - Got OrderStatus Message id:945 status: PreSubmitted filled: 0</t>
  </si>
  <si>
    <t>2015-1-26 12:25:18.552: RTWSControl - OrderStatus - exiting orderStatus</t>
  </si>
  <si>
    <t>2015-1-26 12:25:18.562: openOrderEx - I am here</t>
  </si>
  <si>
    <t>2015-1-26 12:25:18.570: RTWSControl - orderStatus -  entering orderStatus id is 945 status is PreSubmitted</t>
  </si>
  <si>
    <t>2015-1-26 12:25:18.571: OrderManager - UpdateOrderStatus - id 945 Setting status to PreSubmitted workingOrderCount is now 1 workingQty -2637</t>
  </si>
  <si>
    <t>2015-1-26 12:25:18.573: OrderManagerView - UpdateMainSheetOpenOrder - entering UpdateMainSheetOpenOrder order.status is PreSubmitted</t>
  </si>
  <si>
    <t>2015-1-26 12:25:18.577: RTWSControl - OrderStatus - Got OrderStatus Message id:945 status: PreSubmitted filled: 0</t>
  </si>
  <si>
    <t>2015-1-26 12:25:18.578: RTWSControl - OrderStatus - exiting orderStatus</t>
  </si>
  <si>
    <t>2015-1-26 12:25:34.229: OrderManager - cancelOrder - cancelling order id 945</t>
  </si>
  <si>
    <t>2015-1-26 12:25:34.231: OrderManager - PlaceOrder - id 946 workingQty -2588</t>
  </si>
  <si>
    <t>2015-1-26 12:25:34.232: OrderManagerView - UpdateMainSheetOpenOrder - entering UpdateMainSheetOpenOrder order.status is In-Flight</t>
  </si>
  <si>
    <t>2015-1-26 12:25:34.235: OrderManagerView - incrementNextOORow - there are no available OpenOrderView Rows!!!!!!</t>
  </si>
  <si>
    <t>2015-1-26 12:25:34.239: OrderManager - sendOrder - exiting place order id 946 BUY 49 1.523  - workingQty -2588 currentPosition is 31 workingOrderCount is 2</t>
  </si>
  <si>
    <t>2015-1-26 12:25:34.454: RTWSControl - nextValidId - entering nextValidId id is 947</t>
  </si>
  <si>
    <t>2015-1-26 12:25:34.548: RTWSControl - orderStatus -  entering orderStatus id is 945 status is Cancelled</t>
  </si>
  <si>
    <t>2015-1-26 12:25:34.549: OrderManager - UpdateOrderStatus - id 945 Setting status to Cancelled workingOrderCount is now 2 workingQty -2588</t>
  </si>
  <si>
    <t>2015-1-26 12:25:34.551: OrderManagerView - UpdateMainSheetOpenOrder - entering UpdateMainSheetOpenOrder order.status is Cancelled</t>
  </si>
  <si>
    <t>2015-1-26 12:25:34.554: RTWSControl - OrderStatus - Got OrderStatus Message id:945 status: Cancelled filled: 0</t>
  </si>
  <si>
    <t>2015-1-26 12:25:34.555: RTWSControl - OrderStatus - exiting orderStatus</t>
  </si>
  <si>
    <t>2015-1-26 12:25:34.566: RTWSControl - errMsg - got error message 202:Order Canceled - reason:with id 945</t>
  </si>
  <si>
    <t>2015-1-26 12:25:34.567: OrderManager - canceledOrder - cleaning up after canceled order 945BEWARE UNACCOUNTED FOR EXECUTIONS!!!</t>
  </si>
  <si>
    <t>2015-1-26 12:25:34.569: OrderManager - terminateOrder - cleaning up after Canceled 945  order was supposed to BUY 48 1.5227 STP LMT workingQty/OrderCount now -2636/1</t>
  </si>
  <si>
    <t>2015-1-26 12:25:34.571: OrderManagerView - UpdateMainSheetOpenOrder - entering UpdateMainSheetOpenOrder order.status is Canceled</t>
  </si>
  <si>
    <t>2015-1-26 12:25:34.675: RTWSControl - errMsg - got error message 399:Order Message:
BUY 49 GBP MAR'15
Warning: your order will not be placed at the exchange until 2015-01-26 08:30:00 US/Centralwith id 946</t>
  </si>
  <si>
    <t>2015-1-26 12:25:34.677: RTWSControl - errMsg - Got Error_x000D_id: 946_x000D_errorCode: 399_x000D_errorMsg: Order Message:
BUY 49 GBP MAR'15
Warning: your order will not be placed at the exchange until 2015-01-26 08:30:00 US/Central</t>
  </si>
  <si>
    <t>2015-1-26 12:25:34.687: openOrderEx - I am here</t>
  </si>
  <si>
    <t>2015-1-26 12:25:34.694: RTWSControl - orderStatus -  entering orderStatus id is 946 status is PreSubmitted</t>
  </si>
  <si>
    <t>2015-1-26 12:25:34.695: OrderManager - UpdateOrderStatus - id 946 Setting status to PreSubmitted workingOrderCount is now 1 workingQty -2636</t>
  </si>
  <si>
    <t>2015-1-26 12:25:34.697: OrderManagerView - UpdateMainSheetOpenOrder - entering UpdateMainSheetOpenOrder order.status is PreSubmitted</t>
  </si>
  <si>
    <t>2015-1-26 12:25:34.701: RTWSControl - OrderStatus - Got OrderStatus Message id:946 status: PreSubmitted filled: 0</t>
  </si>
  <si>
    <t>2015-1-26 12:25:34.702: RTWSControl - OrderStatus - exiting orderStatus</t>
  </si>
  <si>
    <t>2015-1-26 12:25:34.717: openOrderEx - I am here</t>
  </si>
  <si>
    <t>2015-1-26 12:25:34.724: RTWSControl - orderStatus -  entering orderStatus id is 946 status is PreSubmitted</t>
  </si>
  <si>
    <t>2015-1-26 12:25:34.725: OrderManager - UpdateOrderStatus - id 946 Setting status to PreSubmitted workingOrderCount is now 1 workingQty -2636</t>
  </si>
  <si>
    <t>2015-1-26 12:25:34.727: OrderManagerView - UpdateMainSheetOpenOrder - entering UpdateMainSheetOpenOrder order.status is PreSubmitted</t>
  </si>
  <si>
    <t>2015-1-26 12:25:34.731: RTWSControl - OrderStatus - Got OrderStatus Message id:946 status: PreSubmitted filled: 0</t>
  </si>
  <si>
    <t>2015-1-26 12:25:34.732: RTWSControl - OrderStatus - exiting orderStatus</t>
  </si>
  <si>
    <t>2015-1-26 12:25:39.703: OrderManager - cancelOrder - cancelling order id 946</t>
  </si>
  <si>
    <t>2015-1-26 12:25:39.707: OrderManager - PlaceOrder - id 947 workingQty -2588</t>
  </si>
  <si>
    <t>2015-1-26 12:25:39.710: OrderManagerView - UpdateMainSheetOpenOrder - entering UpdateMainSheetOpenOrder order.status is In-Flight</t>
  </si>
  <si>
    <t>2015-1-26 12:25:39.723: OrderManager - sendOrder - exiting place order id 947 BUY 48 1.5226  - workingQty -2588 currentPosition is 31 workingOrderCount is 2</t>
  </si>
  <si>
    <t>2015-1-26 12:25:40.80: RTWSControl - nextValidId - entering nextValidId id is 948</t>
  </si>
  <si>
    <t>2015-1-26 12:25:40.92: RTWSControl - orderStatus -  entering orderStatus id is 946 status is Cancelled</t>
  </si>
  <si>
    <t>2015-1-26 12:25:40.93: OrderManager - UpdateOrderStatus - id 946 Setting status to Cancelled workingOrderCount is now 2 workingQty -2588</t>
  </si>
  <si>
    <t>2015-1-26 12:25:40.94: OrderManagerView - UpdateMainSheetOpenOrder - entering UpdateMainSheetOpenOrder order.status is Cancelled</t>
  </si>
  <si>
    <t>2015-1-26 12:25:40.98: RTWSControl - OrderStatus - Got OrderStatus Message id:946 status: Cancelled filled: 0</t>
  </si>
  <si>
    <t>2015-1-26 12:25:40.99: RTWSControl - OrderStatus - exiting orderStatus</t>
  </si>
  <si>
    <t>2015-1-26 12:25:40.106: RTWSControl - errMsg - got error message 202:Order Canceled - reason:with id 946</t>
  </si>
  <si>
    <t>2015-1-26 12:25:40.108: OrderManager - canceledOrder - cleaning up after canceled order 946BEWARE UNACCOUNTED FOR EXECUTIONS!!!</t>
  </si>
  <si>
    <t>2015-1-26 12:25:40.110: OrderManager - terminateOrder - cleaning up after Canceled 946  order was supposed to BUY 49 1.523 STP LMT workingQty/OrderCount now -2637/1</t>
  </si>
  <si>
    <t>2015-1-26 12:25:40.112: OrderManagerView - UpdateMainSheetOpenOrder - entering UpdateMainSheetOpenOrder order.status is Canceled</t>
  </si>
  <si>
    <t>2015-1-26 12:25:40.168: RTWSControl - errMsg - got error message 399:Order Message:
BUY 48 GBP MAR'15
Warning: your order will not be placed at the exchange until 2015-01-26 08:30:00 US/Centralwith id 947</t>
  </si>
  <si>
    <t>2015-1-26 12:25:40.170: RTWSControl - errMsg - Got Error_x000D_id: 947_x000D_errorCode: 399_x000D_errorMsg: Order Message:
BUY 48 GBP MAR'15
Warning: your order will not be placed at the exchange until 2015-01-26 08:30:00 US/Central</t>
  </si>
  <si>
    <t>2015-1-26 12:25:40.180: openOrderEx - I am here</t>
  </si>
  <si>
    <t>2015-1-26 12:25:40.208: RTWSControl - orderStatus -  entering orderStatus id is 947 status is PreSubmitted</t>
  </si>
  <si>
    <t>2015-1-26 12:25:40.209: OrderManager - UpdateOrderStatus - id 947 Setting status to PreSubmitted workingOrderCount is now 1 workingQty -2637</t>
  </si>
  <si>
    <t>2015-1-26 12:25:40.210: OrderManagerView - UpdateMainSheetOpenOrder - entering UpdateMainSheetOpenOrder order.status is PreSubmitted</t>
  </si>
  <si>
    <t>2015-1-26 12:25:40.214: RTWSControl - OrderStatus - Got OrderStatus Message id:947 status: PreSubmitted filled: 0</t>
  </si>
  <si>
    <t>2015-1-26 12:25:40.215: RTWSControl - OrderStatus - exiting orderStatus</t>
  </si>
  <si>
    <t>2015-1-26 12:25:40.225: openOrderEx - I am here</t>
  </si>
  <si>
    <t>2015-1-26 12:25:40.232: RTWSControl - orderStatus -  entering orderStatus id is 947 status is PreSubmitted</t>
  </si>
  <si>
    <t>2015-1-26 12:25:40.234: OrderManager - UpdateOrderStatus - id 947 Setting status to PreSubmitted workingOrderCount is now 1 workingQty -2637</t>
  </si>
  <si>
    <t>2015-1-26 12:25:40.236: OrderManagerView - UpdateMainSheetOpenOrder - entering UpdateMainSheetOpenOrder order.status is PreSubmitted</t>
  </si>
  <si>
    <t>2015-1-26 12:25:40.240: RTWSControl - OrderStatus - Got OrderStatus Message id:947 status: PreSubmitted filled: 0</t>
  </si>
  <si>
    <t>2015-1-26 12:25:40.241: RTWSControl - OrderStatus - exiting orderStatus</t>
  </si>
  <si>
    <t>2015-1-26 12:25:40.309: OrderManager - cancelOrder - cancelling order id 947</t>
  </si>
  <si>
    <t>2015-1-26 12:25:40.310: OrderManager - PlaceOrder - id 948 workingQty -2589</t>
  </si>
  <si>
    <t>2015-1-26 12:25:40.311: OrderManagerView - UpdateMainSheetOpenOrder - entering UpdateMainSheetOpenOrder order.status is In-Flight</t>
  </si>
  <si>
    <t>2015-1-26 12:25:40.315: OrderManager - sendOrder - exiting place order id 948 BUY 48 1.5228  - workingQty -2589 currentPosition is 31 workingOrderCount is 2</t>
  </si>
  <si>
    <t>2015-1-26 12:25:40.796: RTWSControl - nextValidId - entering nextValidId id is 949</t>
  </si>
  <si>
    <t>2015-1-26 12:25:40.807: RTWSControl - orderStatus -  entering orderStatus id is 947 status is Cancelled</t>
  </si>
  <si>
    <t>2015-1-26 12:25:40.808: OrderManager - UpdateOrderStatus - id 947 Setting status to Cancelled workingOrderCount is now 2 workingQty -2589</t>
  </si>
  <si>
    <t>2015-1-26 12:25:40.810: OrderManagerView - UpdateMainSheetOpenOrder - entering UpdateMainSheetOpenOrder order.status is Cancelled</t>
  </si>
  <si>
    <t>2015-1-26 12:25:40.813: RTWSControl - OrderStatus - Got OrderStatus Message id:947 status: Cancelled filled: 0</t>
  </si>
  <si>
    <t>2015-1-26 12:25:40.814: RTWSControl - OrderStatus - exiting orderStatus</t>
  </si>
  <si>
    <t>2015-1-26 12:25:40.822: RTWSControl - errMsg - got error message 202:Order Canceled - reason:with id 947</t>
  </si>
  <si>
    <t>2015-1-26 12:25:40.823: OrderManager - canceledOrder - cleaning up after canceled order 947BEWARE UNACCOUNTED FOR EXECUTIONS!!!</t>
  </si>
  <si>
    <t>2015-1-26 12:25:40.825: OrderManager - terminateOrder - cleaning up after Canceled 947  order was supposed to BUY 48 1.5226 STP LMT workingQty/OrderCount now -2637/1</t>
  </si>
  <si>
    <t>2015-1-26 12:25:40.827: OrderManagerView - UpdateMainSheetOpenOrder - entering UpdateMainSheetOpenOrder order.status is Canceled</t>
  </si>
  <si>
    <t>2015-1-26 12:25:40.839: RTWSControl - errMsg - got error message 399:Order Message:
BUY 48 GBP MAR'15
Warning: your order will not be placed at the exchange until 2015-01-26 08:30:00 US/Centralwith id 948</t>
  </si>
  <si>
    <t>2015-1-26 12:25:40.841: RTWSControl - errMsg - Got Error_x000D_id: 948_x000D_errorCode: 399_x000D_errorMsg: Order Message:
BUY 48 GBP MAR'15
Warning: your order will not be placed at the exchange until 2015-01-26 08:30:00 US/Central</t>
  </si>
  <si>
    <t>2015-1-26 12:25:40.869: openOrderEx - I am here</t>
  </si>
  <si>
    <t>2015-1-26 12:25:40.876: RTWSControl - orderStatus -  entering orderStatus id is 948 status is PreSubmitted</t>
  </si>
  <si>
    <t>2015-1-26 12:25:40.877: OrderManager - UpdateOrderStatus - id 948 Setting status to PreSubmitted workingOrderCount is now 1 workingQty -2637</t>
  </si>
  <si>
    <t>2015-1-26 12:25:40.879: OrderManagerView - UpdateMainSheetOpenOrder - entering UpdateMainSheetOpenOrder order.status is PreSubmitted</t>
  </si>
  <si>
    <t>2015-1-26 12:25:40.882: RTWSControl - OrderStatus - Got OrderStatus Message id:948 status: PreSubmitted filled: 0</t>
  </si>
  <si>
    <t>2015-1-26 12:25:40.883: RTWSControl - OrderStatus - exiting orderStatus</t>
  </si>
  <si>
    <t>2015-1-26 12:25:40.894: openOrderEx - I am here</t>
  </si>
  <si>
    <t>2015-1-26 12:25:40.919: RTWSControl - orderStatus -  entering orderStatus id is 948 status is PreSubmitted</t>
  </si>
  <si>
    <t>2015-1-26 12:25:40.920: OrderManager - UpdateOrderStatus - id 948 Setting status to PreSubmitted workingOrderCount is now 1 workingQty -2637</t>
  </si>
  <si>
    <t>2015-1-26 12:25:40.922: OrderManagerView - UpdateMainSheetOpenOrder - entering UpdateMainSheetOpenOrder order.status is PreSubmitted</t>
  </si>
  <si>
    <t>2015-1-26 12:25:40.925: RTWSControl - OrderStatus - Got OrderStatus Message id:948 status: PreSubmitted filled: 0</t>
  </si>
  <si>
    <t>2015-1-26 12:25:40.926: RTWSControl - OrderStatus - exiting orderStatus</t>
  </si>
  <si>
    <t>2015-1-26 12:25:41.237: OrderManager - cancelOrder - cancelling order id 948</t>
  </si>
  <si>
    <t>2015-1-26 12:25:41.240: OrderManager - PlaceOrder - id 949 workingQty -2589</t>
  </si>
  <si>
    <t>2015-1-26 12:25:41.243: OrderManagerView - UpdateMainSheetOpenOrder - entering UpdateMainSheetOpenOrder order.status is In-Flight</t>
  </si>
  <si>
    <t>2015-1-26 12:25:41.249: OrderManagerView - incrementNextOORow - there are no available OpenOrderView Rows!!!!!!</t>
  </si>
  <si>
    <t>2015-1-26 12:25:41.257: OrderManager - sendOrder - exiting place order id 949 BUY 48 1.523  - workingQty -2589 currentPosition is 31 workingOrderCount is 2</t>
  </si>
  <si>
    <t>2015-1-26 12:25:41.466: RTWSControl - nextValidId - entering nextValidId id is 950</t>
  </si>
  <si>
    <t>2015-1-26 12:25:41.494: RTWSControl - orderStatus -  entering orderStatus id is 948 status is Cancelled</t>
  </si>
  <si>
    <t>2015-1-26 12:25:41.496: OrderManager - UpdateOrderStatus - id 948 Setting status to Cancelled workingOrderCount is now 2 workingQty -2589</t>
  </si>
  <si>
    <t>2015-1-26 12:25:41.497: OrderManagerView - UpdateMainSheetOpenOrder - entering UpdateMainSheetOpenOrder order.status is Cancelled</t>
  </si>
  <si>
    <t>2015-1-26 12:25:41.501: RTWSControl - OrderStatus - Got OrderStatus Message id:948 status: Cancelled filled: 0</t>
  </si>
  <si>
    <t>2015-1-26 12:25:41.502: RTWSControl - OrderStatus - exiting orderStatus</t>
  </si>
  <si>
    <t>2015-1-26 12:25:41.510: RTWSControl - errMsg - got error message 202:Order Canceled - reason:with id 948</t>
  </si>
  <si>
    <t>2015-1-26 12:25:41.511: OrderManager - canceledOrder - cleaning up after canceled order 948BEWARE UNACCOUNTED FOR EXECUTIONS!!!</t>
  </si>
  <si>
    <t>2015-1-26 12:25:41.513: OrderManager - terminateOrder - cleaning up after Canceled 948  order was supposed to BUY 48 1.5228 STP LMT workingQty/OrderCount now -2637/1</t>
  </si>
  <si>
    <t>2015-1-26 12:25:41.515: OrderManagerView - UpdateMainSheetOpenOrder - entering UpdateMainSheetOpenOrder order.status is Canceled</t>
  </si>
  <si>
    <t>2015-1-26 12:25:41.694: RTWSControl - errMsg - got error message 399:Order Message:
BUY 48 GBP MAR'15
Warning: your order will not be placed at the exchange until 2015-01-26 08:30:00 US/Centralwith id 949</t>
  </si>
  <si>
    <t>2015-1-26 12:25:41.696: RTWSControl - errMsg - Got Error_x000D_id: 949_x000D_errorCode: 399_x000D_errorMsg: Order Message:
BUY 48 GBP MAR'15
Warning: your order will not be placed at the exchange until 2015-01-26 08:30:00 US/Central</t>
  </si>
  <si>
    <t>2015-1-26 12:25:41.716: openOrderEx - I am here</t>
  </si>
  <si>
    <t>2015-1-26 12:25:41.722: RTWSControl - orderStatus -  entering orderStatus id is 949 status is PreSubmitted</t>
  </si>
  <si>
    <t>2015-1-26 12:25:41.723: OrderManager - UpdateOrderStatus - id 949 Setting status to PreSubmitted workingOrderCount is now 1 workingQty -2637</t>
  </si>
  <si>
    <t>2015-1-26 12:25:41.725: OrderManagerView - UpdateMainSheetOpenOrder - entering UpdateMainSheetOpenOrder order.status is PreSubmitted</t>
  </si>
  <si>
    <t>2015-1-26 12:25:41.729: RTWSControl - OrderStatus - Got OrderStatus Message id:949 status: PreSubmitted filled: 0</t>
  </si>
  <si>
    <t>2015-1-26 12:25:41.730: RTWSControl - OrderStatus - exiting orderStatus</t>
  </si>
  <si>
    <t>2015-1-26 12:25:41.742: openOrderEx - I am here</t>
  </si>
  <si>
    <t>2015-1-26 12:25:41.754: RTWSControl - orderStatus -  entering orderStatus id is 949 status is PreSubmitted</t>
  </si>
  <si>
    <t>2015-1-26 12:25:41.755: OrderManager - UpdateOrderStatus - id 949 Setting status to PreSubmitted workingOrderCount is now 1 workingQty -2637</t>
  </si>
  <si>
    <t>2015-1-26 12:25:41.757: OrderManagerView - UpdateMainSheetOpenOrder - entering UpdateMainSheetOpenOrder order.status is PreSubmitted</t>
  </si>
  <si>
    <t>2015-1-26 12:25:41.761: RTWSControl - OrderStatus - Got OrderStatus Message id:949 status: PreSubmitted filled: 0</t>
  </si>
  <si>
    <t>2015-1-26 12:25:41.761: RTWSControl - OrderStatus - exiting orderStatus</t>
  </si>
  <si>
    <t>2015-1-26 12:25:42.316: OrderManager - cancelOrder - cancelling order id 949</t>
  </si>
  <si>
    <t>2015-1-26 12:25:42.317: OrderManager - PlaceOrder - id 950 workingQty -2589</t>
  </si>
  <si>
    <t>2015-1-26 12:25:42.318: OrderManagerView - UpdateMainSheetOpenOrder - entering UpdateMainSheetOpenOrder order.status is In-Flight</t>
  </si>
  <si>
    <t>2015-1-26 12:25:42.322: OrderManager - sendOrder - exiting place order id 950 BUY 48 1.5225  - workingQty -2589 currentPosition is 31 workingOrderCount is 2</t>
  </si>
  <si>
    <t>2015-1-26 12:25:42.563: RTWSControl - nextValidId - entering nextValidId id is 951</t>
  </si>
  <si>
    <t>2015-1-26 12:25:42.570: RTWSControl - orderStatus -  entering orderStatus id is 949 status is Cancelled</t>
  </si>
  <si>
    <t>2015-1-26 12:25:42.571: OrderManager - UpdateOrderStatus - id 949 Setting status to Cancelled workingOrderCount is now 2 workingQty -2589</t>
  </si>
  <si>
    <t>2015-1-26 12:25:42.573: OrderManagerView - UpdateMainSheetOpenOrder - entering UpdateMainSheetOpenOrder order.status is Cancelled</t>
  </si>
  <si>
    <t>2015-1-26 12:25:42.577: RTWSControl - OrderStatus - Got OrderStatus Message id:949 status: Cancelled filled: 0</t>
  </si>
  <si>
    <t>2015-1-26 12:25:42.578: RTWSControl - OrderStatus - exiting orderStatus</t>
  </si>
  <si>
    <t>2015-1-26 12:25:42.589: RTWSControl - errMsg - got error message 202:Order Canceled - reason:with id 949</t>
  </si>
  <si>
    <t>2015-1-26 12:25:42.590: OrderManager - canceledOrder - cleaning up after canceled order 949BEWARE UNACCOUNTED FOR EXECUTIONS!!!</t>
  </si>
  <si>
    <t>2015-1-26 12:25:42.592: OrderManager - terminateOrder - cleaning up after Canceled 949  order was supposed to BUY 48 1.523 STP LMT workingQty/OrderCount now -2637/1</t>
  </si>
  <si>
    <t>2015-1-26 12:25:42.593: OrderManagerView - UpdateMainSheetOpenOrder - entering UpdateMainSheetOpenOrder order.status is Canceled</t>
  </si>
  <si>
    <t>2015-1-26 12:25:43.52: RTWSControl - errMsg - got error message 399:Order Message:
BUY 48 GBP MAR'15
Warning: your order will not be placed at the exchange until 2015-01-26 08:30:00 US/Centralwith id 950</t>
  </si>
  <si>
    <t>2015-1-26 12:25:43.54: RTWSControl - errMsg - Got Error_x000D_id: 950_x000D_errorCode: 399_x000D_errorMsg: Order Message:
BUY 48 GBP MAR'15
Warning: your order will not be placed at the exchange until 2015-01-26 08:30:00 US/Central</t>
  </si>
  <si>
    <t>2015-1-26 12:25:43.64: openOrderEx - I am here</t>
  </si>
  <si>
    <t>2015-1-26 12:25:43.71: RTWSControl - orderStatus -  entering orderStatus id is 950 status is PreSubmitted</t>
  </si>
  <si>
    <t>2015-1-26 12:25:43.72: OrderManager - UpdateOrderStatus - id 950 Setting status to PreSubmitted workingOrderCount is now 1 workingQty -2637</t>
  </si>
  <si>
    <t>2015-1-26 12:25:43.74: OrderManagerView - UpdateMainSheetOpenOrder - entering UpdateMainSheetOpenOrder order.status is PreSubmitted</t>
  </si>
  <si>
    <t>2015-1-26 12:25:43.78: RTWSControl - OrderStatus - Got OrderStatus Message id:950 status: PreSubmitted filled: 0</t>
  </si>
  <si>
    <t>2015-1-26 12:25:43.79: RTWSControl - OrderStatus - exiting orderStatus</t>
  </si>
  <si>
    <t>2015-1-26 12:25:43.93: openOrderEx - I am here</t>
  </si>
  <si>
    <t>2015-1-26 12:25:43.99: RTWSControl - orderStatus -  entering orderStatus id is 950 status is PreSubmitted</t>
  </si>
  <si>
    <t>2015-1-26 12:25:43.100: OrderManager - UpdateOrderStatus - id 950 Setting status to PreSubmitted workingOrderCount is now 1 workingQty -2637</t>
  </si>
  <si>
    <t>2015-1-26 12:25:43.102: OrderManagerView - UpdateMainSheetOpenOrder - entering UpdateMainSheetOpenOrder order.status is PreSubmitted</t>
  </si>
  <si>
    <t>2015-1-26 12:25:43.106: RTWSControl - OrderStatus - Got OrderStatus Message id:950 status: PreSubmitted filled: 0</t>
  </si>
  <si>
    <t>2015-1-26 12:25:43.107: RTWSControl - OrderStatus - exiting orderStatus</t>
  </si>
  <si>
    <t>2015-1-26 12:25:43.518: OrderManager - cancelOrder - cancelling order id 950</t>
  </si>
  <si>
    <t>2015-1-26 12:25:43.519: OrderManager - PlaceOrder - id 951 workingQty -2589</t>
  </si>
  <si>
    <t>2015-1-26 12:25:43.520: OrderManagerView - UpdateMainSheetOpenOrder - entering UpdateMainSheetOpenOrder order.status is In-Flight</t>
  </si>
  <si>
    <t>2015-1-26 12:25:43.523: OrderManager - sendOrder - exiting place order id 951 BUY 48 1.5227  - workingQty -2589 currentPosition is 31 workingOrderCount is 2</t>
  </si>
  <si>
    <t>2015-1-26 12:25:43.897: RTWSControl - nextValidId - entering nextValidId id is 952</t>
  </si>
  <si>
    <t>2015-1-26 12:25:43.905: RTWSControl - orderStatus -  entering orderStatus id is 950 status is Cancelled</t>
  </si>
  <si>
    <t>2015-1-26 12:25:43.906: OrderManager - UpdateOrderStatus - id 950 Setting status to Cancelled workingOrderCount is now 2 workingQty -2589</t>
  </si>
  <si>
    <t>2015-1-26 12:25:43.907: OrderManagerView - UpdateMainSheetOpenOrder - entering UpdateMainSheetOpenOrder order.status is Cancelled</t>
  </si>
  <si>
    <t>2015-1-26 12:25:43.911: RTWSControl - OrderStatus - Got OrderStatus Message id:950 status: Cancelled filled: 0</t>
  </si>
  <si>
    <t>2015-1-26 12:25:43.912: RTWSControl - OrderStatus - exiting orderStatus</t>
  </si>
  <si>
    <t>2015-1-26 12:25:43.924: RTWSControl - errMsg - got error message 202:Order Canceled - reason:with id 950</t>
  </si>
  <si>
    <t>2015-1-26 12:25:43.925: OrderManager - canceledOrder - cleaning up after canceled order 950BEWARE UNACCOUNTED FOR EXECUTIONS!!!</t>
  </si>
  <si>
    <t>2015-1-26 12:25:43.926: OrderManager - terminateOrder - cleaning up after Canceled 950  order was supposed to BUY 48 1.5225 STP LMT workingQty/OrderCount now -2637/1</t>
  </si>
  <si>
    <t>2015-1-26 12:25:43.928: OrderManagerView - UpdateMainSheetOpenOrder - entering UpdateMainSheetOpenOrder order.status is Canceled</t>
  </si>
  <si>
    <t>2015-1-26 12:25:43.938: RTWSControl - errMsg - got error message 399:Order Message:
BUY 48 GBP MAR'15
Warning: your order will not be placed at the exchange until 2015-01-26 08:30:00 US/Centralwith id 951</t>
  </si>
  <si>
    <t>2015-1-26 12:25:43.940: RTWSControl - errMsg - Got Error_x000D_id: 951_x000D_errorCode: 399_x000D_errorMsg: Order Message:
BUY 48 GBP MAR'15
Warning: your order will not be placed at the exchange until 2015-01-26 08:30:00 US/Central</t>
  </si>
  <si>
    <t>2015-1-26 12:25:43.953: openOrderEx - I am here</t>
  </si>
  <si>
    <t>2015-1-26 12:25:43.966: RTWSControl - orderStatus -  entering orderStatus id is 951 status is PreSubmitted</t>
  </si>
  <si>
    <t>2015-1-26 12:25:43.967: OrderManager - UpdateOrderStatus - id 951 Setting status to PreSubmitted workingOrderCount is now 1 workingQty -2637</t>
  </si>
  <si>
    <t>2015-1-26 12:25:43.969: OrderManagerView - UpdateMainSheetOpenOrder - entering UpdateMainSheetOpenOrder order.status is PreSubmitted</t>
  </si>
  <si>
    <t>2015-1-26 12:25:43.972: RTWSControl - OrderStatus - Got OrderStatus Message id:951 status: PreSubmitted filled: 0</t>
  </si>
  <si>
    <t>2015-1-26 12:25:43.973: RTWSControl - OrderStatus - exiting orderStatus</t>
  </si>
  <si>
    <t>2015-1-26 12:25:43.984: openOrderEx - I am here</t>
  </si>
  <si>
    <t>2015-1-26 12:25:43.992: RTWSControl - orderStatus -  entering orderStatus id is 951 status is PreSubmitted</t>
  </si>
  <si>
    <t>2015-1-26 12:25:43.993: OrderManager - UpdateOrderStatus - id 951 Setting status to PreSubmitted workingOrderCount is now 1 workingQty -2637</t>
  </si>
  <si>
    <t>2015-1-26 12:25:43.995: OrderManagerView - UpdateMainSheetOpenOrder - entering UpdateMainSheetOpenOrder order.status is PreSubmitted</t>
  </si>
  <si>
    <t>2015-1-26 12:25:43.999: RTWSControl - OrderStatus - Got OrderStatus Message id:951 status: PreSubmitted filled: 0</t>
  </si>
  <si>
    <t>2015-1-26 12:25:44.0: RTWSControl - OrderStatus - exiting orderStatus</t>
  </si>
  <si>
    <t>2015-1-26 12:25:45.518: Algorithm - FindNextStrikes - price is 1.50135 nextStrikeUp/Down 1.505/1.5</t>
  </si>
  <si>
    <t>2015-1-26 12:25:45.519: Algorithm - getPortfolioForwardDelta - required deltas is -20 currentHedgePosition is 31</t>
  </si>
  <si>
    <t>2015-1-26 12:25:45.520: Algorithm - getHedgeShortfall - required deltas is -20 price is 1.50125 currentHedgePositionDeltas is 31</t>
  </si>
  <si>
    <t>2015-1-26 12:25:45.522: Algorithm - processTransitionPoint - nextUpper/LowerStrikes are 1.505/1.5 requiredDeltas/currentPosition/currentHedgeShortfall/direction/transitionPrice are -20/31/-51/-1/1.50125</t>
  </si>
  <si>
    <t>2015-1-26 12:25:45.524: TransitionLogger - processTransitionpoint - checking transition - currentHedgeShortfall is -51</t>
  </si>
  <si>
    <t>2015-1-26 12:25:45.528: Algorithm - updatePortfolio - haveAllDetails is True</t>
  </si>
  <si>
    <t>2015-1-26 12:25:45.530: RTWSControl - updatePortfolioEx - An Error Occured Object variable or With block variable not set</t>
  </si>
  <si>
    <t>2015-1-26 12:25:45.557: Algorithm - FindNextStrikes - price is 1.50135 nextStrikeUp/Down 1.505/1.5</t>
  </si>
  <si>
    <t>2015-1-26 12:25:45.558: Algorithm - getPortfolioForwardDelta - required deltas is -20 currentHedgePosition is 31</t>
  </si>
  <si>
    <t>2015-1-26 12:25:45.559: Algorithm - getHedgeShortfall - required deltas is -20 price is 1.50125 currentHedgePositionDeltas is 31</t>
  </si>
  <si>
    <t>2015-1-26 12:25:45.561: Algorithm - processTransitionPoint - nextUpper/LowerStrikes are 1.505/1.5 requiredDeltas/currentPosition/currentHedgeShortfall/direction/transitionPrice are -20/31/-51/-1/1.50125</t>
  </si>
  <si>
    <t>2015-1-26 12:25:45.563: TransitionLogger - processTransitionpoint - checking transition - currentHedgeShortfall is -51</t>
  </si>
  <si>
    <t>2015-1-26 12:25:45.565: Algorithm - updatePortfolio - haveAllDetails is True</t>
  </si>
  <si>
    <t>2015-1-26 12:25:45.567: RTWSControl - updatePortfolioEx - An Error Occured Object variable or With block variable not set</t>
  </si>
  <si>
    <t>2015-1-26 12:25:45.600: Algorithm - FindNextStrikes - price is 1.50135 nextStrikeUp/Down 1.505/1.5</t>
  </si>
  <si>
    <t>2015-1-26 12:25:45.601: Algorithm - getPortfolioForwardDelta - required deltas is -20 currentHedgePosition is 31</t>
  </si>
  <si>
    <t>2015-1-26 12:25:45.602: Algorithm - getHedgeShortfall - required deltas is -20 price is 1.50125 currentHedgePositionDeltas is 31</t>
  </si>
  <si>
    <t>2015-1-26 12:25:45.604: Algorithm - processTransitionPoint - nextUpper/LowerStrikes are 1.505/1.5 requiredDeltas/currentPosition/currentHedgeShortfall/direction/transitionPrice are -20/31/-51/-1/1.50125</t>
  </si>
  <si>
    <t>2015-1-26 12:25:45.606: TransitionLogger - processTransitionpoint - checking transition - currentHedgeShortfall is -51</t>
  </si>
  <si>
    <t>2015-1-26 12:25:45.608: Algorithm - updatePortfolio - haveAllDetails is True</t>
  </si>
  <si>
    <t>2015-1-26 12:25:45.610: RTWSControl - updatePortfolioEx - An Error Occured Object variable or With block variable not set</t>
  </si>
  <si>
    <t>2015-1-26 12:25:45.641: Algorithm - FindNextStrikes - price is 1.50135 nextStrikeUp/Down 1.505/1.5</t>
  </si>
  <si>
    <t>2015-1-26 12:25:45.642: Algorithm - getPortfolioForwardDelta - required deltas is -20 currentHedgePosition is 31</t>
  </si>
  <si>
    <t>2015-1-26 12:25:45.643: Algorithm - getHedgeShortfall - required deltas is -20 price is 1.50125 currentHedgePositionDeltas is 31</t>
  </si>
  <si>
    <t>2015-1-26 12:25:45.645: Algorithm - processTransitionPoint - nextUpper/LowerStrikes are 1.505/1.5 requiredDeltas/currentPosition/currentHedgeShortfall/direction/transitionPrice are -20/31/-51/-1/1.50125</t>
  </si>
  <si>
    <t>2015-1-26 12:25:45.646: TransitionLogger - processTransitionpoint - checking transition - currentHedgeShortfall is -51</t>
  </si>
  <si>
    <t>2015-1-26 12:25:45.649: Algorithm - updatePortfolio - haveAllDetails is True</t>
  </si>
  <si>
    <t>2015-1-26 12:25:45.650: RTWSControl - updatePortfolioEx - An Error Occured Object variable or With block variable not set</t>
  </si>
  <si>
    <t>2015-1-26 12:25:45.676: Algorithm - FindNextStrikes - price is 1.50135 nextStrikeUp/Down 1.505/1.5</t>
  </si>
  <si>
    <t>2015-1-26 12:25:45.677: Algorithm - getPortfolioForwardDelta - required deltas is -20 currentHedgePosition is 31</t>
  </si>
  <si>
    <t>2015-1-26 12:25:45.678: Algorithm - getHedgeShortfall - required deltas is -20 price is 1.50125 currentHedgePositionDeltas is 31</t>
  </si>
  <si>
    <t>2015-1-26 12:25:45.680: Algorithm - processTransitionPoint - nextUpper/LowerStrikes are 1.505/1.5 requiredDeltas/currentPosition/currentHedgeShortfall/direction/transitionPrice are -20/31/-51/-1/1.50125</t>
  </si>
  <si>
    <t>2015-1-26 12:25:45.682: TransitionLogger - processTransitionpoint - checking transition - currentHedgeShortfall is -51</t>
  </si>
  <si>
    <t>2015-1-26 12:25:45.684: Algorithm - updatePortfolio - haveAllDetails is True</t>
  </si>
  <si>
    <t>2015-1-26 12:25:45.686: RTWSControl - updatePortfolioEx - An Error Occured Object variable or With block variable not set</t>
  </si>
  <si>
    <t>2015-1-26 12:25:45.732: Algorithm - FindNextStrikes - price is 1.50135 nextStrikeUp/Down 1.505/1.5</t>
  </si>
  <si>
    <t>2015-1-26 12:25:45.734: Algorithm - getPortfolioForwardDelta - required deltas is -20 currentHedgePosition is 31</t>
  </si>
  <si>
    <t>2015-1-26 12:25:45.734: Algorithm - getHedgeShortfall - required deltas is -20 price is 1.50125 currentHedgePositionDeltas is 31</t>
  </si>
  <si>
    <t>2015-1-26 12:25:45.736: Algorithm - processTransitionPoint - nextUpper/LowerStrikes are 1.505/1.5 requiredDeltas/currentPosition/currentHedgeShortfall/direction/transitionPrice are -20/31/-51/-1/1.50125</t>
  </si>
  <si>
    <t>2015-1-26 12:25:45.738: TransitionLogger - processTransitionpoint - checking transition - currentHedgeShortfall is -51</t>
  </si>
  <si>
    <t>2015-1-26 12:25:45.741: Algorithm - updatePortfolio - haveAllDetails is True</t>
  </si>
  <si>
    <t>2015-1-26 12:25:45.743: RTWSControl - updatePortfolioEx - An Error Occured Object variable or With block variable not set</t>
  </si>
  <si>
    <t>2015-1-26 12:25:45.777: Algorithm - FindNextStrikes - price is 1.50135 nextStrikeUp/Down 1.505/1.5</t>
  </si>
  <si>
    <t>2015-1-26 12:25:45.779: Algorithm - getPortfolioForwardDelta - required deltas is -20 currentHedgePosition is 31</t>
  </si>
  <si>
    <t>2015-1-26 12:25:45.779: Algorithm - getHedgeShortfall - required deltas is -20 price is 1.50125 currentHedgePositionDeltas is 31</t>
  </si>
  <si>
    <t>2015-1-26 12:25:45.781: Algorithm - processTransitionPoint - nextUpper/LowerStrikes are 1.505/1.5 requiredDeltas/currentPosition/currentHedgeShortfall/direction/transitionPrice are -20/31/-51/-1/1.50125</t>
  </si>
  <si>
    <t>2015-1-26 12:25:45.783: TransitionLogger - processTransitionpoint - checking transition - currentHedgeShortfall is -51</t>
  </si>
  <si>
    <t>2015-1-26 12:25:45.786: Algorithm - updatePortfolio - haveAllDetails is True</t>
  </si>
  <si>
    <t>2015-1-26 12:25:45.788: RTWSControl - updatePortfolioEx - An Error Occured Object variable or With block variable not set</t>
  </si>
  <si>
    <t>2015-1-26 12:25:45.816: Algorithm - FindNextStrikes - price is 1.50135 nextStrikeUp/Down 1.505/1.5</t>
  </si>
  <si>
    <t>2015-1-26 12:25:45.818: Algorithm - getPortfolioForwardDelta - required deltas is -20 currentHedgePosition is 31</t>
  </si>
  <si>
    <t>2015-1-26 12:25:45.818: Algorithm - getHedgeShortfall - required deltas is -20 price is 1.50125 currentHedgePositionDeltas is 31</t>
  </si>
  <si>
    <t>2015-1-26 12:25:45.821: Algorithm - processTransitionPoint - nextUpper/LowerStrikes are 1.505/1.5 requiredDeltas/currentPosition/currentHedgeShortfall/direction/transitionPrice are -20/31/-51/-1/1.50125</t>
  </si>
  <si>
    <t>2015-1-26 12:25:45.822: TransitionLogger - processTransitionpoint - checking transition - currentHedgeShortfall is -51</t>
  </si>
  <si>
    <t>2015-1-26 12:25:45.825: Algorithm - updatePortfolio - haveAllDetails is True</t>
  </si>
  <si>
    <t>2015-1-26 12:25:45.827: RTWSControl - updatePortfolioEx - An Error Occured Object variable or With block variable not set</t>
  </si>
  <si>
    <t>2015-1-26 12:25:51.511: OrderManager - cancelOrder - cancelling order id 951</t>
  </si>
  <si>
    <t>2015-1-26 12:25:51.513: OrderManager - PlaceOrder - id 952 workingQty -2589</t>
  </si>
  <si>
    <t>2015-1-26 12:25:51.515: OrderManagerView - UpdateMainSheetOpenOrder - entering UpdateMainSheetOpenOrder order.status is In-Flight</t>
  </si>
  <si>
    <t>2015-1-26 12:25:51.521: OrderManagerView - incrementNextOORow - there are no available OpenOrderView Rows!!!!!!</t>
  </si>
  <si>
    <t>2015-1-26 12:25:51.527: OrderManager - sendOrder - exiting place order id 952 BUY 48 1.5229  - workingQty -2589 currentPosition is 31 workingOrderCount is 2</t>
  </si>
  <si>
    <t>2015-1-26 12:25:51.854: RTWSControl - nextValidId - entering nextValidId id is 953</t>
  </si>
  <si>
    <t>2015-1-26 12:25:51.993: RTWSControl - orderStatus -  entering orderStatus id is 951 status is Cancelled</t>
  </si>
  <si>
    <t>2015-1-26 12:25:51.994: OrderManager - UpdateOrderStatus - id 951 Setting status to Cancelled workingOrderCount is now 2 workingQty -2589</t>
  </si>
  <si>
    <t>2015-1-26 12:25:51.996: OrderManagerView - UpdateMainSheetOpenOrder - entering UpdateMainSheetOpenOrder order.status is Cancelled</t>
  </si>
  <si>
    <t>2015-1-26 12:25:52.0: RTWSControl - OrderStatus - Got OrderStatus Message id:951 status: Cancelled filled: 0</t>
  </si>
  <si>
    <t>2015-1-26 12:25:52.0: RTWSControl - OrderStatus - exiting orderStatus</t>
  </si>
  <si>
    <t>2015-1-26 12:25:52.25: RTWSControl - errMsg - got error message 202:Order Canceled - reason:with id 951</t>
  </si>
  <si>
    <t>2015-1-26 12:25:52.26: OrderManager - canceledOrder - cleaning up after canceled order 951BEWARE UNACCOUNTED FOR EXECUTIONS!!!</t>
  </si>
  <si>
    <t>2015-1-26 12:25:52.28: OrderManager - terminateOrder - cleaning up after Canceled 951  order was supposed to BUY 48 1.5227 STP LMT workingQty/OrderCount now -2637/1</t>
  </si>
  <si>
    <t>2015-1-26 12:25:52.30: OrderManagerView - UpdateMainSheetOpenOrder - entering UpdateMainSheetOpenOrder order.status is Canceled</t>
  </si>
  <si>
    <t>2015-1-26 12:25:52.41: RTWSControl - errMsg - got error message 399:Order Message:
BUY 48 GBP MAR'15
Warning: your order will not be placed at the exchange until 2015-01-26 08:30:00 US/Centralwith id 952</t>
  </si>
  <si>
    <t>2015-1-26 12:25:52.42: RTWSControl - errMsg - Got Error_x000D_id: 952_x000D_errorCode: 399_x000D_errorMsg: Order Message:
BUY 48 GBP MAR'15
Warning: your order will not be placed at the exchange until 2015-01-26 08:30:00 US/Central</t>
  </si>
  <si>
    <t>2015-1-26 12:25:52.53: openOrderEx - I am here</t>
  </si>
  <si>
    <t>2015-1-26 12:25:52.82: RTWSControl - orderStatus -  entering orderStatus id is 952 status is PreSubmitted</t>
  </si>
  <si>
    <t>2015-1-26 12:25:52.83: OrderManager - UpdateOrderStatus - id 952 Setting status to PreSubmitted workingOrderCount is now 1 workingQty -2637</t>
  </si>
  <si>
    <t>2015-1-26 12:25:52.85: OrderManagerView - UpdateMainSheetOpenOrder - entering UpdateMainSheetOpenOrder order.status is PreSubmitted</t>
  </si>
  <si>
    <t>2015-1-26 12:25:52.88: RTWSControl - OrderStatus - Got OrderStatus Message id:952 status: PreSubmitted filled: 0</t>
  </si>
  <si>
    <t>2015-1-26 12:25:52.89: RTWSControl - OrderStatus - exiting orderStatus</t>
  </si>
  <si>
    <t>2015-1-26 12:25:52.100: openOrderEx - I am here</t>
  </si>
  <si>
    <t>2015-1-26 12:25:52.107: RTWSControl - orderStatus -  entering orderStatus id is 952 status is PreSubmitted</t>
  </si>
  <si>
    <t>2015-1-26 12:25:52.108: OrderManager - UpdateOrderStatus - id 952 Setting status to PreSubmitted workingOrderCount is now 1 workingQty -2637</t>
  </si>
  <si>
    <t>2015-1-26 12:25:52.110: OrderManagerView - UpdateMainSheetOpenOrder - entering UpdateMainSheetOpenOrder order.status is PreSubmitted</t>
  </si>
  <si>
    <t>2015-1-26 12:25:52.114: RTWSControl - OrderStatus - Got OrderStatus Message id:952 status: PreSubmitted filled: 0</t>
  </si>
  <si>
    <t>2015-1-26 12:25:52.115: RTWSControl - OrderStatus - exiting orderStatus</t>
  </si>
  <si>
    <t>2015-1-26 12:26:1.884: OrderManager - cancelOrder - cancelling order id 952</t>
  </si>
  <si>
    <t>2015-1-26 12:26:1.885: OrderManager - PlaceOrder - id 953 workingQty -2589</t>
  </si>
  <si>
    <t>2015-1-26 12:26:1.886: OrderManagerView - UpdateMainSheetOpenOrder - entering UpdateMainSheetOpenOrder order.status is In-Flight</t>
  </si>
  <si>
    <t>2015-1-26 12:26:1.890: OrderManager - sendOrder - exiting place order id 953 BUY 48 1.5226  - workingQty -2589 currentPosition is 31 workingOrderCount is 2</t>
  </si>
  <si>
    <t>2015-1-26 12:26:2.75: OrderManager - cancelOrder - cancelling order id 953</t>
  </si>
  <si>
    <t>2015-1-26 12:26:2.76: OrderManager - createOrder - exiting without creating order - did not have validID</t>
  </si>
  <si>
    <t>2015-1-26 12:26:2.170: RTWSControl - nextValidId - entering nextValidId id is 954</t>
  </si>
  <si>
    <t>2015-1-26 12:26:2.176: RTWSControl - orderStatus -  entering orderStatus id is 952 status is Cancelled</t>
  </si>
  <si>
    <t>2015-1-26 12:26:2.177: OrderManager - UpdateOrderStatus - id 952 Setting status to Cancelled workingOrderCount is now 2 workingQty -2589</t>
  </si>
  <si>
    <t>2015-1-26 12:26:2.179: OrderManagerView - UpdateMainSheetOpenOrder - entering UpdateMainSheetOpenOrder order.status is Cancelled</t>
  </si>
  <si>
    <t>2015-1-26 12:26:2.183: RTWSControl - OrderStatus - Got OrderStatus Message id:952 status: Cancelled filled: 0</t>
  </si>
  <si>
    <t>2015-1-26 12:26:2.184: RTWSControl - OrderStatus - exiting orderStatus</t>
  </si>
  <si>
    <t>2015-1-26 12:26:2.192: RTWSControl - errMsg - got error message 202:Order Canceled - reason:with id 952</t>
  </si>
  <si>
    <t>2015-1-26 12:26:2.193: OrderManager - canceledOrder - cleaning up after canceled order 952BEWARE UNACCOUNTED FOR EXECUTIONS!!!</t>
  </si>
  <si>
    <t>2015-1-26 12:26:2.195: OrderManager - terminateOrder - cleaning up after Canceled 952  order was supposed to BUY 48 1.5229 STP LMT workingQty/OrderCount now -2637/1</t>
  </si>
  <si>
    <t>2015-1-26 12:26:2.198: OrderManagerView - UpdateMainSheetOpenOrder - entering UpdateMainSheetOpenOrder order.status is Canceled</t>
  </si>
  <si>
    <t>2015-1-26 12:26:2.306: openOrderEx - I am here</t>
  </si>
  <si>
    <t>2015-1-26 12:26:2.313: RTWSControl - orderStatus -  entering orderStatus id is 953 status is PendingCancel</t>
  </si>
  <si>
    <t>2015-1-26 12:26:2.314: OrderManager - UpdateOrderStatus - id 953 Setting status to PendingCancel workingOrderCount is now 1 workingQty -2637</t>
  </si>
  <si>
    <t>2015-1-26 12:26:2.316: OrderManagerView - UpdateMainSheetOpenOrder - entering UpdateMainSheetOpenOrder order.status is PendingCancel</t>
  </si>
  <si>
    <t>2015-1-26 12:26:2.321: RTWSControl - OrderStatus - Got OrderStatus Message id:953 status: PendingCancel filled: 0</t>
  </si>
  <si>
    <t>2015-1-26 12:26:2.321: RTWSControl - OrderStatus - exiting orderStatus</t>
  </si>
  <si>
    <t>2015-1-26 12:26:2.332: openOrderEx - I am here</t>
  </si>
  <si>
    <t>2015-1-26 12:26:2.366: RTWSControl - orderStatus -  entering orderStatus id is 953 status is PendingCancel</t>
  </si>
  <si>
    <t>2015-1-26 12:26:2.367: OrderManager - UpdateOrderStatus - id 953 Setting status to PendingCancel workingOrderCount is now 1 workingQty -2637</t>
  </si>
  <si>
    <t>2015-1-26 12:26:2.369: OrderManagerView - UpdateMainSheetOpenOrder - entering UpdateMainSheetOpenOrder order.status is PendingCancel</t>
  </si>
  <si>
    <t>2015-1-26 12:26:2.373: RTWSControl - OrderStatus - Got OrderStatus Message id:953 status: PendingCancel filled: 0</t>
  </si>
  <si>
    <t>2015-1-26 12:26:2.374: RTWSControl - OrderStatus - exiting orderStatus</t>
  </si>
  <si>
    <t>2015-1-26 12:26:2.381: RTWSControl - orderStatus -  entering orderStatus id is 953 status is Cancelled</t>
  </si>
  <si>
    <t>2015-1-26 12:26:2.382: OrderManager - UpdateOrderStatus - id 953 Setting status to Cancelled workingOrderCount is now 1 workingQty -2637</t>
  </si>
  <si>
    <t>2015-1-26 12:26:2.384: OrderManagerView - UpdateMainSheetOpenOrder - entering UpdateMainSheetOpenOrder order.status is Cancelled</t>
  </si>
  <si>
    <t>2015-1-26 12:26:2.388: RTWSControl - OrderStatus - Got OrderStatus Message id:953 status: Cancelled filled: 0</t>
  </si>
  <si>
    <t>2015-1-26 12:26:2.389: RTWSControl - OrderStatus - exiting orderStatus</t>
  </si>
  <si>
    <t>2015-1-26 12:26:2.396: RTWSControl - errMsg - got error message 202:Order Canceled - reason:with id 953</t>
  </si>
  <si>
    <t>2015-1-26 12:26:2.397: OrderManager - canceledOrder - cleaning up after canceled order 953BEWARE UNACCOUNTED FOR EXECUTIONS!!!</t>
  </si>
  <si>
    <t>2015-1-26 12:26:2.399: OrderManager - terminateOrder - cleaning up after Canceled 953  order was supposed to BUY 48 1.5226 STP LMT workingQty/OrderCount now -2685/0</t>
  </si>
  <si>
    <t>2015-1-26 12:26:2.401: OrderManagerView - UpdateMainSheetOpenOrder - entering UpdateMainSheetOpenOrder order.status is Canceled</t>
  </si>
  <si>
    <t>2015-1-26 12:26:3.245: OrderManager - PlaceOrder - id 954 workingQty -2636</t>
  </si>
  <si>
    <t>2015-1-26 12:26:3.249: OrderManagerView - UpdateMainSheetOpenOrder - entering UpdateMainSheetOpenOrder order.status is In-Flight</t>
  </si>
  <si>
    <t>2015-1-26 12:26:3.260: OrderManager - sendOrder - exiting place order id 954 BUY 49 1.523  - workingQty -2636 currentPosition is 31 workingOrderCount is 1</t>
  </si>
  <si>
    <t>2015-1-26 12:26:3.399: RTWSControl - nextValidId - entering nextValidId id is 955</t>
  </si>
  <si>
    <t>2015-1-26 12:26:3.567: RTWSControl - errMsg - got error message 399:Order Message:
BUY 49 GBP MAR'15
Warning: your order will not be placed at the exchange until 2015-01-26 08:30:00 US/Centralwith id 954</t>
  </si>
  <si>
    <t>2015-1-26 12:26:3.572: RTWSControl - errMsg - Got Error_x000D_id: 954_x000D_errorCode: 399_x000D_errorMsg: Order Message:
BUY 49 GBP MAR'15
Warning: your order will not be placed at the exchange until 2015-01-26 08:30:00 US/Central</t>
  </si>
  <si>
    <t>2015-1-26 12:26:3.602: openOrderEx - I am here</t>
  </si>
  <si>
    <t>2015-1-26 12:26:3.615: RTWSControl - orderStatus -  entering orderStatus id is 954 status is PreSubmitted</t>
  </si>
  <si>
    <t>2015-1-26 12:26:3.616: OrderManager - UpdateOrderStatus - id 954 Setting status to PreSubmitted workingOrderCount is now 1 workingQty -2636</t>
  </si>
  <si>
    <t>2015-1-26 12:26:3.619: OrderManagerView - UpdateMainSheetOpenOrder - entering UpdateMainSheetOpenOrder order.status is PreSubmitted</t>
  </si>
  <si>
    <t>2015-1-26 12:26:3.625: RTWSControl - OrderStatus - Got OrderStatus Message id:954 status: PreSubmitted filled: 0</t>
  </si>
  <si>
    <t>2015-1-26 12:26:3.626: RTWSControl - OrderStatus - exiting orderStatus</t>
  </si>
  <si>
    <t>2015-1-26 12:26:3.642: openOrderEx - I am here</t>
  </si>
  <si>
    <t>2015-1-26 12:26:3.659: RTWSControl - orderStatus -  entering orderStatus id is 954 status is PreSubmitted</t>
  </si>
  <si>
    <t>2015-1-26 12:26:3.660: OrderManager - UpdateOrderStatus - id 954 Setting status to PreSubmitted workingOrderCount is now 1 workingQty -2636</t>
  </si>
  <si>
    <t>2015-1-26 12:26:3.662: OrderManagerView - UpdateMainSheetOpenOrder - entering UpdateMainSheetOpenOrder order.status is PreSubmitted</t>
  </si>
  <si>
    <t>2015-1-26 12:26:3.666: RTWSControl - OrderStatus - Got OrderStatus Message id:954 status: PreSubmitted filled: 0</t>
  </si>
  <si>
    <t>2015-1-26 12:26:3.667: RTWSControl - OrderStatus - exiting orderStatus</t>
  </si>
  <si>
    <t>2015-1-26 12:26:12.209: OrderManager - cancelOrder - cancelling order id 954</t>
  </si>
  <si>
    <t>2015-1-26 12:26:12.210: OrderManager - PlaceOrder - id 955 workingQty -2588</t>
  </si>
  <si>
    <t>2015-1-26 12:26:12.212: OrderManagerView - UpdateMainSheetOpenOrder - entering UpdateMainSheetOpenOrder order.status is In-Flight</t>
  </si>
  <si>
    <t>2015-1-26 12:26:12.215: OrderManagerView - incrementNextOORow - there are no available OpenOrderView Rows!!!!!!</t>
  </si>
  <si>
    <t>2015-1-26 12:26:12.219: OrderManager - sendOrder - exiting place order id 955 BUY 48 1.5226  - workingQty -2588 currentPosition is 31 workingOrderCount is 2</t>
  </si>
  <si>
    <t>2015-1-26 12:26:12.605: RTWSControl - nextValidId - entering nextValidId id is 956</t>
  </si>
  <si>
    <t>2015-1-26 12:26:12.612: RTWSControl - orderStatus -  entering orderStatus id is 954 status is Cancelled</t>
  </si>
  <si>
    <t>2015-1-26 12:26:12.613: OrderManager - UpdateOrderStatus - id 954 Setting status to Cancelled workingOrderCount is now 2 workingQty -2588</t>
  </si>
  <si>
    <t>2015-1-26 12:26:12.615: OrderManagerView - UpdateMainSheetOpenOrder - entering UpdateMainSheetOpenOrder order.status is Cancelled</t>
  </si>
  <si>
    <t>2015-1-26 12:26:12.619: RTWSControl - OrderStatus - Got OrderStatus Message id:954 status: Cancelled filled: 0</t>
  </si>
  <si>
    <t>2015-1-26 12:26:12.620: RTWSControl - OrderStatus - exiting orderStatus</t>
  </si>
  <si>
    <t>2015-1-26 12:26:12.631: RTWSControl - errMsg - got error message 202:Order Canceled - reason:with id 954</t>
  </si>
  <si>
    <t>2015-1-26 12:26:12.632: OrderManager - canceledOrder - cleaning up after canceled order 954BEWARE UNACCOUNTED FOR EXECUTIONS!!!</t>
  </si>
  <si>
    <t>2015-1-26 12:26:12.634: OrderManager - terminateOrder - cleaning up after Canceled 954  order was supposed to BUY 49 1.523 STP LMT workingQty/OrderCount now -2637/1</t>
  </si>
  <si>
    <t>2015-1-26 12:26:12.635: OrderManagerView - UpdateMainSheetOpenOrder - entering UpdateMainSheetOpenOrder order.status is Canceled</t>
  </si>
  <si>
    <t>2015-1-26 12:26:12.790: RTWSControl - errMsg - got error message 399:Order Message:
BUY 48 GBP MAR'15
Warning: your order will not be placed at the exchange until 2015-01-26 08:30:00 US/Centralwith id 955</t>
  </si>
  <si>
    <t>2015-1-26 12:26:12.791: RTWSControl - errMsg - Got Error_x000D_id: 955_x000D_errorCode: 399_x000D_errorMsg: Order Message:
BUY 48 GBP MAR'15
Warning: your order will not be placed at the exchange until 2015-01-26 08:30:00 US/Central</t>
  </si>
  <si>
    <t>2015-1-26 12:26:12.801: openOrderEx - I am here</t>
  </si>
  <si>
    <t>2015-1-26 12:26:12.808: RTWSControl - orderStatus -  entering orderStatus id is 955 status is PreSubmitted</t>
  </si>
  <si>
    <t>2015-1-26 12:26:12.809: OrderManager - UpdateOrderStatus - id 955 Setting status to PreSubmitted workingOrderCount is now 1 workingQty -2637</t>
  </si>
  <si>
    <t>2015-1-26 12:26:12.811: OrderManagerView - UpdateMainSheetOpenOrder - entering UpdateMainSheetOpenOrder order.status is PreSubmitted</t>
  </si>
  <si>
    <t>2015-1-26 12:26:12.814: RTWSControl - OrderStatus - Got OrderStatus Message id:955 status: PreSubmitted filled: 0</t>
  </si>
  <si>
    <t>2015-1-26 12:26:12.815: RTWSControl - OrderStatus - exiting orderStatus</t>
  </si>
  <si>
    <t>2015-1-26 12:26:13.18: openOrderEx - I am here</t>
  </si>
  <si>
    <t>2015-1-26 12:26:13.24: RTWSControl - orderStatus -  entering orderStatus id is 955 status is PreSubmitted</t>
  </si>
  <si>
    <t>2015-1-26 12:26:13.26: OrderManager - UpdateOrderStatus - id 955 Setting status to PreSubmitted workingOrderCount is now 1 workingQty -2637</t>
  </si>
  <si>
    <t>2015-1-26 12:26:13.27: OrderManagerView - UpdateMainSheetOpenOrder - entering UpdateMainSheetOpenOrder order.status is PreSubmitted</t>
  </si>
  <si>
    <t>2015-1-26 12:26:13.31: RTWSControl - OrderStatus - Got OrderStatus Message id:955 status: PreSubmitted filled: 0</t>
  </si>
  <si>
    <t>2015-1-26 12:26:13.32: RTWSControl - OrderStatus - exiting orderStatus</t>
  </si>
  <si>
    <t>2015-1-26 12:26:43.965: OrderManager - cancelOrder - cancelling order id 955</t>
  </si>
  <si>
    <t>2015-1-26 12:26:43.966: OrderManager - PlaceOrder - id 956 workingQty -2588</t>
  </si>
  <si>
    <t>2015-1-26 12:26:43.967: OrderManagerView - UpdateMainSheetOpenOrder - entering UpdateMainSheetOpenOrder order.status is In-Flight</t>
  </si>
  <si>
    <t>2015-1-26 12:26:43.970: OrderManager - sendOrder - exiting place order id 956 BUY 49 1.523  - workingQty -2588 currentPosition is 31 workingOrderCount is 2</t>
  </si>
  <si>
    <t>2015-1-26 12:26:44.335: RTWSControl - nextValidId - entering nextValidId id is 957</t>
  </si>
  <si>
    <t>2015-1-26 12:26:44.344: RTWSControl - orderStatus -  entering orderStatus id is 955 status is Cancelled</t>
  </si>
  <si>
    <t>2015-1-26 12:26:44.345: OrderManager - UpdateOrderStatus - id 955 Setting status to Cancelled workingOrderCount is now 2 workingQty -2588</t>
  </si>
  <si>
    <t>2015-1-26 12:26:44.347: OrderManagerView - UpdateMainSheetOpenOrder - entering UpdateMainSheetOpenOrder order.status is Cancelled</t>
  </si>
  <si>
    <t>2015-1-26 12:26:44.350: RTWSControl - OrderStatus - Got OrderStatus Message id:955 status: Cancelled filled: 0</t>
  </si>
  <si>
    <t>2015-1-26 12:26:44.351: RTWSControl - OrderStatus - exiting orderStatus</t>
  </si>
  <si>
    <t>2015-1-26 12:26:44.359: RTWSControl - errMsg - got error message 202:Order Canceled - reason:with id 955</t>
  </si>
  <si>
    <t>2015-1-26 12:26:44.360: OrderManager - canceledOrder - cleaning up after canceled order 955BEWARE UNACCOUNTED FOR EXECUTIONS!!!</t>
  </si>
  <si>
    <t>2015-1-26 12:26:44.362: OrderManager - terminateOrder - cleaning up after Canceled 955  order was supposed to BUY 48 1.5226 STP LMT workingQty/OrderCount now -2636/1</t>
  </si>
  <si>
    <t>2015-1-26 12:26:44.364: OrderManagerView - UpdateMainSheetOpenOrder - entering UpdateMainSheetOpenOrder order.status is Canceled</t>
  </si>
  <si>
    <t>2015-1-26 12:26:44.375: RTWSControl - errMsg - got error message 399:Order Message:
BUY 49 GBP MAR'15
Warning: your order will not be placed at the exchange until 2015-01-26 08:30:00 US/Centralwith id 956</t>
  </si>
  <si>
    <t>2015-1-26 12:26:44.376: RTWSControl - errMsg - Got Error_x000D_id: 956_x000D_errorCode: 399_x000D_errorMsg: Order Message:
BUY 49 GBP MAR'15
Warning: your order will not be placed at the exchange until 2015-01-26 08:30:00 US/Central</t>
  </si>
  <si>
    <t>2015-1-26 12:26:44.405: openOrderEx - I am here</t>
  </si>
  <si>
    <t>2015-1-26 12:26:44.412: RTWSControl - orderStatus -  entering orderStatus id is 956 status is PreSubmitted</t>
  </si>
  <si>
    <t>2015-1-26 12:26:44.413: OrderManager - UpdateOrderStatus - id 956 Setting status to PreSubmitted workingOrderCount is now 1 workingQty -2636</t>
  </si>
  <si>
    <t>2015-1-26 12:26:44.415: OrderManagerView - UpdateMainSheetOpenOrder - entering UpdateMainSheetOpenOrder order.status is PreSubmitted</t>
  </si>
  <si>
    <t>2015-1-26 12:26:44.419: RTWSControl - OrderStatus - Got OrderStatus Message id:956 status: PreSubmitted filled: 0</t>
  </si>
  <si>
    <t>2015-1-26 12:26:44.419: RTWSControl - OrderStatus - exiting orderStatus</t>
  </si>
  <si>
    <t>2015-1-26 12:26:44.430: openOrderEx - I am here</t>
  </si>
  <si>
    <t>2015-1-26 12:26:44.456: RTWSControl - orderStatus -  entering orderStatus id is 956 status is PreSubmitted</t>
  </si>
  <si>
    <t>2015-1-26 12:26:44.457: OrderManager - UpdateOrderStatus - id 956 Setting status to PreSubmitted workingOrderCount is now 1 workingQty -2636</t>
  </si>
  <si>
    <t>2015-1-26 12:26:44.459: OrderManagerView - UpdateMainSheetOpenOrder - entering UpdateMainSheetOpenOrder order.status is PreSubmitted</t>
  </si>
  <si>
    <t>2015-1-26 12:26:44.463: RTWSControl - OrderStatus - Got OrderStatus Message id:956 status: PreSubmitted filled: 0</t>
  </si>
  <si>
    <t>2015-1-26 12:26:44.463: RTWSControl - OrderStatus - exiting orderStatus</t>
  </si>
  <si>
    <t>2015-1-26 12:26:47.670: OrderManager - cancelOrder - cancelling order id 956</t>
  </si>
  <si>
    <t>2015-1-26 12:26:47.672: OrderManager - PlaceOrder - id 957 workingQty -2588</t>
  </si>
  <si>
    <t>2015-1-26 12:26:47.673: OrderManagerView - UpdateMainSheetOpenOrder - entering UpdateMainSheetOpenOrder order.status is In-Flight</t>
  </si>
  <si>
    <t>2015-1-26 12:26:47.679: OrderManager - sendOrder - exiting place order id 957 BUY 48 1.5226  - workingQty -2588 currentPosition is 31 workingOrderCount is 2</t>
  </si>
  <si>
    <t>2015-1-26 12:26:47.905: RTWSControl - nextValidId - entering nextValidId id is 958</t>
  </si>
  <si>
    <t>2015-1-26 12:26:47.979: RTWSControl - orderStatus -  entering orderStatus id is 956 status is Cancelled</t>
  </si>
  <si>
    <t>2015-1-26 12:26:47.980: OrderManager - UpdateOrderStatus - id 956 Setting status to Cancelled workingOrderCount is now 2 workingQty -2588</t>
  </si>
  <si>
    <t>2015-1-26 12:26:47.982: OrderManagerView - UpdateMainSheetOpenOrder - entering UpdateMainSheetOpenOrder order.status is Cancelled</t>
  </si>
  <si>
    <t>2015-1-26 12:26:47.986: RTWSControl - OrderStatus - Got OrderStatus Message id:956 status: Cancelled filled: 0</t>
  </si>
  <si>
    <t>2015-1-26 12:26:47.987: RTWSControl - OrderStatus - exiting orderStatus</t>
  </si>
  <si>
    <t>2015-1-26 12:26:47.995: RTWSControl - errMsg - got error message 202:Order Canceled - reason:with id 956</t>
  </si>
  <si>
    <t>2015-1-26 12:26:47.996: OrderManager - canceledOrder - cleaning up after canceled order 956BEWARE UNACCOUNTED FOR EXECUTIONS!!!</t>
  </si>
  <si>
    <t>2015-1-26 12:26:47.998: OrderManager - terminateOrder - cleaning up after Canceled 956  order was supposed to BUY 49 1.523 STP LMT workingQty/OrderCount now -2637/1</t>
  </si>
  <si>
    <t>2015-1-26 12:26:48.0: OrderManagerView - UpdateMainSheetOpenOrder - entering UpdateMainSheetOpenOrder order.status is Canceled</t>
  </si>
  <si>
    <t>2015-1-26 12:26:48.33: RTWSControl - errMsg - got error message 399:Order Message:
BUY 48 GBP MAR'15
Warning: your order will not be placed at the exchange until 2015-01-26 08:30:00 US/Centralwith id 957</t>
  </si>
  <si>
    <t>2015-1-26 12:26:48.34: RTWSControl - errMsg - Got Error_x000D_id: 957_x000D_errorCode: 399_x000D_errorMsg: Order Message:
BUY 48 GBP MAR'15
Warning: your order will not be placed at the exchange until 2015-01-26 08:30:00 US/Central</t>
  </si>
  <si>
    <t>2015-1-26 12:26:48.44: openOrderEx - I am here</t>
  </si>
  <si>
    <t>2015-1-26 12:26:48.51: RTWSControl - orderStatus -  entering orderStatus id is 957 status is PreSubmitted</t>
  </si>
  <si>
    <t>2015-1-26 12:26:48.52: OrderManager - UpdateOrderStatus - id 957 Setting status to PreSubmitted workingOrderCount is now 1 workingQty -2637</t>
  </si>
  <si>
    <t>2015-1-26 12:26:48.54: OrderManagerView - UpdateMainSheetOpenOrder - entering UpdateMainSheetOpenOrder order.status is PreSubmitted</t>
  </si>
  <si>
    <t>2015-1-26 12:26:48.57: RTWSControl - OrderStatus - Got OrderStatus Message id:957 status: PreSubmitted filled: 0</t>
  </si>
  <si>
    <t>2015-1-26 12:26:48.58: RTWSControl - OrderStatus - exiting orderStatus</t>
  </si>
  <si>
    <t>2015-1-26 12:26:48.89: openOrderEx - I am here</t>
  </si>
  <si>
    <t>2015-1-26 12:26:48.96: RTWSControl - orderStatus -  entering orderStatus id is 957 status is PreSubmitted</t>
  </si>
  <si>
    <t>2015-1-26 12:26:48.97: OrderManager - UpdateOrderStatus - id 957 Setting status to PreSubmitted workingOrderCount is now 1 workingQty -2637</t>
  </si>
  <si>
    <t>2015-1-26 12:26:48.99: OrderManagerView - UpdateMainSheetOpenOrder - entering UpdateMainSheetOpenOrder order.status is PreSubmitted</t>
  </si>
  <si>
    <t>2015-1-26 12:26:48.102: RTWSControl - OrderStatus - Got OrderStatus Message id:957 status: PreSubmitted filled: 0</t>
  </si>
  <si>
    <t>2015-1-26 12:26:48.103: RTWSControl - OrderStatus - exiting orderStatus</t>
  </si>
  <si>
    <t>2015-1-26 12:26:52.748: OrderManager - cancelOrder - cancelling order id 957</t>
  </si>
  <si>
    <t>2015-1-26 12:26:52.750: OrderManager - PlaceOrder - id 958 workingQty -2588</t>
  </si>
  <si>
    <t>2015-1-26 12:26:52.751: OrderManagerView - UpdateMainSheetOpenOrder - entering UpdateMainSheetOpenOrder order.status is In-Flight</t>
  </si>
  <si>
    <t>2015-1-26 12:26:52.754: OrderManagerView - incrementNextOORow - there are no available OpenOrderView Rows!!!!!!</t>
  </si>
  <si>
    <t>2015-1-26 12:26:52.757: OrderManager - sendOrder - exiting place order id 958 BUY 49 1.523  - workingQty -2588 currentPosition is 31 workingOrderCount is 2</t>
  </si>
  <si>
    <t>2015-1-26 12:26:53.66: RTWSControl - nextValidId - entering nextValidId id is 959</t>
  </si>
  <si>
    <t>2015-1-26 12:26:53.74: RTWSControl - orderStatus -  entering orderStatus id is 957 status is Cancelled</t>
  </si>
  <si>
    <t>2015-1-26 12:26:53.75: OrderManager - UpdateOrderStatus - id 957 Setting status to Cancelled workingOrderCount is now 2 workingQty -2588</t>
  </si>
  <si>
    <t>2015-1-26 12:26:53.77: OrderManagerView - UpdateMainSheetOpenOrder - entering UpdateMainSheetOpenOrder order.status is Cancelled</t>
  </si>
  <si>
    <t>2015-1-26 12:26:53.80: RTWSControl - OrderStatus - Got OrderStatus Message id:957 status: Cancelled filled: 0</t>
  </si>
  <si>
    <t>2015-1-26 12:26:53.81: RTWSControl - OrderStatus - exiting orderStatus</t>
  </si>
  <si>
    <t>2015-1-26 12:26:53.96: RTWSControl - errMsg - got error message 202:Order Canceled - reason:with id 957</t>
  </si>
  <si>
    <t>2015-1-26 12:26:53.97: OrderManager - canceledOrder - cleaning up after canceled order 957BEWARE UNACCOUNTED FOR EXECUTIONS!!!</t>
  </si>
  <si>
    <t>2015-1-26 12:26:53.98: OrderManager - terminateOrder - cleaning up after Canceled 957  order was supposed to BUY 48 1.5226 STP LMT workingQty/OrderCount now -2636/1</t>
  </si>
  <si>
    <t>2015-1-26 12:26:53.100: OrderManagerView - UpdateMainSheetOpenOrder - entering UpdateMainSheetOpenOrder order.status is Canceled</t>
  </si>
  <si>
    <t>2015-1-26 12:26:53.222: RTWSControl - errMsg - got error message 399:Order Message:
BUY 49 GBP MAR'15
Warning: your order will not be placed at the exchange until 2015-01-26 08:30:00 US/Centralwith id 958</t>
  </si>
  <si>
    <t>2015-1-26 12:26:53.223: RTWSControl - errMsg - Got Error_x000D_id: 958_x000D_errorCode: 399_x000D_errorMsg: Order Message:
BUY 49 GBP MAR'15
Warning: your order will not be placed at the exchange until 2015-01-26 08:30:00 US/Central</t>
  </si>
  <si>
    <t>2015-1-26 12:26:53.235: openOrderEx - I am here</t>
  </si>
  <si>
    <t>2015-1-26 12:26:53.284: RTWSControl - orderStatus -  entering orderStatus id is 958 status is PreSubmitted</t>
  </si>
  <si>
    <t>2015-1-26 12:26:53.288: OrderManager - UpdateOrderStatus - id 958 Setting status to PreSubmitted workingOrderCount is now 1 workingQty -2636</t>
  </si>
  <si>
    <t>2015-1-26 12:26:53.296: OrderManagerView - UpdateMainSheetOpenOrder - entering UpdateMainSheetOpenOrder order.status is PreSubmitted</t>
  </si>
  <si>
    <t>2015-1-26 12:26:53.304: RTWSControl - OrderStatus - Got OrderStatus Message id:958 status: PreSubmitted filled: 0</t>
  </si>
  <si>
    <t>2015-1-26 12:26:53.306: RTWSControl - OrderStatus - exiting orderStatus</t>
  </si>
  <si>
    <t>2015-1-26 12:26:53.328: openOrderEx - I am here</t>
  </si>
  <si>
    <t>2015-1-26 12:26:53.337: RTWSControl - orderStatus -  entering orderStatus id is 958 status is PreSubmitted</t>
  </si>
  <si>
    <t>2015-1-26 12:26:53.338: OrderManager - UpdateOrderStatus - id 958 Setting status to PreSubmitted workingOrderCount is now 1 workingQty -2636</t>
  </si>
  <si>
    <t>2015-1-26 12:26:53.340: OrderManagerView - UpdateMainSheetOpenOrder - entering UpdateMainSheetOpenOrder order.status is PreSubmitted</t>
  </si>
  <si>
    <t>2015-1-26 12:26:53.344: RTWSControl - OrderStatus - Got OrderStatus Message id:958 status: PreSubmitted filled: 0</t>
  </si>
  <si>
    <t>2015-1-26 12:26:53.345: RTWSControl - OrderStatus - exiting orderStatus</t>
  </si>
  <si>
    <t>2015-1-26 12:27:51.647: OrderManager - cancelOrder - cancelling order id 958</t>
  </si>
  <si>
    <t>2015-1-26 12:27:51.648: OrderManager - PlaceOrder - id 959 workingQty -2587</t>
  </si>
  <si>
    <t>2015-1-26 12:27:51.649: OrderManagerView - UpdateMainSheetOpenOrder - entering UpdateMainSheetOpenOrder order.status is In-Flight</t>
  </si>
  <si>
    <t>2015-1-26 12:27:51.653: OrderManager - sendOrder - exiting place order id 959 BUY 49 1.5232  - workingQty -2587 currentPosition is 31 workingOrderCount is 2</t>
  </si>
  <si>
    <t>2015-1-26 12:27:52.64: RTWSControl - nextValidId - entering nextValidId id is 960</t>
  </si>
  <si>
    <t>2015-1-26 12:27:52.71: RTWSControl - orderStatus -  entering orderStatus id is 958 status is Cancelled</t>
  </si>
  <si>
    <t>2015-1-26 12:27:52.72: OrderManager - UpdateOrderStatus - id 958 Setting status to Cancelled workingOrderCount is now 2 workingQty -2587</t>
  </si>
  <si>
    <t>2015-1-26 12:27:52.74: OrderManagerView - UpdateMainSheetOpenOrder - entering UpdateMainSheetOpenOrder order.status is Cancelled</t>
  </si>
  <si>
    <t>2015-1-26 12:27:52.78: RTWSControl - OrderStatus - Got OrderStatus Message id:958 status: Cancelled filled: 0</t>
  </si>
  <si>
    <t>2015-1-26 12:27:52.79: RTWSControl - OrderStatus - exiting orderStatus</t>
  </si>
  <si>
    <t>2015-1-26 12:27:52.91: RTWSControl - errMsg - got error message 202:Order Canceled - reason:with id 958</t>
  </si>
  <si>
    <t>2015-1-26 12:27:52.92: OrderManager - canceledOrder - cleaning up after canceled order 958BEWARE UNACCOUNTED FOR EXECUTIONS!!!</t>
  </si>
  <si>
    <t>2015-1-26 12:27:52.94: OrderManager - terminateOrder - cleaning up after Canceled 958  order was supposed to BUY 49 1.523 STP LMT workingQty/OrderCount now -2636/1</t>
  </si>
  <si>
    <t>2015-1-26 12:27:52.95: OrderManagerView - UpdateMainSheetOpenOrder - entering UpdateMainSheetOpenOrder order.status is Canceled</t>
  </si>
  <si>
    <t>2015-1-26 12:27:52.107: RTWSControl - errMsg - got error message 399:Order Message:
BUY 49 GBP MAR'15
Warning: your order will not be placed at the exchange until 2015-01-26 08:30:00 US/Centralwith id 959</t>
  </si>
  <si>
    <t>2015-1-26 12:27:52.108: RTWSControl - errMsg - Got Error_x000D_id: 959_x000D_errorCode: 399_x000D_errorMsg: Order Message:
BUY 49 GBP MAR'15
Warning: your order will not be placed at the exchange until 2015-01-26 08:30:00 US/Central</t>
  </si>
  <si>
    <t>2015-1-26 12:27:52.120: openOrderEx - I am here</t>
  </si>
  <si>
    <t>2015-1-26 12:27:52.132: RTWSControl - orderStatus -  entering orderStatus id is 959 status is PreSubmitted</t>
  </si>
  <si>
    <t>2015-1-26 12:27:52.133: OrderManager - UpdateOrderStatus - id 959 Setting status to PreSubmitted workingOrderCount is now 1 workingQty -2636</t>
  </si>
  <si>
    <t>2015-1-26 12:27:52.135: OrderManagerView - UpdateMainSheetOpenOrder - entering UpdateMainSheetOpenOrder order.status is PreSubmitted</t>
  </si>
  <si>
    <t>2015-1-26 12:27:52.138: RTWSControl - OrderStatus - Got OrderStatus Message id:959 status: PreSubmitted filled: 0</t>
  </si>
  <si>
    <t>2015-1-26 12:27:52.139: RTWSControl - OrderStatus - exiting orderStatus</t>
  </si>
  <si>
    <t>2015-1-26 12:27:52.151: openOrderEx - I am here</t>
  </si>
  <si>
    <t>2015-1-26 12:27:52.158: RTWSControl - orderStatus -  entering orderStatus id is 959 status is PreSubmitted</t>
  </si>
  <si>
    <t>2015-1-26 12:27:52.159: OrderManager - UpdateOrderStatus - id 959 Setting status to PreSubmitted workingOrderCount is now 1 workingQty -2636</t>
  </si>
  <si>
    <t>2015-1-26 12:27:52.161: OrderManagerView - UpdateMainSheetOpenOrder - entering UpdateMainSheetOpenOrder order.status is PreSubmitted</t>
  </si>
  <si>
    <t>2015-1-26 12:27:52.164: RTWSControl - OrderStatus - Got OrderStatus Message id:959 status: PreSubmitted filled: 0</t>
  </si>
  <si>
    <t>2015-1-26 12:27:52.165: RTWSControl - OrderStatus - exiting orderStatus</t>
  </si>
  <si>
    <t>2015-1-26 12:27:59.835: OrderManager - cancelOrder - cancelling order id 959</t>
  </si>
  <si>
    <t>2015-1-26 12:27:59.837: OrderManager - PlaceOrder - id 960 workingQty -2588</t>
  </si>
  <si>
    <t>2015-1-26 12:27:59.838: OrderManagerView - UpdateMainSheetOpenOrder - entering UpdateMainSheetOpenOrder order.status is In-Flight</t>
  </si>
  <si>
    <t>2015-1-26 12:27:59.842: OrderManager - sendOrder - exiting place order id 960 BUY 48 1.5229  - workingQty -2588 currentPosition is 31 workingOrderCount is 2</t>
  </si>
  <si>
    <t>2015-1-26 12:28:0.93: RTWSControl - nextValidId - entering nextValidId id is 961</t>
  </si>
  <si>
    <t>2015-1-26 12:28:0.99: RTWSControl - orderStatus -  entering orderStatus id is 959 status is Cancelled</t>
  </si>
  <si>
    <t>2015-1-26 12:28:0.100: OrderManager - UpdateOrderStatus - id 959 Setting status to Cancelled workingOrderCount is now 2 workingQty -2588</t>
  </si>
  <si>
    <t>2015-1-26 12:28:0.102: OrderManagerView - UpdateMainSheetOpenOrder - entering UpdateMainSheetOpenOrder order.status is Cancelled</t>
  </si>
  <si>
    <t>2015-1-26 12:28:0.106: RTWSControl - OrderStatus - Got OrderStatus Message id:959 status: Cancelled filled: 0</t>
  </si>
  <si>
    <t>2015-1-26 12:28:0.107: RTWSControl - OrderStatus - exiting orderStatus</t>
  </si>
  <si>
    <t>2015-1-26 12:28:0.116: RTWSControl - errMsg - got error message 202:Order Canceled - reason:with id 959</t>
  </si>
  <si>
    <t>2015-1-26 12:28:0.117: OrderManager - canceledOrder - cleaning up after canceled order 959BEWARE UNACCOUNTED FOR EXECUTIONS!!!</t>
  </si>
  <si>
    <t>2015-1-26 12:28:0.119: OrderManager - terminateOrder - cleaning up after Canceled 959  order was supposed to BUY 49 1.5232 STP LMT workingQty/OrderCount now -2637/1</t>
  </si>
  <si>
    <t>2015-1-26 12:28:0.121: OrderManagerView - UpdateMainSheetOpenOrder - entering UpdateMainSheetOpenOrder order.status is Canceled</t>
  </si>
  <si>
    <t>2015-1-26 12:28:0.309: RTWSControl - errMsg - got error message 399:Order Message:
BUY 48 GBP MAR'15
Warning: your order will not be placed at the exchange until 2015-01-26 08:30:00 US/Centralwith id 960</t>
  </si>
  <si>
    <t>2015-1-26 12:28:0.315: RTWSControl - errMsg - Got Error_x000D_id: 960_x000D_errorCode: 399_x000D_errorMsg: Order Message:
BUY 48 GBP MAR'15
Warning: your order will not be placed at the exchange until 2015-01-26 08:30:00 US/Central</t>
  </si>
  <si>
    <t>2015-1-26 12:28:0.350: openOrderEx - I am here</t>
  </si>
  <si>
    <t>2015-1-26 12:28:0.359: RTWSControl - orderStatus -  entering orderStatus id is 960 status is PreSubmitted</t>
  </si>
  <si>
    <t>2015-1-26 12:28:0.360: OrderManager - UpdateOrderStatus - id 960 Setting status to PreSubmitted workingOrderCount is now 1 workingQty -2637</t>
  </si>
  <si>
    <t>2015-1-26 12:28:0.363: OrderManagerView - UpdateMainSheetOpenOrder - entering UpdateMainSheetOpenOrder order.status is PreSubmitted</t>
  </si>
  <si>
    <t>2015-1-26 12:28:0.368: RTWSControl - OrderStatus - Got OrderStatus Message id:960 status: PreSubmitted filled: 0</t>
  </si>
  <si>
    <t>2015-1-26 12:28:0.370: RTWSControl - OrderStatus - exiting orderStatus</t>
  </si>
  <si>
    <t>2015-1-26 12:28:0.407: openOrderEx - I am here</t>
  </si>
  <si>
    <t>2015-1-26 12:28:0.413: RTWSControl - orderStatus -  entering orderStatus id is 960 status is PreSubmitted</t>
  </si>
  <si>
    <t>2015-1-26 12:28:0.414: OrderManager - UpdateOrderStatus - id 960 Setting status to PreSubmitted workingOrderCount is now 1 workingQty -2637</t>
  </si>
  <si>
    <t>2015-1-26 12:28:0.416: OrderManagerView - UpdateMainSheetOpenOrder - entering UpdateMainSheetOpenOrder order.status is PreSubmitted</t>
  </si>
  <si>
    <t>2015-1-26 12:28:0.420: RTWSControl - OrderStatus - Got OrderStatus Message id:960 status: PreSubmitted filled: 0</t>
  </si>
  <si>
    <t>2015-1-26 12:28:0.421: RTWSControl - OrderStatus - exiting orderStatus</t>
  </si>
  <si>
    <t>2015-1-26 12:28:8.728: OrderManager - cancelOrder - cancelling order id 960</t>
  </si>
  <si>
    <t>2015-1-26 12:28:8.729: OrderManager - PlaceOrder - id 961 workingQty -2589</t>
  </si>
  <si>
    <t>2015-1-26 12:28:8.730: OrderManagerView - UpdateMainSheetOpenOrder - entering UpdateMainSheetOpenOrder order.status is In-Flight</t>
  </si>
  <si>
    <t>2015-1-26 12:28:8.732: OrderManagerView - incrementNextOORow - there are no available OpenOrderView Rows!!!!!!</t>
  </si>
  <si>
    <t>2015-1-26 12:28:8.735: OrderManager - sendOrder - exiting place order id 961 BUY 48 1.5225  - workingQty -2589 currentPosition is 31 workingOrderCount is 2</t>
  </si>
  <si>
    <t>2015-1-26 12:28:9.220: RTWSControl - nextValidId - entering nextValidId id is 962</t>
  </si>
  <si>
    <t>2015-1-26 12:28:9.227: RTWSControl - orderStatus -  entering orderStatus id is 960 status is Cancelled</t>
  </si>
  <si>
    <t>2015-1-26 12:28:9.228: OrderManager - UpdateOrderStatus - id 960 Setting status to Cancelled workingOrderCount is now 2 workingQty -2589</t>
  </si>
  <si>
    <t>2015-1-26 12:28:9.230: OrderManagerView - UpdateMainSheetOpenOrder - entering UpdateMainSheetOpenOrder order.status is Cancelled</t>
  </si>
  <si>
    <t>2015-1-26 12:28:9.234: RTWSControl - OrderStatus - Got OrderStatus Message id:960 status: Cancelled filled: 0</t>
  </si>
  <si>
    <t>2015-1-26 12:28:9.235: RTWSControl - OrderStatus - exiting orderStatus</t>
  </si>
  <si>
    <t>2015-1-26 12:28:9.243: RTWSControl - errMsg - got error message 202:Order Canceled - reason:with id 960</t>
  </si>
  <si>
    <t>2015-1-26 12:28:9.244: OrderManager - canceledOrder - cleaning up after canceled order 960BEWARE UNACCOUNTED FOR EXECUTIONS!!!</t>
  </si>
  <si>
    <t>2015-1-26 12:28:9.246: OrderManager - terminateOrder - cleaning up after Canceled 960  order was supposed to BUY 48 1.5229 STP LMT workingQty/OrderCount now -2637/1</t>
  </si>
  <si>
    <t>2015-1-26 12:28:9.248: OrderManagerView - UpdateMainSheetOpenOrder - entering UpdateMainSheetOpenOrder order.status is Canceled</t>
  </si>
  <si>
    <t>2015-1-26 12:28:9.278: RTWSControl - errMsg - got error message 399:Order Message:
BUY 48 GBP MAR'15
Warning: your order will not be placed at the exchange until 2015-01-26 08:30:00 US/Centralwith id 961</t>
  </si>
  <si>
    <t>2015-1-26 12:28:9.279: RTWSControl - errMsg - Got Error_x000D_id: 961_x000D_errorCode: 399_x000D_errorMsg: Order Message:
BUY 48 GBP MAR'15
Warning: your order will not be placed at the exchange until 2015-01-26 08:30:00 US/Central</t>
  </si>
  <si>
    <t>2015-1-26 12:28:9.291: openOrderEx - I am here</t>
  </si>
  <si>
    <t>2015-1-26 12:28:9.297: RTWSControl - orderStatus -  entering orderStatus id is 961 status is PreSubmitted</t>
  </si>
  <si>
    <t>2015-1-26 12:28:9.298: OrderManager - UpdateOrderStatus - id 961 Setting status to PreSubmitted workingOrderCount is now 1 workingQty -2637</t>
  </si>
  <si>
    <t>2015-1-26 12:28:9.299: OrderManagerView - UpdateMainSheetOpenOrder - entering UpdateMainSheetOpenOrder order.status is PreSubmitted</t>
  </si>
  <si>
    <t>2015-1-26 12:28:9.303: RTWSControl - OrderStatus - Got OrderStatus Message id:961 status: PreSubmitted filled: 0</t>
  </si>
  <si>
    <t>2015-1-26 12:28:9.304: RTWSControl - OrderStatus - exiting orderStatus</t>
  </si>
  <si>
    <t>2015-1-26 12:28:9.334: openOrderEx - I am here</t>
  </si>
  <si>
    <t>2015-1-26 12:28:9.341: RTWSControl - orderStatus -  entering orderStatus id is 961 status is PreSubmitted</t>
  </si>
  <si>
    <t>2015-1-26 12:28:9.342: OrderManager - UpdateOrderStatus - id 961 Setting status to PreSubmitted workingOrderCount is now 1 workingQty -2637</t>
  </si>
  <si>
    <t>2015-1-26 12:28:9.344: OrderManagerView - UpdateMainSheetOpenOrder - entering UpdateMainSheetOpenOrder order.status is PreSubmitted</t>
  </si>
  <si>
    <t>2015-1-26 12:28:9.347: RTWSControl - OrderStatus - Got OrderStatus Message id:961 status: PreSubmitted filled: 0</t>
  </si>
  <si>
    <t>2015-1-26 12:28:9.348: RTWSControl - OrderStatus - exiting orderStatus</t>
  </si>
  <si>
    <t>2015-1-26 12:28:15.39: OrderManager - cancelOrder - cancelling order id 961</t>
  </si>
  <si>
    <t>2015-1-26 12:28:15.41: OrderManager - PlaceOrder - id 962 workingQty -2589</t>
  </si>
  <si>
    <t>2015-1-26 12:28:15.42: OrderManagerView - UpdateMainSheetOpenOrder - entering UpdateMainSheetOpenOrder order.status is In-Flight</t>
  </si>
  <si>
    <t>2015-1-26 12:28:15.46: OrderManager - sendOrder - exiting place order id 962 BUY 48 1.5227  - workingQty -2589 currentPosition is 31 workingOrderCount is 2</t>
  </si>
  <si>
    <t>2015-1-26 12:28:15.400: RTWSControl - nextValidId - entering nextValidId id is 963</t>
  </si>
  <si>
    <t>2015-1-26 12:28:15.408: RTWSControl - orderStatus -  entering orderStatus id is 961 status is Cancelled</t>
  </si>
  <si>
    <t>2015-1-26 12:28:15.409: OrderManager - UpdateOrderStatus - id 961 Setting status to Cancelled workingOrderCount is now 2 workingQty -2589</t>
  </si>
  <si>
    <t>2015-1-26 12:28:15.411: OrderManagerView - UpdateMainSheetOpenOrder - entering UpdateMainSheetOpenOrder order.status is Cancelled</t>
  </si>
  <si>
    <t>2015-1-26 12:28:15.415: RTWSControl - OrderStatus - Got OrderStatus Message id:961 status: Cancelled filled: 0</t>
  </si>
  <si>
    <t>2015-1-26 12:28:15.416: RTWSControl - OrderStatus - exiting orderStatus</t>
  </si>
  <si>
    <t>2015-1-26 12:28:15.430: RTWSControl - errMsg - got error message 202:Order Canceled - reason:with id 961</t>
  </si>
  <si>
    <t>2015-1-26 12:28:15.431: OrderManager - canceledOrder - cleaning up after canceled order 961BEWARE UNACCOUNTED FOR EXECUTIONS!!!</t>
  </si>
  <si>
    <t>2015-1-26 12:28:15.433: OrderManager - terminateOrder - cleaning up after Canceled 961  order was supposed to BUY 48 1.5225 STP LMT workingQty/OrderCount now -2637/1</t>
  </si>
  <si>
    <t>2015-1-26 12:28:15.434: OrderManagerView - UpdateMainSheetOpenOrder - entering UpdateMainSheetOpenOrder order.status is Canceled</t>
  </si>
  <si>
    <t>2015-1-26 12:28:15.445: RTWSControl - errMsg - got error message 399:Order Message:
BUY 48 GBP MAR'15
Warning: your order will not be placed at the exchange until 2015-01-26 08:30:00 US/Centralwith id 962</t>
  </si>
  <si>
    <t>2015-1-26 12:28:15.447: RTWSControl - errMsg - Got Error_x000D_id: 962_x000D_errorCode: 399_x000D_errorMsg: Order Message:
BUY 48 GBP MAR'15
Warning: your order will not be placed at the exchange until 2015-01-26 08:30:00 US/Central</t>
  </si>
  <si>
    <t>2015-1-26 12:28:15.458: openOrderEx - I am here</t>
  </si>
  <si>
    <t>2015-1-26 12:28:15.466: RTWSControl - orderStatus -  entering orderStatus id is 962 status is PreSubmitted</t>
  </si>
  <si>
    <t>2015-1-26 12:28:15.467: OrderManager - UpdateOrderStatus - id 962 Setting status to PreSubmitted workingOrderCount is now 1 workingQty -2637</t>
  </si>
  <si>
    <t>2015-1-26 12:28:15.468: OrderManagerView - UpdateMainSheetOpenOrder - entering UpdateMainSheetOpenOrder order.status is PreSubmitted</t>
  </si>
  <si>
    <t>2015-1-26 12:28:15.472: RTWSControl - OrderStatus - Got OrderStatus Message id:962 status: PreSubmitted filled: 0</t>
  </si>
  <si>
    <t>2015-1-26 12:28:15.473: RTWSControl - OrderStatus - exiting orderStatus</t>
  </si>
  <si>
    <t>2015-1-26 12:28:15.684: openOrderEx - I am here</t>
  </si>
  <si>
    <t>2015-1-26 12:28:15.691: RTWSControl - orderStatus -  entering orderStatus id is 962 status is PreSubmitted</t>
  </si>
  <si>
    <t>2015-1-26 12:28:15.692: OrderManager - UpdateOrderStatus - id 962 Setting status to PreSubmitted workingOrderCount is now 1 workingQty -2637</t>
  </si>
  <si>
    <t>2015-1-26 12:28:15.694: OrderManagerView - UpdateMainSheetOpenOrder - entering UpdateMainSheetOpenOrder order.status is PreSubmitted</t>
  </si>
  <si>
    <t>2015-1-26 12:28:15.697: RTWSControl - OrderStatus - Got OrderStatus Message id:962 status: PreSubmitted filled: 0</t>
  </si>
  <si>
    <t>2015-1-26 12:28:15.698: RTWSControl - OrderStatus - exiting orderStatus</t>
  </si>
  <si>
    <t>2015-1-26 12:28:15.712: OrderManager - cancelOrder - cancelling order id 962</t>
  </si>
  <si>
    <t>2015-1-26 12:28:15.713: OrderManager - PlaceOrder - id 963 workingQty -2588</t>
  </si>
  <si>
    <t>2015-1-26 12:28:15.714: OrderManagerView - UpdateMainSheetOpenOrder - entering UpdateMainSheetOpenOrder order.status is In-Flight</t>
  </si>
  <si>
    <t>2015-1-26 12:28:15.717: OrderManager - sendOrder - exiting place order id 963 BUY 49 1.523  - workingQty -2588 currentPosition is 31 workingOrderCount is 2</t>
  </si>
  <si>
    <t>2015-1-26 12:28:15.845: RTWSControl - nextValidId - entering nextValidId id is 964</t>
  </si>
  <si>
    <t>2015-1-26 12:28:16.46: RTWSControl - orderStatus -  entering orderStatus id is 962 status is Cancelled</t>
  </si>
  <si>
    <t>2015-1-26 12:28:16.50: OrderManager - UpdateOrderStatus - id 962 Setting status to Cancelled workingOrderCount is now 2 workingQty -2588</t>
  </si>
  <si>
    <t>2015-1-26 12:28:16.58: OrderManagerView - UpdateMainSheetOpenOrder - entering UpdateMainSheetOpenOrder order.status is Cancelled</t>
  </si>
  <si>
    <t>2015-1-26 12:28:16.71: RTWSControl - OrderStatus - Got OrderStatus Message id:962 status: Cancelled filled: 0</t>
  </si>
  <si>
    <t>2015-1-26 12:28:16.72: RTWSControl - OrderStatus - exiting orderStatus</t>
  </si>
  <si>
    <t>2015-1-26 12:28:16.113: RTWSControl - errMsg - got error message 202:Order Canceled - reason:with id 962</t>
  </si>
  <si>
    <t>2015-1-26 12:28:16.115: OrderManager - canceledOrder - cleaning up after canceled order 962BEWARE UNACCOUNTED FOR EXECUTIONS!!!</t>
  </si>
  <si>
    <t>2015-1-26 12:28:16.118: OrderManager - terminateOrder - cleaning up after Canceled 962  order was supposed to BUY 48 1.5227 STP LMT workingQty/OrderCount now -2636/1</t>
  </si>
  <si>
    <t>2015-1-26 12:28:16.122: OrderManagerView - UpdateMainSheetOpenOrder - entering UpdateMainSheetOpenOrder order.status is Canceled</t>
  </si>
  <si>
    <t>2015-1-26 12:28:16.141: RTWSControl - errMsg - got error message 399:Order Message:
BUY 49 GBP MAR'15
Warning: your order will not be placed at the exchange until 2015-01-26 08:30:00 US/Centralwith id 963</t>
  </si>
  <si>
    <t>2015-1-26 12:28:16.144: RTWSControl - errMsg - Got Error_x000D_id: 963_x000D_errorCode: 399_x000D_errorMsg: Order Message:
BUY 49 GBP MAR'15
Warning: your order will not be placed at the exchange until 2015-01-26 08:30:00 US/Central</t>
  </si>
  <si>
    <t>2015-1-26 12:28:16.162: openOrderEx - I am here</t>
  </si>
  <si>
    <t>2015-1-26 12:28:16.174: RTWSControl - orderStatus -  entering orderStatus id is 963 status is PreSubmitted</t>
  </si>
  <si>
    <t>2015-1-26 12:28:16.175: OrderManager - UpdateOrderStatus - id 963 Setting status to PreSubmitted workingOrderCount is now 1 workingQty -2636</t>
  </si>
  <si>
    <t>2015-1-26 12:28:16.176: OrderManagerView - UpdateMainSheetOpenOrder - entering UpdateMainSheetOpenOrder order.status is PreSubmitted</t>
  </si>
  <si>
    <t>2015-1-26 12:28:16.180: RTWSControl - OrderStatus - Got OrderStatus Message id:963 status: PreSubmitted filled: 0</t>
  </si>
  <si>
    <t>2015-1-26 12:28:16.180: RTWSControl - OrderStatus - exiting orderStatus</t>
  </si>
  <si>
    <t>2015-1-26 12:28:16.264: openOrderEx - I am here</t>
  </si>
  <si>
    <t>2015-1-26 12:28:16.271: RTWSControl - orderStatus -  entering orderStatus id is 963 status is PreSubmitted</t>
  </si>
  <si>
    <t>2015-1-26 12:28:16.273: OrderManager - UpdateOrderStatus - id 963 Setting status to PreSubmitted workingOrderCount is now 1 workingQty -2636</t>
  </si>
  <si>
    <t>2015-1-26 12:28:16.275: OrderManagerView - UpdateMainSheetOpenOrder - entering UpdateMainSheetOpenOrder order.status is PreSubmitted</t>
  </si>
  <si>
    <t>2015-1-26 12:28:16.278: RTWSControl - OrderStatus - Got OrderStatus Message id:963 status: PreSubmitted filled: 0</t>
  </si>
  <si>
    <t>2015-1-26 12:28:16.279: RTWSControl - OrderStatus - exiting orderStatus</t>
  </si>
  <si>
    <t>2015-1-26 12:28:45.893: Algorithm - FindNextStrikes - price is 1.50125 nextStrikeUp/Down 1.505/1.5</t>
  </si>
  <si>
    <t>2015-1-26 12:28:45.894: Algorithm - getPortfolioForwardDelta - required deltas is -20 currentHedgePosition is 31</t>
  </si>
  <si>
    <t>2015-1-26 12:28:45.895: Algorithm - getHedgeShortfall - required deltas is -20 price is 1.50115 currentHedgePositionDeltas is 31</t>
  </si>
  <si>
    <t>2015-1-26 12:28:45.896: Algorithm - processTransitionPoint - nextUpper/LowerStrikes are 1.505/1.5 requiredDeltas/currentPosition/currentHedgeShortfall/direction/transitionPrice are -20/31/-51/-1/1.50115</t>
  </si>
  <si>
    <t>2015-1-26 12:28:45.897: TransitionLogger - processTransitionpoint - checking transition - currentHedgeShortfall is -51</t>
  </si>
  <si>
    <t>2015-1-26 12:28:45.900: Algorithm - updatePortfolio - haveAllDetails is True</t>
  </si>
  <si>
    <t>2015-1-26 12:28:45.901: RTWSControl - updatePortfolioEx - An Error Occured Object variable or With block variable not set</t>
  </si>
  <si>
    <t>2015-1-26 12:28:45.937: Algorithm - FindNextStrikes - price is 1.50125 nextStrikeUp/Down 1.505/1.5</t>
  </si>
  <si>
    <t>2015-1-26 12:28:45.938: Algorithm - getPortfolioForwardDelta - required deltas is -20 currentHedgePosition is 31</t>
  </si>
  <si>
    <t>2015-1-26 12:28:45.938: Algorithm - getHedgeShortfall - required deltas is -20 price is 1.50115 currentHedgePositionDeltas is 31</t>
  </si>
  <si>
    <t>2015-1-26 12:28:45.940: Algorithm - processTransitionPoint - nextUpper/LowerStrikes are 1.505/1.5 requiredDeltas/currentPosition/currentHedgeShortfall/direction/transitionPrice are -20/31/-51/-1/1.50115</t>
  </si>
  <si>
    <t>2015-1-26 12:28:45.941: TransitionLogger - processTransitionpoint - checking transition - currentHedgeShortfall is -51</t>
  </si>
  <si>
    <t>2015-1-26 12:28:45.943: Algorithm - updatePortfolio - haveAllDetails is True</t>
  </si>
  <si>
    <t>2015-1-26 12:28:45.944: RTWSControl - updatePortfolioEx - An Error Occured Object variable or With block variable not set</t>
  </si>
  <si>
    <t>2015-1-26 12:28:45.987: Algorithm - FindNextStrikes - price is 1.50125 nextStrikeUp/Down 1.505/1.5</t>
  </si>
  <si>
    <t>2015-1-26 12:28:45.988: Algorithm - getPortfolioForwardDelta - required deltas is -20 currentHedgePosition is 31</t>
  </si>
  <si>
    <t>2015-1-26 12:28:45.988: Algorithm - getHedgeShortfall - required deltas is -20 price is 1.50115 currentHedgePositionDeltas is 31</t>
  </si>
  <si>
    <t>2015-1-26 12:28:45.989: Algorithm - processTransitionPoint - nextUpper/LowerStrikes are 1.505/1.5 requiredDeltas/currentPosition/currentHedgeShortfall/direction/transitionPrice are -20/31/-51/-1/1.50115</t>
  </si>
  <si>
    <t>2015-1-26 12:28:45.991: TransitionLogger - processTransitionpoint - checking transition - currentHedgeShortfall is -51</t>
  </si>
  <si>
    <t>2015-1-26 12:28:45.992: Algorithm - updatePortfolio - haveAllDetails is True</t>
  </si>
  <si>
    <t>2015-1-26 12:28:45.994: RTWSControl - updatePortfolioEx - An Error Occured Object variable or With block variable not set</t>
  </si>
  <si>
    <t>2015-1-26 12:28:46.30: Algorithm - FindNextStrikes - price is 1.50125 nextStrikeUp/Down 1.505/1.5</t>
  </si>
  <si>
    <t>2015-1-26 12:28:46.31: Algorithm - getPortfolioForwardDelta - required deltas is -20 currentHedgePosition is 31</t>
  </si>
  <si>
    <t>2015-1-26 12:28:46.32: Algorithm - getHedgeShortfall - required deltas is -20 price is 1.50115 currentHedgePositionDeltas is 31</t>
  </si>
  <si>
    <t>2015-1-26 12:28:46.34: Algorithm - processTransitionPoint - nextUpper/LowerStrikes are 1.505/1.5 requiredDeltas/currentPosition/currentHedgeShortfall/direction/transitionPrice are -20/31/-51/-1/1.50115</t>
  </si>
  <si>
    <t>2015-1-26 12:28:46.35: TransitionLogger - processTransitionpoint - checking transition - currentHedgeShortfall is -51</t>
  </si>
  <si>
    <t>2015-1-26 12:28:46.36: Algorithm - updatePortfolio - haveAllDetails is True</t>
  </si>
  <si>
    <t>2015-1-26 12:28:46.38: RTWSControl - updatePortfolioEx - An Error Occured Object variable or With block variable not set</t>
  </si>
  <si>
    <t>2015-1-26 12:28:46.73: Algorithm - FindNextStrikes - price is 1.50125 nextStrikeUp/Down 1.505/1.5</t>
  </si>
  <si>
    <t>2015-1-26 12:28:46.74: Algorithm - getPortfolioForwardDelta - required deltas is -20 currentHedgePosition is 31</t>
  </si>
  <si>
    <t>2015-1-26 12:28:46.75: Algorithm - getHedgeShortfall - required deltas is -20 price is 1.50115 currentHedgePositionDeltas is 31</t>
  </si>
  <si>
    <t>2015-1-26 12:28:46.76: Algorithm - processTransitionPoint - nextUpper/LowerStrikes are 1.505/1.5 requiredDeltas/currentPosition/currentHedgeShortfall/direction/transitionPrice are -20/31/-51/-1/1.50115</t>
  </si>
  <si>
    <t>2015-1-26 12:28:46.77: TransitionLogger - processTransitionpoint - checking transition - currentHedgeShortfall is -51</t>
  </si>
  <si>
    <t>2015-1-26 12:28:46.79: Algorithm - updatePortfolio - haveAllDetails is True</t>
  </si>
  <si>
    <t>2015-1-26 12:28:46.81: RTWSControl - updatePortfolioEx - An Error Occured Object variable or With block variable not set</t>
  </si>
  <si>
    <t>2015-1-26 12:28:46.114: Algorithm - FindNextStrikes - price is 1.50125 nextStrikeUp/Down 1.505/1.5</t>
  </si>
  <si>
    <t>2015-1-26 12:28:46.115: Algorithm - getPortfolioForwardDelta - required deltas is -20 currentHedgePosition is 31</t>
  </si>
  <si>
    <t>2015-1-26 12:28:46.116: Algorithm - getHedgeShortfall - required deltas is -20 price is 1.50115 currentHedgePositionDeltas is 31</t>
  </si>
  <si>
    <t>2015-1-26 12:28:46.117: Algorithm - processTransitionPoint - nextUpper/LowerStrikes are 1.505/1.5 requiredDeltas/currentPosition/currentHedgeShortfall/direction/transitionPrice are -20/31/-51/-1/1.50115</t>
  </si>
  <si>
    <t>2015-1-26 12:28:46.118: TransitionLogger - processTransitionpoint - checking transition - currentHedgeShortfall is -51</t>
  </si>
  <si>
    <t>2015-1-26 12:28:46.120: Algorithm - updatePortfolio - haveAllDetails is True</t>
  </si>
  <si>
    <t>2015-1-26 12:28:46.122: RTWSControl - updatePortfolioEx - An Error Occured Object variable or With block variable not set</t>
  </si>
  <si>
    <t>2015-1-26 12:28:46.156: Algorithm - FindNextStrikes - price is 1.50125 nextStrikeUp/Down 1.505/1.5</t>
  </si>
  <si>
    <t>2015-1-26 12:28:46.157: Algorithm - getPortfolioForwardDelta - required deltas is -20 currentHedgePosition is 31</t>
  </si>
  <si>
    <t>2015-1-26 12:28:46.158: Algorithm - getHedgeShortfall - required deltas is -20 price is 1.50115 currentHedgePositionDeltas is 31</t>
  </si>
  <si>
    <t>2015-1-26 12:28:46.159: Algorithm - processTransitionPoint - nextUpper/LowerStrikes are 1.505/1.5 requiredDeltas/currentPosition/currentHedgeShortfall/direction/transitionPrice are -20/31/-51/-1/1.50115</t>
  </si>
  <si>
    <t>2015-1-26 12:28:46.160: TransitionLogger - processTransitionpoint - checking transition - currentHedgeShortfall is -51</t>
  </si>
  <si>
    <t>2015-1-26 12:28:46.161: Algorithm - updatePortfolio - haveAllDetails is True</t>
  </si>
  <si>
    <t>2015-1-26 12:28:46.163: RTWSControl - updatePortfolioEx - An Error Occured Object variable or With block variable not set</t>
  </si>
  <si>
    <t>2015-1-26 12:28:46.198: Algorithm - FindNextStrikes - price is 1.50125 nextStrikeUp/Down 1.505/1.5</t>
  </si>
  <si>
    <t>2015-1-26 12:28:46.199: Algorithm - getPortfolioForwardDelta - required deltas is -20 currentHedgePosition is 31</t>
  </si>
  <si>
    <t>2015-1-26 12:28:46.200: Algorithm - getHedgeShortfall - required deltas is -20 price is 1.50115 currentHedgePositionDeltas is 31</t>
  </si>
  <si>
    <t>2015-1-26 12:28:46.201: Algorithm - processTransitionPoint - nextUpper/LowerStrikes are 1.505/1.5 requiredDeltas/currentPosition/currentHedgeShortfall/direction/transitionPrice are -20/31/-51/-1/1.50115</t>
  </si>
  <si>
    <t>2015-1-26 12:28:46.202: TransitionLogger - processTransitionpoint - checking transition - currentHedgeShortfall is -51</t>
  </si>
  <si>
    <t>2015-1-26 12:28:46.204: Algorithm - updatePortfolio - haveAllDetails is True</t>
  </si>
  <si>
    <t>2015-1-26 12:28:46.206: RTWSControl - updatePortfolioEx - An Error Occured Object variable or With block variable not set</t>
  </si>
  <si>
    <t>2015-1-26 12:29:23.24: OrderManager - cancelOrder - cancelling order id 963</t>
  </si>
  <si>
    <t>2015-1-26 12:29:23.25: OrderManager - PlaceOrder - id 964 workingQty -2587</t>
  </si>
  <si>
    <t>2015-1-26 12:29:23.26: OrderManagerView - UpdateMainSheetOpenOrder - entering UpdateMainSheetOpenOrder order.status is In-Flight</t>
  </si>
  <si>
    <t>2015-1-26 12:29:23.29: OrderManagerView - incrementNextOORow - there are no available OpenOrderView Rows!!!!!!</t>
  </si>
  <si>
    <t>2015-1-26 12:29:23.31: OrderManager - sendOrder - exiting place order id 964 BUY 49 1.5233  - workingQty -2587 currentPosition is 31 workingOrderCount is 2</t>
  </si>
  <si>
    <t>2015-1-26 12:29:23.235: RTWSControl - nextValidId - entering nextValidId id is 965</t>
  </si>
  <si>
    <t>2015-1-26 12:29:23.335: RTWSControl - orderStatus -  entering orderStatus id is 963 status is Cancelled</t>
  </si>
  <si>
    <t>2015-1-26 12:29:23.336: OrderManager - UpdateOrderStatus - id 963 Setting status to Cancelled workingOrderCount is now 2 workingQty -2587</t>
  </si>
  <si>
    <t>2015-1-26 12:29:23.338: OrderManagerView - UpdateMainSheetOpenOrder - entering UpdateMainSheetOpenOrder order.status is Cancelled</t>
  </si>
  <si>
    <t>2015-1-26 12:29:23.342: RTWSControl - OrderStatus - Got OrderStatus Message id:963 status: Cancelled filled: 0</t>
  </si>
  <si>
    <t>2015-1-26 12:29:23.343: RTWSControl - OrderStatus - exiting orderStatus</t>
  </si>
  <si>
    <t>2015-1-26 12:29:23.360: RTWSControl - errMsg - got error message 202:Order Canceled - reason:with id 963</t>
  </si>
  <si>
    <t>2015-1-26 12:29:23.361: OrderManager - canceledOrder - cleaning up after canceled order 963BEWARE UNACCOUNTED FOR EXECUTIONS!!!</t>
  </si>
  <si>
    <t>2015-1-26 12:29:23.363: OrderManager - terminateOrder - cleaning up after Canceled 963  order was supposed to BUY 49 1.523 STP LMT workingQty/OrderCount now -2636/1</t>
  </si>
  <si>
    <t>2015-1-26 12:29:23.365: OrderManagerView - UpdateMainSheetOpenOrder - entering UpdateMainSheetOpenOrder order.status is Canceled</t>
  </si>
  <si>
    <t>2015-1-26 12:29:23.391: RTWSControl - errMsg - got error message 399:Order Message:
BUY 49 GBP MAR'15
Warning: your order will not be placed at the exchange until 2015-01-26 08:30:00 US/Centralwith id 964</t>
  </si>
  <si>
    <t>2015-1-26 12:29:23.393: RTWSControl - errMsg - Got Error_x000D_id: 964_x000D_errorCode: 399_x000D_errorMsg: Order Message:
BUY 49 GBP MAR'15
Warning: your order will not be placed at the exchange until 2015-01-26 08:30:00 US/Central</t>
  </si>
  <si>
    <t>2015-1-26 12:29:23.430: openOrderEx - I am here</t>
  </si>
  <si>
    <t>2015-1-26 12:29:23.437: RTWSControl - orderStatus -  entering orderStatus id is 964 status is PreSubmitted</t>
  </si>
  <si>
    <t>2015-1-26 12:29:23.438: OrderManager - UpdateOrderStatus - id 964 Setting status to PreSubmitted workingOrderCount is now 1 workingQty -2636</t>
  </si>
  <si>
    <t>2015-1-26 12:29:23.441: OrderManagerView - UpdateMainSheetOpenOrder - entering UpdateMainSheetOpenOrder order.status is PreSubmitted</t>
  </si>
  <si>
    <t>2015-1-26 12:29:23.445: RTWSControl - OrderStatus - Got OrderStatus Message id:964 status: PreSubmitted filled: 0</t>
  </si>
  <si>
    <t>2015-1-26 12:29:23.446: RTWSControl - OrderStatus - exiting orderStatus</t>
  </si>
  <si>
    <t>2015-1-26 12:29:23.459: openOrderEx - I am here</t>
  </si>
  <si>
    <t>2015-1-26 12:29:23.485: RTWSControl - orderStatus -  entering orderStatus id is 964 status is PreSubmitted</t>
  </si>
  <si>
    <t>2015-1-26 12:29:23.486: OrderManager - UpdateOrderStatus - id 964 Setting status to PreSubmitted workingOrderCount is now 1 workingQty -2636</t>
  </si>
  <si>
    <t>2015-1-26 12:29:23.488: OrderManagerView - UpdateMainSheetOpenOrder - entering UpdateMainSheetOpenOrder order.status is PreSubmitted</t>
  </si>
  <si>
    <t>2015-1-26 12:29:23.492: RTWSControl - OrderStatus - Got OrderStatus Message id:964 status: PreSubmitted filled: 0</t>
  </si>
  <si>
    <t>2015-1-26 12:29:23.493: RTWSControl - OrderStatus - exiting orderStatus</t>
  </si>
  <si>
    <t>2015-1-26 12:29:27.620: OrderManager - cancelOrder - cancelling order id 964</t>
  </si>
  <si>
    <t>2015-1-26 12:29:27.623: OrderManager - PlaceOrder - id 965 workingQty -2587</t>
  </si>
  <si>
    <t>2015-1-26 12:29:27.626: OrderManagerView - UpdateMainSheetOpenOrder - entering UpdateMainSheetOpenOrder order.status is In-Flight</t>
  </si>
  <si>
    <t>2015-1-26 12:29:27.636: OrderManager - sendOrder - exiting place order id 965 BUY 49 1.5226  - workingQty -2587 currentPosition is 31 workingOrderCount is 2</t>
  </si>
  <si>
    <t>2015-1-26 12:29:27.819: RTWSControl - orderStatus -  entering orderStatus id is 964 status is Cancelled</t>
  </si>
  <si>
    <t>2015-1-26 12:29:27.820: OrderManager - UpdateOrderStatus - id 964 Setting status to Cancelled workingOrderCount is now 2 workingQty -2587</t>
  </si>
  <si>
    <t>2015-1-26 12:29:27.822: OrderManagerView - UpdateMainSheetOpenOrder - entering UpdateMainSheetOpenOrder order.status is Cancelled</t>
  </si>
  <si>
    <t>2015-1-26 12:29:27.826: RTWSControl - OrderStatus - Got OrderStatus Message id:964 status: Cancelled filled: 0</t>
  </si>
  <si>
    <t>2015-1-26 12:29:27.827: RTWSControl - OrderStatus - exiting orderStatus</t>
  </si>
  <si>
    <t>2015-1-26 12:29:27.835: RTWSControl - errMsg - got error message 202:Order Canceled - reason:with id 964</t>
  </si>
  <si>
    <t>2015-1-26 12:29:27.837: OrderManager - canceledOrder - cleaning up after canceled order 964BEWARE UNACCOUNTED FOR EXECUTIONS!!!</t>
  </si>
  <si>
    <t>2015-1-26 12:29:27.839: OrderManager - terminateOrder - cleaning up after Canceled 964  order was supposed to BUY 49 1.5233 STP LMT workingQty/OrderCount now -2636/1</t>
  </si>
  <si>
    <t>2015-1-26 12:29:27.841: OrderManagerView - UpdateMainSheetOpenOrder - entering UpdateMainSheetOpenOrder order.status is Canceled</t>
  </si>
  <si>
    <t>2015-1-26 12:29:27.958: RTWSControl - nextValidId - entering nextValidId id is 966</t>
  </si>
  <si>
    <t>2015-1-26 12:29:28.27: RTWSControl - errMsg - got error message 399:Order Message:
BUY 49 GBP MAR'15
Warning: your order will not be placed at the exchange until 2015-01-26 08:30:00 US/Centralwith id 965</t>
  </si>
  <si>
    <t>2015-1-26 12:29:28.29: RTWSControl - errMsg - Got Error_x000D_id: 965_x000D_errorCode: 399_x000D_errorMsg: Order Message:
BUY 49 GBP MAR'15
Warning: your order will not be placed at the exchange until 2015-01-26 08:30:00 US/Central</t>
  </si>
  <si>
    <t>2015-1-26 12:29:28.43: openOrderEx - I am here</t>
  </si>
  <si>
    <t>2015-1-26 12:29:28.52: RTWSControl - orderStatus -  entering orderStatus id is 965 status is PreSubmitted</t>
  </si>
  <si>
    <t>2015-1-26 12:29:28.53: OrderManager - UpdateOrderStatus - id 965 Setting status to PreSubmitted workingOrderCount is now 1 workingQty -2636</t>
  </si>
  <si>
    <t>2015-1-26 12:29:28.56: OrderManagerView - UpdateMainSheetOpenOrder - entering UpdateMainSheetOpenOrder order.status is PreSubmitted</t>
  </si>
  <si>
    <t>2015-1-26 12:29:28.61: RTWSControl - OrderStatus - Got OrderStatus Message id:965 status: PreSubmitted filled: 0</t>
  </si>
  <si>
    <t>2015-1-26 12:29:28.62: RTWSControl - OrderStatus - exiting orderStatus</t>
  </si>
  <si>
    <t>2015-1-26 12:29:28.86: openOrderEx - I am here</t>
  </si>
  <si>
    <t>2015-1-26 12:29:28.92: RTWSControl - orderStatus -  entering orderStatus id is 965 status is PreSubmitted</t>
  </si>
  <si>
    <t>2015-1-26 12:29:28.93: OrderManager - UpdateOrderStatus - id 965 Setting status to PreSubmitted workingOrderCount is now 1 workingQty -2636</t>
  </si>
  <si>
    <t>2015-1-26 12:29:28.95: OrderManagerView - UpdateMainSheetOpenOrder - entering UpdateMainSheetOpenOrder order.status is PreSubmitted</t>
  </si>
  <si>
    <t>2015-1-26 12:29:28.99: RTWSControl - OrderStatus - Got OrderStatus Message id:965 status: PreSubmitted filled: 0</t>
  </si>
  <si>
    <t>2015-1-26 12:29:28.100: RTWSControl - OrderStatus - exiting orderStatus</t>
  </si>
  <si>
    <t>2015-1-26 12:29:46.328: AutostopView - getOffTicks - an error occurred Type mismatch</t>
  </si>
  <si>
    <t>2015-1-26 12:29:46.332: AutostopView - getBuyPrice - an error occurred Type mismatch</t>
  </si>
  <si>
    <t>2015-1-26 12:29:46.335: AutostopView - getBuyQty - an error occurred Type mismatch</t>
  </si>
  <si>
    <t>2015-1-26 12:29:46.337: OrderManager - cancelOrder - cancelling order id 965</t>
  </si>
  <si>
    <t>2015-1-26 12:29:46.338: OrderManager - PlaceOrder - id 966 workingQty -2636</t>
  </si>
  <si>
    <t>2015-1-26 12:29:46.339: OrderManagerView - UpdateMainSheetOpenOrder - entering UpdateMainSheetOpenOrder order.status is In-Flight</t>
  </si>
  <si>
    <t>2015-1-26 12:29:46.341: OrderManagerView - updateMainSheetOrderHistory - An Error occurred Application-defined or object-defined error</t>
  </si>
  <si>
    <t>2015-1-26 12:29:46.343: OrderManager - sendOrder - exiting place order id 966 BUY 0 0.001  - workingQty -2636 currentPosition is 31 workingOrderCount is 2</t>
  </si>
  <si>
    <t>2015-1-26 12:29:46.345: OrderManager - cancelOrder - cancelling order id 942</t>
  </si>
  <si>
    <t>2015-1-26 12:29:46.345: OrderManager - createOrder - exiting without creating order - did not have validID</t>
  </si>
  <si>
    <t>2015-1-26 12:29:46.346: AutostopperView - updateView - an error occurred Application-defined or object-defined error</t>
  </si>
  <si>
    <t>2015-1-26 12:29:46.348: AutostopperView - updateView - an error occurred Application-defined or object-defined error</t>
  </si>
  <si>
    <t>2015-1-26 12:29:46.538: RTWSControl - errMsg - got error message 321:Error validating request:-'qd' : cause - The size value cannot be zero:with id 966</t>
  </si>
  <si>
    <t>2015-1-26 12:29:46.540: RTWSControl - errMsg - Got Error_x000D_id: 966_x000D_errorCode: 321_x000D_errorMsg: Error validating request:-'qd' : cause - The size value cannot be zero:</t>
  </si>
  <si>
    <t>2015-1-26 12:29:46.639: RTWSControl - nextValidId - entering nextValidId id is 966</t>
  </si>
  <si>
    <t>2015-1-26 12:29:46.681: RTWSControl - orderStatus -  entering orderStatus id is 965 status is Cancelled</t>
  </si>
  <si>
    <t>2015-1-26 12:29:46.682: OrderManager - UpdateOrderStatus - id 965 Setting status to Cancelled workingOrderCount is now 2 workingQty -2636</t>
  </si>
  <si>
    <t>2015-1-26 12:29:46.685: OrderManagerView - UpdateMainSheetOpenOrder - entering UpdateMainSheetOpenOrder order.status is Cancelled</t>
  </si>
  <si>
    <t>2015-1-26 12:29:46.691: RTWSControl - OrderStatus - Got OrderStatus Message id:965 status: Cancelled filled: 0</t>
  </si>
  <si>
    <t>2015-1-26 12:29:46.692: RTWSControl - OrderStatus - exiting orderStatus</t>
  </si>
  <si>
    <t>2015-1-26 12:29:46.700: RTWSControl - errMsg - got error message 202:Order Canceled - reason:with id 965</t>
  </si>
  <si>
    <t>2015-1-26 12:29:46.701: OrderManager - canceledOrder - cleaning up after canceled order 965BEWARE UNACCOUNTED FOR EXECUTIONS!!!</t>
  </si>
  <si>
    <t>2015-1-26 12:29:46.705: OrderManager - terminateOrder - cleaning up after Canceled 965  order was supposed to BUY 49 1.5226 STP LMT workingQty/OrderCount now -2685/1</t>
  </si>
  <si>
    <t>2015-1-26 12:29:46.708: OrderManagerView - UpdateMainSheetOpenOrder - entering UpdateMainSheetOpenOrder order.status is Canceled</t>
  </si>
  <si>
    <t>2015-1-26 12:29:46.711: OrderManagerView - updateMainSheetOrderHistory - An Error occurred Application-defined or object-defined error</t>
  </si>
  <si>
    <t>2015-1-26 12:29:46.794: RTWSControl - orderStatus -  entering orderStatus id is 942 status is Cancelled</t>
  </si>
  <si>
    <t>2015-1-26 12:29:46.795: OrderManager - UpdateOrderStatus - id 942 Setting status to Cancelled workingOrderCount is now 1 workingQty -2685</t>
  </si>
  <si>
    <t>2015-1-26 12:29:46.797: OrderManagerView - UpdateMainSheetOpenOrder - entering UpdateMainSheetOpenOrder order.status is Cancelled</t>
  </si>
  <si>
    <t>2015-1-26 12:29:46.801: RTWSControl - OrderStatus - Got OrderStatus Message id:942 status: Cancelled filled: 0</t>
  </si>
  <si>
    <t>2015-1-26 12:29:46.802: RTWSControl - OrderStatus - exiting orderStatus</t>
  </si>
  <si>
    <t>2015-1-26 12:29:46.806: RTWSControl - errMsg - got error message 202:Order Canceled - reason:with id 942</t>
  </si>
  <si>
    <t>2015-1-26 12:29:46.807: OrderManager - canceledOrder - cleaning up after canceled order 942BEWARE UNACCOUNTED FOR EXECUTIONS!!!</t>
  </si>
  <si>
    <t>2015-1-26 12:29:46.809: OrderManager - terminateOrder - cleaning up after Canceled 942  order was supposed to SELL 49 1.5002 STP LMT workingQty/OrderCount now -2734/0</t>
  </si>
  <si>
    <t>2015-1-26 12:29:46.811: OrderManagerView - UpdateMainSheetOpenOrder - entering UpdateMainSheetOpenOrder order.status is Canceled</t>
  </si>
  <si>
    <t>2015-1-26 12:29:46.813: OrderManagerView - updateMainSheetOrderHistory - An Error occurred Application-defined or object-defined error</t>
  </si>
  <si>
    <t>2015-1-26 12:29:47.460: AutostopView - getOffTicks - an error occurred Type mismatch</t>
  </si>
  <si>
    <t>2015-1-26 12:29:47.465: AutostopView - getBuyPrice - an error occurred Type mismatch</t>
  </si>
  <si>
    <t>2015-1-26 12:29:47.469: AutostopView - getBuyQty - an error occurred Type mismatch</t>
  </si>
  <si>
    <t>2015-1-26 12:29:47.473: OrderManager - PlaceOrder - id 966 workingQty -2734</t>
  </si>
  <si>
    <t>2015-1-26 12:29:47.477: OrderManager - PlaceOrder - An Error Occurred This key is already associated with an element of this collection</t>
  </si>
  <si>
    <t>2015-1-26 12:29:47.481: OrderManagerView - UpdateMainSheetOpenOrder - entering UpdateMainSheetOpenOrder order.status is In-Flight</t>
  </si>
  <si>
    <t>2015-1-26 12:29:47.484: OrderManagerView - incrementNextOORow - there are no available OpenOrderView Rows!!!!!!</t>
  </si>
  <si>
    <t>2015-1-26 12:29:47.488: OrderManagerView - updateMainSheetOrderHistory - An Error occurred Application-defined or object-defined error</t>
  </si>
  <si>
    <t>2015-1-26 12:29:47.493: OrderManager - sendOrder - exiting place order id 966 SELL 0 -0.0011  - workingQty -2734 currentPosition is 31 workingOrderCount is 1</t>
  </si>
  <si>
    <t>2015-1-26 12:29:47.497: AutostopperView - updateView - an error occurred Application-defined or object-defined error</t>
  </si>
  <si>
    <t>2015-1-26 12:29:47.501: AutostopperView - updateView - an error occurred Application-defined or object-defined error</t>
  </si>
  <si>
    <t>2015-1-26 12:29:47.505: AutostopperView - updateView - an error occurred Application-defined or object-defined error</t>
  </si>
  <si>
    <t>2015-1-26 12:29:47.509: AutostopperView - updateView - an error occurred Application-defined or object-defined error</t>
  </si>
  <si>
    <t>2015-1-26 12:29:47.669: RTWSControl - errMsg - got error message 321:Error validating request:-'qd' : cause - The size value cannot be zero:with id 966</t>
  </si>
  <si>
    <t>2015-1-26 12:29:47.671: RTWSControl - errMsg - Got Error_x000D_id: 966_x000D_errorCode: 321_x000D_errorMsg: Error validating request:-'qd' : cause - The size value cannot be zero:</t>
  </si>
  <si>
    <t>2015-1-26 12:29:47.676: RTWSControl - nextValidId - entering nextValidId id is 966</t>
  </si>
  <si>
    <t>2015-1-26 12:29:56.572: AutostopView - getOffTicks - an error occurred Type mismatch</t>
  </si>
  <si>
    <t>2015-1-26 12:29:56.578: AutostopView - getBuyPrice - an error occurred Type mismatch</t>
  </si>
  <si>
    <t>2015-1-26 12:29:56.583: AutostopView - getBuyQty - an error occurred Type mismatch</t>
  </si>
  <si>
    <t>2015-1-26 12:29:57.372: AutostopView - getOffTicks - an error occurred Type mismatch</t>
  </si>
  <si>
    <t>2015-1-26 12:29:57.376: AutostopView - getBuyPrice - an error occurred Type mismatch</t>
  </si>
  <si>
    <t>2015-1-26 12:29:57.381: AutostopView - getBuyQty - an error occurred Type mismatch</t>
  </si>
  <si>
    <t>2015-1-26 12:30:11.556: AutostopView - getOffTicks - an error occurred Type mismatch</t>
  </si>
  <si>
    <t>2015-1-26 12:30:11.558: AutostopView - getBuyPrice - an error occurred Type mismatch</t>
  </si>
  <si>
    <t>2015-1-26 12:30:11.560: AutostopView - getBuyQty - an error occurred Type mismatch</t>
  </si>
  <si>
    <t>2015-1-26 12:30:11.592: AutostopView - getOffTicks - an error occurred Type mismatch</t>
  </si>
  <si>
    <t>2015-1-26 12:30:11.593: AutostopView - getBuyPrice - an error occurred Type mismatch</t>
  </si>
  <si>
    <t>2015-1-26 12:30:11.594: AutostopView - getBuyQty - an error occurred Type mismatch</t>
  </si>
  <si>
    <t>2015-1-26 12:30:33.979: AutostopView - getOffTicks - an error occurred Type mismatch</t>
  </si>
  <si>
    <t>2015-1-26 12:30:33.981: AutostopView - getBuyPrice - an error occurred Type mismatch</t>
  </si>
  <si>
    <t>2015-1-26 12:30:33.983: AutostopView - getBuyQty - an error occurred Type mismatch</t>
  </si>
  <si>
    <t>2015-1-26 12:30:34.88: AutostopView - getOffTicks - an error occurred Type mismatch</t>
  </si>
  <si>
    <t>2015-1-26 12:30:34.91: AutostopView - getBuyPrice - an error occurred Type mismatch</t>
  </si>
  <si>
    <t>2015-1-26 12:30:34.93: AutostopView - getBuyQty - an error occurred Type mismatch</t>
  </si>
  <si>
    <t>2015-1-26 12:30:46.447: AutostopView - getOffTicks - an error occurred Type mismatch</t>
  </si>
  <si>
    <t>2015-1-26 12:30:46.452: AutostopView - getBuyPrice - an error occurred Type mismatch</t>
  </si>
  <si>
    <t>2015-1-26 12:30:46.457: AutostopView - getBuyQty - an error occurred Type mismatch</t>
  </si>
  <si>
    <t>2015-1-26 12:30:49.755: AutostopView - getOffTicks - an error occurred Type mismatch</t>
  </si>
  <si>
    <t>2015-1-26 12:30:49.758: AutostopView - getBuyPrice - an error occurred Type mismatch</t>
  </si>
  <si>
    <t>2015-1-26 12:30:49.760: AutostopView - getBuyQty - an error occurred Type mismatch</t>
  </si>
  <si>
    <t>2015-1-26 12:30:52.329: AutostopView - getOffTicks - an error occurred Type mismatch</t>
  </si>
  <si>
    <t>2015-1-26 12:30:52.332: AutostopView - getBuyPrice - an error occurred Type mismatch</t>
  </si>
  <si>
    <t>2015-1-26 12:30:52.334: AutostopView - getBuyQty - an error occurred Type mismatch</t>
  </si>
  <si>
    <t>2015-1-26 12:30:52.579: AutostopView - getOffTicks - an error occurred Type mismatch</t>
  </si>
  <si>
    <t>2015-1-26 12:30:52.581: AutostopView - getBuyPrice - an error occurred Type mismatch</t>
  </si>
  <si>
    <t>2015-1-26 12:30:52.582: AutostopView - getBuyQty - an error occurred Type mismatch</t>
  </si>
  <si>
    <t>2015-1-26 12:31:3.462: AutostopView - getOffTicks - an error occurred Type mismatch</t>
  </si>
  <si>
    <t>2015-1-26 12:31:3.467: AutostopView - getBuyPrice - an error occurred Type mismatch</t>
  </si>
  <si>
    <t>2015-1-26 12:31:3.469: AutostopView - getBuyQty - an error occurred Type mismatch</t>
  </si>
  <si>
    <t>2015-1-26 12:31:3.616: AutostopView - getOffTicks - an error occurred Type mismatch</t>
  </si>
  <si>
    <t>2015-1-26 12:31:3.618: AutostopView - getBuyPrice - an error occurred Type mismatch</t>
  </si>
  <si>
    <t>2015-1-26 12:31:3.619: AutostopView - getBuyQty - an error occurred Type mismatch</t>
  </si>
  <si>
    <t>2015-1-26 12:31:13.493: AutostopView - getOffTicks - an error occurred Type mismatch</t>
  </si>
  <si>
    <t>2015-1-26 12:31:13.498: AutostopView - getBuyPrice - an error occurred Type mismatch</t>
  </si>
  <si>
    <t>2015-1-26 12:31:13.503: AutostopView - getBuyQty - an error occurred Type mismatch</t>
  </si>
  <si>
    <t>2015-1-26 12:31:21.509: AutostopView - getOffTicks - an error occurred Type mismatch</t>
  </si>
  <si>
    <t>2015-1-26 12:31:21.515: AutostopView - getBuyPrice - an error occurred Type mismatch</t>
  </si>
  <si>
    <t>2015-1-26 12:31:21.519: AutostopView - getBuyQty - an error occurred Type mismatch</t>
  </si>
  <si>
    <t>2015-1-26 12:31:25.755: AutostopView - getOffTicks - an error occurred Type mismatch</t>
  </si>
  <si>
    <t>2015-1-26 12:31:25.757: AutostopView - getBuyPrice - an error occurred Type mismatch</t>
  </si>
  <si>
    <t>2015-1-26 12:31:25.759: AutostopView - getBuyQty - an error occurred Type mismatch</t>
  </si>
  <si>
    <t>2015-1-26 12:31:26.14: AutostopView - getOffTicks - an error occurred Type mismatch</t>
  </si>
  <si>
    <t>2015-1-26 12:31:26.19: AutostopView - getBuyPrice - an error occurred Type mismatch</t>
  </si>
  <si>
    <t>2015-1-26 12:31:26.24: AutostopView - getBuyQty - an error occurred Type mismatch</t>
  </si>
  <si>
    <t>2015-1-26 12:31:31.789: AutostopView - getOffTicks - an error occurred Type mismatch</t>
  </si>
  <si>
    <t>2015-1-26 12:31:31.790: AutostopView - getBuyPrice - an error occurred Type mismatch</t>
  </si>
  <si>
    <t>2015-1-26 12:31:31.792: AutostopView - getBuyQty - an error occurred Type mismatch</t>
  </si>
  <si>
    <t>2015-1-26 12:31:31.822: AutostopView - getOffTicks - an error occurred Type mismatch</t>
  </si>
  <si>
    <t>2015-1-26 12:31:31.824: AutostopView - getBuyPrice - an error occurred Type mismatch</t>
  </si>
  <si>
    <t>2015-1-26 12:31:31.825: AutostopView - getBuyQty - an error occurred Type mismatch</t>
  </si>
  <si>
    <t>2015-1-26 12:31:32.165: AutostopView - getOffTicks - an error occurred Type mismatch</t>
  </si>
  <si>
    <t>2015-1-26 12:31:32.166: AutostopView - getBuyPrice - an error occurred Type mismatch</t>
  </si>
  <si>
    <t>2015-1-26 12:31:32.167: AutostopView - getBuyQty - an error occurred Type mismatch</t>
  </si>
  <si>
    <t>2015-1-26 12:31:32.655: AutostopView - getOffTicks - an error occurred Type mismatch</t>
  </si>
  <si>
    <t>2015-1-26 12:31:32.657: AutostopView - getBuyPrice - an error occurred Type mismatch</t>
  </si>
  <si>
    <t>2015-1-26 12:31:32.658: AutostopView - getBuyQty - an error occurred Type mismatch</t>
  </si>
  <si>
    <t>2015-1-26 12:31:44.720: Algorithm - FindNextStrikes - price is 1.50155 nextStrikeUp/Down 1.505/1.5</t>
  </si>
  <si>
    <t>2015-1-26 12:31:44.721: Algorithm - getPortfolioForwardDelta - required deltas is -20 currentHedgePosition is 31</t>
  </si>
  <si>
    <t>2015-1-26 12:31:44.722: Algorithm - getHedgeShortfall - required deltas is -20 price is 1.50165 currentHedgePositionDeltas is 31</t>
  </si>
  <si>
    <t>2015-1-26 12:31:44.724: Algorithm - processTransitionPoint - nextUpper/LowerStrikes are 1.505/1.5 requiredDeltas/currentPosition/currentHedgeShortfall/direction/transitionPrice are -20/31/-51/1/1.50165</t>
  </si>
  <si>
    <t>2015-1-26 12:31:44.725: TransitionLogger - processTransitionpoint - checking transition - currentHedgeShortfall is -51</t>
  </si>
  <si>
    <t>2015-1-26 12:31:44.728: Algorithm - updatePortfolio - haveAllDetails is True</t>
  </si>
  <si>
    <t>2015-1-26 12:31:44.730: RTWSControl - updatePortfolioEx - An Error Occured Object variable or With block variable not set</t>
  </si>
  <si>
    <t>2015-1-26 12:31:44.752: Algorithm - FindNextStrikes - price is 1.50155 nextStrikeUp/Down 1.505/1.5</t>
  </si>
  <si>
    <t>2015-1-26 12:31:44.753: Algorithm - getPortfolioForwardDelta - required deltas is -20 currentHedgePosition is 31</t>
  </si>
  <si>
    <t>2015-1-26 12:31:44.754: Algorithm - getHedgeShortfall - required deltas is -20 price is 1.50165 currentHedgePositionDeltas is 31</t>
  </si>
  <si>
    <t>2015-1-26 12:31:44.756: Algorithm - processTransitionPoint - nextUpper/LowerStrikes are 1.505/1.5 requiredDeltas/currentPosition/currentHedgeShortfall/direction/transitionPrice are -20/31/-51/1/1.50165</t>
  </si>
  <si>
    <t>2015-1-26 12:31:44.758: TransitionLogger - processTransitionpoint - checking transition - currentHedgeShortfall is -51</t>
  </si>
  <si>
    <t>2015-1-26 12:31:44.760: Algorithm - updatePortfolio - haveAllDetails is True</t>
  </si>
  <si>
    <t>2015-1-26 12:31:44.762: RTWSControl - updatePortfolioEx - An Error Occured Object variable or With block variable not set</t>
  </si>
  <si>
    <t>2015-1-26 12:31:44.788: Algorithm - FindNextStrikes - price is 1.50155 nextStrikeUp/Down 1.505/1.5</t>
  </si>
  <si>
    <t>2015-1-26 12:31:44.789: Algorithm - getPortfolioForwardDelta - required deltas is -20 currentHedgePosition is 31</t>
  </si>
  <si>
    <t>2015-1-26 12:31:44.789: Algorithm - getHedgeShortfall - required deltas is -20 price is 1.50165 currentHedgePositionDeltas is 31</t>
  </si>
  <si>
    <t>2015-1-26 12:31:44.791: Algorithm - processTransitionPoint - nextUpper/LowerStrikes are 1.505/1.5 requiredDeltas/currentPosition/currentHedgeShortfall/direction/transitionPrice are -20/31/-51/1/1.50165</t>
  </si>
  <si>
    <t>2015-1-26 12:31:44.793: TransitionLogger - processTransitionpoint - checking transition - currentHedgeShortfall is -51</t>
  </si>
  <si>
    <t>2015-1-26 12:31:44.796: Algorithm - updatePortfolio - haveAllDetails is True</t>
  </si>
  <si>
    <t>2015-1-26 12:31:44.798: RTWSControl - updatePortfolioEx - An Error Occured Object variable or With block variable not set</t>
  </si>
  <si>
    <t>2015-1-26 12:31:44.817: Algorithm - FindNextStrikes - price is 1.50155 nextStrikeUp/Down 1.505/1.5</t>
  </si>
  <si>
    <t>2015-1-26 12:31:44.819: Algorithm - getPortfolioForwardDelta - required deltas is -20 currentHedgePosition is 31</t>
  </si>
  <si>
    <t>2015-1-26 12:31:44.822: Algorithm - getHedgeShortfall - required deltas is -20 price is 1.50165 currentHedgePositionDeltas is 31</t>
  </si>
  <si>
    <t>2015-1-26 12:31:44.824: Algorithm - processTransitionPoint - nextUpper/LowerStrikes are 1.505/1.5 requiredDeltas/currentPosition/currentHedgeShortfall/direction/transitionPrice are -20/31/-51/1/1.50165</t>
  </si>
  <si>
    <t>2015-1-26 12:31:44.826: TransitionLogger - processTransitionpoint - checking transition - currentHedgeShortfall is -51</t>
  </si>
  <si>
    <t>2015-1-26 12:31:44.829: Algorithm - updatePortfolio - haveAllDetails is True</t>
  </si>
  <si>
    <t>2015-1-26 12:31:44.831: RTWSControl - updatePortfolioEx - An Error Occured Object variable or With block variable not set</t>
  </si>
  <si>
    <t>2015-1-26 12:31:44.849: Algorithm - FindNextStrikes - price is 1.50155 nextStrikeUp/Down 1.505/1.5</t>
  </si>
  <si>
    <t>2015-1-26 12:31:44.850: Algorithm - getPortfolioForwardDelta - required deltas is -20 currentHedgePosition is 31</t>
  </si>
  <si>
    <t>2015-1-26 12:31:44.851: Algorithm - getHedgeShortfall - required deltas is -20 price is 1.50165 currentHedgePositionDeltas is 31</t>
  </si>
  <si>
    <t>2015-1-26 12:31:44.853: Algorithm - processTransitionPoint - nextUpper/LowerStrikes are 1.505/1.5 requiredDeltas/currentPosition/currentHedgeShortfall/direction/transitionPrice are -20/31/-51/1/1.50165</t>
  </si>
  <si>
    <t>2015-1-26 12:31:44.854: TransitionLogger - processTransitionpoint - checking transition - currentHedgeShortfall is -51</t>
  </si>
  <si>
    <t>2015-1-26 12:31:44.857: Algorithm - updatePortfolio - haveAllDetails is True</t>
  </si>
  <si>
    <t>2015-1-26 12:31:44.859: RTWSControl - updatePortfolioEx - An Error Occured Object variable or With block variable not set</t>
  </si>
  <si>
    <t>2015-1-26 12:31:44.885: Algorithm - FindNextStrikes - price is 1.50155 nextStrikeUp/Down 1.505/1.5</t>
  </si>
  <si>
    <t>2015-1-26 12:31:44.886: Algorithm - getPortfolioForwardDelta - required deltas is -20 currentHedgePosition is 31</t>
  </si>
  <si>
    <t>2015-1-26 12:31:44.886: Algorithm - getHedgeShortfall - required deltas is -20 price is 1.50165 currentHedgePositionDeltas is 31</t>
  </si>
  <si>
    <t>2015-1-26 12:31:44.888: Algorithm - processTransitionPoint - nextUpper/LowerStrikes are 1.505/1.5 requiredDeltas/currentPosition/currentHedgeShortfall/direction/transitionPrice are -20/31/-51/1/1.50165</t>
  </si>
  <si>
    <t>2015-1-26 12:31:44.890: TransitionLogger - processTransitionpoint - checking transition - currentHedgeShortfall is -51</t>
  </si>
  <si>
    <t>2015-1-26 12:31:44.892: Algorithm - updatePortfolio - haveAllDetails is True</t>
  </si>
  <si>
    <t>2015-1-26 12:31:44.894: RTWSControl - updatePortfolioEx - An Error Occured Object variable or With block variable not set</t>
  </si>
  <si>
    <t>2015-1-26 12:31:44.917: Algorithm - FindNextStrikes - price is 1.50155 nextStrikeUp/Down 1.505/1.5</t>
  </si>
  <si>
    <t>2015-1-26 12:31:44.918: Algorithm - getPortfolioForwardDelta - required deltas is -20 currentHedgePosition is 31</t>
  </si>
  <si>
    <t>2015-1-26 12:31:44.919: Algorithm - getHedgeShortfall - required deltas is -20 price is 1.50165 currentHedgePositionDeltas is 31</t>
  </si>
  <si>
    <t>2015-1-26 12:31:44.921: Algorithm - processTransitionPoint - nextUpper/LowerStrikes are 1.505/1.5 requiredDeltas/currentPosition/currentHedgeShortfall/direction/transitionPrice are -20/31/-51/1/1.50165</t>
  </si>
  <si>
    <t>2015-1-26 12:31:44.922: TransitionLogger - processTransitionpoint - checking transition - currentHedgeShortfall is -51</t>
  </si>
  <si>
    <t>2015-1-26 12:31:44.925: Algorithm - updatePortfolio - haveAllDetails is True</t>
  </si>
  <si>
    <t>2015-1-26 12:31:44.926: RTWSControl - updatePortfolioEx - An Error Occured Object variable or With block variable not set</t>
  </si>
  <si>
    <t>2015-1-26 12:31:44.945: Algorithm - FindNextStrikes - price is 1.50155 nextStrikeUp/Down 1.505/1.5</t>
  </si>
  <si>
    <t>2015-1-26 12:31:44.948: Algorithm - getPortfolioForwardDelta - required deltas is -20 currentHedgePosition is 31</t>
  </si>
  <si>
    <t>2015-1-26 12:31:44.949: Algorithm - getHedgeShortfall - required deltas is -20 price is 1.50165 currentHedgePositionDeltas is 31</t>
  </si>
  <si>
    <t>2015-1-26 12:31:44.950: Algorithm - processTransitionPoint - nextUpper/LowerStrikes are 1.505/1.5 requiredDeltas/currentPosition/currentHedgeShortfall/direction/transitionPrice are -20/31/-51/1/1.50165</t>
  </si>
  <si>
    <t>2015-1-26 12:31:44.952: TransitionLogger - processTransitionpoint - checking transition - currentHedgeShortfall is -51</t>
  </si>
  <si>
    <t>2015-1-26 12:31:44.955: Algorithm - updatePortfolio - haveAllDetails is True</t>
  </si>
  <si>
    <t>2015-1-26 12:31:44.957: RTWSControl - updatePortfolioEx - An Error Occured Object variable or With block variable not set</t>
  </si>
  <si>
    <t>2015-1-26 12:31:51.616: AutostopView - getOffTicks - an error occurred Type mismatch</t>
  </si>
  <si>
    <t>2015-1-26 12:31:51.618: AutostopView - getBuyPrice - an error occurred Type mismatch</t>
  </si>
  <si>
    <t>2015-1-26 12:31:51.620: AutostopView - getBuyQty - an error occurred Type mismatch</t>
  </si>
  <si>
    <t>2015-1-26 12:31:51.901: AutostopView - getOffTicks - an error occurred Type mismatch</t>
  </si>
  <si>
    <t>2015-1-26 12:31:51.912: AutostopView - getBuyPrice - an error occurred Type mismatch</t>
  </si>
  <si>
    <t>2015-1-26 12:31:51.914: AutostopView - getBuyQty - an error occurred Type mismatch</t>
  </si>
  <si>
    <t>2015-1-26 12:32:19.600: AutostopView - getOffTicks - an error occurred Type mismatch</t>
  </si>
  <si>
    <t>2015-1-26 12:32:19.602: AutostopView - getBuyPrice - an error occurred Type mismatch</t>
  </si>
  <si>
    <t>2015-1-26 12:32:19.605: AutostopView - getBuyQty - an error occurred Type mismatch</t>
  </si>
  <si>
    <t>2015-1-26 12:32:19.635: AutostopView - getOffTicks - an error occurred Type mismatch</t>
  </si>
  <si>
    <t>2015-1-26 12:32:19.636: AutostopView - getBuyPrice - an error occurred Type mismatch</t>
  </si>
  <si>
    <t>2015-1-26 12:32:19.638: AutostopView - getBuyQty - an error occurred Type mismatch</t>
  </si>
  <si>
    <t>2015-1-26 12:32:19.966: AutostopView - getOffTicks - an error occurred Type mismatch</t>
  </si>
  <si>
    <t>2015-1-26 12:32:19.967: AutostopView - getBuyPrice - an error occurred Type mismatch</t>
  </si>
  <si>
    <t>2015-1-26 12:32:19.968: AutostopView - getBuyQty - an error occurred Type mismatch</t>
  </si>
  <si>
    <t>2015-1-26 12:32:21.67: AutostopView - getOffTicks - an error occurred Type mismatch</t>
  </si>
  <si>
    <t>2015-1-26 12:32:21.75: AutostopView - getBuyPrice - an error occurred Type mismatch</t>
  </si>
  <si>
    <t>2015-1-26 12:32:21.79: AutostopView - getBuyQty - an error occurred Type mismatch</t>
  </si>
  <si>
    <t>2015-1-26 12:32:21.175: AutostopView - getOffTicks - an error occurred Type mismatch</t>
  </si>
  <si>
    <t>2015-1-26 12:32:21.176: AutostopView - getBuyPrice - an error occurred Type mismatch</t>
  </si>
  <si>
    <t>2015-1-26 12:32:21.178: AutostopView - getBuyQty - an error occurred Type mismatch</t>
  </si>
  <si>
    <t>2015-1-26 12:32:25.28: AutostopView - getOffTicks - an error occurred Type mismatch</t>
  </si>
  <si>
    <t>2015-1-26 12:32:25.36: AutostopView - getBuyPrice - an error occurred Type mismatch</t>
  </si>
  <si>
    <t>2015-1-26 12:32:25.39: AutostopView - getBuyQty - an error occurred Type mismatch</t>
  </si>
  <si>
    <t>2015-1-26 12:32:30.587: AutostopView - getOffTicks - an error occurred Type mismatch</t>
  </si>
  <si>
    <t>2015-1-26 12:32:30.589: AutostopView - getBuyPrice - an error occurred Type mismatch</t>
  </si>
  <si>
    <t>2015-1-26 12:32:30.590: AutostopView - getBuyQty - an error occurred Type mismatch</t>
  </si>
  <si>
    <t>2015-1-26 12:32:36.261: AutostopView - getOffTicks - an error occurred Type mismatch</t>
  </si>
  <si>
    <t>2015-1-26 12:32:36.266: AutostopView - getBuyPrice - an error occurred Type mismatch</t>
  </si>
  <si>
    <t>2015-1-26 12:32:36.270: AutostopView - getBuyQty - an error occurred Type mismatch</t>
  </si>
  <si>
    <t>2015-1-26 12:32:39.583: AutostopView - getOffTicks - an error occurred Type mismatch</t>
  </si>
  <si>
    <t>2015-1-26 12:32:39.586: AutostopView - getBuyPrice - an error occurred Type mismatch</t>
  </si>
  <si>
    <t>2015-1-26 12:32:39.589: AutostopView - getBuyQty - an error occurred Type mismatch</t>
  </si>
  <si>
    <t>2015-1-26 12:32:39.896: AutostopView - getOffTicks - an error occurred Type mismatch</t>
  </si>
  <si>
    <t>2015-1-26 12:32:39.898: AutostopView - getBuyPrice - an error occurred Type mismatch</t>
  </si>
  <si>
    <t>2015-1-26 12:32:39.899: AutostopView - getBuyQty - an error occurred Type mismatch</t>
  </si>
  <si>
    <t>2015-1-26 12:32:43.258: AutostopView - getOffTicks - an error occurred Type mismatch</t>
  </si>
  <si>
    <t>2015-1-26 12:32:43.263: AutostopView - getBuyPrice - an error occurred Type mismatch</t>
  </si>
  <si>
    <t>2015-1-26 12:32:43.268: AutostopView - getBuyQty - an error occurred Type mismatch</t>
  </si>
  <si>
    <t>2015-1-26 12:32:58.94: AutostopView - getOffTicks - an error occurred Type mismatch</t>
  </si>
  <si>
    <t>2015-1-26 12:32:58.98: AutostopView - getBuyPrice - an error occurred Type mismatch</t>
  </si>
  <si>
    <t>2015-1-26 12:32:58.100: AutostopView - getBuyQty - an error occurred Type mismatch</t>
  </si>
  <si>
    <t>2015-1-26 12:33:3.794: AutostopView - getOffTicks - an error occurred Type mismatch</t>
  </si>
  <si>
    <t>2015-1-26 12:33:3.800: AutostopView - getBuyPrice - an error occurred Type mismatch</t>
  </si>
  <si>
    <t>2015-1-26 12:33:3.805: AutostopView - getBuyQty - an error occurred Type mismatch</t>
  </si>
  <si>
    <t>2015-1-26 12:33:6.546: AutostopView - getOffTicks - an error occurred Type mismatch</t>
  </si>
  <si>
    <t>2015-1-26 12:33:6.548: AutostopView - getBuyPrice - an error occurred Type mismatch</t>
  </si>
  <si>
    <t>2015-1-26 12:33:6.550: AutostopView - getBuyQty - an error occurred Type mismatch</t>
  </si>
  <si>
    <t>2015-1-26 12:33:7.352: AutostopView - getOffTicks - an error occurred Type mismatch</t>
  </si>
  <si>
    <t>2015-1-26 12:33:7.357: AutostopView - getBuyPrice - an error occurred Type mismatch</t>
  </si>
  <si>
    <t>2015-1-26 12:33:7.362: AutostopView - getBuyQty - an error occurred Type mismatch</t>
  </si>
  <si>
    <t>2015-1-26 12:33:7.981: AutostopView - getOffTicks - an error occurred Type mismatch</t>
  </si>
  <si>
    <t>2015-1-26 12:33:7.986: AutostopView - getBuyPrice - an error occurred Type mismatch</t>
  </si>
  <si>
    <t>2015-1-26 12:33:7.997: AutostopView - getBuyQty - an error occurred Type mismatch</t>
  </si>
  <si>
    <t>2015-1-26 12:33:9.532: AutostopView - getOffTicks - an error occurred Type mismatch</t>
  </si>
  <si>
    <t>2015-1-26 12:33:9.534: AutostopView - getBuyPrice - an error occurred Type mismatch</t>
  </si>
  <si>
    <t>2015-1-26 12:33:9.536: AutostopView - getBuyQty - an error occurred Type mismatch</t>
  </si>
  <si>
    <t>2015-1-26 12:33:9.755: AutostopView - getOffTicks - an error occurred Type mismatch</t>
  </si>
  <si>
    <t>2015-1-26 12:33:9.757: AutostopView - getBuyPrice - an error occurred Type mismatch</t>
  </si>
  <si>
    <t>2015-1-26 12:33:9.760: AutostopView - getBuyQty - an error occurred Type mismatch</t>
  </si>
  <si>
    <t>2015-1-26 12:33:23.424: AutostopView - getOffTicks - an error occurred Type mismatch</t>
  </si>
  <si>
    <t>2015-1-26 12:33:23.427: AutostopView - getBuyPrice - an error occurred Type mismatch</t>
  </si>
  <si>
    <t>2015-1-26 12:33:23.429: AutostopView - getBuyQty - an error occurred Type mismatch</t>
  </si>
  <si>
    <t>2015-1-26 12:33:23.466: AutostopView - getOffTicks - an error occurred Type mismatch</t>
  </si>
  <si>
    <t>2015-1-26 12:33:23.468: AutostopView - getBuyPrice - an error occurred Type mismatch</t>
  </si>
  <si>
    <t>2015-1-26 12:33:23.469: AutostopView - getBuyQty - an error occurred Type mismatch</t>
  </si>
  <si>
    <t>2015-1-26 12:33:28.729: AutostopView - getOffTicks - an error occurred Type mismatch</t>
  </si>
  <si>
    <t>2015-1-26 12:33:28.730: AutostopView - getBuyPrice - an error occurred Type mismatch</t>
  </si>
  <si>
    <t>2015-1-26 12:33:28.731: AutostopView - getBuyQty - an error occurred Type mismatch</t>
  </si>
  <si>
    <t>2015-1-26 12:33:29.806: AutostopView - getOffTicks - an error occurred Type mismatch</t>
  </si>
  <si>
    <t>2015-1-26 12:33:29.809: AutostopView - getBuyPrice - an error occurred Type mismatch</t>
  </si>
  <si>
    <t>2015-1-26 12:33:29.811: AutostopView - getBuyQty - an error occurred Type mismatch</t>
  </si>
  <si>
    <t>2015-1-26 12:33:30.334: AutostopView - getOffTicks - an error occurred Type mismatch</t>
  </si>
  <si>
    <t>2015-1-26 12:33:30.335: AutostopView - getBuyPrice - an error occurred Type mismatch</t>
  </si>
  <si>
    <t>2015-1-26 12:33:30.336: AutostopView - getBuyQty - an error occurred Type mismatch</t>
  </si>
  <si>
    <t>2015-1-26 12:33:30.461: AutostopView - getOffTicks - an error occurred Type mismatch</t>
  </si>
  <si>
    <t>2015-1-26 12:33:30.464: AutostopView - getBuyPrice - an error occurred Type mismatch</t>
  </si>
  <si>
    <t>2015-1-26 12:33:30.467: AutostopView - getBuyQty - an error occurred Type mismatch</t>
  </si>
  <si>
    <t>2015-1-26 12:33:34.828: AutostopView - getOffTicks - an error occurred Type mismatch</t>
  </si>
  <si>
    <t>2015-1-26 12:33:34.833: AutostopView - getBuyPrice - an error occurred Type mismatch</t>
  </si>
  <si>
    <t>2015-1-26 12:33:34.838: AutostopView - getBuyQty - an error occurred Type mismatch</t>
  </si>
  <si>
    <t>2015-1-26 12:33:35.489: AutostopView - getOffTicks - an error occurred Type mismatch</t>
  </si>
  <si>
    <t>2015-1-26 12:33:35.494: AutostopView - getBuyPrice - an error occurred Type mismatch</t>
  </si>
  <si>
    <t>2015-1-26 12:33:35.499: AutostopView - getBuyQty - an error occurred Type mismatch</t>
  </si>
  <si>
    <t>2015-1-26 12:33:35.709: AutostopView - getOffTicks - an error occurred Type mismatch</t>
  </si>
  <si>
    <t>2015-1-26 12:33:35.714: AutostopView - getBuyPrice - an error occurred Type mismatch</t>
  </si>
  <si>
    <t>2015-1-26 12:33:35.719: AutostopView - getBuyQty - an error occurred Type mismatch</t>
  </si>
  <si>
    <t>2015-1-26 12:33:40.755: AutostopView - getOffTicks - an error occurred Type mismatch</t>
  </si>
  <si>
    <t>2015-1-26 12:33:40.759: AutostopView - getBuyPrice - an error occurred Type mismatch</t>
  </si>
  <si>
    <t>2015-1-26 12:33:40.761: AutostopView - getBuyQty - an error occurred Type mismatch</t>
  </si>
  <si>
    <t>2015-1-26 12:33:41.238: AutostopView - getOffTicks - an error occurred Type mismatch</t>
  </si>
  <si>
    <t>2015-1-26 12:33:41.244: AutostopView - getBuyPrice - an error occurred Type mismatch</t>
  </si>
  <si>
    <t>2015-1-26 12:33:41.246: AutostopView - getBuyQty - an error occurred Type mismatch</t>
  </si>
  <si>
    <t>2015-1-26 12:33:41.642: AutostopView - getOffTicks - an error occurred Type mismatch</t>
  </si>
  <si>
    <t>2015-1-26 12:33:41.643: AutostopView - getBuyPrice - an error occurred Type mismatch</t>
  </si>
  <si>
    <t>2015-1-26 12:33:41.645: AutostopView - getBuyQty - an error occurred Type mismatch</t>
  </si>
  <si>
    <t>2015-1-26 12:33:42.250: AutostopView - getOffTicks - an error occurred Type mismatch</t>
  </si>
  <si>
    <t>2015-1-26 12:33:42.253: AutostopView - getBuyPrice - an error occurred Type mismatch</t>
  </si>
  <si>
    <t>2015-1-26 12:33:42.256: AutostopView - getBuyQty - an error occurred Type mismatch</t>
  </si>
  <si>
    <t>2015-1-26 12:33:42.835: AutostopView - getOffTicks - an error occurred Type mismatch</t>
  </si>
  <si>
    <t>2015-1-26 12:33:42.836: AutostopView - getBuyPrice - an error occurred Type mismatch</t>
  </si>
  <si>
    <t>2015-1-26 12:33:42.838: AutostopView - getBuyQty - an error occurred Type mismatch</t>
  </si>
  <si>
    <t>2015-1-26 12:33:42.951: AutostopView - getOffTicks - an error occurred Type mismatch</t>
  </si>
  <si>
    <t>2015-1-26 12:33:42.955: AutostopView - getBuyPrice - an error occurred Type mismatch</t>
  </si>
  <si>
    <t>2015-1-26 12:33:42.958: AutostopView - getBuyQty - an error occurred Type mismatch</t>
  </si>
  <si>
    <t>2015-1-26 12:33:43.372: AutostopView - getOffTicks - an error occurred Type mismatch</t>
  </si>
  <si>
    <t>2015-1-26 12:33:43.375: AutostopView - getBuyPrice - an error occurred Type mismatch</t>
  </si>
  <si>
    <t>2015-1-26 12:33:43.378: AutostopView - getBuyQty - an error occurred Type mismatch</t>
  </si>
  <si>
    <t>2015-1-26 12:33:43.581: AutostopView - getOffTicks - an error occurred Type mismatch</t>
  </si>
  <si>
    <t>2015-1-26 12:33:43.583: AutostopView - getBuyPrice - an error occurred Type mismatch</t>
  </si>
  <si>
    <t>2015-1-26 12:33:43.585: AutostopView - getBuyQty - an error occurred Type mismatch</t>
  </si>
  <si>
    <t>2015-1-26 12:33:44.94: AutostopView - getOffTicks - an error occurred Type mismatch</t>
  </si>
  <si>
    <t>2015-1-26 12:33:44.96: AutostopView - getBuyPrice - an error occurred Type mismatch</t>
  </si>
  <si>
    <t>2015-1-26 12:33:44.97: AutostopView - getBuyQty - an error occurred Type mismatch</t>
  </si>
  <si>
    <t>2015-1-26 12:33:44.133: AutostopView - getOffTicks - an error occurred Type mismatch</t>
  </si>
  <si>
    <t>2015-1-26 12:33:44.134: AutostopView - getBuyPrice - an error occurred Type mismatch</t>
  </si>
  <si>
    <t>2015-1-26 12:33:44.135: AutostopView - getBuyQty - an error occurred Type mismatch</t>
  </si>
  <si>
    <t>2015-1-26 12:33:49.796: AutostopView - getOffTicks - an error occurred Type mismatch</t>
  </si>
  <si>
    <t>2015-1-26 12:33:49.798: AutostopView - getBuyPrice - an error occurred Type mismatch</t>
  </si>
  <si>
    <t>2015-1-26 12:33:49.799: AutostopView - getBuyQty - an error occurred Type mismatch</t>
  </si>
  <si>
    <t>2015-1-26 12:33:50.142: AutostopView - getOffTicks - an error occurred Type mismatch</t>
  </si>
  <si>
    <t>2015-1-26 12:33:50.147: AutostopView - getBuyPrice - an error occurred Type mismatch</t>
  </si>
  <si>
    <t>2015-1-26 12:33:50.152: AutostopView - getBuyQty - an error occurred Type mismatch</t>
  </si>
  <si>
    <t>2015-1-26 12:33:50.472: AutostopView - getOffTicks - an error occurred Type mismatch</t>
  </si>
  <si>
    <t>2015-1-26 12:33:50.474: AutostopView - getBuyPrice - an error occurred Type mismatch</t>
  </si>
  <si>
    <t>2015-1-26 12:33:50.475: AutostopView - getBuyQty - an error occurred Type mismatch</t>
  </si>
  <si>
    <t>2015-1-26 12:33:51.458: AutostopView - getOffTicks - an error occurred Type mismatch</t>
  </si>
  <si>
    <t>2015-1-26 12:33:51.460: AutostopView - getBuyPrice - an error occurred Type mismatch</t>
  </si>
  <si>
    <t>2015-1-26 12:33:51.462: AutostopView - getBuyQty - an error occurred Type mismatch</t>
  </si>
  <si>
    <t>2015-1-26 12:33:51.610: AutostopView - getOffTicks - an error occurred Type mismatch</t>
  </si>
  <si>
    <t>2015-1-26 12:33:51.619: AutostopView - getBuyPrice - an error occurred Type mismatch</t>
  </si>
  <si>
    <t>2015-1-26 12:33:51.621: AutostopView - getBuyQty - an error occurred Type mismatch</t>
  </si>
  <si>
    <t>2015-1-26 12:33:52.239: AutostopView - getOffTicks - an error occurred Type mismatch</t>
  </si>
  <si>
    <t>2015-1-26 12:33:52.244: AutostopView - getBuyPrice - an error occurred Type mismatch</t>
  </si>
  <si>
    <t>2015-1-26 12:33:52.249: AutostopView - getBuyQty - an error occurred Type mismatch</t>
  </si>
  <si>
    <t>2015-1-26 12:34:5.223: AutostopView - getOffTicks - an error occurred Type mismatch</t>
  </si>
  <si>
    <t>2015-1-26 12:34:5.224: AutostopView - getBuyPrice - an error occurred Type mismatch</t>
  </si>
  <si>
    <t>2015-1-26 12:34:5.226: AutostopView - getBuyQty - an error occurred Type mismatch</t>
  </si>
  <si>
    <t>2015-1-26 12:34:10.574: AutostopView - getOffTicks - an error occurred Type mismatch</t>
  </si>
  <si>
    <t>2015-1-26 12:34:10.579: AutostopView - getBuyPrice - an error occurred Type mismatch</t>
  </si>
  <si>
    <t>2015-1-26 12:34:10.583: AutostopView - getBuyQty - an error occurred Type mismatch</t>
  </si>
  <si>
    <t>2015-1-26 12:34:13.714: AutostopView - getOffTicks - an error occurred Type mismatch</t>
  </si>
  <si>
    <t>2015-1-26 12:34:13.720: AutostopView - getBuyPrice - an error occurred Type mismatch</t>
  </si>
  <si>
    <t>2015-1-26 12:34:13.725: AutostopView - getBuyQty - an error occurred Type mismatch</t>
  </si>
  <si>
    <t>2015-1-26 12:34:15.940: AutostopView - getOffTicks - an error occurred Type mismatch</t>
  </si>
  <si>
    <t>2015-1-26 12:34:15.942: AutostopView - getBuyPrice - an error occurred Type mismatch</t>
  </si>
  <si>
    <t>2015-1-26 12:34:15.944: AutostopView - getBuyQty - an error occurred Type mismatch</t>
  </si>
  <si>
    <t>2015-1-26 12:34:18.989: AutostopView - getOffTicks - an error occurred Type mismatch</t>
  </si>
  <si>
    <t>2015-1-26 12:34:18.994: AutostopView - getBuyPrice - an error occurred Type mismatch</t>
  </si>
  <si>
    <t>2015-1-26 12:34:18.999: AutostopView - getBuyQty - an error occurred Type mismatch</t>
  </si>
  <si>
    <t>2015-1-26 12:34:27.769: AutostopView - getOffTicks - an error occurred Type mismatch</t>
  </si>
  <si>
    <t>2015-1-26 12:34:27.771: AutostopView - getBuyPrice - an error occurred Type mismatch</t>
  </si>
  <si>
    <t>2015-1-26 12:34:27.774: AutostopView - getBuyQty - an error occurred Type mismatch</t>
  </si>
  <si>
    <t>2015-1-26 12:34:35.640: AutostopView - getOffTicks - an error occurred Type mismatch</t>
  </si>
  <si>
    <t>2015-1-26 12:34:35.645: AutostopView - getBuyPrice - an error occurred Type mismatch</t>
  </si>
  <si>
    <t>2015-1-26 12:34:35.650: AutostopView - getBuyQty - an error occurred Type mismatch</t>
  </si>
  <si>
    <t>2015-1-26 12:34:36.850: AutostopView - getOffTicks - an error occurred Type mismatch</t>
  </si>
  <si>
    <t>2015-1-26 12:34:36.856: AutostopView - getBuyPrice - an error occurred Type mismatch</t>
  </si>
  <si>
    <t>2015-1-26 12:34:36.858: AutostopView - getBuyQty - an error occurred Type mismatch</t>
  </si>
  <si>
    <t>2015-1-26 12:34:38.140: AutostopView - getOffTicks - an error occurred Type mismatch</t>
  </si>
  <si>
    <t>2015-1-26 12:34:38.146: AutostopView - getBuyPrice - an error occurred Type mismatch</t>
  </si>
  <si>
    <t>2015-1-26 12:34:38.148: AutostopView - getBuyQty - an error occurred Type mismatch</t>
  </si>
  <si>
    <t>2015-1-26 12:34:39.319: AutostopView - getOffTicks - an error occurred Type mismatch</t>
  </si>
  <si>
    <t>2015-1-26 12:34:39.320: AutostopView - getBuyPrice - an error occurred Type mismatch</t>
  </si>
  <si>
    <t>2015-1-26 12:34:39.328: AutostopView - getBuyQty - an error occurred Type mismatch</t>
  </si>
  <si>
    <t>2015-1-26 12:34:39.354: AutostopView - getOffTicks - an error occurred Type mismatch</t>
  </si>
  <si>
    <t>2015-1-26 12:34:39.356: AutostopView - getBuyPrice - an error occurred Type mismatch</t>
  </si>
  <si>
    <t>2015-1-26 12:34:39.357: AutostopView - getBuyQty - an error occurred Type mismatch</t>
  </si>
  <si>
    <t>2015-1-26 12:34:42.625: AutostopView - getOffTicks - an error occurred Type mismatch</t>
  </si>
  <si>
    <t>2015-1-26 12:34:42.627: AutostopView - getBuyPrice - an error occurred Type mismatch</t>
  </si>
  <si>
    <t>2015-1-26 12:34:42.628: AutostopView - getBuyQty - an error occurred Type mismatch</t>
  </si>
  <si>
    <t>2015-1-26 12:34:42.859: AutostopView - getOffTicks - an error occurred Type mismatch</t>
  </si>
  <si>
    <t>2015-1-26 12:34:42.861: AutostopView - getBuyPrice - an error occurred Type mismatch</t>
  </si>
  <si>
    <t>2015-1-26 12:34:42.862: AutostopView - getBuyQty - an error occurred Type mismatch</t>
  </si>
  <si>
    <t>2015-1-26 12:34:43.239: AutostopView - getOffTicks - an error occurred Type mismatch</t>
  </si>
  <si>
    <t>2015-1-26 12:34:43.242: AutostopView - getBuyPrice - an error occurred Type mismatch</t>
  </si>
  <si>
    <t>2015-1-26 12:34:43.245: AutostopView - getBuyQty - an error occurred Type mismatch</t>
  </si>
  <si>
    <t>2015-1-26 12:34:43.666: AutostopView - getOffTicks - an error occurred Type mismatch</t>
  </si>
  <si>
    <t>2015-1-26 12:34:43.670: AutostopView - getBuyPrice - an error occurred Type mismatch</t>
  </si>
  <si>
    <t>2015-1-26 12:34:43.674: AutostopView - getBuyQty - an error occurred Type mismatch</t>
  </si>
  <si>
    <t>2015-1-26 12:34:44.978: Algorithm - FindNextStrikes - price is 1.50125 nextStrikeUp/Down 1.505/1.5</t>
  </si>
  <si>
    <t>2015-1-26 12:34:44.980: Algorithm - getPortfolioForwardDelta - required deltas is -20 currentHedgePosition is 31</t>
  </si>
  <si>
    <t>2015-1-26 12:34:44.981: Algorithm - getHedgeShortfall - required deltas is -20 price is 1.50115 currentHedgePositionDeltas is 31</t>
  </si>
  <si>
    <t>2015-1-26 12:34:44.983: Algorithm - processTransitionPoint - nextUpper/LowerStrikes are 1.505/1.5 requiredDeltas/currentPosition/currentHedgeShortfall/direction/transitionPrice are -20/31/-51/-1/1.50115</t>
  </si>
  <si>
    <t>2015-1-26 12:34:44.985: TransitionLogger - processTransitionpoint - checking transition - currentHedgeShortfall is -51</t>
  </si>
  <si>
    <t>2015-1-26 12:34:44.992: Algorithm - updatePortfolio - haveAllDetails is True</t>
  </si>
  <si>
    <t>2015-1-26 12:34:44.995: RTWSControl - updatePortfolioEx - An Error Occured Object variable or With block variable not set</t>
  </si>
  <si>
    <t>2015-1-26 12:34:45.7: Algorithm - FindNextStrikes - price is 1.50125 nextStrikeUp/Down 1.505/1.5</t>
  </si>
  <si>
    <t>2015-1-26 12:34:45.8: Algorithm - getPortfolioForwardDelta - required deltas is -20 currentHedgePosition is 31</t>
  </si>
  <si>
    <t>2015-1-26 12:34:45.9: Algorithm - getHedgeShortfall - required deltas is -20 price is 1.50115 currentHedgePositionDeltas is 31</t>
  </si>
  <si>
    <t>2015-1-26 12:34:45.11: Algorithm - processTransitionPoint - nextUpper/LowerStrikes are 1.505/1.5 requiredDeltas/currentPosition/currentHedgeShortfall/direction/transitionPrice are -20/31/-51/-1/1.50115</t>
  </si>
  <si>
    <t>2015-1-26 12:34:45.13: TransitionLogger - processTransitionpoint - checking transition - currentHedgeShortfall is -51</t>
  </si>
  <si>
    <t>2015-1-26 12:34:45.15: Algorithm - updatePortfolio - haveAllDetails is True</t>
  </si>
  <si>
    <t>2015-1-26 12:34:45.17: RTWSControl - updatePortfolioEx - An Error Occured Object variable or With block variable not set</t>
  </si>
  <si>
    <t>2015-1-26 12:34:45.39: Algorithm - FindNextStrikes - price is 1.50125 nextStrikeUp/Down 1.505/1.5</t>
  </si>
  <si>
    <t>2015-1-26 12:34:45.41: Algorithm - getPortfolioForwardDelta - required deltas is -20 currentHedgePosition is 31</t>
  </si>
  <si>
    <t>2015-1-26 12:34:45.42: Algorithm - getHedgeShortfall - required deltas is -20 price is 1.50115 currentHedgePositionDeltas is 31</t>
  </si>
  <si>
    <t>2015-1-26 12:34:45.44: Algorithm - processTransitionPoint - nextUpper/LowerStrikes are 1.505/1.5 requiredDeltas/currentPosition/currentHedgeShortfall/direction/transitionPrice are -20/31/-51/-1/1.50115</t>
  </si>
  <si>
    <t>2015-1-26 12:34:45.45: TransitionLogger - processTransitionpoint - checking transition - currentHedgeShortfall is -51</t>
  </si>
  <si>
    <t>2015-1-26 12:34:45.48: Algorithm - updatePortfolio - haveAllDetails is True</t>
  </si>
  <si>
    <t>2015-1-26 12:34:45.50: RTWSControl - updatePortfolioEx - An Error Occured Object variable or With block variable not set</t>
  </si>
  <si>
    <t>2015-1-26 12:34:45.89: Algorithm - FindNextStrikes - price is 1.50125 nextStrikeUp/Down 1.505/1.5</t>
  </si>
  <si>
    <t>2015-1-26 12:34:45.91: Algorithm - getPortfolioForwardDelta - required deltas is -20 currentHedgePosition is 31</t>
  </si>
  <si>
    <t>2015-1-26 12:34:45.92: Algorithm - getHedgeShortfall - required deltas is -20 price is 1.50115 currentHedgePositionDeltas is 31</t>
  </si>
  <si>
    <t>2015-1-26 12:34:45.94: Algorithm - processTransitionPoint - nextUpper/LowerStrikes are 1.505/1.5 requiredDeltas/currentPosition/currentHedgeShortfall/direction/transitionPrice are -20/31/-51/-1/1.50115</t>
  </si>
  <si>
    <t>2015-1-26 12:34:45.96: TransitionLogger - processTransitionpoint - checking transition - currentHedgeShortfall is -51</t>
  </si>
  <si>
    <t>2015-1-26 12:34:45.98: Algorithm - updatePortfolio - haveAllDetails is True</t>
  </si>
  <si>
    <t>2015-1-26 12:34:45.100: RTWSControl - updatePortfolioEx - An Error Occured Object variable or With block variable not set</t>
  </si>
  <si>
    <t>2015-1-26 12:34:45.124: Algorithm - FindNextStrikes - price is 1.50125 nextStrikeUp/Down 1.505/1.5</t>
  </si>
  <si>
    <t>2015-1-26 12:34:45.125: Algorithm - getPortfolioForwardDelta - required deltas is -20 currentHedgePosition is 31</t>
  </si>
  <si>
    <t>2015-1-26 12:34:45.126: Algorithm - getHedgeShortfall - required deltas is -20 price is 1.50115 currentHedgePositionDeltas is 31</t>
  </si>
  <si>
    <t>2015-1-26 12:34:45.129: Algorithm - processTransitionPoint - nextUpper/LowerStrikes are 1.505/1.5 requiredDeltas/currentPosition/currentHedgeShortfall/direction/transitionPrice are -20/31/-51/-1/1.50115</t>
  </si>
  <si>
    <t>2015-1-26 12:34:45.131: TransitionLogger - processTransitionpoint - checking transition - currentHedgeShortfall is -51</t>
  </si>
  <si>
    <t>2015-1-26 12:34:45.134: Algorithm - updatePortfolio - haveAllDetails is True</t>
  </si>
  <si>
    <t>2015-1-26 12:34:45.136: RTWSControl - updatePortfolioEx - An Error Occured Object variable or With block variable not set</t>
  </si>
  <si>
    <t>2015-1-26 12:34:45.156: Algorithm - FindNextStrikes - price is 1.50125 nextStrikeUp/Down 1.505/1.5</t>
  </si>
  <si>
    <t>2015-1-26 12:34:45.159: Algorithm - getPortfolioForwardDelta - required deltas is -20 currentHedgePosition is 31</t>
  </si>
  <si>
    <t>2015-1-26 12:34:45.160: Algorithm - getHedgeShortfall - required deltas is -20 price is 1.50115 currentHedgePositionDeltas is 31</t>
  </si>
  <si>
    <t>2015-1-26 12:34:45.162: Algorithm - processTransitionPoint - nextUpper/LowerStrikes are 1.505/1.5 requiredDeltas/currentPosition/currentHedgeShortfall/direction/transitionPrice are -20/31/-51/-1/1.50115</t>
  </si>
  <si>
    <t>2015-1-26 12:34:45.164: TransitionLogger - processTransitionpoint - checking transition - currentHedgeShortfall is -51</t>
  </si>
  <si>
    <t>2015-1-26 12:34:45.167: Algorithm - updatePortfolio - haveAllDetails is True</t>
  </si>
  <si>
    <t>2015-1-26 12:34:45.168: RTWSControl - updatePortfolioEx - An Error Occured Object variable or With block variable not set</t>
  </si>
  <si>
    <t>2015-1-26 12:34:45.210: Algorithm - FindNextStrikes - price is 1.50125 nextStrikeUp/Down 1.505/1.5</t>
  </si>
  <si>
    <t>2015-1-26 12:34:45.211: Algorithm - getPortfolioForwardDelta - required deltas is -20 currentHedgePosition is 31</t>
  </si>
  <si>
    <t>2015-1-26 12:34:45.212: Algorithm - getHedgeShortfall - required deltas is -20 price is 1.50115 currentHedgePositionDeltas is 31</t>
  </si>
  <si>
    <t>2015-1-26 12:34:45.214: Algorithm - processTransitionPoint - nextUpper/LowerStrikes are 1.505/1.5 requiredDeltas/currentPosition/currentHedgeShortfall/direction/transitionPrice are -20/31/-51/-1/1.50115</t>
  </si>
  <si>
    <t>2015-1-26 12:34:45.216: TransitionLogger - processTransitionpoint - checking transition - currentHedgeShortfall is -51</t>
  </si>
  <si>
    <t>2015-1-26 12:34:45.218: Algorithm - updatePortfolio - haveAllDetails is True</t>
  </si>
  <si>
    <t>2015-1-26 12:34:45.220: RTWSControl - updatePortfolioEx - An Error Occured Object variable or With block variable not set</t>
  </si>
  <si>
    <t>2015-1-26 12:34:45.239: Algorithm - FindNextStrikes - price is 1.50125 nextStrikeUp/Down 1.505/1.5</t>
  </si>
  <si>
    <t>2015-1-26 12:34:45.242: Algorithm - getPortfolioForwardDelta - required deltas is -20 currentHedgePosition is 31</t>
  </si>
  <si>
    <t>2015-1-26 12:34:45.242: Algorithm - getHedgeShortfall - required deltas is -20 price is 1.50115 currentHedgePositionDeltas is 31</t>
  </si>
  <si>
    <t>2015-1-26 12:34:45.244: Algorithm - processTransitionPoint - nextUpper/LowerStrikes are 1.505/1.5 requiredDeltas/currentPosition/currentHedgeShortfall/direction/transitionPrice are -20/31/-51/-1/1.50115</t>
  </si>
  <si>
    <t>2015-1-26 12:34:45.246: TransitionLogger - processTransitionpoint - checking transition - currentHedgeShortfall is -51</t>
  </si>
  <si>
    <t>2015-1-26 12:34:45.249: Algorithm - updatePortfolio - haveAllDetails is True</t>
  </si>
  <si>
    <t>2015-1-26 12:34:45.251: RTWSControl - updatePortfolioEx - An Error Occured Object variable or With block variable not set</t>
  </si>
  <si>
    <t>2015-1-26 12:35:0.944: AutostopView - getOffTicks - an error occurred Type mismatch</t>
  </si>
  <si>
    <t>2015-1-26 12:35:0.953: AutostopView - getBuyPrice - an error occurred Type mismatch</t>
  </si>
  <si>
    <t>2015-1-26 12:35:0.955: AutostopView - getBuyQty - an error occurred Type mismatch</t>
  </si>
  <si>
    <t>2015-1-26 12:35:1.9: AutostopView - getOffTicks - an error occurred Type mismatch</t>
  </si>
  <si>
    <t>2015-1-26 12:35:1.11: AutostopView - getBuyPrice - an error occurred Type mismatch</t>
  </si>
  <si>
    <t>2015-1-26 12:35:1.12: AutostopView - getBuyQty - an error occurred Type mismatch</t>
  </si>
  <si>
    <t>2015-1-26 12:35:24.809: AutostopView - getOffTicks - an error occurred Type mismatch</t>
  </si>
  <si>
    <t>2015-1-26 12:35:24.814: AutostopView - getBuyPrice - an error occurred Type mismatch</t>
  </si>
  <si>
    <t>2015-1-26 12:35:24.819: AutostopView - getBuyQty - an error occurred Type mismatch</t>
  </si>
  <si>
    <t>2015-1-26 12:35:25.236: AutostopView - getOffTicks - an error occurred Type mismatch</t>
  </si>
  <si>
    <t>2015-1-26 12:35:25.247: AutostopView - getBuyPrice - an error occurred Type mismatch</t>
  </si>
  <si>
    <t>2015-1-26 12:35:25.251: AutostopView - getBuyQty - an error occurred Type mismatch</t>
  </si>
  <si>
    <t>2015-1-26 12:35:38.562: AutostopView - getOffTicks - an error occurred Type mismatch</t>
  </si>
  <si>
    <t>2015-1-26 12:35:38.563: AutostopView - getBuyPrice - an error occurred Type mismatch</t>
  </si>
  <si>
    <t>2015-1-26 12:35:38.565: AutostopView - getBuyQty - an error occurred Type mismatch</t>
  </si>
  <si>
    <t>2015-1-26 12:35:38.594: AutostopView - getOffTicks - an error occurred Type mismatch</t>
  </si>
  <si>
    <t>2015-1-26 12:35:38.596: AutostopView - getBuyPrice - an error occurred Type mismatch</t>
  </si>
  <si>
    <t>2015-1-26 12:35:38.597: AutostopView - getBuyQty - an error occurred Type mismatch</t>
  </si>
  <si>
    <t>2015-1-26 12:35:42.750: AutostopView - getOffTicks - an error occurred Type mismatch</t>
  </si>
  <si>
    <t>2015-1-26 12:35:42.755: AutostopView - getBuyPrice - an error occurred Type mismatch</t>
  </si>
  <si>
    <t>2015-1-26 12:35:42.760: AutostopView - getBuyQty - an error occurred Type mismatch</t>
  </si>
  <si>
    <t>2015-1-26 12:35:43.597: AutostopView - getOffTicks - an error occurred Type mismatch</t>
  </si>
  <si>
    <t>2015-1-26 12:35:43.599: AutostopView - getBuyPrice - an error occurred Type mismatch</t>
  </si>
  <si>
    <t>2015-1-26 12:35:43.600: AutostopView - getBuyQty - an error occurred Type mismatch</t>
  </si>
  <si>
    <t>2015-1-26 12:35:44.548: AutostopView - getOffTicks - an error occurred Type mismatch</t>
  </si>
  <si>
    <t>2015-1-26 12:35:44.550: AutostopView - getBuyPrice - an error occurred Type mismatch</t>
  </si>
  <si>
    <t>2015-1-26 12:35:44.551: AutostopView - getBuyQty - an error occurred Type mismatch</t>
  </si>
  <si>
    <t>2015-1-26 12:35:45.674: AutostopView - getOffTicks - an error occurred Type mismatch</t>
  </si>
  <si>
    <t>2015-1-26 12:35:45.679: AutostopView - getBuyPrice - an error occurred Type mismatch</t>
  </si>
  <si>
    <t>2015-1-26 12:35:45.684: AutostopView - getBuyQty - an error occurred Type mismatch</t>
  </si>
  <si>
    <t>2015-1-26 12:36:13.820: AutostopView - getOffTicks - an error occurred Type mismatch</t>
  </si>
  <si>
    <t>2015-1-26 12:36:13.822: AutostopView - getBuyPrice - an error occurred Type mismatch</t>
  </si>
  <si>
    <t>2015-1-26 12:36:13.824: AutostopView - getBuyQty - an error occurred Type mismatch</t>
  </si>
  <si>
    <t>2015-1-26 12:36:13.889: AutostopView - getOffTicks - an error occurred Type mismatch</t>
  </si>
  <si>
    <t>2015-1-26 12:36:13.891: AutostopView - getBuyPrice - an error occurred Type mismatch</t>
  </si>
  <si>
    <t>2015-1-26 12:36:13.893: AutostopView - getBuyQty - an error occurred Type mismatch</t>
  </si>
  <si>
    <t>2015-1-26 12:36:15.174: AutostopView - getOffTicks - an error occurred Type mismatch</t>
  </si>
  <si>
    <t>2015-1-26 12:36:15.177: AutostopView - getBuyPrice - an error occurred Type mismatch</t>
  </si>
  <si>
    <t>2015-1-26 12:36:15.178: AutostopView - getBuyQty - an error occurred Type mismatch</t>
  </si>
  <si>
    <t>2015-1-26 12:36:16.835: AutostopView - getOffTicks - an error occurred Type mismatch</t>
  </si>
  <si>
    <t>2015-1-26 12:36:16.837: AutostopView - getBuyPrice - an error occurred Type mismatch</t>
  </si>
  <si>
    <t>2015-1-26 12:36:16.838: AutostopView - getBuyQty - an error occurred Type mismatch</t>
  </si>
  <si>
    <t>2015-1-26 12:36:26.297: AutostopView - getOffTicks - an error occurred Type mismatch</t>
  </si>
  <si>
    <t>2015-1-26 12:36:26.302: AutostopView - getBuyPrice - an error occurred Type mismatch</t>
  </si>
  <si>
    <t>2015-1-26 12:36:26.307: AutostopView - getBuyQty - an error occurred Type mismatch</t>
  </si>
  <si>
    <t>2015-1-26 12:36:30.435: AutostopView - getOffTicks - an error occurred Type mismatch</t>
  </si>
  <si>
    <t>2015-1-26 12:36:30.439: AutostopView - getBuyPrice - an error occurred Type mismatch</t>
  </si>
  <si>
    <t>2015-1-26 12:36:30.443: AutostopView - getBuyQty - an error occurred Type mismatch</t>
  </si>
  <si>
    <t>2015-1-26 12:36:31.606: AutostopView - getOffTicks - an error occurred Type mismatch</t>
  </si>
  <si>
    <t>2015-1-26 12:36:31.609: AutostopView - getBuyPrice - an error occurred Type mismatch</t>
  </si>
  <si>
    <t>2015-1-26 12:36:31.611: AutostopView - getBuyQty - an error occurred Type mismatch</t>
  </si>
  <si>
    <t>2015-1-26 12:36:31.651: AutostopView - getOffTicks - an error occurred Type mismatch</t>
  </si>
  <si>
    <t>2015-1-26 12:36:31.653: AutostopView - getBuyPrice - an error occurred Type mismatch</t>
  </si>
  <si>
    <t>2015-1-26 12:36:31.656: AutostopView - getBuyQty - an error occurred Type mismatch</t>
  </si>
  <si>
    <t>2015-1-26 12:36:32.168: AutostopView - getOffTicks - an error occurred Type mismatch</t>
  </si>
  <si>
    <t>2015-1-26 12:36:32.170: AutostopView - getBuyPrice - an error occurred Type mismatch</t>
  </si>
  <si>
    <t>2015-1-26 12:36:32.171: AutostopView - getBuyQty - an error occurred Type mismatch</t>
  </si>
  <si>
    <t>2015-1-26 12:36:32.233: AutostopView - getOffTicks - an error occurred Type mismatch</t>
  </si>
  <si>
    <t>2015-1-26 12:36:32.234: AutostopView - getBuyPrice - an error occurred Type mismatch</t>
  </si>
  <si>
    <t>2015-1-26 12:36:32.236: AutostopView - getBuyQty - an error occurred Type mismatch</t>
  </si>
  <si>
    <t>2015-1-26 12:36:32.649: AutostopView - getOffTicks - an error occurred Type mismatch</t>
  </si>
  <si>
    <t>2015-1-26 12:36:32.651: AutostopView - getBuyPrice - an error occurred Type mismatch</t>
  </si>
  <si>
    <t>2015-1-26 12:36:32.652: AutostopView - getBuyQty - an error occurred Type mismatch</t>
  </si>
  <si>
    <t>2015-1-26 12:36:32.718: AutostopView - getOffTicks - an error occurred Type mismatch</t>
  </si>
  <si>
    <t>2015-1-26 12:36:32.720: AutostopView - getBuyPrice - an error occurred Type mismatch</t>
  </si>
  <si>
    <t>2015-1-26 12:36:32.721: AutostopView - getBuyQty - an error occurred Type mismatch</t>
  </si>
  <si>
    <t>2015-1-26 12:36:32.860: AutostopView - getOffTicks - an error occurred Type mismatch</t>
  </si>
  <si>
    <t>2015-1-26 12:36:32.861: AutostopView - getBuyPrice - an error occurred Type mismatch</t>
  </si>
  <si>
    <t>2015-1-26 12:36:32.862: AutostopView - getBuyQty - an error occurred Type mismatch</t>
  </si>
  <si>
    <t>2015-1-26 12:36:34.239: AutostopView - getOffTicks - an error occurred Type mismatch</t>
  </si>
  <si>
    <t>2015-1-26 12:36:34.248: AutostopView - getBuyPrice - an error occurred Type mismatch</t>
  </si>
  <si>
    <t>2015-1-26 12:36:34.252: AutostopView - getBuyQty - an error occurred Type mismatch</t>
  </si>
  <si>
    <t>2015-1-26 12:36:36.62: AutostopView - getOffTicks - an error occurred Type mismatch</t>
  </si>
  <si>
    <t>2015-1-26 12:36:36.64: AutostopView - getBuyPrice - an error occurred Type mismatch</t>
  </si>
  <si>
    <t>2015-1-26 12:36:36.65: AutostopView - getBuyQty - an error occurred Type mismatch</t>
  </si>
  <si>
    <t>2015-1-26 12:36:36.140: AutostopView - getOffTicks - an error occurred Type mismatch</t>
  </si>
  <si>
    <t>2015-1-26 12:36:36.142: AutostopView - getBuyPrice - an error occurred Type mismatch</t>
  </si>
  <si>
    <t>2015-1-26 12:36:36.143: AutostopView - getBuyQty - an error occurred Type mismatch</t>
  </si>
  <si>
    <t>2015-1-26 12:36:37.817: AutostopView - getOffTicks - an error occurred Type mismatch</t>
  </si>
  <si>
    <t>2015-1-26 12:36:37.819: AutostopView - getBuyPrice - an error occurred Type mismatch</t>
  </si>
  <si>
    <t>2015-1-26 12:36:37.820: AutostopView - getBuyQty - an error occurred Type mismatch</t>
  </si>
  <si>
    <t>2015-1-26 12:36:37.850: AutostopView - getOffTicks - an error occurred Type mismatch</t>
  </si>
  <si>
    <t>2015-1-26 12:36:37.851: AutostopView - getBuyPrice - an error occurred Type mismatch</t>
  </si>
  <si>
    <t>2015-1-26 12:36:37.852: AutostopView - getBuyQty - an error occurred Type mismatch</t>
  </si>
  <si>
    <t>2015-1-26 12:36:38.82: AutostopView - getOffTicks - an error occurred Type mismatch</t>
  </si>
  <si>
    <t>2015-1-26 12:36:38.84: AutostopView - getBuyPrice - an error occurred Type mismatch</t>
  </si>
  <si>
    <t>2015-1-26 12:36:38.87: AutostopView - getBuyQty - an error occurred Type mismatch</t>
  </si>
  <si>
    <t>2015-1-26 12:36:38.106: AutostopView - getOffTicks - an error occurred Type mismatch</t>
  </si>
  <si>
    <t>2015-1-26 12:36:38.107: AutostopView - getBuyPrice - an error occurred Type mismatch</t>
  </si>
  <si>
    <t>2015-1-26 12:36:38.108: AutostopView - getBuyQty - an error occurred Type mismatch</t>
  </si>
  <si>
    <t>2015-1-26 12:36:38.792: AutostopView - getOffTicks - an error occurred Type mismatch</t>
  </si>
  <si>
    <t>2015-1-26 12:36:38.793: AutostopView - getBuyPrice - an error occurred Type mismatch</t>
  </si>
  <si>
    <t>2015-1-26 12:36:38.794: AutostopView - getBuyQty - an error occurred Type mismatch</t>
  </si>
  <si>
    <t>2015-1-26 12:36:39.48: AutostopView - getOffTicks - an error occurred Type mismatch</t>
  </si>
  <si>
    <t>2015-1-26 12:36:39.49: AutostopView - getBuyPrice - an error occurred Type mismatch</t>
  </si>
  <si>
    <t>2015-1-26 12:36:39.51: AutostopView - getBuyQty - an error occurred Type mismatch</t>
  </si>
  <si>
    <t>2015-1-26 12:36:39.96: AutostopView - getOffTicks - an error occurred Type mismatch</t>
  </si>
  <si>
    <t>2015-1-26 12:36:39.98: AutostopView - getBuyPrice - an error occurred Type mismatch</t>
  </si>
  <si>
    <t>2015-1-26 12:36:39.99: AutostopView - getBuyQty - an error occurred Type mismatch</t>
  </si>
  <si>
    <t>2015-1-26 12:36:39.543: AutostopView - getOffTicks - an error occurred Type mismatch</t>
  </si>
  <si>
    <t>2015-1-26 12:36:39.544: AutostopView - getBuyPrice - an error occurred Type mismatch</t>
  </si>
  <si>
    <t>2015-1-26 12:36:39.546: AutostopView - getBuyQty - an error occurred Type mismatch</t>
  </si>
  <si>
    <t>2015-1-26 12:36:39.760: AutostopView - getOffTicks - an error occurred Type mismatch</t>
  </si>
  <si>
    <t>2015-1-26 12:36:39.761: AutostopView - getBuyPrice - an error occurred Type mismatch</t>
  </si>
  <si>
    <t>2015-1-26 12:36:39.762: AutostopView - getBuyQty - an error occurred Type mismatch</t>
  </si>
  <si>
    <t>2015-1-26 12:36:40.685: AutostopView - getOffTicks - an error occurred Type mismatch</t>
  </si>
  <si>
    <t>2015-1-26 12:36:40.686: AutostopView - getBuyPrice - an error occurred Type mismatch</t>
  </si>
  <si>
    <t>2015-1-26 12:36:40.687: AutostopView - getBuyQty - an error occurred Type mismatch</t>
  </si>
  <si>
    <t>2015-1-26 12:36:40.713: AutostopView - getOffTicks - an error occurred Type mismatch</t>
  </si>
  <si>
    <t>2015-1-26 12:36:40.714: AutostopView - getBuyPrice - an error occurred Type mismatch</t>
  </si>
  <si>
    <t>2015-1-26 12:36:40.716: AutostopView - getBuyQty - an error occurred Type mismatch</t>
  </si>
  <si>
    <t>2015-1-26 12:36:41.935: AutostopView - getOffTicks - an error occurred Type mismatch</t>
  </si>
  <si>
    <t>2015-1-26 12:36:41.937: AutostopView - getBuyPrice - an error occurred Type mismatch</t>
  </si>
  <si>
    <t>2015-1-26 12:36:41.938: AutostopView - getBuyQty - an error occurred Type mismatch</t>
  </si>
  <si>
    <t>2015-1-26 12:36:41.967: AutostopView - getOffTicks - an error occurred Type mismatch</t>
  </si>
  <si>
    <t>2015-1-26 12:36:41.968: AutostopView - getBuyPrice - an error occurred Type mismatch</t>
  </si>
  <si>
    <t>2015-1-26 12:36:41.969: AutostopView - getBuyQty - an error occurred Type mismatch</t>
  </si>
  <si>
    <t>2015-1-26 12:36:42.233: AutostopView - getOffTicks - an error occurred Type mismatch</t>
  </si>
  <si>
    <t>2015-1-26 12:36:42.234: AutostopView - getBuyPrice - an error occurred Type mismatch</t>
  </si>
  <si>
    <t>2015-1-26 12:36:42.235: AutostopView - getBuyQty - an error occurred Type mismatch</t>
  </si>
  <si>
    <t>2015-1-26 12:36:42.791: AutostopView - getOffTicks - an error occurred Type mismatch</t>
  </si>
  <si>
    <t>2015-1-26 12:36:42.792: AutostopView - getBuyPrice - an error occurred Type mismatch</t>
  </si>
  <si>
    <t>2015-1-26 12:36:42.794: AutostopView - getBuyQty - an error occurred Type mismatch</t>
  </si>
  <si>
    <t>2015-1-26 12:36:43.351: AutostopView - getOffTicks - an error occurred Type mismatch</t>
  </si>
  <si>
    <t>2015-1-26 12:36:43.355: AutostopView - getBuyPrice - an error occurred Type mismatch</t>
  </si>
  <si>
    <t>2015-1-26 12:36:43.358: AutostopView - getBuyQty - an error occurred Type mismatch</t>
  </si>
  <si>
    <t>2015-1-26 12:36:44.381: AutostopView - getOffTicks - an error occurred Type mismatch</t>
  </si>
  <si>
    <t>2015-1-26 12:36:44.385: AutostopView - getBuyPrice - an error occurred Type mismatch</t>
  </si>
  <si>
    <t>2015-1-26 12:36:44.388: AutostopView - getBuyQty - an error occurred Type mismatch</t>
  </si>
  <si>
    <t>2015-1-26 12:36:47.821: AutostopView - getOffTicks - an error occurred Type mismatch</t>
  </si>
  <si>
    <t>2015-1-26 12:36:47.824: AutostopView - getBuyPrice - an error occurred Type mismatch</t>
  </si>
  <si>
    <t>2015-1-26 12:36:47.826: AutostopView - getBuyQty - an error occurred Type mismatch</t>
  </si>
  <si>
    <t>2015-1-26 12:36:48.6: AutostopView - getOffTicks - an error occurred Type mismatch</t>
  </si>
  <si>
    <t>2015-1-26 12:36:48.11: AutostopView - getBuyPrice - an error occurred Type mismatch</t>
  </si>
  <si>
    <t>2015-1-26 12:36:48.16: AutostopView - getBuyQty - an error occurred Type mismatch</t>
  </si>
  <si>
    <t>2015-1-26 12:36:50.239: AutostopView - getOffTicks - an error occurred Type mismatch</t>
  </si>
  <si>
    <t>2015-1-26 12:36:50.246: AutostopView - getBuyPrice - an error occurred Type mismatch</t>
  </si>
  <si>
    <t>2015-1-26 12:36:50.247: AutostopView - getBuyQty - an error occurred Type mismatch</t>
  </si>
  <si>
    <t>2015-1-26 12:36:50.271: AutostopView - getOffTicks - an error occurred Type mismatch</t>
  </si>
  <si>
    <t>2015-1-26 12:36:50.273: AutostopView - getBuyPrice - an error occurred Type mismatch</t>
  </si>
  <si>
    <t>2015-1-26 12:36:50.274: AutostopView - getBuyQty - an error occurred Type mismatch</t>
  </si>
  <si>
    <t>2015-1-26 12:36:50.580: AutostopView - getOffTicks - an error occurred Type mismatch</t>
  </si>
  <si>
    <t>2015-1-26 12:36:50.581: AutostopView - getBuyPrice - an error occurred Type mismatch</t>
  </si>
  <si>
    <t>2015-1-26 12:36:50.582: AutostopView - getBuyQty - an error occurred Type mismatch</t>
  </si>
  <si>
    <t>2015-1-26 12:36:50.760: AutostopView - getOffTicks - an error occurred Type mismatch</t>
  </si>
  <si>
    <t>2015-1-26 12:36:50.761: AutostopView - getBuyPrice - an error occurred Type mismatch</t>
  </si>
  <si>
    <t>2015-1-26 12:36:50.763: AutostopView - getBuyQty - an error occurred Type mismatch</t>
  </si>
  <si>
    <t>2015-1-26 12:36:50.788: AutostopView - getOffTicks - an error occurred Type mismatch</t>
  </si>
  <si>
    <t>2015-1-26 12:36:50.789: AutostopView - getBuyPrice - an error occurred Type mismatch</t>
  </si>
  <si>
    <t>2015-1-26 12:36:50.791: AutostopView - getBuyQty - an error occurred Type mismatch</t>
  </si>
  <si>
    <t>2015-1-26 12:36:51.654: AutostopView - getOffTicks - an error occurred Type mismatch</t>
  </si>
  <si>
    <t>2015-1-26 12:36:51.662: AutostopView - getBuyPrice - an error occurred Type mismatch</t>
  </si>
  <si>
    <t>2015-1-26 12:36:51.664: AutostopView - getBuyQty - an error occurred Type mismatch</t>
  </si>
  <si>
    <t>2015-1-26 12:36:51.716: AutostopView - getOffTicks - an error occurred Type mismatch</t>
  </si>
  <si>
    <t>2015-1-26 12:36:51.718: AutostopView - getBuyPrice - an error occurred Type mismatch</t>
  </si>
  <si>
    <t>2015-1-26 12:36:51.719: AutostopView - getBuyQty - an error occurred Type mismatch</t>
  </si>
  <si>
    <t>2015-1-26 12:36:52.881: AutostopView - getOffTicks - an error occurred Type mismatch</t>
  </si>
  <si>
    <t>2015-1-26 12:36:52.882: AutostopView - getBuyPrice - an error occurred Type mismatch</t>
  </si>
  <si>
    <t>2015-1-26 12:36:52.884: AutostopView - getBuyQty - an error occurred Type mismatch</t>
  </si>
  <si>
    <t>2015-1-26 12:36:54.813: AutostopView - getOffTicks - an error occurred Type mismatch</t>
  </si>
  <si>
    <t>2015-1-26 12:36:54.815: AutostopView - getBuyPrice - an error occurred Type mismatch</t>
  </si>
  <si>
    <t>2015-1-26 12:36:54.816: AutostopView - getBuyQty - an error occurred Type mismatch</t>
  </si>
  <si>
    <t>2015-1-26 12:36:57.439: AutostopView - getOffTicks - an error occurred Type mismatch</t>
  </si>
  <si>
    <t>2015-1-26 12:36:57.441: AutostopView - getBuyPrice - an error occurred Type mismatch</t>
  </si>
  <si>
    <t>2015-1-26 12:36:57.443: AutostopView - getBuyQty - an error occurred Type mismatch</t>
  </si>
  <si>
    <t>2015-1-26 12:36:57.483: AutostopView - getOffTicks - an error occurred Type mismatch</t>
  </si>
  <si>
    <t>2015-1-26 12:36:57.486: AutostopView - getBuyPrice - an error occurred Type mismatch</t>
  </si>
  <si>
    <t>2015-1-26 12:36:57.488: AutostopView - getBuyQty - an error occurred Type mismatch</t>
  </si>
  <si>
    <t>2015-1-26 12:36:57.849: AutostopView - getOffTicks - an error occurred Type mismatch</t>
  </si>
  <si>
    <t>2015-1-26 12:36:57.851: AutostopView - getBuyPrice - an error occurred Type mismatch</t>
  </si>
  <si>
    <t>2015-1-26 12:36:57.852: AutostopView - getBuyQty - an error occurred Type mismatch</t>
  </si>
  <si>
    <t>2015-1-26 12:36:58.48: AutostopView - getOffTicks - an error occurred Type mismatch</t>
  </si>
  <si>
    <t>2015-1-26 12:36:58.49: AutostopView - getBuyPrice - an error occurred Type mismatch</t>
  </si>
  <si>
    <t>2015-1-26 12:36:58.51: AutostopView - getBuyQty - an error occurred Type mismatch</t>
  </si>
  <si>
    <t>2015-1-26 12:36:58.501: AutostopView - getOffTicks - an error occurred Type mismatch</t>
  </si>
  <si>
    <t>2015-1-26 12:36:58.504: AutostopView - getBuyPrice - an error occurred Type mismatch</t>
  </si>
  <si>
    <t>2015-1-26 12:36:58.507: AutostopView - getBuyQty - an error occurred Type mismatch</t>
  </si>
  <si>
    <t>2015-1-26 12:37:3.580: AutostopView - getOffTicks - an error occurred Type mismatch</t>
  </si>
  <si>
    <t>2015-1-26 12:37:3.583: AutostopView - getBuyPrice - an error occurred Type mismatch</t>
  </si>
  <si>
    <t>2015-1-26 12:37:3.586: AutostopView - getBuyQty - an error occurred Type mismatch</t>
  </si>
  <si>
    <t>2015-1-26 12:37:4.6: AutostopView - getOffTicks - an error occurred Type mismatch</t>
  </si>
  <si>
    <t>2015-1-26 12:37:4.8: AutostopView - getBuyPrice - an error occurred Type mismatch</t>
  </si>
  <si>
    <t>2015-1-26 12:37:4.9: AutostopView - getBuyQty - an error occurred Type mismatch</t>
  </si>
  <si>
    <t>2015-1-26 12:37:4.383: AutostopView - getOffTicks - an error occurred Type mismatch</t>
  </si>
  <si>
    <t>2015-1-26 12:37:4.384: AutostopView - getBuyPrice - an error occurred Type mismatch</t>
  </si>
  <si>
    <t>2015-1-26 12:37:4.386: AutostopView - getBuyQty - an error occurred Type mismatch</t>
  </si>
  <si>
    <t>2015-1-26 12:37:11.329: AutostopView - getOffTicks - an error occurred Type mismatch</t>
  </si>
  <si>
    <t>2015-1-26 12:37:11.332: AutostopView - getBuyPrice - an error occurred Type mismatch</t>
  </si>
  <si>
    <t>2015-1-26 12:37:11.334: AutostopView - getBuyQty - an error occurred Type mismatch</t>
  </si>
  <si>
    <t>2015-1-26 12:37:12.667: AutostopView - getOffTicks - an error occurred Type mismatch</t>
  </si>
  <si>
    <t>2015-1-26 12:37:12.669: AutostopView - getBuyPrice - an error occurred Type mismatch</t>
  </si>
  <si>
    <t>2015-1-26 12:37:12.670: AutostopView - getBuyQty - an error occurred Type mismatch</t>
  </si>
  <si>
    <t>2015-1-26 12:37:12.841: AutostopView - getOffTicks - an error occurred Type mismatch</t>
  </si>
  <si>
    <t>2015-1-26 12:37:12.843: AutostopView - getBuyPrice - an error occurred Type mismatch</t>
  </si>
  <si>
    <t>2015-1-26 12:37:12.844: AutostopView - getBuyQty - an error occurred Type mismatch</t>
  </si>
  <si>
    <t>2015-1-26 12:37:13.45: AutostopView - getOffTicks - an error occurred Type mismatch</t>
  </si>
  <si>
    <t>2015-1-26 12:37:13.46: AutostopView - getBuyPrice - an error occurred Type mismatch</t>
  </si>
  <si>
    <t>2015-1-26 12:37:13.48: AutostopView - getBuyQty - an error occurred Type mismatch</t>
  </si>
  <si>
    <t>2015-1-26 12:37:16.739: AutostopView - getOffTicks - an error occurred Type mismatch</t>
  </si>
  <si>
    <t>2015-1-26 12:37:16.743: AutostopView - getBuyPrice - an error occurred Type mismatch</t>
  </si>
  <si>
    <t>2015-1-26 12:37:16.746: AutostopView - getBuyQty - an error occurred Type mismatch</t>
  </si>
  <si>
    <t>2015-1-26 12:37:17.828: AutostopView - getOffTicks - an error occurred Type mismatch</t>
  </si>
  <si>
    <t>2015-1-26 12:37:17.834: AutostopView - getBuyPrice - an error occurred Type mismatch</t>
  </si>
  <si>
    <t>2015-1-26 12:37:17.838: AutostopView - getBuyQty - an error occurred Type mismatch</t>
  </si>
  <si>
    <t>2015-1-26 12:37:18.697: AutostopView - getOffTicks - an error occurred Type mismatch</t>
  </si>
  <si>
    <t>2015-1-26 12:37:18.706: AutostopView - getBuyPrice - an error occurred Type mismatch</t>
  </si>
  <si>
    <t>2015-1-26 12:37:18.708: AutostopView - getBuyQty - an error occurred Type mismatch</t>
  </si>
  <si>
    <t>2015-1-26 12:37:18.762: AutostopView - getOffTicks - an error occurred Type mismatch</t>
  </si>
  <si>
    <t>2015-1-26 12:37:18.764: AutostopView - getBuyPrice - an error occurred Type mismatch</t>
  </si>
  <si>
    <t>2015-1-26 12:37:18.766: AutostopView - getBuyQty - an error occurred Type mismatch</t>
  </si>
  <si>
    <t>2015-1-26 12:37:18.985: AutostopView - getOffTicks - an error occurred Type mismatch</t>
  </si>
  <si>
    <t>2015-1-26 12:37:18.986: AutostopView - getBuyPrice - an error occurred Type mismatch</t>
  </si>
  <si>
    <t>2015-1-26 12:37:18.988: AutostopView - getBuyQty - an error occurred Type mismatch</t>
  </si>
  <si>
    <t>2015-1-26 12:37:19.11: AutostopView - getOffTicks - an error occurred Type mismatch</t>
  </si>
  <si>
    <t>2015-1-26 12:37:19.12: AutostopView - getBuyPrice - an error occurred Type mismatch</t>
  </si>
  <si>
    <t>2015-1-26 12:37:19.14: AutostopView - getBuyQty - an error occurred Type mismatch</t>
  </si>
  <si>
    <t>2015-1-26 12:37:19.958: AutostopView - getOffTicks - an error occurred Type mismatch</t>
  </si>
  <si>
    <t>2015-1-26 12:37:19.963: AutostopView - getBuyPrice - an error occurred Type mismatch</t>
  </si>
  <si>
    <t>2015-1-26 12:37:19.967: AutostopView - getBuyQty - an error occurred Type mismatch</t>
  </si>
  <si>
    <t>2015-1-26 12:37:20.12: AutostopView - getOffTicks - an error occurred Type mismatch</t>
  </si>
  <si>
    <t>2015-1-26 12:37:20.13: AutostopView - getBuyPrice - an error occurred Type mismatch</t>
  </si>
  <si>
    <t>2015-1-26 12:37:20.15: AutostopView - getBuyQty - an error occurred Type mismatch</t>
  </si>
  <si>
    <t>2015-1-26 12:37:20.430: AutostopView - getOffTicks - an error occurred Type mismatch</t>
  </si>
  <si>
    <t>2015-1-26 12:37:20.432: AutostopView - getBuyPrice - an error occurred Type mismatch</t>
  </si>
  <si>
    <t>2015-1-26 12:37:20.435: AutostopView - getBuyQty - an error occurred Type mismatch</t>
  </si>
  <si>
    <t>2015-1-26 12:37:21.357: AutostopView - getOffTicks - an error occurred Type mismatch</t>
  </si>
  <si>
    <t>2015-1-26 12:37:21.362: AutostopView - getBuyPrice - an error occurred Type mismatch</t>
  </si>
  <si>
    <t>2015-1-26 12:37:21.372: AutostopView - getBuyQty - an error occurred Type mismatch</t>
  </si>
  <si>
    <t>2015-1-26 12:37:23.758: AutostopView - getOffTicks - an error occurred Type mismatch</t>
  </si>
  <si>
    <t>2015-1-26 12:37:23.760: AutostopView - getBuyPrice - an error occurred Type mismatch</t>
  </si>
  <si>
    <t>2015-1-26 12:37:23.762: AutostopView - getBuyQty - an error occurred Type mismatch</t>
  </si>
  <si>
    <t>2015-1-26 12:37:26.707: AutostopView - getOffTicks - an error occurred Type mismatch</t>
  </si>
  <si>
    <t>2015-1-26 12:37:26.710: AutostopView - getBuyPrice - an error occurred Type mismatch</t>
  </si>
  <si>
    <t>2015-1-26 12:37:26.712: AutostopView - getBuyQty - an error occurred Type mismatch</t>
  </si>
  <si>
    <t>2015-1-26 12:37:26.738: AutostopView - getOffTicks - an error occurred Type mismatch</t>
  </si>
  <si>
    <t>2015-1-26 12:37:26.742: AutostopView - getBuyPrice - an error occurred Type mismatch</t>
  </si>
  <si>
    <t>2015-1-26 12:37:26.744: AutostopView - getBuyQty - an error occurred Type mismatch</t>
  </si>
  <si>
    <t>2015-1-26 12:37:26.814: AutostopView - getOffTicks - an error occurred Type mismatch</t>
  </si>
  <si>
    <t>2015-1-26 12:37:26.815: AutostopView - getBuyPrice - an error occurred Type mismatch</t>
  </si>
  <si>
    <t>2015-1-26 12:37:26.816: AutostopView - getBuyQty - an error occurred Type mismatch</t>
  </si>
  <si>
    <t>2015-1-26 12:37:27.57: AutostopView - getOffTicks - an error occurred Type mismatch</t>
  </si>
  <si>
    <t>2015-1-26 12:37:27.58: AutostopView - getBuyPrice - an error occurred Type mismatch</t>
  </si>
  <si>
    <t>2015-1-26 12:37:27.60: AutostopView - getBuyQty - an error occurred Type mismatch</t>
  </si>
  <si>
    <t>2015-1-26 12:37:33.89: AutostopView - getOffTicks - an error occurred Type mismatch</t>
  </si>
  <si>
    <t>2015-1-26 12:37:33.91: AutostopView - getBuyPrice - an error occurred Type mismatch</t>
  </si>
  <si>
    <t>2015-1-26 12:37:33.94: AutostopView - getBuyQty - an error occurred Type mismatch</t>
  </si>
  <si>
    <t>2015-1-26 12:37:37.124: AutostopView - getOffTicks - an error occurred Type mismatch</t>
  </si>
  <si>
    <t>2015-1-26 12:37:37.127: AutostopView - getBuyPrice - an error occurred Type mismatch</t>
  </si>
  <si>
    <t>2015-1-26 12:37:37.128: AutostopView - getBuyQty - an error occurred Type mismatch</t>
  </si>
  <si>
    <t>2015-1-26 12:37:37.151: AutostopView - getOffTicks - an error occurred Type mismatch</t>
  </si>
  <si>
    <t>2015-1-26 12:37:37.152: AutostopView - getBuyPrice - an error occurred Type mismatch</t>
  </si>
  <si>
    <t>2015-1-26 12:37:37.153: AutostopView - getBuyQty - an error occurred Type mismatch</t>
  </si>
  <si>
    <t>2015-1-26 12:37:37.437: AutostopView - getOffTicks - an error occurred Type mismatch</t>
  </si>
  <si>
    <t>2015-1-26 12:37:37.439: AutostopView - getBuyPrice - an error occurred Type mismatch</t>
  </si>
  <si>
    <t>2015-1-26 12:37:37.440: AutostopView - getBuyQty - an error occurred Type mismatch</t>
  </si>
  <si>
    <t>2015-1-26 12:37:37.858: AutostopView - getOffTicks - an error occurred Type mismatch</t>
  </si>
  <si>
    <t>2015-1-26 12:37:37.863: AutostopView - getBuyPrice - an error occurred Type mismatch</t>
  </si>
  <si>
    <t>2015-1-26 12:37:37.875: AutostopView - getBuyQty - an error occurred Type mismatch</t>
  </si>
  <si>
    <t>2015-1-26 12:37:40.770: AutostopView - getOffTicks - an error occurred Type mismatch</t>
  </si>
  <si>
    <t>2015-1-26 12:37:40.775: AutostopView - getBuyPrice - an error occurred Type mismatch</t>
  </si>
  <si>
    <t>2015-1-26 12:37:40.780: AutostopView - getBuyQty - an error occurred Type mismatch</t>
  </si>
  <si>
    <t>2015-1-26 12:37:40.839: AutostopView - getOffTicks - an error occurred Type mismatch</t>
  </si>
  <si>
    <t>2015-1-26 12:37:40.842: AutostopView - getBuyPrice - an error occurred Type mismatch</t>
  </si>
  <si>
    <t>2015-1-26 12:37:40.844: AutostopView - getBuyQty - an error occurred Type mismatch</t>
  </si>
  <si>
    <t>2015-1-26 12:37:41.448: AutostopView - getOffTicks - an error occurred Type mismatch</t>
  </si>
  <si>
    <t>2015-1-26 12:37:41.450: AutostopView - getBuyPrice - an error occurred Type mismatch</t>
  </si>
  <si>
    <t>2015-1-26 12:37:41.452: AutostopView - getBuyQty - an error occurred Type mismatch</t>
  </si>
  <si>
    <t>2015-1-26 12:37:44.803: Algorithm - FindNextStrikes - price is 1.5004 nextStrikeUp/Down 1.505/1.5</t>
  </si>
  <si>
    <t>2015-1-26 12:37:44.804: Algorithm - getPortfolioForwardDelta - required deltas is -20 currentHedgePosition is 31</t>
  </si>
  <si>
    <t>2015-1-26 12:37:44.805: Algorithm - getHedgeShortfall - required deltas is -20 price is 1.5003 currentHedgePositionDeltas is 31</t>
  </si>
  <si>
    <t>2015-1-26 12:37:44.807: Algorithm - processTransitionPoint - nextUpper/LowerStrikes are 1.505/1.5 requiredDeltas/currentPosition/currentHedgeShortfall/direction/transitionPrice are -20/31/-51/-1/1.5003</t>
  </si>
  <si>
    <t>2015-1-26 12:37:44.809: TransitionLogger - processTransitionpoint - checking transition - currentHedgeShortfall is -51</t>
  </si>
  <si>
    <t>2015-1-26 12:37:44.812: Algorithm - updatePortfolio - haveAllDetails is True</t>
  </si>
  <si>
    <t>2015-1-26 12:37:44.814: RTWSControl - updatePortfolioEx - An Error Occured Object variable or With block variable not set</t>
  </si>
  <si>
    <t>2015-1-26 12:37:44.834: Algorithm - FindNextStrikes - price is 1.5004 nextStrikeUp/Down 1.505/1.5</t>
  </si>
  <si>
    <t>2015-1-26 12:37:44.836: Algorithm - getPortfolioForwardDelta - required deltas is -20 currentHedgePosition is 31</t>
  </si>
  <si>
    <t>2015-1-26 12:37:44.837: Algorithm - getHedgeShortfall - required deltas is -20 price is 1.5003 currentHedgePositionDeltas is 31</t>
  </si>
  <si>
    <t>2015-1-26 12:37:44.839: Algorithm - processTransitionPoint - nextUpper/LowerStrikes are 1.505/1.5 requiredDeltas/currentPosition/currentHedgeShortfall/direction/transitionPrice are -20/31/-51/-1/1.5003</t>
  </si>
  <si>
    <t>2015-1-26 12:37:44.841: TransitionLogger - processTransitionpoint - checking transition - currentHedgeShortfall is -51</t>
  </si>
  <si>
    <t>2015-1-26 12:37:44.844: Algorithm - updatePortfolio - haveAllDetails is True</t>
  </si>
  <si>
    <t>2015-1-26 12:37:44.846: RTWSControl - updatePortfolioEx - An Error Occured Object variable or With block variable not set</t>
  </si>
  <si>
    <t>2015-1-26 12:37:44.866: Algorithm - FindNextStrikes - price is 1.5004 nextStrikeUp/Down 1.505/1.5</t>
  </si>
  <si>
    <t>2015-1-26 12:37:44.868: Algorithm - getPortfolioForwardDelta - required deltas is -20 currentHedgePosition is 31</t>
  </si>
  <si>
    <t>2015-1-26 12:37:44.869: Algorithm - getHedgeShortfall - required deltas is -20 price is 1.5003 currentHedgePositionDeltas is 31</t>
  </si>
  <si>
    <t>2015-1-26 12:37:44.872: Algorithm - processTransitionPoint - nextUpper/LowerStrikes are 1.505/1.5 requiredDeltas/currentPosition/currentHedgeShortfall/direction/transitionPrice are -20/31/-51/-1/1.5003</t>
  </si>
  <si>
    <t>2015-1-26 12:37:44.874: TransitionLogger - processTransitionpoint - checking transition - currentHedgeShortfall is -51</t>
  </si>
  <si>
    <t>2015-1-26 12:37:44.877: Algorithm - updatePortfolio - haveAllDetails is True</t>
  </si>
  <si>
    <t>2015-1-26 12:37:44.879: RTWSControl - updatePortfolioEx - An Error Occured Object variable or With block variable not set</t>
  </si>
  <si>
    <t>2015-1-26 12:37:44.898: Algorithm - FindNextStrikes - price is 1.5004 nextStrikeUp/Down 1.505/1.5</t>
  </si>
  <si>
    <t>2015-1-26 12:37:44.899: Algorithm - getPortfolioForwardDelta - required deltas is -20 currentHedgePosition is 31</t>
  </si>
  <si>
    <t>2015-1-26 12:37:44.900: Algorithm - getHedgeShortfall - required deltas is -20 price is 1.5003 currentHedgePositionDeltas is 31</t>
  </si>
  <si>
    <t>2015-1-26 12:37:44.902: Algorithm - processTransitionPoint - nextUpper/LowerStrikes are 1.505/1.5 requiredDeltas/currentPosition/currentHedgeShortfall/direction/transitionPrice are -20/31/-51/-1/1.5003</t>
  </si>
  <si>
    <t>2015-1-26 12:37:44.904: TransitionLogger - processTransitionpoint - checking transition - currentHedgeShortfall is -51</t>
  </si>
  <si>
    <t>2015-1-26 12:37:44.907: Algorithm - updatePortfolio - haveAllDetails is True</t>
  </si>
  <si>
    <t>2015-1-26 12:37:44.911: RTWSControl - updatePortfolioEx - An Error Occured Object variable or With block variable not set</t>
  </si>
  <si>
    <t>2015-1-26 12:37:44.931: Algorithm - FindNextStrikes - price is 1.5004 nextStrikeUp/Down 1.505/1.5</t>
  </si>
  <si>
    <t>2015-1-26 12:37:44.932: Algorithm - getPortfolioForwardDelta - required deltas is -20 currentHedgePosition is 31</t>
  </si>
  <si>
    <t>2015-1-26 12:37:44.932: Algorithm - getHedgeShortfall - required deltas is -20 price is 1.5003 currentHedgePositionDeltas is 31</t>
  </si>
  <si>
    <t>2015-1-26 12:37:44.934: Algorithm - processTransitionPoint - nextUpper/LowerStrikes are 1.505/1.5 requiredDeltas/currentPosition/currentHedgeShortfall/direction/transitionPrice are -20/31/-51/-1/1.5003</t>
  </si>
  <si>
    <t>2015-1-26 12:37:44.936: TransitionLogger - processTransitionpoint - checking transition - currentHedgeShortfall is -51</t>
  </si>
  <si>
    <t>2015-1-26 12:37:44.938: Algorithm - updatePortfolio - haveAllDetails is True</t>
  </si>
  <si>
    <t>2015-1-26 12:37:44.940: RTWSControl - updatePortfolioEx - An Error Occured Object variable or With block variable not set</t>
  </si>
  <si>
    <t>2015-1-26 12:37:44.963: Algorithm - FindNextStrikes - price is 1.5004 nextStrikeUp/Down 1.505/1.5</t>
  </si>
  <si>
    <t>2015-1-26 12:37:44.964: Algorithm - getPortfolioForwardDelta - required deltas is -20 currentHedgePosition is 31</t>
  </si>
  <si>
    <t>2015-1-26 12:37:44.965: Algorithm - getHedgeShortfall - required deltas is -20 price is 1.5003 currentHedgePositionDeltas is 31</t>
  </si>
  <si>
    <t>2015-1-26 12:37:44.967: Algorithm - processTransitionPoint - nextUpper/LowerStrikes are 1.505/1.5 requiredDeltas/currentPosition/currentHedgeShortfall/direction/transitionPrice are -20/31/-51/-1/1.5003</t>
  </si>
  <si>
    <t>2015-1-26 12:37:44.968: TransitionLogger - processTransitionpoint - checking transition - currentHedgeShortfall is -51</t>
  </si>
  <si>
    <t>2015-1-26 12:37:44.971: Algorithm - updatePortfolio - haveAllDetails is True</t>
  </si>
  <si>
    <t>2015-1-26 12:37:44.972: RTWSControl - updatePortfolioEx - An Error Occured Object variable or With block variable not set</t>
  </si>
  <si>
    <t>2015-1-26 12:37:44.991: Algorithm - FindNextStrikes - price is 1.5004 nextStrikeUp/Down 1.505/1.5</t>
  </si>
  <si>
    <t>2015-1-26 12:37:44.993: Algorithm - getPortfolioForwardDelta - required deltas is -20 currentHedgePosition is 31</t>
  </si>
  <si>
    <t>2015-1-26 12:37:44.994: Algorithm - getHedgeShortfall - required deltas is -20 price is 1.5003 currentHedgePositionDeltas is 31</t>
  </si>
  <si>
    <t>2015-1-26 12:37:44.996: Algorithm - processTransitionPoint - nextUpper/LowerStrikes are 1.505/1.5 requiredDeltas/currentPosition/currentHedgeShortfall/direction/transitionPrice are -20/31/-51/-1/1.5003</t>
  </si>
  <si>
    <t>2015-1-26 12:37:44.998: TransitionLogger - processTransitionpoint - checking transition - currentHedgeShortfall is -51</t>
  </si>
  <si>
    <t>2015-1-26 12:37:45.1: Algorithm - updatePortfolio - haveAllDetails is True</t>
  </si>
  <si>
    <t>2015-1-26 12:37:45.3: RTWSControl - updatePortfolioEx - An Error Occured Object variable or With block variable not set</t>
  </si>
  <si>
    <t>2015-1-26 12:37:45.21: Algorithm - FindNextStrikes - price is 1.5004 nextStrikeUp/Down 1.505/1.5</t>
  </si>
  <si>
    <t>2015-1-26 12:37:45.22: Algorithm - getPortfolioForwardDelta - required deltas is -20 currentHedgePosition is 31</t>
  </si>
  <si>
    <t>2015-1-26 12:37:45.23: Algorithm - getHedgeShortfall - required deltas is -20 price is 1.5003 currentHedgePositionDeltas is 31</t>
  </si>
  <si>
    <t>2015-1-26 12:37:45.24: Algorithm - processTransitionPoint - nextUpper/LowerStrikes are 1.505/1.5 requiredDeltas/currentPosition/currentHedgeShortfall/direction/transitionPrice are -20/31/-51/-1/1.5003</t>
  </si>
  <si>
    <t>2015-1-26 12:37:45.26: TransitionLogger - processTransitionpoint - checking transition - currentHedgeShortfall is -51</t>
  </si>
  <si>
    <t>2015-1-26 12:37:45.28: Algorithm - updatePortfolio - haveAllDetails is True</t>
  </si>
  <si>
    <t>2015-1-26 12:37:45.31: RTWSControl - updatePortfolioEx - An Error Occured Object variable or With block variable not set</t>
  </si>
  <si>
    <t>2015-1-26 12:37:45.137: AutostopView - getOffTicks - an error occurred Type mismatch</t>
  </si>
  <si>
    <t>2015-1-26 12:37:45.138: AutostopView - getBuyPrice - an error occurred Type mismatch</t>
  </si>
  <si>
    <t>2015-1-26 12:37:45.140: AutostopView - getBuyQty - an error occurred Type mismatch</t>
  </si>
  <si>
    <t>2015-1-26 12:37:52.912: AutostopView - getOffTicks - an error occurred Type mismatch</t>
  </si>
  <si>
    <t>2015-1-26 12:37:52.914: AutostopView - getBuyPrice - an error occurred Type mismatch</t>
  </si>
  <si>
    <t>2015-1-26 12:37:52.916: AutostopView - getBuyQty - an error occurred Type mismatch</t>
  </si>
  <si>
    <t>2015-1-26 12:37:53.37: AutostopView - getOffTicks - an error occurred Type mismatch</t>
  </si>
  <si>
    <t>2015-1-26 12:37:53.39: AutostopView - getBuyPrice - an error occurred Type mismatch</t>
  </si>
  <si>
    <t>2015-1-26 12:37:53.40: AutostopView - getBuyQty - an error occurred Type mismatch</t>
  </si>
  <si>
    <t>2015-1-26 12:37:55.962: AutostopView - getOffTicks - an error occurred Type mismatch</t>
  </si>
  <si>
    <t>2015-1-26 12:37:55.965: AutostopView - getBuyPrice - an error occurred Type mismatch</t>
  </si>
  <si>
    <t>2015-1-26 12:37:55.968: AutostopView - getBuyQty - an error occurred Type mismatch</t>
  </si>
  <si>
    <t>2015-1-26 12:37:57.901: AutostopView - getOffTicks - an error occurred Type mismatch</t>
  </si>
  <si>
    <t>2015-1-26 12:37:57.906: AutostopView - getBuyPrice - an error occurred Type mismatch</t>
  </si>
  <si>
    <t>2015-1-26 12:37:57.913: AutostopView - getBuyQty - an error occurred Type mismatch</t>
  </si>
  <si>
    <t>2015-1-26 12:38:13.748: AutostopView - getOffTicks - an error occurred Type mismatch</t>
  </si>
  <si>
    <t>2015-1-26 12:38:13.751: AutostopView - getBuyPrice - an error occurred Type mismatch</t>
  </si>
  <si>
    <t>2015-1-26 12:38:13.754: AutostopView - getBuyQty - an error occurred Type mismatch</t>
  </si>
  <si>
    <t>2015-1-26 12:38:13.822: AutostopView - getOffTicks - an error occurred Type mismatch</t>
  </si>
  <si>
    <t>2015-1-26 12:38:13.824: AutostopView - getBuyPrice - an error occurred Type mismatch</t>
  </si>
  <si>
    <t>2015-1-26 12:38:13.825: AutostopView - getBuyQty - an error occurred Type mismatch</t>
  </si>
  <si>
    <t>2015-1-26 12:38:15.174: AutostopView - getOffTicks - an error occurred Type mismatch</t>
  </si>
  <si>
    <t>2015-1-26 12:38:15.175: AutostopView - getBuyPrice - an error occurred Type mismatch</t>
  </si>
  <si>
    <t>2015-1-26 12:38:15.176: AutostopView - getBuyQty - an error occurred Type mismatch</t>
  </si>
  <si>
    <t>2015-1-26 12:38:15.203: AutostopView - getOffTicks - an error occurred Type mismatch</t>
  </si>
  <si>
    <t>2015-1-26 12:38:15.205: AutostopView - getBuyPrice - an error occurred Type mismatch</t>
  </si>
  <si>
    <t>2015-1-26 12:38:15.207: AutostopView - getBuyQty - an error occurred Type mismatch</t>
  </si>
  <si>
    <t>2015-1-26 12:38:23.655: AutostopView - getOffTicks - an error occurred Type mismatch</t>
  </si>
  <si>
    <t>2015-1-26 12:38:23.665: AutostopView - getBuyPrice - an error occurred Type mismatch</t>
  </si>
  <si>
    <t>2015-1-26 12:38:23.668: AutostopView - getBuyQty - an error occurred Type mismatch</t>
  </si>
  <si>
    <t>2015-1-26 12:38:24.63: AutostopView - getOffTicks - an error occurred Type mismatch</t>
  </si>
  <si>
    <t>2015-1-26 12:38:24.64: AutostopView - getBuyPrice - an error occurred Type mismatch</t>
  </si>
  <si>
    <t>2015-1-26 12:38:24.65: AutostopView - getBuyQty - an error occurred Type mismatch</t>
  </si>
  <si>
    <t>2015-1-26 12:38:43.718: AutostopView - getOffTicks - an error occurred Type mismatch</t>
  </si>
  <si>
    <t>2015-1-26 12:38:43.720: AutostopView - getBuyPrice - an error occurred Type mismatch</t>
  </si>
  <si>
    <t>2015-1-26 12:38:43.722: AutostopView - getBuyQty - an error occurred Type mismatch</t>
  </si>
  <si>
    <t>2015-1-26 12:38:43.836: AutostopView - getOffTicks - an error occurred Type mismatch</t>
  </si>
  <si>
    <t>2015-1-26 12:38:43.837: AutostopView - getBuyPrice - an error occurred Type mismatch</t>
  </si>
  <si>
    <t>2015-1-26 12:38:43.838: AutostopView - getBuyQty - an error occurred Type mismatch</t>
  </si>
  <si>
    <t>2015-1-26 12:38:43.954: AutostopView - getOffTicks - an error occurred Type mismatch</t>
  </si>
  <si>
    <t>2015-1-26 12:38:43.956: AutostopView - getBuyPrice - an error occurred Type mismatch</t>
  </si>
  <si>
    <t>2015-1-26 12:38:43.957: AutostopView - getBuyQty - an error occurred Type mismatch</t>
  </si>
  <si>
    <t>2015-1-26 12:38:44.61: AutostopView - getOffTicks - an error occurred Type mismatch</t>
  </si>
  <si>
    <t>2015-1-26 12:38:44.63: AutostopView - getBuyPrice - an error occurred Type mismatch</t>
  </si>
  <si>
    <t>2015-1-26 12:38:44.64: AutostopView - getBuyQty - an error occurred Type mismatch</t>
  </si>
  <si>
    <t>2015-1-26 12:38:48.955: AutostopView - getOffTicks - an error occurred Type mismatch</t>
  </si>
  <si>
    <t>2015-1-26 12:38:48.957: AutostopView - getBuyPrice - an error occurred Type mismatch</t>
  </si>
  <si>
    <t>2015-1-26 12:38:48.959: AutostopView - getBuyQty - an error occurred Type mismatch</t>
  </si>
  <si>
    <t>2015-1-26 12:38:49.9: AutostopView - getOffTicks - an error occurred Type mismatch</t>
  </si>
  <si>
    <t>2015-1-26 12:38:49.10: AutostopView - getBuyPrice - an error occurred Type mismatch</t>
  </si>
  <si>
    <t>2015-1-26 12:38:49.11: AutostopView - getBuyQty - an error occurred Type mismatch</t>
  </si>
  <si>
    <t>2015-1-26 12:38:53.342: AutostopView - getOffTicks - an error occurred Type mismatch</t>
  </si>
  <si>
    <t>2015-1-26 12:38:53.344: AutostopView - getBuyPrice - an error occurred Type mismatch</t>
  </si>
  <si>
    <t>2015-1-26 12:38:53.346: AutostopView - getBuyQty - an error occurred Type mismatch</t>
  </si>
  <si>
    <t>2015-1-26 12:38:54.598: AutostopView - getOffTicks - an error occurred Type mismatch</t>
  </si>
  <si>
    <t>2015-1-26 12:38:54.599: AutostopView - getBuyPrice - an error occurred Type mismatch</t>
  </si>
  <si>
    <t>2015-1-26 12:38:54.600: AutostopView - getBuyQty - an error occurred Type mismatch</t>
  </si>
  <si>
    <t>2015-1-26 12:38:54.771: AutostopView - getOffTicks - an error occurred Type mismatch</t>
  </si>
  <si>
    <t>2015-1-26 12:38:54.773: AutostopView - getBuyPrice - an error occurred Type mismatch</t>
  </si>
  <si>
    <t>2015-1-26 12:38:54.774: AutostopView - getBuyQty - an error occurred Type mismatch</t>
  </si>
  <si>
    <t>2015-1-26 12:38:54.934: AutostopView - getOffTicks - an error occurred Type mismatch</t>
  </si>
  <si>
    <t>2015-1-26 12:38:54.936: AutostopView - getBuyPrice - an error occurred Type mismatch</t>
  </si>
  <si>
    <t>2015-1-26 12:38:54.937: AutostopView - getBuyQty - an error occurred Type mismatch</t>
  </si>
  <si>
    <t>2015-1-26 12:38:55.453: AutostopView - getOffTicks - an error occurred Type mismatch</t>
  </si>
  <si>
    <t>2015-1-26 12:38:55.456: AutostopView - getBuyPrice - an error occurred Type mismatch</t>
  </si>
  <si>
    <t>2015-1-26 12:38:55.458: AutostopView - getBuyQty - an error occurred Type mismatch</t>
  </si>
  <si>
    <t>2015-1-26 12:38:56.556: AutostopView - getOffTicks - an error occurred Type mismatch</t>
  </si>
  <si>
    <t>2015-1-26 12:38:56.558: AutostopView - getBuyPrice - an error occurred Type mismatch</t>
  </si>
  <si>
    <t>2015-1-26 12:38:56.560: AutostopView - getBuyQty - an error occurred Type mismatch</t>
  </si>
  <si>
    <t>2015-1-26 12:38:57.135: AutostopView - getOffTicks - an error occurred Type mismatch</t>
  </si>
  <si>
    <t>2015-1-26 12:38:57.137: AutostopView - getBuyPrice - an error occurred Type mismatch</t>
  </si>
  <si>
    <t>2015-1-26 12:38:57.138: AutostopView - getBuyQty - an error occurred Type mismatch</t>
  </si>
  <si>
    <t>2015-1-26 12:38:57.303: AutostopView - getOffTicks - an error occurred Type mismatch</t>
  </si>
  <si>
    <t>2015-1-26 12:38:57.304: AutostopView - getBuyPrice - an error occurred Type mismatch</t>
  </si>
  <si>
    <t>2015-1-26 12:38:57.305: AutostopView - getBuyQty - an error occurred Type mismatch</t>
  </si>
  <si>
    <t>2015-1-26 12:38:57.713: AutostopView - getOffTicks - an error occurred Type mismatch</t>
  </si>
  <si>
    <t>2015-1-26 12:38:57.715: AutostopView - getBuyPrice - an error occurred Type mismatch</t>
  </si>
  <si>
    <t>2015-1-26 12:38:57.716: AutostopView - getBuyQty - an error occurred Type mismatch</t>
  </si>
  <si>
    <t>2015-1-26 12:38:57.939: AutostopView - getOffTicks - an error occurred Type mismatch</t>
  </si>
  <si>
    <t>2015-1-26 12:38:57.944: AutostopView - getBuyPrice - an error occurred Type mismatch</t>
  </si>
  <si>
    <t>2015-1-26 12:38:57.947: AutostopView - getBuyQty - an error occurred Type mismatch</t>
  </si>
  <si>
    <t>2015-1-26 12:39:0.731: AutostopView - getOffTicks - an error occurred Type mismatch</t>
  </si>
  <si>
    <t>2015-1-26 12:39:0.736: AutostopView - getBuyPrice - an error occurred Type mismatch</t>
  </si>
  <si>
    <t>2015-1-26 12:39:0.738: AutostopView - getBuyQty - an error occurred Type mismatch</t>
  </si>
  <si>
    <t>2015-1-26 12:39:0.945: AutostopView - getOffTicks - an error occurred Type mismatch</t>
  </si>
  <si>
    <t>2015-1-26 12:39:0.954: AutostopView - getBuyPrice - an error occurred Type mismatch</t>
  </si>
  <si>
    <t>2015-1-26 12:39:0.958: AutostopView - getBuyQty - an error occurred Type mismatch</t>
  </si>
  <si>
    <t>2015-1-26 12:39:5.379: AutostopView - getOffTicks - an error occurred Type mismatch</t>
  </si>
  <si>
    <t>2015-1-26 12:39:5.382: AutostopView - getBuyPrice - an error occurred Type mismatch</t>
  </si>
  <si>
    <t>2015-1-26 12:39:5.385: AutostopView - getBuyQty - an error occurred Type mismatch</t>
  </si>
  <si>
    <t>2015-1-26 12:39:8.649: AutostopView - getOffTicks - an error occurred Type mismatch</t>
  </si>
  <si>
    <t>2015-1-26 12:39:8.654: AutostopView - getBuyPrice - an error occurred Type mismatch</t>
  </si>
  <si>
    <t>2015-1-26 12:39:8.662: AutostopView - getBuyQty - an error occurred Type mismatch</t>
  </si>
  <si>
    <t>2015-1-26 12:39:9.757: AutostopView - getOffTicks - an error occurred Type mismatch</t>
  </si>
  <si>
    <t>2015-1-26 12:39:9.758: AutostopView - getBuyPrice - an error occurred Type mismatch</t>
  </si>
  <si>
    <t>2015-1-26 12:39:9.759: AutostopView - getBuyQty - an error occurred Type mismatch</t>
  </si>
  <si>
    <t>2015-1-26 12:39:12.257: AutostopView - getOffTicks - an error occurred Type mismatch</t>
  </si>
  <si>
    <t>2015-1-26 12:39:12.259: AutostopView - getBuyPrice - an error occurred Type mismatch</t>
  </si>
  <si>
    <t>2015-1-26 12:39:12.260: AutostopView - getBuyQty - an error occurred Type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</si>
</sst>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6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wrapText="1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9" fillId="0" borderId="0" xfId="0" applyFont="1"/>
    <xf numFmtId="0" fontId="20" fillId="0" borderId="0" xfId="0" applyFont="1"/>
    <xf numFmtId="0" fontId="10" fillId="0" borderId="0" xfId="0" applyFont="1" applyAlignment="1">
      <alignment wrapText="1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219075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180975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7"/>
  <sheetViews>
    <sheetView tabSelected="1" topLeftCell="A10" zoomScale="65" zoomScaleNormal="65" workbookViewId="0">
      <selection activeCell="W21" sqref="W21"/>
    </sheetView>
  </sheetViews>
  <sheetFormatPr defaultRowHeight="15" x14ac:dyDescent="0.25"/>
  <cols>
    <col min="1" max="1" width="17.7109375" customWidth="1"/>
    <col min="2" max="2" width="8.855468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14062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191</v>
      </c>
      <c r="C1">
        <v>3</v>
      </c>
      <c r="D1" t="s">
        <v>192</v>
      </c>
    </row>
    <row r="5" spans="1:32" x14ac:dyDescent="0.25">
      <c r="A5" s="62" t="s">
        <v>14</v>
      </c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AF5" s="38"/>
    </row>
    <row r="6" spans="1:32" x14ac:dyDescent="0.25">
      <c r="A6" s="107" t="s">
        <v>124</v>
      </c>
      <c r="B6" s="107"/>
      <c r="C6" s="107"/>
      <c r="D6" s="107"/>
      <c r="E6" s="107" t="s">
        <v>125</v>
      </c>
      <c r="F6" s="107"/>
      <c r="G6" s="107" t="s">
        <v>126</v>
      </c>
      <c r="H6" s="107"/>
      <c r="I6" s="107" t="s">
        <v>127</v>
      </c>
      <c r="J6" s="107"/>
      <c r="K6" s="107" t="s">
        <v>128</v>
      </c>
      <c r="L6" s="107"/>
      <c r="M6" s="107" t="s">
        <v>129</v>
      </c>
      <c r="N6" s="107"/>
      <c r="O6" s="107"/>
      <c r="P6" s="107"/>
      <c r="Q6" s="107"/>
      <c r="R6" s="107"/>
      <c r="S6" s="107"/>
      <c r="T6" s="107"/>
      <c r="U6" s="63"/>
      <c r="V6" s="63"/>
      <c r="W6" s="63"/>
      <c r="AF6" s="38"/>
    </row>
    <row r="7" spans="1:32" x14ac:dyDescent="0.25">
      <c r="A7" s="108" t="s">
        <v>130</v>
      </c>
      <c r="B7" s="108"/>
      <c r="C7" s="108">
        <v>7497</v>
      </c>
      <c r="D7" s="108"/>
      <c r="E7" s="108">
        <v>7</v>
      </c>
      <c r="F7" s="108"/>
      <c r="G7" s="108">
        <v>5</v>
      </c>
      <c r="H7" s="108"/>
      <c r="I7" s="109">
        <v>0.96388888888888891</v>
      </c>
      <c r="J7" s="110"/>
      <c r="K7" s="105" t="s">
        <v>200</v>
      </c>
      <c r="L7" s="106"/>
      <c r="M7" s="111"/>
      <c r="N7" s="112"/>
      <c r="O7" s="111"/>
      <c r="P7" s="112"/>
      <c r="Q7" s="111"/>
      <c r="R7" s="112"/>
      <c r="S7" s="111"/>
      <c r="T7" s="112"/>
      <c r="U7" s="64"/>
      <c r="V7" s="65"/>
      <c r="W7" s="65"/>
      <c r="AF7" s="38"/>
    </row>
    <row r="11" spans="1:32" ht="23.25" x14ac:dyDescent="0.35">
      <c r="A11" s="17" t="s">
        <v>134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41"/>
    </row>
    <row r="12" spans="1:32" ht="23.25" x14ac:dyDescent="0.35">
      <c r="A12" s="116" t="s">
        <v>136</v>
      </c>
      <c r="B12" s="116"/>
      <c r="C12" s="116" t="s">
        <v>137</v>
      </c>
      <c r="D12" s="116"/>
      <c r="E12" s="67" t="s">
        <v>138</v>
      </c>
      <c r="F12" s="67"/>
      <c r="G12" s="116" t="s">
        <v>139</v>
      </c>
      <c r="H12" s="116"/>
      <c r="I12" s="116" t="s">
        <v>140</v>
      </c>
      <c r="J12" s="116"/>
      <c r="K12" s="107" t="s">
        <v>141</v>
      </c>
      <c r="L12" s="107"/>
      <c r="M12" s="107" t="s">
        <v>142</v>
      </c>
      <c r="N12" s="107"/>
      <c r="O12" s="63" t="s">
        <v>143</v>
      </c>
      <c r="P12" s="63"/>
      <c r="Q12" s="63" t="s">
        <v>144</v>
      </c>
      <c r="R12" s="63"/>
      <c r="S12" s="63"/>
      <c r="T12" s="63"/>
      <c r="U12" s="63"/>
      <c r="V12" s="63"/>
      <c r="W12" s="63"/>
      <c r="AB12" s="41"/>
    </row>
    <row r="13" spans="1:32" ht="23.25" x14ac:dyDescent="0.35">
      <c r="A13" s="5">
        <v>930663.63</v>
      </c>
      <c r="B13" s="3"/>
      <c r="C13" s="5">
        <v>511734.52</v>
      </c>
      <c r="D13" s="3"/>
      <c r="E13" s="5">
        <v>420287.42</v>
      </c>
      <c r="F13" s="5"/>
      <c r="G13" s="5">
        <v>418929.12</v>
      </c>
      <c r="H13" s="5"/>
      <c r="I13" s="5">
        <v>-28017</v>
      </c>
      <c r="J13" s="5"/>
      <c r="K13" s="6">
        <v>0</v>
      </c>
      <c r="L13" s="4"/>
      <c r="M13" s="64" t="s">
        <v>201</v>
      </c>
      <c r="N13" s="65"/>
      <c r="O13" s="64" t="b">
        <v>1</v>
      </c>
      <c r="P13" s="65"/>
      <c r="Q13" s="68"/>
      <c r="R13" s="69"/>
      <c r="S13" s="64"/>
      <c r="T13" s="65"/>
      <c r="U13" s="64"/>
      <c r="V13" s="65"/>
      <c r="W13" s="65"/>
      <c r="Y13" s="41"/>
      <c r="Z13" s="41"/>
      <c r="AA13" s="41"/>
      <c r="AB13" s="41"/>
    </row>
    <row r="14" spans="1:32" ht="23.25" x14ac:dyDescent="0.35">
      <c r="Y14" s="41"/>
      <c r="Z14" s="41"/>
      <c r="AA14" s="41"/>
      <c r="AB14" s="41"/>
    </row>
    <row r="15" spans="1:32" ht="23.25" x14ac:dyDescent="0.35">
      <c r="Y15" s="41"/>
      <c r="Z15" s="41"/>
      <c r="AA15" s="41"/>
      <c r="AB15" s="41"/>
    </row>
    <row r="16" spans="1:32" ht="23.25" x14ac:dyDescent="0.35">
      <c r="Y16" s="41"/>
      <c r="Z16" s="41"/>
      <c r="AA16" s="41"/>
      <c r="AB16" s="41"/>
    </row>
    <row r="17" spans="1:37" ht="23.25" x14ac:dyDescent="0.35">
      <c r="Y17" s="41"/>
      <c r="Z17" s="41"/>
      <c r="AA17" s="41"/>
      <c r="AB17" s="41"/>
    </row>
    <row r="18" spans="1:37" ht="23.25" x14ac:dyDescent="0.35">
      <c r="Y18" s="41"/>
      <c r="Z18" s="41"/>
      <c r="AA18" s="41"/>
      <c r="AB18" s="41"/>
    </row>
    <row r="19" spans="1:37" ht="23.25" x14ac:dyDescent="0.35">
      <c r="A19" s="96"/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Y19" s="41"/>
      <c r="Z19" s="41"/>
      <c r="AA19" s="41"/>
      <c r="AB19" s="41"/>
    </row>
    <row r="20" spans="1:37" s="11" customFormat="1" ht="46.5" x14ac:dyDescent="0.35">
      <c r="A20" s="10" t="s">
        <v>146</v>
      </c>
      <c r="B20" s="10" t="s">
        <v>147</v>
      </c>
      <c r="C20" s="10"/>
      <c r="D20" s="10"/>
      <c r="E20" s="10" t="s">
        <v>148</v>
      </c>
      <c r="F20" s="10"/>
      <c r="G20" s="10" t="s">
        <v>149</v>
      </c>
      <c r="H20" s="10" t="s">
        <v>150</v>
      </c>
      <c r="I20" s="10" t="s">
        <v>151</v>
      </c>
      <c r="J20" s="10"/>
      <c r="K20" s="10" t="s">
        <v>152</v>
      </c>
      <c r="L20" s="10"/>
      <c r="M20" s="10" t="s">
        <v>153</v>
      </c>
      <c r="N20" s="10" t="s">
        <v>154</v>
      </c>
      <c r="Y20" s="41"/>
      <c r="Z20" s="41"/>
      <c r="AA20" s="41"/>
      <c r="AB20" s="42"/>
      <c r="AC20"/>
      <c r="AD20"/>
      <c r="AE20"/>
      <c r="AF20"/>
      <c r="AG20"/>
      <c r="AH20"/>
      <c r="AI20"/>
      <c r="AJ20"/>
    </row>
    <row r="21" spans="1:37" ht="21" x14ac:dyDescent="0.35">
      <c r="A21" s="81">
        <v>1</v>
      </c>
      <c r="B21" s="81">
        <v>1</v>
      </c>
      <c r="C21" s="82"/>
      <c r="D21" s="83"/>
      <c r="E21" s="113">
        <v>5</v>
      </c>
      <c r="F21" s="113"/>
      <c r="G21" s="84">
        <v>5</v>
      </c>
      <c r="H21" s="84">
        <v>10</v>
      </c>
      <c r="I21" s="84">
        <v>0.2</v>
      </c>
      <c r="J21" s="84"/>
      <c r="K21" s="114">
        <v>8</v>
      </c>
      <c r="L21" s="115"/>
      <c r="M21" s="85">
        <v>1</v>
      </c>
      <c r="N21" s="86" t="s">
        <v>100</v>
      </c>
    </row>
    <row r="23" spans="1:37" ht="18.75" x14ac:dyDescent="0.3">
      <c r="Y23" s="39"/>
      <c r="Z23" s="39"/>
      <c r="AA23" s="39"/>
      <c r="AB23" s="39"/>
    </row>
    <row r="24" spans="1:37" ht="18.75" x14ac:dyDescent="0.3">
      <c r="Y24" s="39"/>
      <c r="Z24" s="39"/>
      <c r="AA24" s="39"/>
      <c r="AB24" s="39"/>
    </row>
    <row r="25" spans="1:37" ht="18.75" x14ac:dyDescent="0.3">
      <c r="A25" s="17" t="s">
        <v>155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9"/>
      <c r="Z25" s="46"/>
      <c r="AA25" s="39"/>
      <c r="AB25" s="39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156</v>
      </c>
      <c r="Q26" s="10"/>
      <c r="R26" s="10" t="s">
        <v>157</v>
      </c>
      <c r="S26" s="10" t="s">
        <v>158</v>
      </c>
      <c r="T26" s="10" t="s">
        <v>159</v>
      </c>
      <c r="U26" s="10" t="s">
        <v>160</v>
      </c>
      <c r="V26" s="10" t="s">
        <v>161</v>
      </c>
      <c r="W26" s="10"/>
      <c r="Y26" s="40"/>
      <c r="Z26" s="40"/>
      <c r="AA26" s="40"/>
      <c r="AB26" s="40"/>
      <c r="AC26"/>
      <c r="AD26"/>
      <c r="AE26"/>
      <c r="AF26"/>
      <c r="AG26"/>
      <c r="AH26"/>
      <c r="AI26"/>
      <c r="AJ26"/>
    </row>
    <row r="27" spans="1:37" ht="18.75" x14ac:dyDescent="0.3">
      <c r="A27" s="66" t="s">
        <v>15</v>
      </c>
      <c r="B27" s="66" t="s">
        <v>24</v>
      </c>
      <c r="C27" s="66">
        <v>20150316</v>
      </c>
      <c r="D27" s="66">
        <v>62500</v>
      </c>
      <c r="E27" s="66"/>
      <c r="F27" s="66" t="s">
        <v>17</v>
      </c>
      <c r="G27" s="66" t="s">
        <v>16</v>
      </c>
      <c r="H27" s="66" t="s">
        <v>187</v>
      </c>
      <c r="I27" s="66" t="s">
        <v>25</v>
      </c>
      <c r="J27" s="66">
        <v>31</v>
      </c>
      <c r="K27" s="66">
        <v>1.5005999999999999</v>
      </c>
      <c r="L27" s="66"/>
      <c r="M27" s="66">
        <v>6</v>
      </c>
      <c r="N27" s="66">
        <v>1.5005999999999999</v>
      </c>
      <c r="O27" s="66">
        <v>1.5006999999999999</v>
      </c>
      <c r="P27" s="66">
        <v>9</v>
      </c>
      <c r="Q27" s="66"/>
      <c r="R27" s="66">
        <v>1.5004500000000001</v>
      </c>
      <c r="S27" s="66">
        <v>2907121.9</v>
      </c>
      <c r="T27" s="66">
        <v>94687.5</v>
      </c>
      <c r="U27" s="66">
        <v>-28190.6</v>
      </c>
      <c r="V27" s="66">
        <v>0</v>
      </c>
      <c r="W27" s="66"/>
      <c r="Y27" s="39"/>
      <c r="Z27" s="39"/>
      <c r="AA27" s="39"/>
      <c r="AB27" s="39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7"/>
      <c r="Y28" s="39"/>
      <c r="Z28" s="39"/>
      <c r="AA28" s="39"/>
      <c r="AB28" s="39"/>
      <c r="AC28" s="39"/>
      <c r="AD28" s="39"/>
      <c r="AE28" s="39"/>
    </row>
    <row r="29" spans="1:37" ht="18.75" x14ac:dyDescent="0.3">
      <c r="C29" s="103" t="s">
        <v>162</v>
      </c>
      <c r="D29" s="104"/>
      <c r="E29" s="12">
        <v>1.5</v>
      </c>
      <c r="F29" s="12"/>
      <c r="G29" s="104" t="s">
        <v>163</v>
      </c>
      <c r="H29" s="104"/>
      <c r="I29" s="12">
        <v>1.5049999999999999</v>
      </c>
      <c r="J29" s="12"/>
      <c r="K29" s="104" t="s">
        <v>164</v>
      </c>
      <c r="L29" s="104"/>
      <c r="M29" s="12">
        <v>-20</v>
      </c>
      <c r="N29" s="13"/>
      <c r="O29" s="104" t="s">
        <v>165</v>
      </c>
      <c r="P29" s="104"/>
      <c r="Q29" s="32">
        <v>1.5006050935911792</v>
      </c>
      <c r="R29" s="13"/>
      <c r="S29" s="12"/>
      <c r="T29" s="13"/>
      <c r="U29" s="12"/>
      <c r="V29" s="13"/>
      <c r="W29" s="13"/>
      <c r="Y29" s="39"/>
      <c r="Z29" s="39"/>
      <c r="AA29" s="39"/>
      <c r="AB29" s="39"/>
      <c r="AC29" s="39"/>
      <c r="AD29" s="39"/>
      <c r="AE29" s="39"/>
    </row>
    <row r="30" spans="1:37" ht="18.75" x14ac:dyDescent="0.3">
      <c r="C30" s="103" t="s">
        <v>166</v>
      </c>
      <c r="D30" s="104"/>
      <c r="E30" s="12">
        <v>6</v>
      </c>
      <c r="F30" s="12"/>
      <c r="G30" s="104" t="s">
        <v>167</v>
      </c>
      <c r="H30" s="104"/>
      <c r="I30" s="12">
        <v>44</v>
      </c>
      <c r="J30" s="12"/>
      <c r="K30" s="104" t="s">
        <v>168</v>
      </c>
      <c r="L30" s="104"/>
      <c r="M30" s="12">
        <v>31</v>
      </c>
      <c r="N30" s="13"/>
      <c r="O30" s="104" t="s">
        <v>169</v>
      </c>
      <c r="P30" s="104"/>
      <c r="Q30" s="32">
        <v>1.5006035579538106</v>
      </c>
      <c r="R30" s="13"/>
      <c r="S30" s="12"/>
      <c r="T30" s="13"/>
      <c r="U30" s="12"/>
      <c r="V30" s="13"/>
      <c r="W30" s="13"/>
      <c r="Y30" s="39"/>
      <c r="Z30" s="39"/>
      <c r="AA30" s="39"/>
      <c r="AB30" s="39"/>
      <c r="AC30" s="39"/>
      <c r="AD30" s="39"/>
      <c r="AE30" s="39"/>
      <c r="AI30" s="44"/>
      <c r="AK30" s="44"/>
    </row>
    <row r="31" spans="1:37" ht="18.75" x14ac:dyDescent="0.3">
      <c r="C31" s="103" t="s">
        <v>170</v>
      </c>
      <c r="D31" s="104"/>
      <c r="E31" s="12">
        <v>5</v>
      </c>
      <c r="F31" s="12"/>
      <c r="G31" s="104" t="s">
        <v>171</v>
      </c>
      <c r="H31" s="104"/>
      <c r="I31" s="12">
        <v>43</v>
      </c>
      <c r="J31" s="12"/>
      <c r="K31" s="104" t="s">
        <v>172</v>
      </c>
      <c r="L31" s="104"/>
      <c r="M31" s="12">
        <v>-51</v>
      </c>
      <c r="N31" s="13"/>
      <c r="O31" s="104" t="s">
        <v>99</v>
      </c>
      <c r="P31" s="104"/>
      <c r="Q31" s="12">
        <v>-1</v>
      </c>
      <c r="R31" s="13"/>
      <c r="S31" s="12"/>
      <c r="T31" s="13"/>
      <c r="U31" s="12"/>
      <c r="V31" s="13"/>
      <c r="W31" s="13"/>
      <c r="Y31" s="39"/>
      <c r="Z31" s="39"/>
      <c r="AA31" s="39"/>
      <c r="AB31" s="39"/>
      <c r="AC31" s="39"/>
      <c r="AD31" s="39"/>
      <c r="AE31" s="39"/>
      <c r="AI31" s="43"/>
    </row>
    <row r="32" spans="1:37" ht="2.25" customHeight="1" x14ac:dyDescent="0.3">
      <c r="C32" s="10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1"/>
      <c r="O32" s="90"/>
      <c r="P32" s="90"/>
      <c r="Q32" s="90"/>
      <c r="R32" s="91"/>
      <c r="S32" s="90"/>
      <c r="T32" s="91"/>
      <c r="U32" s="90"/>
      <c r="V32" s="91"/>
      <c r="W32" s="28"/>
      <c r="Y32" s="39"/>
      <c r="Z32" s="39"/>
      <c r="AA32" s="39"/>
      <c r="AB32" s="39"/>
      <c r="AC32" s="39"/>
      <c r="AD32" s="39"/>
      <c r="AE32" s="39"/>
      <c r="AI32" s="45"/>
    </row>
    <row r="33" spans="1:33" ht="18.75" x14ac:dyDescent="0.3">
      <c r="Y33" s="39"/>
      <c r="Z33" s="39"/>
      <c r="AA33" s="39"/>
      <c r="AB33" s="39"/>
      <c r="AC33" s="39"/>
      <c r="AD33" s="39"/>
      <c r="AE33" s="39"/>
    </row>
    <row r="34" spans="1:33" ht="18.75" customHeight="1" x14ac:dyDescent="0.3">
      <c r="A34" s="96" t="s">
        <v>173</v>
      </c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Q34" s="92" t="s">
        <v>193</v>
      </c>
      <c r="R34" s="92"/>
      <c r="S34" s="92"/>
      <c r="T34" s="92"/>
      <c r="U34" s="92"/>
      <c r="V34" s="92"/>
      <c r="W34" s="92"/>
    </row>
    <row r="35" spans="1:33" s="11" customFormat="1" ht="39" customHeight="1" x14ac:dyDescent="0.3">
      <c r="A35" s="73" t="s">
        <v>26</v>
      </c>
      <c r="B35" s="94" t="s">
        <v>27</v>
      </c>
      <c r="C35" s="94"/>
      <c r="D35" s="94"/>
      <c r="E35" s="94"/>
      <c r="F35" s="20"/>
      <c r="G35" s="94" t="s">
        <v>28</v>
      </c>
      <c r="H35" s="94"/>
      <c r="I35" s="94"/>
      <c r="J35" s="94"/>
      <c r="K35" s="94"/>
      <c r="L35" s="20"/>
      <c r="M35" s="94" t="s">
        <v>174</v>
      </c>
      <c r="N35" s="94"/>
      <c r="O35" s="95"/>
      <c r="Q35" s="74" t="s">
        <v>103</v>
      </c>
      <c r="R35" s="74" t="s">
        <v>104</v>
      </c>
      <c r="S35" s="74" t="s">
        <v>105</v>
      </c>
      <c r="T35" s="74" t="s">
        <v>109</v>
      </c>
      <c r="U35" s="74" t="s">
        <v>110</v>
      </c>
      <c r="V35" s="74" t="s">
        <v>111</v>
      </c>
      <c r="W35" s="74" t="s">
        <v>120</v>
      </c>
      <c r="X35" s="40"/>
      <c r="Y35" s="40"/>
      <c r="AC35" s="40"/>
    </row>
    <row r="36" spans="1:33" s="11" customFormat="1" ht="42" customHeight="1" x14ac:dyDescent="0.4">
      <c r="A36" s="21" t="s">
        <v>0</v>
      </c>
      <c r="B36" s="1" t="s">
        <v>32</v>
      </c>
      <c r="C36" s="1" t="s">
        <v>33</v>
      </c>
      <c r="D36" s="1" t="s">
        <v>34</v>
      </c>
      <c r="E36" s="1" t="s">
        <v>35</v>
      </c>
      <c r="F36" s="1" t="s">
        <v>36</v>
      </c>
      <c r="G36" s="1" t="s">
        <v>12</v>
      </c>
      <c r="H36" s="1" t="s">
        <v>37</v>
      </c>
      <c r="I36" s="1" t="s">
        <v>38</v>
      </c>
      <c r="J36" s="1" t="s">
        <v>39</v>
      </c>
      <c r="K36" s="1" t="s">
        <v>40</v>
      </c>
      <c r="L36" s="1" t="s">
        <v>175</v>
      </c>
      <c r="M36" s="1" t="s">
        <v>176</v>
      </c>
      <c r="N36" s="1" t="s">
        <v>177</v>
      </c>
      <c r="O36" s="1" t="s">
        <v>178</v>
      </c>
      <c r="Q36" s="78">
        <f>SUM(U45:U65)+J27</f>
        <v>52.233137280208823</v>
      </c>
      <c r="R36" s="79">
        <f>SUM(X45:X65)</f>
        <v>-4647.4837909615844</v>
      </c>
      <c r="S36" s="77">
        <f>SUM(W45:W65)</f>
        <v>0.24502173897286694</v>
      </c>
      <c r="T36" s="79">
        <f>S36*62500</f>
        <v>15313.858685804184</v>
      </c>
      <c r="U36" s="76">
        <v>5.0000000000000001E-3</v>
      </c>
      <c r="V36" s="80">
        <f>-1*U36*W36</f>
        <v>-345.3125</v>
      </c>
      <c r="W36" s="80">
        <f>AG43</f>
        <v>69062.5</v>
      </c>
      <c r="X36" s="48"/>
      <c r="Y36" s="48"/>
      <c r="AC36" s="40"/>
    </row>
    <row r="37" spans="1:33" ht="18.75" x14ac:dyDescent="0.3">
      <c r="A37" s="2" t="s">
        <v>187</v>
      </c>
      <c r="B37" s="16" t="s">
        <v>191</v>
      </c>
      <c r="C37" s="16">
        <v>49</v>
      </c>
      <c r="D37" s="16" t="s">
        <v>202</v>
      </c>
      <c r="E37" s="16">
        <v>1.5226</v>
      </c>
      <c r="F37" s="2">
        <v>965</v>
      </c>
      <c r="G37" s="18" t="s">
        <v>205</v>
      </c>
      <c r="H37" s="2">
        <v>0</v>
      </c>
      <c r="I37" s="2">
        <v>49</v>
      </c>
      <c r="J37" s="2">
        <v>0</v>
      </c>
      <c r="K37" s="2">
        <v>0</v>
      </c>
      <c r="L37" s="2"/>
      <c r="M37" s="2"/>
      <c r="N37" s="2"/>
      <c r="O37" s="2"/>
      <c r="Q37" s="74" t="s">
        <v>131</v>
      </c>
      <c r="R37" s="79">
        <f>ticksUpToLoss(V36,Q36,R36)</f>
        <v>225.83311453732438</v>
      </c>
      <c r="S37" s="79">
        <f>ticksDownToLoss(V36,Q36,R36)</f>
        <v>-1.0528264089754222</v>
      </c>
      <c r="T37" s="79"/>
      <c r="U37" s="79"/>
      <c r="V37" s="79"/>
      <c r="W37" s="79"/>
      <c r="X37" s="39"/>
      <c r="Y37" s="39"/>
      <c r="Z37" s="39"/>
      <c r="AA37" s="39"/>
      <c r="AB37" s="39"/>
      <c r="AC37" s="39"/>
    </row>
    <row r="38" spans="1:33" ht="23.25" x14ac:dyDescent="0.35">
      <c r="A38" s="2"/>
      <c r="B38" s="16"/>
      <c r="C38" s="16"/>
      <c r="D38" s="16"/>
      <c r="E38" s="16"/>
      <c r="F38" s="2"/>
      <c r="G38" s="18"/>
      <c r="H38" s="2"/>
      <c r="I38" s="2"/>
      <c r="J38" s="2"/>
      <c r="K38" s="2"/>
      <c r="L38" s="2"/>
      <c r="M38" s="2"/>
      <c r="N38" s="2"/>
      <c r="O38" s="2"/>
      <c r="Q38" s="74" t="s">
        <v>132</v>
      </c>
      <c r="R38" s="79">
        <f>Q36+R36*(R37*0.0001)</f>
        <v>-52.722436647249779</v>
      </c>
      <c r="S38" s="79">
        <f>Q36+R36*(S37*0.0001)</f>
        <v>52.722436647249779</v>
      </c>
      <c r="T38" s="79"/>
      <c r="U38" s="79"/>
      <c r="V38" s="79"/>
      <c r="W38" s="79"/>
      <c r="Y38" s="34"/>
      <c r="Z38" s="34"/>
      <c r="AA38" s="34"/>
      <c r="AB38" s="34"/>
      <c r="AC38" s="47"/>
      <c r="AD38" s="47"/>
      <c r="AE38" s="47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92" t="s">
        <v>133</v>
      </c>
      <c r="R39" s="92"/>
      <c r="S39" s="92"/>
      <c r="T39" s="92" t="s">
        <v>196</v>
      </c>
      <c r="U39" s="92"/>
      <c r="V39" s="92" t="s">
        <v>197</v>
      </c>
      <c r="W39" s="92"/>
      <c r="Y39" s="39"/>
      <c r="Z39" s="39"/>
      <c r="AA39" s="39"/>
      <c r="AB39" s="39"/>
      <c r="AC39" s="39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4" t="s">
        <v>135</v>
      </c>
      <c r="R40" s="87">
        <f>midMarket(N27,O27)+R37/10000</f>
        <v>1.5232333114537322</v>
      </c>
      <c r="S40" s="79">
        <f>ROUND(-R38,0)</f>
        <v>53</v>
      </c>
      <c r="T40" s="75" t="s">
        <v>194</v>
      </c>
      <c r="U40" s="81">
        <v>2</v>
      </c>
      <c r="V40" s="87">
        <v>1.5216000000000001</v>
      </c>
      <c r="W40" s="79">
        <v>49</v>
      </c>
      <c r="Y40" s="39"/>
      <c r="Z40" s="39"/>
      <c r="AA40" s="39"/>
      <c r="AB40" s="39"/>
      <c r="AC40" s="39"/>
    </row>
    <row r="41" spans="1:33" ht="21" x14ac:dyDescent="0.35">
      <c r="A41" s="2" t="s">
        <v>187</v>
      </c>
      <c r="B41" s="16" t="s">
        <v>208</v>
      </c>
      <c r="C41" s="16">
        <v>49</v>
      </c>
      <c r="D41" s="16" t="s">
        <v>202</v>
      </c>
      <c r="E41" s="16">
        <v>1.5002</v>
      </c>
      <c r="F41" s="2">
        <v>942</v>
      </c>
      <c r="G41" s="18" t="s">
        <v>205</v>
      </c>
      <c r="H41" s="2">
        <v>0</v>
      </c>
      <c r="I41" s="2">
        <v>49</v>
      </c>
      <c r="J41" s="2">
        <v>0</v>
      </c>
      <c r="K41" s="2">
        <v>0</v>
      </c>
      <c r="L41" s="2"/>
      <c r="M41" s="2"/>
      <c r="N41" s="2"/>
      <c r="O41" s="2"/>
      <c r="Q41" s="74" t="s">
        <v>145</v>
      </c>
      <c r="R41" s="87">
        <f>midMarket(N27,O27)+S37/10000</f>
        <v>1.5005447173591022</v>
      </c>
      <c r="S41" s="79">
        <f>ROUND(-S38,0)</f>
        <v>-53</v>
      </c>
      <c r="T41" s="75" t="s">
        <v>195</v>
      </c>
      <c r="U41" s="81">
        <v>1</v>
      </c>
      <c r="V41" s="87">
        <v>1.5012000000000001</v>
      </c>
      <c r="W41" s="79">
        <v>49</v>
      </c>
      <c r="X41" s="39"/>
      <c r="Y41" s="39"/>
      <c r="Z41" s="39"/>
      <c r="AA41" s="39"/>
      <c r="AB41" s="39"/>
      <c r="AC41" s="39"/>
    </row>
    <row r="43" spans="1:33" x14ac:dyDescent="0.25">
      <c r="A43" s="97" t="s">
        <v>13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3" t="s">
        <v>101</v>
      </c>
      <c r="O43" s="93"/>
      <c r="P43" s="93"/>
      <c r="Q43" s="93"/>
      <c r="R43" s="93"/>
      <c r="S43" s="93"/>
      <c r="T43" s="93" t="s">
        <v>108</v>
      </c>
      <c r="U43" s="93"/>
      <c r="V43" s="93"/>
      <c r="W43" s="93"/>
      <c r="AG43" s="50">
        <f>SUM(AD45:AD65)</f>
        <v>69062.5</v>
      </c>
    </row>
    <row r="44" spans="1:33" ht="30" x14ac:dyDescent="0.25">
      <c r="A44" s="1" t="s">
        <v>9</v>
      </c>
      <c r="B44" s="1" t="s">
        <v>11</v>
      </c>
      <c r="C44" s="1" t="s">
        <v>179</v>
      </c>
      <c r="D44" s="1" t="s">
        <v>158</v>
      </c>
      <c r="E44" s="1" t="s">
        <v>159</v>
      </c>
      <c r="F44" s="1" t="s">
        <v>186</v>
      </c>
      <c r="G44" s="1" t="s">
        <v>180</v>
      </c>
      <c r="H44" s="63" t="s">
        <v>19</v>
      </c>
      <c r="I44" s="63" t="s">
        <v>21</v>
      </c>
      <c r="J44" s="63" t="s">
        <v>22</v>
      </c>
      <c r="K44" s="63" t="s">
        <v>18</v>
      </c>
      <c r="L44" s="63" t="s">
        <v>20</v>
      </c>
      <c r="M44" s="63" t="s">
        <v>23</v>
      </c>
      <c r="N44" s="33" t="s">
        <v>102</v>
      </c>
      <c r="O44" s="33" t="s">
        <v>103</v>
      </c>
      <c r="P44" s="33" t="s">
        <v>104</v>
      </c>
      <c r="Q44" s="33" t="s">
        <v>105</v>
      </c>
      <c r="R44" s="33" t="s">
        <v>106</v>
      </c>
      <c r="S44" s="33" t="s">
        <v>107</v>
      </c>
      <c r="T44" s="37" t="s">
        <v>112</v>
      </c>
      <c r="U44" s="33" t="s">
        <v>103</v>
      </c>
      <c r="V44" s="33" t="s">
        <v>104</v>
      </c>
      <c r="W44" s="33" t="s">
        <v>105</v>
      </c>
      <c r="X44" s="37" t="s">
        <v>113</v>
      </c>
      <c r="Y44" s="37" t="s">
        <v>114</v>
      </c>
      <c r="Z44" s="37" t="s">
        <v>119</v>
      </c>
      <c r="AA44" s="52" t="s">
        <v>118</v>
      </c>
      <c r="AB44" s="52" t="s">
        <v>115</v>
      </c>
      <c r="AC44" s="52" t="s">
        <v>116</v>
      </c>
      <c r="AD44" s="52" t="s">
        <v>117</v>
      </c>
    </row>
    <row r="45" spans="1:33" x14ac:dyDescent="0.25">
      <c r="A45" s="2" t="s">
        <v>209</v>
      </c>
      <c r="B45" s="2">
        <v>-30</v>
      </c>
      <c r="C45" s="2">
        <v>7.8134999999999993E-3</v>
      </c>
      <c r="D45" s="2">
        <v>-14650.28</v>
      </c>
      <c r="E45" s="2">
        <v>503.79</v>
      </c>
      <c r="F45" s="30">
        <v>463.42</v>
      </c>
      <c r="G45" s="2">
        <v>0</v>
      </c>
      <c r="H45" s="2">
        <v>0</v>
      </c>
      <c r="I45" s="2">
        <v>0</v>
      </c>
      <c r="J45" s="2">
        <v>10</v>
      </c>
      <c r="K45" s="2">
        <v>7.7999999999999996E-3</v>
      </c>
      <c r="L45" s="2">
        <v>8.2000000000000007E-3</v>
      </c>
      <c r="M45" s="2">
        <v>20</v>
      </c>
      <c r="N45" s="2">
        <v>0.12062436802390764</v>
      </c>
      <c r="O45" s="2">
        <v>0.51489051059535629</v>
      </c>
      <c r="P45" s="2">
        <v>0</v>
      </c>
      <c r="Q45" s="35">
        <v>-9.2034117999679728E-4</v>
      </c>
      <c r="R45" s="2">
        <v>6.4687352126403461E-4</v>
      </c>
      <c r="S45" s="2">
        <v>1.5005999999999999</v>
      </c>
      <c r="T45" s="2">
        <v>16.982447360504995</v>
      </c>
      <c r="U45" s="2">
        <f t="shared" ref="U45:U65" si="0">O45*B45</f>
        <v>-15.446715317860688</v>
      </c>
      <c r="V45" s="2">
        <v>1.5804</v>
      </c>
      <c r="W45" s="2">
        <f t="shared" ref="W45:W65" si="1">Q45*B45</f>
        <v>2.7610235399903919E-2</v>
      </c>
      <c r="X45">
        <f>IF(ISERR(T45),0,T45*B45)</f>
        <v>-509.47342081514984</v>
      </c>
      <c r="Y45">
        <f t="shared" ref="Y45:Y65" si="2">IF(X45 = 0,0,(W45*-10000)/X45)</f>
        <v>0.54193671881308259</v>
      </c>
      <c r="Z45" s="88">
        <f t="shared" ref="Z45:Z46" si="3">midMarket(K45,L45) +AA45/10000</f>
        <v>8.5999999999999341E-3</v>
      </c>
      <c r="AA45">
        <f>IF(rightFromSymbol(A45)="C",MAX(0,$N$27-strikeFromSymbol(A45)),MAX(0,strikeFromSymbol(A45)-$N$27))*10000</f>
        <v>5.9999999999993392</v>
      </c>
      <c r="AB45" s="89">
        <f>MAX(0,Z45-AA45) * 10000</f>
        <v>0</v>
      </c>
      <c r="AC45" s="51">
        <f t="shared" ref="AC45:AC65" si="4">-AB45*B45</f>
        <v>0</v>
      </c>
      <c r="AD45" s="50">
        <f t="shared" ref="AD45:AD53" si="5">MAX(0,AC45*6.25)</f>
        <v>0</v>
      </c>
    </row>
    <row r="46" spans="1:33" x14ac:dyDescent="0.25">
      <c r="A46" s="2" t="s">
        <v>210</v>
      </c>
      <c r="B46" s="2">
        <v>-50</v>
      </c>
      <c r="C46" s="2">
        <v>5.5029500000000004E-3</v>
      </c>
      <c r="D46" s="2">
        <v>-17196.759999999998</v>
      </c>
      <c r="E46" s="2">
        <v>360.04</v>
      </c>
      <c r="F46" s="30">
        <v>805.24</v>
      </c>
      <c r="G46" s="2">
        <v>0</v>
      </c>
      <c r="H46" s="2">
        <v>5.7999999999999996E-3</v>
      </c>
      <c r="I46" s="2">
        <v>10</v>
      </c>
      <c r="J46" s="2">
        <v>24</v>
      </c>
      <c r="K46" s="2">
        <v>5.4000000000000003E-3</v>
      </c>
      <c r="L46" s="2">
        <v>5.7999999999999996E-3</v>
      </c>
      <c r="M46" s="2">
        <v>21</v>
      </c>
      <c r="N46" s="2">
        <v>0.11985342278150313</v>
      </c>
      <c r="O46" s="2">
        <v>0.41339854093586181</v>
      </c>
      <c r="P46" s="2">
        <v>0</v>
      </c>
      <c r="Q46" s="35">
        <v>-8.9070886963254971E-4</v>
      </c>
      <c r="R46" s="2">
        <v>6.4795082812630928E-4</v>
      </c>
      <c r="S46" s="2">
        <v>1.5005999999999999</v>
      </c>
      <c r="T46" s="2">
        <v>16.824743773183201</v>
      </c>
      <c r="U46" s="2">
        <f t="shared" si="0"/>
        <v>-20.669927046793092</v>
      </c>
      <c r="V46" s="2">
        <v>1.5804</v>
      </c>
      <c r="W46" s="2">
        <f t="shared" si="1"/>
        <v>4.4535443481627489E-2</v>
      </c>
      <c r="X46">
        <f t="shared" ref="X46:X65" si="6">IF(ISERR(T46),0,T46*B46)</f>
        <v>-841.23718865915998</v>
      </c>
      <c r="Y46">
        <f t="shared" si="2"/>
        <v>0.52940412147746474</v>
      </c>
      <c r="Z46" s="88">
        <f t="shared" si="3"/>
        <v>5.5999999999999999E-3</v>
      </c>
      <c r="AA46">
        <f>IF(rightFromSymbol(A46)="C",MAX(0,$N$27-strikeFromSymbol(A46)),MAX(0,strikeFromSymbol(A46)-$N$27))*10000</f>
        <v>0</v>
      </c>
      <c r="AB46" s="89">
        <f t="shared" ref="AB46:AB65" si="7">MAX(0,Z46-AA46) * 10000</f>
        <v>56</v>
      </c>
      <c r="AC46" s="51">
        <f t="shared" si="4"/>
        <v>2800</v>
      </c>
      <c r="AD46" s="50">
        <f t="shared" si="5"/>
        <v>17500</v>
      </c>
    </row>
    <row r="47" spans="1:33" x14ac:dyDescent="0.25">
      <c r="A47" s="2" t="s">
        <v>211</v>
      </c>
      <c r="B47" s="2">
        <v>-50</v>
      </c>
      <c r="C47" s="2">
        <v>5.3200000000000001E-3</v>
      </c>
      <c r="D47" s="2">
        <v>-16625.04</v>
      </c>
      <c r="E47" s="2">
        <v>335.04</v>
      </c>
      <c r="F47" s="30">
        <v>126.96</v>
      </c>
      <c r="G47" s="2">
        <v>0</v>
      </c>
      <c r="H47" s="2">
        <v>0</v>
      </c>
      <c r="I47" s="2">
        <v>0</v>
      </c>
      <c r="J47" s="2">
        <v>5</v>
      </c>
      <c r="K47" s="2">
        <v>5.1000000000000004E-3</v>
      </c>
      <c r="L47" s="2">
        <v>5.4999999999999997E-3</v>
      </c>
      <c r="M47" s="2">
        <v>21</v>
      </c>
      <c r="N47" s="2">
        <v>0.12209307402966729</v>
      </c>
      <c r="O47" s="2">
        <v>-0.38569383058447237</v>
      </c>
      <c r="P47" s="2">
        <v>0</v>
      </c>
      <c r="Q47" s="35">
        <v>-8.9681158401691736E-4</v>
      </c>
      <c r="R47" s="2">
        <v>6.4579668951949935E-4</v>
      </c>
      <c r="S47" s="2">
        <v>1.5005999999999999</v>
      </c>
      <c r="T47" s="2">
        <v>16.29524601085032</v>
      </c>
      <c r="U47" s="2">
        <f t="shared" si="0"/>
        <v>19.284691529223618</v>
      </c>
      <c r="V47" s="2">
        <v>1.5804</v>
      </c>
      <c r="W47" s="2">
        <f t="shared" si="1"/>
        <v>4.4840579200845866E-2</v>
      </c>
      <c r="X47">
        <f t="shared" si="6"/>
        <v>-814.76230054251596</v>
      </c>
      <c r="Y47">
        <f t="shared" si="2"/>
        <v>0.55035166908174826</v>
      </c>
      <c r="Z47" s="88">
        <f>midMarket(K47,L47) +AA47/10000</f>
        <v>5.3E-3</v>
      </c>
      <c r="AA47">
        <f>IF(rightFromSymbol(A47)="C",MAX(0,$N$27-strikeFromSymbol(A47)),MAX(0,strikeFromSymbol(A47)-$N$27))*10000</f>
        <v>0</v>
      </c>
      <c r="AB47" s="89">
        <f t="shared" si="7"/>
        <v>53</v>
      </c>
      <c r="AC47" s="51">
        <f t="shared" si="4"/>
        <v>2650</v>
      </c>
      <c r="AD47" s="50">
        <f t="shared" si="5"/>
        <v>16562.5</v>
      </c>
    </row>
    <row r="48" spans="1:33" x14ac:dyDescent="0.25">
      <c r="A48" s="2" t="s">
        <v>212</v>
      </c>
      <c r="B48" s="2">
        <v>-50</v>
      </c>
      <c r="C48" s="2">
        <v>7.3635000000000003E-3</v>
      </c>
      <c r="D48" s="2">
        <v>-23010.880000000001</v>
      </c>
      <c r="E48" s="2">
        <v>466.29</v>
      </c>
      <c r="F48" s="30">
        <v>303.62</v>
      </c>
      <c r="G48" s="2">
        <v>0</v>
      </c>
      <c r="H48" s="2">
        <v>0</v>
      </c>
      <c r="I48" s="2">
        <v>0</v>
      </c>
      <c r="J48" s="2">
        <v>10</v>
      </c>
      <c r="K48" s="2">
        <v>7.1999999999999998E-3</v>
      </c>
      <c r="L48" s="2">
        <v>7.6E-3</v>
      </c>
      <c r="M48" s="2">
        <v>21</v>
      </c>
      <c r="N48" s="2">
        <v>0.12062436802390764</v>
      </c>
      <c r="O48" s="2">
        <v>-0.48543391442625794</v>
      </c>
      <c r="P48" s="2">
        <v>0</v>
      </c>
      <c r="Q48" s="35">
        <v>-9.2035413675106638E-4</v>
      </c>
      <c r="R48" s="2">
        <v>6.4687606222503004E-4</v>
      </c>
      <c r="S48" s="2">
        <v>1.5005999999999999</v>
      </c>
      <c r="T48" s="2">
        <v>16.982447360504995</v>
      </c>
      <c r="U48" s="2">
        <f t="shared" si="0"/>
        <v>24.271695721312899</v>
      </c>
      <c r="V48" s="2">
        <v>1.5804</v>
      </c>
      <c r="W48" s="2">
        <f t="shared" si="1"/>
        <v>4.6017706837553317E-2</v>
      </c>
      <c r="X48">
        <f t="shared" si="6"/>
        <v>-849.12236802524978</v>
      </c>
      <c r="Y48">
        <f t="shared" si="2"/>
        <v>0.54194434831075988</v>
      </c>
      <c r="Z48" s="88">
        <f t="shared" ref="Z48:Z65" si="8">midMarket(K48,L48) +AA48/10000</f>
        <v>7.4000000000000003E-3</v>
      </c>
      <c r="AA48">
        <f>IF(rightFromSymbol(A48)="C",MAX(0,$N$27-strikeFromSymbol(A48)),MAX(0,strikeFromSymbol(A48)-$N$27))*10000</f>
        <v>0</v>
      </c>
      <c r="AB48" s="89">
        <f t="shared" si="7"/>
        <v>74</v>
      </c>
      <c r="AC48" s="51">
        <f t="shared" si="4"/>
        <v>3700</v>
      </c>
      <c r="AD48" s="50">
        <f t="shared" si="5"/>
        <v>23125</v>
      </c>
    </row>
    <row r="49" spans="1:30" x14ac:dyDescent="0.25">
      <c r="A49" s="2" t="s">
        <v>213</v>
      </c>
      <c r="B49" s="2">
        <v>-50</v>
      </c>
      <c r="C49" s="2">
        <v>1.0052800000000001E-2</v>
      </c>
      <c r="D49" s="2">
        <v>-31415.08</v>
      </c>
      <c r="E49" s="2">
        <v>585.04</v>
      </c>
      <c r="F49" s="30">
        <v>-2163.08</v>
      </c>
      <c r="G49" s="2">
        <v>0</v>
      </c>
      <c r="H49" s="2">
        <v>0</v>
      </c>
      <c r="I49" s="2">
        <v>0</v>
      </c>
      <c r="J49" s="2">
        <v>50</v>
      </c>
      <c r="K49" s="2">
        <v>9.7000000000000003E-3</v>
      </c>
      <c r="L49" s="2">
        <v>1.0200000000000001E-2</v>
      </c>
      <c r="M49" s="2">
        <v>20</v>
      </c>
      <c r="N49" s="2">
        <v>0.11193594153198544</v>
      </c>
      <c r="O49" s="2">
        <v>-0.59321485954293862</v>
      </c>
      <c r="P49" s="36">
        <v>0</v>
      </c>
      <c r="Q49" s="35">
        <v>-8.2991833025137293E-4</v>
      </c>
      <c r="R49" s="2">
        <v>6.4795573407647883E-4</v>
      </c>
      <c r="S49" s="2">
        <v>1.5005999999999999</v>
      </c>
      <c r="T49" s="2">
        <v>16.824743773183201</v>
      </c>
      <c r="U49" s="2">
        <f t="shared" si="0"/>
        <v>29.660742977146931</v>
      </c>
      <c r="V49" s="2">
        <v>1.5804</v>
      </c>
      <c r="W49" s="2">
        <f t="shared" si="1"/>
        <v>4.1495916512568648E-2</v>
      </c>
      <c r="X49">
        <f t="shared" si="6"/>
        <v>-841.23718865915998</v>
      </c>
      <c r="Y49">
        <f t="shared" si="2"/>
        <v>0.49327249284721469</v>
      </c>
      <c r="Z49" s="88">
        <f t="shared" si="8"/>
        <v>1.434999999999996E-2</v>
      </c>
      <c r="AA49">
        <f>IF(rightFromSymbol(A49)="C",MAX(0,$N$27-strikeFromSymbol(A49)),MAX(0,strikeFromSymbol(A49)-$N$27))*10000</f>
        <v>43.999999999999595</v>
      </c>
      <c r="AB49" s="89">
        <f t="shared" si="7"/>
        <v>0</v>
      </c>
      <c r="AC49" s="51">
        <f t="shared" si="4"/>
        <v>0</v>
      </c>
      <c r="AD49" s="50">
        <f t="shared" si="5"/>
        <v>0</v>
      </c>
    </row>
    <row r="50" spans="1:30" x14ac:dyDescent="0.25">
      <c r="A50" s="2" t="s">
        <v>214</v>
      </c>
      <c r="B50" s="2">
        <v>-50</v>
      </c>
      <c r="C50" s="2">
        <v>3.6568E-3</v>
      </c>
      <c r="D50" s="2">
        <v>-11427.44</v>
      </c>
      <c r="E50" s="2">
        <v>241.29</v>
      </c>
      <c r="F50" s="30">
        <v>637.05999999999995</v>
      </c>
      <c r="G50" s="2">
        <v>0</v>
      </c>
      <c r="H50" s="2">
        <v>4.5999999999999999E-3</v>
      </c>
      <c r="I50" s="2">
        <v>8</v>
      </c>
      <c r="J50" s="2">
        <v>24</v>
      </c>
      <c r="K50" s="2">
        <v>3.5999999999999999E-3</v>
      </c>
      <c r="L50" s="2">
        <v>4.0000000000000001E-3</v>
      </c>
      <c r="M50" s="2">
        <v>29</v>
      </c>
      <c r="N50" s="2">
        <v>0.11946706860370135</v>
      </c>
      <c r="O50" s="2">
        <v>0.31734701165641688</v>
      </c>
      <c r="P50" s="2">
        <v>0</v>
      </c>
      <c r="Q50" s="35">
        <v>-8.1043715080735359E-4</v>
      </c>
      <c r="R50" s="2">
        <v>5.9910119952891801E-4</v>
      </c>
      <c r="S50" s="2">
        <v>1.5005999999999999</v>
      </c>
      <c r="T50" s="2">
        <v>15.833026485206972</v>
      </c>
      <c r="U50" s="2">
        <f t="shared" si="0"/>
        <v>-15.867350582820844</v>
      </c>
      <c r="V50" s="2">
        <v>1.5804</v>
      </c>
      <c r="W50" s="2">
        <f t="shared" si="1"/>
        <v>4.0521857540367683E-2</v>
      </c>
      <c r="X50">
        <f t="shared" si="6"/>
        <v>-791.65132426034859</v>
      </c>
      <c r="Y50">
        <f t="shared" si="2"/>
        <v>0.51186496249757241</v>
      </c>
      <c r="Z50" s="88">
        <f t="shared" si="8"/>
        <v>3.8E-3</v>
      </c>
      <c r="AA50">
        <f>IF(rightFromSymbol(A50)="C",MAX(0,$N$27-strikeFromSymbol(A50)),MAX(0,strikeFromSymbol(A50)-$N$27))*10000</f>
        <v>0</v>
      </c>
      <c r="AB50" s="89">
        <f t="shared" si="7"/>
        <v>38</v>
      </c>
      <c r="AC50" s="51">
        <f t="shared" si="4"/>
        <v>1900</v>
      </c>
      <c r="AD50" s="50">
        <f t="shared" si="5"/>
        <v>11875</v>
      </c>
    </row>
    <row r="51" spans="1:30" x14ac:dyDescent="0.25">
      <c r="A51" s="2"/>
      <c r="B51" s="2"/>
      <c r="C51" s="2"/>
      <c r="D51" s="2"/>
      <c r="E51" s="2"/>
      <c r="F51" s="30"/>
      <c r="G51" s="2"/>
      <c r="H51" s="2"/>
      <c r="I51" s="2"/>
      <c r="J51" s="2"/>
      <c r="K51" s="2"/>
      <c r="L51" s="2"/>
      <c r="M51" s="2"/>
      <c r="N51" s="2"/>
      <c r="O51" s="2"/>
      <c r="P51" s="2"/>
      <c r="Q51" s="35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6"/>
        <v>0</v>
      </c>
      <c r="Y51">
        <f t="shared" si="2"/>
        <v>0</v>
      </c>
      <c r="Z51" s="88">
        <f t="shared" si="8"/>
        <v>0</v>
      </c>
      <c r="AA51">
        <f>IF(rightFromSymbol(A51)="C",MAX(0,$N$27-strikeFromSymbol(A51)),MAX(0,strikeFromSymbol(A51)-$N$27))*10000</f>
        <v>0</v>
      </c>
      <c r="AB51" s="89">
        <f t="shared" si="7"/>
        <v>0</v>
      </c>
      <c r="AC51" s="51">
        <f t="shared" si="4"/>
        <v>0</v>
      </c>
      <c r="AD51" s="50">
        <f t="shared" si="5"/>
        <v>0</v>
      </c>
    </row>
    <row r="52" spans="1:30" x14ac:dyDescent="0.25">
      <c r="A52" s="2"/>
      <c r="B52" s="2"/>
      <c r="C52" s="2"/>
      <c r="D52" s="2"/>
      <c r="E52" s="2"/>
      <c r="F52" s="30"/>
      <c r="G52" s="2"/>
      <c r="H52" s="2"/>
      <c r="I52" s="2"/>
      <c r="J52" s="2"/>
      <c r="K52" s="2"/>
      <c r="L52" s="2"/>
      <c r="M52" s="2"/>
      <c r="N52" s="2"/>
      <c r="O52" s="2"/>
      <c r="P52" s="2"/>
      <c r="Q52" s="35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6"/>
        <v>0</v>
      </c>
      <c r="Y52">
        <f t="shared" si="2"/>
        <v>0</v>
      </c>
      <c r="Z52" s="88">
        <f t="shared" si="8"/>
        <v>0</v>
      </c>
      <c r="AA52">
        <f>IF(rightFromSymbol(A52)="C",MAX(0,$N$27-strikeFromSymbol(A52)),MAX(0,strikeFromSymbol(A52)-$N$27))*10000</f>
        <v>0</v>
      </c>
      <c r="AB52" s="89">
        <f t="shared" si="7"/>
        <v>0</v>
      </c>
      <c r="AC52" s="51">
        <f t="shared" si="4"/>
        <v>0</v>
      </c>
      <c r="AD52" s="50">
        <f t="shared" si="5"/>
        <v>0</v>
      </c>
    </row>
    <row r="53" spans="1:30" x14ac:dyDescent="0.25">
      <c r="A53" s="2"/>
      <c r="B53" s="2"/>
      <c r="C53" s="2"/>
      <c r="D53" s="2"/>
      <c r="E53" s="2"/>
      <c r="F53" s="30"/>
      <c r="G53" s="2"/>
      <c r="H53" s="2"/>
      <c r="I53" s="2"/>
      <c r="J53" s="2"/>
      <c r="K53" s="2"/>
      <c r="L53" s="2"/>
      <c r="M53" s="2"/>
      <c r="N53" s="2"/>
      <c r="O53" s="2"/>
      <c r="P53" s="2"/>
      <c r="Q53" s="35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6"/>
        <v>0</v>
      </c>
      <c r="Y53">
        <f t="shared" si="2"/>
        <v>0</v>
      </c>
      <c r="Z53" s="88">
        <f t="shared" si="8"/>
        <v>0</v>
      </c>
      <c r="AA53">
        <f>IF(rightFromSymbol(A53)="C",MAX(0,$N$27-strikeFromSymbol(A53)),MAX(0,strikeFromSymbol(A53)-$N$27))*10000</f>
        <v>0</v>
      </c>
      <c r="AB53" s="89">
        <f t="shared" si="7"/>
        <v>0</v>
      </c>
      <c r="AC53" s="51">
        <f t="shared" si="4"/>
        <v>0</v>
      </c>
      <c r="AD53" s="50">
        <f t="shared" si="5"/>
        <v>0</v>
      </c>
    </row>
    <row r="54" spans="1:30" x14ac:dyDescent="0.25">
      <c r="A54" s="2"/>
      <c r="B54" s="2"/>
      <c r="C54" s="2"/>
      <c r="D54" s="2"/>
      <c r="E54" s="2"/>
      <c r="F54" s="30"/>
      <c r="G54" s="2"/>
      <c r="H54" s="2"/>
      <c r="I54" s="2"/>
      <c r="J54" s="2"/>
      <c r="K54" s="2"/>
      <c r="L54" s="2"/>
      <c r="M54" s="2"/>
      <c r="N54" s="2"/>
      <c r="O54" s="2"/>
      <c r="P54" s="2"/>
      <c r="Q54" s="35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6"/>
        <v>0</v>
      </c>
      <c r="Y54">
        <f t="shared" si="2"/>
        <v>0</v>
      </c>
      <c r="Z54" s="88">
        <f t="shared" si="8"/>
        <v>0</v>
      </c>
      <c r="AA54">
        <f>IF(rightFromSymbol(A54)="C",MAX(0,$N$27-strikeFromSymbol(A54)),MAX(0,strikeFromSymbol(A54)-$N$27))*10000</f>
        <v>0</v>
      </c>
      <c r="AB54" s="89">
        <f t="shared" si="7"/>
        <v>0</v>
      </c>
      <c r="AC54" s="51">
        <f t="shared" si="4"/>
        <v>0</v>
      </c>
      <c r="AD54" s="50">
        <f>MAX(0,AC54*6.25)</f>
        <v>0</v>
      </c>
    </row>
    <row r="55" spans="1:30" x14ac:dyDescent="0.25">
      <c r="A55" s="2"/>
      <c r="B55" s="2"/>
      <c r="C55" s="2"/>
      <c r="D55" s="2"/>
      <c r="E55" s="2"/>
      <c r="F55" s="30"/>
      <c r="G55" s="2"/>
      <c r="H55" s="2"/>
      <c r="I55" s="2"/>
      <c r="J55" s="2"/>
      <c r="K55" s="2"/>
      <c r="L55" s="2"/>
      <c r="M55" s="2"/>
      <c r="N55" s="2"/>
      <c r="O55" s="2"/>
      <c r="P55" s="2"/>
      <c r="Q55" s="35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6"/>
        <v>0</v>
      </c>
      <c r="Y55">
        <f t="shared" si="2"/>
        <v>0</v>
      </c>
      <c r="Z55" s="88">
        <f t="shared" si="8"/>
        <v>0</v>
      </c>
      <c r="AA55">
        <f>IF(rightFromSymbol(A55)="C",MAX(0,$N$27-strikeFromSymbol(A55)),MAX(0,strikeFromSymbol(A55)-$N$27))*10000</f>
        <v>0</v>
      </c>
      <c r="AB55" s="89">
        <f t="shared" si="7"/>
        <v>0</v>
      </c>
      <c r="AC55" s="51">
        <f t="shared" si="4"/>
        <v>0</v>
      </c>
      <c r="AD55" s="50">
        <f t="shared" ref="AD55:AD65" si="9">MAX(0,AC55*6.25)</f>
        <v>0</v>
      </c>
    </row>
    <row r="56" spans="1:30" x14ac:dyDescent="0.25">
      <c r="A56" s="2"/>
      <c r="B56" s="2"/>
      <c r="C56" s="2"/>
      <c r="D56" s="2"/>
      <c r="E56" s="2"/>
      <c r="F56" s="30"/>
      <c r="G56" s="2"/>
      <c r="H56" s="2"/>
      <c r="I56" s="2"/>
      <c r="J56" s="2"/>
      <c r="K56" s="2"/>
      <c r="L56" s="2"/>
      <c r="M56" s="2"/>
      <c r="N56" s="2"/>
      <c r="O56" s="2"/>
      <c r="P56" s="2"/>
      <c r="Q56" s="35"/>
      <c r="R56" s="2"/>
      <c r="S56" s="2"/>
      <c r="T56" s="2"/>
      <c r="U56" s="2">
        <f t="shared" si="0"/>
        <v>0</v>
      </c>
      <c r="V56" s="2"/>
      <c r="W56" s="2">
        <f t="shared" si="1"/>
        <v>0</v>
      </c>
      <c r="X56">
        <f t="shared" si="6"/>
        <v>0</v>
      </c>
      <c r="Y56">
        <f t="shared" si="2"/>
        <v>0</v>
      </c>
      <c r="Z56" s="88">
        <f t="shared" si="8"/>
        <v>0</v>
      </c>
      <c r="AA56">
        <f>IF(rightFromSymbol(A56)="C",MAX(0,$N$27-strikeFromSymbol(A56)),MAX(0,strikeFromSymbol(A56)-$N$27))*10000</f>
        <v>0</v>
      </c>
      <c r="AB56" s="89">
        <f t="shared" si="7"/>
        <v>0</v>
      </c>
      <c r="AC56" s="51">
        <f t="shared" si="4"/>
        <v>0</v>
      </c>
      <c r="AD56" s="50">
        <f t="shared" si="9"/>
        <v>0</v>
      </c>
    </row>
    <row r="57" spans="1:30" x14ac:dyDescent="0.25">
      <c r="A57" s="2"/>
      <c r="B57" s="2"/>
      <c r="C57" s="2"/>
      <c r="D57" s="2"/>
      <c r="E57" s="2"/>
      <c r="F57" s="30"/>
      <c r="G57" s="2"/>
      <c r="H57" s="2"/>
      <c r="I57" s="2"/>
      <c r="J57" s="2"/>
      <c r="K57" s="2"/>
      <c r="L57" s="2"/>
      <c r="M57" s="2"/>
      <c r="N57" s="2"/>
      <c r="O57" s="2"/>
      <c r="P57" s="2"/>
      <c r="Q57" s="35"/>
      <c r="R57" s="2"/>
      <c r="S57" s="2"/>
      <c r="T57" s="2"/>
      <c r="U57" s="2">
        <f t="shared" si="0"/>
        <v>0</v>
      </c>
      <c r="V57" s="2"/>
      <c r="W57" s="2">
        <f t="shared" si="1"/>
        <v>0</v>
      </c>
      <c r="X57">
        <f t="shared" si="6"/>
        <v>0</v>
      </c>
      <c r="Y57">
        <f t="shared" si="2"/>
        <v>0</v>
      </c>
      <c r="Z57" s="88">
        <f t="shared" si="8"/>
        <v>0</v>
      </c>
      <c r="AA57">
        <f>IF(rightFromSymbol(A57)="C",MAX(0,$N$27-strikeFromSymbol(A57)),MAX(0,strikeFromSymbol(A57)-$N$27))*10000</f>
        <v>0</v>
      </c>
      <c r="AB57" s="89">
        <f t="shared" si="7"/>
        <v>0</v>
      </c>
      <c r="AC57" s="51">
        <f t="shared" si="4"/>
        <v>0</v>
      </c>
      <c r="AD57" s="50">
        <f t="shared" si="9"/>
        <v>0</v>
      </c>
    </row>
    <row r="58" spans="1:30" x14ac:dyDescent="0.25">
      <c r="A58" s="2"/>
      <c r="B58" s="2"/>
      <c r="C58" s="2"/>
      <c r="D58" s="2"/>
      <c r="E58" s="2"/>
      <c r="F58" s="30"/>
      <c r="G58" s="2"/>
      <c r="H58" s="2"/>
      <c r="I58" s="2"/>
      <c r="J58" s="2"/>
      <c r="K58" s="2"/>
      <c r="L58" s="2"/>
      <c r="M58" s="2"/>
      <c r="N58" s="2"/>
      <c r="O58" s="2"/>
      <c r="P58" s="2"/>
      <c r="Q58" s="35"/>
      <c r="R58" s="2"/>
      <c r="S58" s="2"/>
      <c r="T58" s="2"/>
      <c r="U58" s="2">
        <f t="shared" si="0"/>
        <v>0</v>
      </c>
      <c r="V58" s="2"/>
      <c r="W58" s="2">
        <f t="shared" si="1"/>
        <v>0</v>
      </c>
      <c r="X58">
        <f t="shared" si="6"/>
        <v>0</v>
      </c>
      <c r="Y58">
        <f t="shared" si="2"/>
        <v>0</v>
      </c>
      <c r="Z58" s="88">
        <f t="shared" si="8"/>
        <v>0</v>
      </c>
      <c r="AA58">
        <f>IF(rightFromSymbol(A58)="C",MAX(0,$N$27-strikeFromSymbol(A58)),MAX(0,strikeFromSymbol(A58)-$N$27))*10000</f>
        <v>0</v>
      </c>
      <c r="AB58" s="89">
        <f t="shared" si="7"/>
        <v>0</v>
      </c>
      <c r="AC58" s="51">
        <f t="shared" si="4"/>
        <v>0</v>
      </c>
      <c r="AD58" s="50">
        <f t="shared" si="9"/>
        <v>0</v>
      </c>
    </row>
    <row r="59" spans="1:30" x14ac:dyDescent="0.25">
      <c r="A59" s="2"/>
      <c r="B59" s="2"/>
      <c r="C59" s="2"/>
      <c r="D59" s="2"/>
      <c r="E59" s="2"/>
      <c r="F59" s="30"/>
      <c r="G59" s="2"/>
      <c r="H59" s="2"/>
      <c r="I59" s="2"/>
      <c r="J59" s="2"/>
      <c r="K59" s="2"/>
      <c r="L59" s="2"/>
      <c r="M59" s="2"/>
      <c r="N59" s="2"/>
      <c r="O59" s="2"/>
      <c r="P59" s="2"/>
      <c r="Q59" s="35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6"/>
        <v>0</v>
      </c>
      <c r="Y59">
        <f t="shared" si="2"/>
        <v>0</v>
      </c>
      <c r="Z59" s="88">
        <f t="shared" si="8"/>
        <v>0</v>
      </c>
      <c r="AA59">
        <f>IF(rightFromSymbol(A59)="C",MAX(0,$N$27-strikeFromSymbol(A59)),MAX(0,strikeFromSymbol(A59)-$N$27))*10000</f>
        <v>0</v>
      </c>
      <c r="AB59" s="89">
        <f t="shared" si="7"/>
        <v>0</v>
      </c>
      <c r="AC59" s="51">
        <f t="shared" si="4"/>
        <v>0</v>
      </c>
      <c r="AD59" s="50">
        <f t="shared" si="9"/>
        <v>0</v>
      </c>
    </row>
    <row r="60" spans="1:30" x14ac:dyDescent="0.25">
      <c r="A60" s="2"/>
      <c r="B60" s="2"/>
      <c r="C60" s="2"/>
      <c r="D60" s="2"/>
      <c r="E60" s="2"/>
      <c r="F60" s="30"/>
      <c r="G60" s="2"/>
      <c r="H60" s="2"/>
      <c r="I60" s="2"/>
      <c r="J60" s="2"/>
      <c r="K60" s="2"/>
      <c r="L60" s="2"/>
      <c r="M60" s="2"/>
      <c r="N60" s="2"/>
      <c r="O60" s="2"/>
      <c r="P60" s="2"/>
      <c r="Q60" s="35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6"/>
        <v>0</v>
      </c>
      <c r="Y60">
        <f t="shared" si="2"/>
        <v>0</v>
      </c>
      <c r="Z60" s="88">
        <f t="shared" si="8"/>
        <v>0</v>
      </c>
      <c r="AA60">
        <f>IF(rightFromSymbol(A60)="C",MAX(0,$N$27-strikeFromSymbol(A60)),MAX(0,strikeFromSymbol(A60)-$N$27))*10000</f>
        <v>0</v>
      </c>
      <c r="AB60" s="89">
        <f t="shared" si="7"/>
        <v>0</v>
      </c>
      <c r="AC60" s="51">
        <f t="shared" si="4"/>
        <v>0</v>
      </c>
      <c r="AD60" s="50">
        <f t="shared" si="9"/>
        <v>0</v>
      </c>
    </row>
    <row r="61" spans="1:30" x14ac:dyDescent="0.25">
      <c r="A61" s="2"/>
      <c r="B61" s="2"/>
      <c r="C61" s="2"/>
      <c r="D61" s="2"/>
      <c r="E61" s="2"/>
      <c r="F61" s="30"/>
      <c r="G61" s="2"/>
      <c r="H61" s="2"/>
      <c r="I61" s="2"/>
      <c r="J61" s="2"/>
      <c r="K61" s="2"/>
      <c r="L61" s="2"/>
      <c r="M61" s="2"/>
      <c r="N61" s="2"/>
      <c r="O61" s="2"/>
      <c r="P61" s="2"/>
      <c r="Q61" s="35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6"/>
        <v>0</v>
      </c>
      <c r="Y61">
        <f t="shared" si="2"/>
        <v>0</v>
      </c>
      <c r="Z61" s="88">
        <f t="shared" si="8"/>
        <v>0</v>
      </c>
      <c r="AA61">
        <f>IF(rightFromSymbol(A61)="C",MAX(0,$N$27-strikeFromSymbol(A61)),MAX(0,strikeFromSymbol(A61)-$N$27))*10000</f>
        <v>0</v>
      </c>
      <c r="AB61" s="89">
        <f t="shared" si="7"/>
        <v>0</v>
      </c>
      <c r="AC61" s="51">
        <f t="shared" si="4"/>
        <v>0</v>
      </c>
      <c r="AD61" s="50">
        <f t="shared" si="9"/>
        <v>0</v>
      </c>
    </row>
    <row r="62" spans="1:30" x14ac:dyDescent="0.25">
      <c r="A62" s="2"/>
      <c r="B62" s="2"/>
      <c r="C62" s="2"/>
      <c r="D62" s="2"/>
      <c r="E62" s="2"/>
      <c r="F62" s="30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6"/>
        <v>0</v>
      </c>
      <c r="Y62">
        <f t="shared" si="2"/>
        <v>0</v>
      </c>
      <c r="Z62" s="88">
        <f t="shared" si="8"/>
        <v>0</v>
      </c>
      <c r="AA62">
        <f>IF(rightFromSymbol(A62)="C",MAX(0,$N$27-strikeFromSymbol(A62)),MAX(0,strikeFromSymbol(A62)-$N$27))*10000</f>
        <v>0</v>
      </c>
      <c r="AB62" s="89">
        <f t="shared" si="7"/>
        <v>0</v>
      </c>
      <c r="AC62" s="51">
        <f t="shared" si="4"/>
        <v>0</v>
      </c>
      <c r="AD62" s="50">
        <f t="shared" si="9"/>
        <v>0</v>
      </c>
    </row>
    <row r="63" spans="1:30" x14ac:dyDescent="0.25">
      <c r="A63" s="2"/>
      <c r="B63" s="2"/>
      <c r="C63" s="2"/>
      <c r="D63" s="2"/>
      <c r="E63" s="2"/>
      <c r="F63" s="30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6"/>
        <v>0</v>
      </c>
      <c r="Y63">
        <f t="shared" si="2"/>
        <v>0</v>
      </c>
      <c r="Z63" s="88">
        <f t="shared" si="8"/>
        <v>0</v>
      </c>
      <c r="AA63">
        <f>IF(rightFromSymbol(A63)="C",MAX(0,$N$27-strikeFromSymbol(A63)),MAX(0,strikeFromSymbol(A63)-$N$27))*10000</f>
        <v>0</v>
      </c>
      <c r="AB63" s="89">
        <f t="shared" si="7"/>
        <v>0</v>
      </c>
      <c r="AC63" s="51">
        <f t="shared" si="4"/>
        <v>0</v>
      </c>
      <c r="AD63" s="50">
        <f t="shared" si="9"/>
        <v>0</v>
      </c>
    </row>
    <row r="64" spans="1:30" x14ac:dyDescent="0.25">
      <c r="A64" s="2"/>
      <c r="B64" s="2"/>
      <c r="C64" s="2"/>
      <c r="D64" s="2"/>
      <c r="E64" s="2"/>
      <c r="F64" s="30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6"/>
        <v>0</v>
      </c>
      <c r="Y64">
        <f t="shared" si="2"/>
        <v>0</v>
      </c>
      <c r="Z64" s="88">
        <f t="shared" si="8"/>
        <v>0</v>
      </c>
      <c r="AA64">
        <f>IF(rightFromSymbol(A64)="C",MAX(0,$N$27-strikeFromSymbol(A64)),MAX(0,strikeFromSymbol(A64)-$N$27))*10000</f>
        <v>0</v>
      </c>
      <c r="AB64" s="89">
        <f t="shared" si="7"/>
        <v>0</v>
      </c>
      <c r="AC64" s="51">
        <f t="shared" si="4"/>
        <v>0</v>
      </c>
      <c r="AD64" s="50">
        <f t="shared" si="9"/>
        <v>0</v>
      </c>
    </row>
    <row r="65" spans="1:30" x14ac:dyDescent="0.25">
      <c r="A65" s="2"/>
      <c r="B65" s="2"/>
      <c r="C65" s="2"/>
      <c r="D65" s="2"/>
      <c r="E65" s="2"/>
      <c r="F65" s="30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6"/>
        <v>0</v>
      </c>
      <c r="Y65">
        <f t="shared" si="2"/>
        <v>0</v>
      </c>
      <c r="Z65" s="88">
        <f t="shared" si="8"/>
        <v>0</v>
      </c>
      <c r="AA65">
        <f>IF(rightFromSymbol(A65)="C",MAX(0,$N$27-strikeFromSymbol(A65)),MAX(0,strikeFromSymbol(A65)-$N$27))*10000</f>
        <v>0</v>
      </c>
      <c r="AB65" s="89">
        <f t="shared" si="7"/>
        <v>0</v>
      </c>
      <c r="AC65" s="51">
        <f t="shared" si="4"/>
        <v>0</v>
      </c>
      <c r="AD65" s="50">
        <f t="shared" si="9"/>
        <v>0</v>
      </c>
    </row>
    <row r="71" spans="1:30" x14ac:dyDescent="0.25">
      <c r="A71" s="101" t="s">
        <v>181</v>
      </c>
      <c r="B71" s="102"/>
      <c r="C71" s="102"/>
      <c r="D71" s="102"/>
      <c r="E71" s="102"/>
      <c r="F71" s="102"/>
      <c r="G71" s="102"/>
      <c r="H71" s="102"/>
      <c r="I71" s="102"/>
      <c r="J71" s="102"/>
      <c r="K71" s="102"/>
      <c r="L71" s="102"/>
      <c r="M71" s="102"/>
    </row>
    <row r="72" spans="1:30" x14ac:dyDescent="0.25">
      <c r="A72" s="98" t="s">
        <v>41</v>
      </c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99"/>
    </row>
    <row r="73" spans="1:30" x14ac:dyDescent="0.25">
      <c r="A73" s="72" t="s">
        <v>9</v>
      </c>
      <c r="B73" s="71" t="s">
        <v>42</v>
      </c>
      <c r="C73" s="71" t="s">
        <v>43</v>
      </c>
      <c r="D73" s="71" t="s">
        <v>44</v>
      </c>
      <c r="E73" s="71" t="s">
        <v>45</v>
      </c>
      <c r="F73" s="71" t="s">
        <v>33</v>
      </c>
      <c r="G73" s="71" t="s">
        <v>46</v>
      </c>
      <c r="H73" s="71" t="s">
        <v>47</v>
      </c>
      <c r="I73" s="71" t="s">
        <v>48</v>
      </c>
      <c r="J73" s="71" t="s">
        <v>49</v>
      </c>
      <c r="K73" s="71" t="s">
        <v>50</v>
      </c>
      <c r="L73" s="71" t="s">
        <v>51</v>
      </c>
      <c r="M73" s="71" t="s">
        <v>52</v>
      </c>
    </row>
    <row r="74" spans="1:30" x14ac:dyDescent="0.25">
      <c r="A74" s="2"/>
      <c r="B74" s="16"/>
      <c r="C74" s="22"/>
      <c r="D74" s="16"/>
      <c r="E74" s="16"/>
      <c r="F74" s="16"/>
      <c r="G74" s="16"/>
      <c r="H74" s="16"/>
      <c r="I74" s="16"/>
      <c r="J74" s="16"/>
      <c r="K74" s="16"/>
      <c r="L74" s="16"/>
      <c r="M74" s="16"/>
    </row>
    <row r="75" spans="1:30" x14ac:dyDescent="0.25">
      <c r="A75" s="2"/>
      <c r="B75" s="16"/>
      <c r="C75" s="22"/>
      <c r="D75" s="16"/>
      <c r="E75" s="16"/>
      <c r="F75" s="16"/>
      <c r="G75" s="16"/>
      <c r="H75" s="16"/>
      <c r="I75" s="16"/>
      <c r="J75" s="16"/>
      <c r="K75" s="16"/>
      <c r="L75" s="16"/>
      <c r="M75" s="16"/>
    </row>
    <row r="76" spans="1:30" x14ac:dyDescent="0.25">
      <c r="A76" s="2"/>
      <c r="B76" s="16"/>
      <c r="C76" s="22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2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4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4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4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4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2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4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2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4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2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4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4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4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2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2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4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4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4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4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4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4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4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4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4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4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4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4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4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4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4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4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4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4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4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4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4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4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4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4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4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4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4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4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4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4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4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4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4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4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4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4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4"/>
      <c r="D134" s="16"/>
      <c r="E134" s="23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4"/>
      <c r="D135" s="16"/>
      <c r="E135" s="23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4"/>
      <c r="D136" s="16"/>
      <c r="E136" s="23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4"/>
      <c r="D137" s="16"/>
      <c r="E137" s="23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4"/>
      <c r="D138" s="16"/>
      <c r="E138" s="23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4"/>
      <c r="D139" s="16"/>
      <c r="E139" s="23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4"/>
      <c r="D140" s="16"/>
      <c r="E140" s="23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4"/>
      <c r="D141" s="16"/>
      <c r="E141" s="23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4"/>
      <c r="D142" s="16"/>
      <c r="E142" s="23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4"/>
      <c r="D143" s="16"/>
      <c r="E143" s="23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4"/>
      <c r="D144" s="16"/>
      <c r="E144" s="23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4"/>
      <c r="D145" s="16"/>
      <c r="E145" s="23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4"/>
      <c r="D146" s="16"/>
      <c r="E146" s="23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4"/>
      <c r="D147" s="16"/>
      <c r="E147" s="23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4"/>
      <c r="D148" s="16"/>
      <c r="E148" s="23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4"/>
      <c r="D149" s="16"/>
      <c r="E149" s="23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4"/>
      <c r="D150" s="16"/>
      <c r="E150" s="23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4"/>
      <c r="D151" s="16"/>
      <c r="E151" s="23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4"/>
      <c r="D152" s="16"/>
      <c r="E152" s="23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4"/>
      <c r="D153" s="16"/>
      <c r="E153" s="23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4"/>
      <c r="D154" s="16"/>
      <c r="E154" s="23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4"/>
      <c r="D155" s="16"/>
      <c r="E155" s="23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4"/>
      <c r="D156" s="16"/>
      <c r="E156" s="23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4"/>
      <c r="D157" s="16"/>
      <c r="E157" s="23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4"/>
      <c r="D158" s="16"/>
      <c r="E158" s="23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4"/>
      <c r="D159" s="16"/>
      <c r="E159" s="23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4"/>
      <c r="D160" s="16"/>
      <c r="E160" s="23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4"/>
      <c r="D161" s="16"/>
      <c r="E161" s="23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4"/>
      <c r="D162" s="16"/>
      <c r="E162" s="23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4"/>
      <c r="D163" s="16"/>
      <c r="E163" s="23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4"/>
      <c r="D164" s="16"/>
      <c r="E164" s="23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4"/>
      <c r="D165" s="16"/>
      <c r="E165" s="23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4"/>
      <c r="D166" s="16"/>
      <c r="E166" s="23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4"/>
      <c r="D167" s="16"/>
      <c r="E167" s="23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4"/>
      <c r="D168" s="16"/>
      <c r="E168" s="23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4"/>
      <c r="D169" s="16"/>
      <c r="E169" s="23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4"/>
      <c r="D170" s="16"/>
      <c r="E170" s="23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4"/>
      <c r="D171" s="16"/>
      <c r="E171" s="23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4"/>
      <c r="D172" s="16"/>
      <c r="E172" s="23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4"/>
      <c r="D173" s="16"/>
      <c r="E173" s="23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4"/>
      <c r="D174" s="16"/>
      <c r="E174" s="23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4"/>
      <c r="D175" s="16"/>
      <c r="E175" s="23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4"/>
      <c r="D176" s="16"/>
      <c r="E176" s="23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4"/>
      <c r="D177" s="16"/>
      <c r="E177" s="23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4"/>
      <c r="D178" s="16"/>
      <c r="E178" s="23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4"/>
      <c r="D179" s="16"/>
      <c r="E179" s="23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4"/>
      <c r="D180" s="16"/>
      <c r="E180" s="23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4"/>
      <c r="D181" s="16"/>
      <c r="E181" s="23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4"/>
      <c r="D182" s="16"/>
      <c r="E182" s="23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4"/>
      <c r="D183" s="16"/>
      <c r="E183" s="23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4"/>
      <c r="D184" s="16"/>
      <c r="E184" s="23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4"/>
      <c r="D185" s="16"/>
      <c r="E185" s="23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4"/>
      <c r="D186" s="16"/>
      <c r="E186" s="23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4"/>
      <c r="D187" s="16"/>
      <c r="E187" s="23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4"/>
      <c r="D188" s="16"/>
      <c r="E188" s="23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4"/>
      <c r="D189" s="16"/>
      <c r="E189" s="23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4"/>
      <c r="D190" s="16"/>
      <c r="E190" s="23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4"/>
      <c r="D191" s="16"/>
      <c r="E191" s="23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4"/>
      <c r="D192" s="16"/>
      <c r="E192" s="23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4"/>
      <c r="D193" s="16"/>
      <c r="E193" s="23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4"/>
      <c r="D194" s="16"/>
      <c r="E194" s="23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4"/>
      <c r="D195" s="16"/>
      <c r="E195" s="23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4"/>
      <c r="D196" s="16"/>
      <c r="E196" s="23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4"/>
      <c r="D197" s="16"/>
      <c r="E197" s="23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4"/>
      <c r="D198" s="16"/>
      <c r="E198" s="23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4"/>
      <c r="D199" s="16"/>
      <c r="E199" s="23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4"/>
      <c r="D200" s="16"/>
      <c r="E200" s="23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4"/>
      <c r="D201" s="16"/>
      <c r="E201" s="23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4"/>
      <c r="D202" s="16"/>
      <c r="E202" s="23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4"/>
      <c r="D203" s="16"/>
      <c r="E203" s="23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4"/>
      <c r="D204" s="16"/>
      <c r="E204" s="23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4"/>
      <c r="D205" s="16"/>
      <c r="E205" s="23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4"/>
      <c r="D206" s="16"/>
      <c r="E206" s="23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4"/>
      <c r="D207" s="16"/>
      <c r="E207" s="23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4"/>
      <c r="D208" s="16"/>
      <c r="E208" s="23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4"/>
      <c r="D209" s="16"/>
      <c r="E209" s="23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4"/>
      <c r="D210" s="16"/>
      <c r="E210" s="23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4"/>
      <c r="D211" s="16"/>
      <c r="E211" s="23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4"/>
      <c r="D212" s="16"/>
      <c r="E212" s="23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4"/>
      <c r="D213" s="16"/>
      <c r="E213" s="23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4"/>
      <c r="D214" s="16"/>
      <c r="E214" s="23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4"/>
      <c r="D215" s="16"/>
      <c r="E215" s="23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4"/>
      <c r="D216" s="16"/>
      <c r="E216" s="23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4"/>
      <c r="D217" s="16"/>
      <c r="E217" s="23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4"/>
      <c r="D218" s="16"/>
      <c r="E218" s="23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4"/>
      <c r="D219" s="16"/>
      <c r="E219" s="23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4"/>
      <c r="D220" s="16"/>
      <c r="E220" s="23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4"/>
      <c r="D221" s="16"/>
      <c r="E221" s="23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4"/>
      <c r="D222" s="16"/>
      <c r="E222" s="23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4"/>
      <c r="D223" s="16"/>
      <c r="E223" s="23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4"/>
      <c r="D224" s="16"/>
      <c r="E224" s="23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4"/>
      <c r="D225" s="16"/>
      <c r="E225" s="23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4"/>
      <c r="D226" s="16"/>
      <c r="E226" s="23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4"/>
      <c r="D227" s="16"/>
      <c r="E227" s="23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4"/>
      <c r="D228" s="16"/>
      <c r="E228" s="23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4"/>
      <c r="D229" s="16"/>
      <c r="E229" s="23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4"/>
      <c r="D230" s="16"/>
      <c r="E230" s="23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4"/>
      <c r="D231" s="16"/>
      <c r="E231" s="23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4"/>
      <c r="D232" s="16"/>
      <c r="E232" s="23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4"/>
      <c r="D233" s="16"/>
      <c r="E233" s="23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4"/>
      <c r="D234" s="16"/>
      <c r="E234" s="23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4"/>
      <c r="D235" s="16"/>
      <c r="E235" s="23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4"/>
      <c r="D236" s="16"/>
      <c r="E236" s="23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4"/>
      <c r="D237" s="16"/>
      <c r="E237" s="23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4"/>
      <c r="D238" s="16"/>
      <c r="E238" s="23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4"/>
      <c r="D239" s="16"/>
      <c r="E239" s="23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4"/>
      <c r="D240" s="16"/>
      <c r="E240" s="23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4"/>
      <c r="D241" s="16"/>
      <c r="E241" s="23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4"/>
      <c r="D242" s="16"/>
      <c r="E242" s="23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4"/>
      <c r="D243" s="16"/>
      <c r="E243" s="23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4"/>
      <c r="D244" s="16"/>
      <c r="E244" s="23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4"/>
      <c r="D245" s="16"/>
      <c r="E245" s="23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4"/>
      <c r="D246" s="16"/>
      <c r="E246" s="23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4"/>
      <c r="D247" s="16"/>
      <c r="E247" s="23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4"/>
      <c r="D248" s="16"/>
      <c r="E248" s="23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4"/>
      <c r="D249" s="16"/>
      <c r="E249" s="23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4"/>
      <c r="D250" s="16"/>
      <c r="E250" s="23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4"/>
      <c r="D251" s="16"/>
      <c r="E251" s="23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4"/>
      <c r="D252" s="16"/>
      <c r="E252" s="23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4"/>
      <c r="D253" s="16"/>
      <c r="E253" s="23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4"/>
      <c r="D254" s="16"/>
      <c r="E254" s="23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4"/>
      <c r="D255" s="16"/>
      <c r="E255" s="23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4"/>
      <c r="D256" s="16"/>
      <c r="E256" s="23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4"/>
      <c r="D257" s="16"/>
      <c r="E257" s="23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4"/>
      <c r="D258" s="16"/>
      <c r="E258" s="23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4"/>
      <c r="D259" s="16"/>
      <c r="E259" s="23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4"/>
      <c r="D260" s="16"/>
      <c r="E260" s="23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4"/>
      <c r="D261" s="16"/>
      <c r="E261" s="23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4"/>
      <c r="D262" s="16"/>
      <c r="E262" s="23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4"/>
      <c r="D263" s="16"/>
      <c r="E263" s="23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4"/>
      <c r="D264" s="16"/>
      <c r="E264" s="23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4"/>
      <c r="D265" s="16"/>
      <c r="E265" s="23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4"/>
      <c r="D266" s="16"/>
      <c r="E266" s="23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4"/>
      <c r="D267" s="16"/>
      <c r="E267" s="23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4"/>
      <c r="D268" s="16"/>
      <c r="E268" s="23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4"/>
      <c r="D269" s="16"/>
      <c r="E269" s="23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4"/>
      <c r="D270" s="16"/>
      <c r="E270" s="23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4"/>
      <c r="D271" s="16"/>
      <c r="E271" s="23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4"/>
      <c r="D272" s="16"/>
      <c r="E272" s="23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4"/>
      <c r="D273" s="16"/>
      <c r="E273" s="23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4"/>
      <c r="D274" s="16"/>
      <c r="E274" s="23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4"/>
      <c r="D275" s="16"/>
      <c r="E275" s="23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4"/>
      <c r="D276" s="16"/>
      <c r="E276" s="23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4"/>
      <c r="D277" s="16"/>
      <c r="E277" s="23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4"/>
      <c r="D278" s="16"/>
      <c r="E278" s="23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4"/>
      <c r="D279" s="16"/>
      <c r="E279" s="23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4"/>
      <c r="D280" s="16"/>
      <c r="E280" s="23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4"/>
      <c r="D281" s="16"/>
      <c r="E281" s="23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4"/>
      <c r="D282" s="16"/>
      <c r="E282" s="23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4"/>
      <c r="D283" s="16"/>
      <c r="E283" s="23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4"/>
      <c r="D284" s="16"/>
      <c r="E284" s="23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4"/>
      <c r="D285" s="16"/>
      <c r="E285" s="23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4"/>
      <c r="D286" s="16"/>
      <c r="E286" s="23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4"/>
      <c r="D287" s="16"/>
      <c r="E287" s="23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4"/>
      <c r="D288" s="16"/>
      <c r="E288" s="23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4"/>
      <c r="D289" s="16"/>
      <c r="E289" s="23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4"/>
      <c r="D290" s="16"/>
      <c r="E290" s="23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4"/>
      <c r="D291" s="16"/>
      <c r="E291" s="23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4"/>
      <c r="D292" s="16"/>
      <c r="E292" s="23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4"/>
      <c r="D293" s="16"/>
      <c r="E293" s="23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4"/>
      <c r="D294" s="16"/>
      <c r="E294" s="23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4"/>
      <c r="D295" s="16"/>
      <c r="E295" s="23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4"/>
      <c r="D296" s="16"/>
      <c r="E296" s="23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4"/>
      <c r="D297" s="16"/>
      <c r="E297" s="23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4"/>
      <c r="D298" s="16"/>
      <c r="E298" s="23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4"/>
      <c r="D299" s="16"/>
      <c r="E299" s="23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4"/>
      <c r="D300" s="16"/>
      <c r="E300" s="23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4"/>
      <c r="D301" s="16"/>
      <c r="E301" s="23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4"/>
      <c r="D302" s="16"/>
      <c r="E302" s="23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4"/>
      <c r="D303" s="16"/>
      <c r="E303" s="23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4"/>
      <c r="D304" s="16"/>
      <c r="E304" s="23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4"/>
      <c r="D305" s="16"/>
      <c r="E305" s="23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4"/>
      <c r="D306" s="16"/>
      <c r="E306" s="23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4"/>
      <c r="D307" s="16"/>
      <c r="E307" s="23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4"/>
      <c r="D308" s="16"/>
      <c r="E308" s="23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4"/>
      <c r="D309" s="16"/>
      <c r="E309" s="23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4"/>
      <c r="D310" s="16"/>
      <c r="E310" s="23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4"/>
      <c r="D311" s="16"/>
      <c r="E311" s="23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4"/>
      <c r="D312" s="16"/>
      <c r="E312" s="23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4"/>
      <c r="D313" s="16"/>
      <c r="E313" s="23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4"/>
      <c r="D314" s="16"/>
      <c r="E314" s="23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4"/>
      <c r="D315" s="16"/>
      <c r="E315" s="23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4"/>
      <c r="D316" s="16"/>
      <c r="E316" s="23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4"/>
      <c r="D317" s="16"/>
      <c r="E317" s="23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4"/>
      <c r="D318" s="16"/>
      <c r="E318" s="23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4"/>
      <c r="D319" s="16"/>
      <c r="E319" s="23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4"/>
      <c r="D320" s="16"/>
      <c r="E320" s="23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4"/>
      <c r="D321" s="16"/>
      <c r="E321" s="23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4"/>
      <c r="D322" s="16"/>
      <c r="E322" s="23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4"/>
      <c r="D323" s="16"/>
      <c r="E323" s="23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4"/>
      <c r="D324" s="16"/>
      <c r="E324" s="23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4"/>
      <c r="D325" s="16"/>
      <c r="E325" s="23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4"/>
      <c r="D326" s="16"/>
      <c r="E326" s="23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4"/>
      <c r="D327" s="16"/>
      <c r="E327" s="23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4"/>
      <c r="D328" s="16"/>
      <c r="E328" s="23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4"/>
      <c r="D329" s="16"/>
      <c r="E329" s="23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4"/>
      <c r="D330" s="16"/>
      <c r="E330" s="23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4"/>
      <c r="D331" s="16"/>
      <c r="E331" s="23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4"/>
      <c r="D332" s="16"/>
      <c r="E332" s="23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4"/>
      <c r="D333" s="16"/>
      <c r="E333" s="23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4"/>
      <c r="D334" s="16"/>
      <c r="E334" s="23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4"/>
      <c r="D335" s="16"/>
      <c r="E335" s="23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4"/>
      <c r="D336" s="16"/>
      <c r="E336" s="23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4"/>
      <c r="D337" s="16"/>
      <c r="E337" s="23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4"/>
      <c r="D338" s="16"/>
      <c r="E338" s="23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4"/>
      <c r="D339" s="16"/>
      <c r="E339" s="23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4"/>
      <c r="D340" s="16"/>
      <c r="E340" s="23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4"/>
      <c r="D341" s="16"/>
      <c r="E341" s="23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4"/>
      <c r="D342" s="16"/>
      <c r="E342" s="23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4"/>
      <c r="D343" s="16"/>
      <c r="E343" s="23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4"/>
      <c r="D344" s="16"/>
      <c r="E344" s="23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4"/>
      <c r="D345" s="16"/>
      <c r="E345" s="23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4"/>
      <c r="D346" s="16"/>
      <c r="E346" s="23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4"/>
      <c r="D347" s="16"/>
      <c r="E347" s="23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4"/>
      <c r="D348" s="16"/>
      <c r="E348" s="23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4"/>
      <c r="D349" s="16"/>
      <c r="E349" s="23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4"/>
      <c r="D350" s="16"/>
      <c r="E350" s="23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4"/>
      <c r="D351" s="16"/>
      <c r="E351" s="23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4"/>
      <c r="D352" s="16"/>
      <c r="E352" s="23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4"/>
      <c r="D353" s="16"/>
      <c r="E353" s="23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4"/>
      <c r="D354" s="16"/>
      <c r="E354" s="23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4"/>
      <c r="D355" s="16"/>
      <c r="E355" s="23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4"/>
      <c r="D356" s="16"/>
      <c r="E356" s="23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4"/>
      <c r="D357" s="16"/>
      <c r="E357" s="23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4"/>
      <c r="D358" s="16"/>
      <c r="E358" s="23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4"/>
      <c r="D359" s="16"/>
      <c r="E359" s="23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4"/>
      <c r="D360" s="16"/>
      <c r="E360" s="23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4"/>
      <c r="D361" s="16"/>
      <c r="E361" s="23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4"/>
      <c r="D362" s="16"/>
      <c r="E362" s="23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4"/>
      <c r="D363" s="16"/>
      <c r="E363" s="23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4"/>
      <c r="D364" s="16"/>
      <c r="E364" s="23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4"/>
      <c r="D365" s="16"/>
      <c r="E365" s="23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4"/>
      <c r="D366" s="16"/>
      <c r="E366" s="23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4"/>
      <c r="D367" s="16"/>
      <c r="E367" s="23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4"/>
      <c r="D368" s="16"/>
      <c r="E368" s="23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4"/>
      <c r="D369" s="16"/>
      <c r="E369" s="23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4"/>
      <c r="D370" s="16"/>
      <c r="E370" s="23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4"/>
      <c r="D371" s="16"/>
      <c r="E371" s="23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4"/>
      <c r="D372" s="16"/>
      <c r="E372" s="23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4"/>
      <c r="D373" s="16"/>
      <c r="E373" s="23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4"/>
      <c r="D374" s="16"/>
      <c r="E374" s="23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4"/>
      <c r="D375" s="16"/>
      <c r="E375" s="23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4"/>
      <c r="D376" s="16"/>
      <c r="E376" s="23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4"/>
      <c r="D377" s="16"/>
      <c r="E377" s="23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4"/>
      <c r="D378" s="16"/>
      <c r="E378" s="23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4"/>
      <c r="D379" s="16"/>
      <c r="E379" s="23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4"/>
      <c r="D380" s="16"/>
      <c r="E380" s="23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4"/>
      <c r="D381" s="16"/>
      <c r="E381" s="23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4"/>
      <c r="D382" s="16"/>
      <c r="E382" s="23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4"/>
      <c r="D383" s="16"/>
      <c r="E383" s="23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4"/>
      <c r="D384" s="16"/>
      <c r="E384" s="23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4"/>
      <c r="D385" s="16"/>
      <c r="E385" s="23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4"/>
      <c r="D386" s="16"/>
      <c r="E386" s="23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4"/>
      <c r="D387" s="16"/>
      <c r="E387" s="23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4"/>
      <c r="D388" s="16"/>
      <c r="E388" s="23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4"/>
      <c r="D389" s="16"/>
      <c r="E389" s="23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4"/>
      <c r="D390" s="16"/>
      <c r="E390" s="23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4"/>
      <c r="D391" s="16"/>
      <c r="E391" s="23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4"/>
      <c r="D392" s="16"/>
      <c r="E392" s="23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4"/>
      <c r="D393" s="16"/>
      <c r="E393" s="23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4"/>
      <c r="D394" s="16"/>
      <c r="E394" s="23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4"/>
      <c r="D395" s="16"/>
      <c r="E395" s="23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4"/>
      <c r="D396" s="16"/>
      <c r="E396" s="23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4"/>
      <c r="D397" s="16"/>
      <c r="E397" s="23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4"/>
      <c r="D398" s="16"/>
      <c r="E398" s="23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4"/>
      <c r="D399" s="16"/>
      <c r="E399" s="23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4"/>
      <c r="D400" s="16"/>
      <c r="E400" s="23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4"/>
      <c r="D401" s="16"/>
      <c r="E401" s="23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4"/>
      <c r="D402" s="16"/>
      <c r="E402" s="23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4"/>
      <c r="D403" s="16"/>
      <c r="E403" s="23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4"/>
      <c r="D404" s="16"/>
      <c r="E404" s="23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4"/>
      <c r="D405" s="16"/>
      <c r="E405" s="23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4"/>
      <c r="D406" s="16"/>
      <c r="E406" s="23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4"/>
      <c r="D407" s="16"/>
      <c r="E407" s="23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4"/>
      <c r="D408" s="16"/>
      <c r="E408" s="23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4"/>
      <c r="D409" s="16"/>
      <c r="E409" s="23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4"/>
      <c r="D410" s="16"/>
      <c r="E410" s="23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4"/>
      <c r="D411" s="16"/>
      <c r="E411" s="23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4"/>
      <c r="D412" s="16"/>
      <c r="E412" s="23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4"/>
      <c r="D413" s="16"/>
      <c r="E413" s="23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4"/>
      <c r="D414" s="16"/>
      <c r="E414" s="23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4"/>
      <c r="D415" s="16"/>
      <c r="E415" s="23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4"/>
      <c r="D416" s="16"/>
      <c r="E416" s="23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4"/>
      <c r="D417" s="16"/>
      <c r="E417" s="23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4"/>
      <c r="D418" s="16"/>
      <c r="E418" s="23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4"/>
      <c r="D419" s="16"/>
      <c r="E419" s="23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4"/>
      <c r="D420" s="16"/>
      <c r="E420" s="23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4"/>
      <c r="D421" s="16"/>
      <c r="E421" s="23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4"/>
      <c r="D422" s="16"/>
      <c r="E422" s="23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4"/>
      <c r="D423" s="16"/>
      <c r="E423" s="23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4"/>
      <c r="D424" s="16"/>
      <c r="E424" s="23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4"/>
      <c r="D425" s="16"/>
      <c r="E425" s="23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4"/>
      <c r="D426" s="16"/>
      <c r="E426" s="23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4"/>
      <c r="D427" s="16"/>
      <c r="E427" s="23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4"/>
      <c r="D428" s="16"/>
      <c r="E428" s="23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4"/>
      <c r="D429" s="16"/>
      <c r="E429" s="23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4"/>
      <c r="D430" s="16"/>
      <c r="E430" s="23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4"/>
      <c r="D431" s="16"/>
      <c r="E431" s="23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4"/>
      <c r="D432" s="16"/>
      <c r="E432" s="23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4"/>
      <c r="D433" s="16"/>
      <c r="E433" s="23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4"/>
      <c r="D434" s="16"/>
      <c r="E434" s="23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4"/>
      <c r="D435" s="16"/>
      <c r="E435" s="23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4"/>
      <c r="D436" s="16"/>
      <c r="E436" s="23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4"/>
      <c r="D437" s="16"/>
      <c r="E437" s="23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4"/>
      <c r="D438" s="16"/>
      <c r="E438" s="23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4"/>
      <c r="D439" s="16"/>
      <c r="E439" s="23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4"/>
      <c r="D440" s="16"/>
      <c r="E440" s="23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4"/>
      <c r="D441" s="16"/>
      <c r="E441" s="23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4"/>
      <c r="D442" s="16"/>
      <c r="E442" s="23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4"/>
      <c r="D443" s="16"/>
      <c r="E443" s="23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4"/>
      <c r="D444" s="16"/>
      <c r="E444" s="23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4"/>
      <c r="D445" s="16"/>
      <c r="E445" s="23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4"/>
      <c r="D446" s="16"/>
      <c r="E446" s="23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4"/>
      <c r="D447" s="16"/>
      <c r="E447" s="23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4"/>
      <c r="D448" s="16"/>
      <c r="E448" s="23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4"/>
      <c r="D449" s="16"/>
      <c r="E449" s="23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4"/>
      <c r="D450" s="16"/>
      <c r="E450" s="23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4"/>
      <c r="D451" s="16"/>
      <c r="E451" s="23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4"/>
      <c r="D452" s="16"/>
      <c r="E452" s="23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4"/>
      <c r="D453" s="16"/>
      <c r="E453" s="23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4"/>
      <c r="D454" s="16"/>
      <c r="E454" s="23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4"/>
      <c r="D455" s="16"/>
      <c r="E455" s="23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4"/>
      <c r="D456" s="16"/>
      <c r="E456" s="23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4"/>
      <c r="D457" s="16"/>
      <c r="E457" s="23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4"/>
      <c r="D458" s="16"/>
      <c r="E458" s="23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4"/>
      <c r="D459" s="16"/>
      <c r="E459" s="23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4"/>
      <c r="D460" s="16"/>
      <c r="E460" s="23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4"/>
      <c r="D461" s="16"/>
      <c r="E461" s="23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4"/>
      <c r="D462" s="16"/>
      <c r="E462" s="23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4"/>
      <c r="D463" s="16"/>
      <c r="E463" s="23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4"/>
      <c r="D464" s="16"/>
      <c r="E464" s="23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4"/>
      <c r="D465" s="16"/>
      <c r="E465" s="23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4"/>
      <c r="D466" s="16"/>
      <c r="E466" s="23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4"/>
      <c r="D467" s="16"/>
      <c r="E467" s="23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4"/>
      <c r="D468" s="16"/>
      <c r="E468" s="23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4"/>
      <c r="D469" s="16"/>
      <c r="E469" s="23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4"/>
      <c r="D470" s="16"/>
      <c r="E470" s="23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4"/>
      <c r="D471" s="16"/>
      <c r="E471" s="23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4"/>
      <c r="D472" s="16"/>
      <c r="E472" s="23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4"/>
      <c r="D473" s="16"/>
      <c r="E473" s="23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4"/>
      <c r="D474" s="16"/>
      <c r="E474" s="23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4"/>
      <c r="D475" s="16"/>
      <c r="E475" s="23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4"/>
      <c r="D476" s="16"/>
      <c r="E476" s="23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4"/>
      <c r="D477" s="16"/>
      <c r="E477" s="23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4"/>
      <c r="D478" s="16"/>
      <c r="E478" s="23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4"/>
      <c r="D479" s="16"/>
      <c r="E479" s="23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4"/>
      <c r="D480" s="16"/>
      <c r="E480" s="23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4"/>
      <c r="D481" s="16"/>
      <c r="E481" s="23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4"/>
      <c r="D482" s="16"/>
      <c r="E482" s="23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4"/>
      <c r="D483" s="16"/>
      <c r="E483" s="23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4"/>
      <c r="D484" s="16"/>
      <c r="E484" s="23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4"/>
      <c r="D485" s="16"/>
      <c r="E485" s="23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4"/>
      <c r="D486" s="16"/>
      <c r="E486" s="23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4"/>
      <c r="D487" s="16"/>
      <c r="E487" s="23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4"/>
      <c r="D488" s="16"/>
      <c r="E488" s="23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4"/>
      <c r="D489" s="16"/>
      <c r="E489" s="23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4"/>
      <c r="D490" s="16"/>
      <c r="E490" s="23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4"/>
      <c r="D491" s="16"/>
      <c r="E491" s="23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4"/>
      <c r="D492" s="16"/>
      <c r="E492" s="23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4"/>
      <c r="D493" s="16"/>
      <c r="E493" s="23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4"/>
      <c r="D494" s="16"/>
      <c r="E494" s="23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4"/>
      <c r="D495" s="16"/>
      <c r="E495" s="23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4"/>
      <c r="D496" s="16"/>
      <c r="E496" s="23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4"/>
      <c r="D497" s="16"/>
      <c r="E497" s="23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4"/>
      <c r="D498" s="16"/>
      <c r="E498" s="23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4"/>
      <c r="D499" s="16"/>
      <c r="E499" s="23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4"/>
      <c r="D500" s="16"/>
      <c r="E500" s="23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4"/>
      <c r="D501" s="16"/>
      <c r="E501" s="23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4"/>
      <c r="D502" s="16"/>
      <c r="E502" s="23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4"/>
      <c r="D503" s="16"/>
      <c r="E503" s="23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4"/>
      <c r="D504" s="16"/>
      <c r="E504" s="23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4"/>
      <c r="D505" s="16"/>
      <c r="E505" s="23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4"/>
      <c r="D506" s="16"/>
      <c r="E506" s="23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4"/>
      <c r="D507" s="16"/>
      <c r="E507" s="23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4"/>
      <c r="D508" s="16"/>
      <c r="E508" s="23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4"/>
      <c r="D509" s="16"/>
      <c r="E509" s="23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4"/>
      <c r="D510" s="16"/>
      <c r="E510" s="23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4"/>
      <c r="D511" s="16"/>
      <c r="E511" s="23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4"/>
      <c r="D512" s="16"/>
      <c r="E512" s="23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4"/>
      <c r="D513" s="16"/>
      <c r="E513" s="23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4"/>
      <c r="D514" s="16"/>
      <c r="E514" s="23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4"/>
      <c r="D515" s="16"/>
      <c r="E515" s="23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4"/>
      <c r="D516" s="16"/>
      <c r="E516" s="23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4"/>
      <c r="D517" s="16"/>
      <c r="E517" s="23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4"/>
      <c r="D518" s="16"/>
      <c r="E518" s="23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4"/>
      <c r="D519" s="16"/>
      <c r="E519" s="23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4"/>
      <c r="D520" s="16"/>
      <c r="E520" s="23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4"/>
      <c r="D521" s="16"/>
      <c r="E521" s="23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4"/>
      <c r="D522" s="16"/>
      <c r="E522" s="23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4"/>
      <c r="D523" s="16"/>
      <c r="E523" s="23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4"/>
      <c r="D524" s="16"/>
      <c r="E524" s="23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4"/>
      <c r="D525" s="16"/>
      <c r="E525" s="23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4"/>
      <c r="D526" s="16"/>
      <c r="E526" s="23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4"/>
      <c r="D527" s="16"/>
      <c r="E527" s="23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4"/>
      <c r="D528" s="16"/>
      <c r="E528" s="23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4"/>
      <c r="D529" s="16"/>
      <c r="E529" s="23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4"/>
      <c r="D530" s="16"/>
      <c r="E530" s="23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4"/>
      <c r="D531" s="16"/>
      <c r="E531" s="23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4"/>
      <c r="D532" s="16"/>
      <c r="E532" s="23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4"/>
      <c r="D533" s="16"/>
      <c r="E533" s="23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4"/>
      <c r="D534" s="16"/>
      <c r="E534" s="23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4"/>
      <c r="D535" s="16"/>
      <c r="E535" s="23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4"/>
      <c r="D536" s="16"/>
      <c r="E536" s="23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4"/>
      <c r="D537" s="16"/>
      <c r="E537" s="23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4"/>
      <c r="D538" s="16"/>
      <c r="E538" s="23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4"/>
      <c r="D539" s="16"/>
      <c r="E539" s="23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4"/>
      <c r="D540" s="16"/>
      <c r="E540" s="23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4"/>
      <c r="D541" s="16"/>
      <c r="E541" s="23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4"/>
      <c r="D542" s="16"/>
      <c r="E542" s="23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4"/>
      <c r="D543" s="16"/>
      <c r="E543" s="23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4"/>
      <c r="D544" s="16"/>
      <c r="E544" s="23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4"/>
      <c r="D545" s="16"/>
      <c r="E545" s="23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4"/>
      <c r="D546" s="16"/>
      <c r="E546" s="23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4"/>
      <c r="D547" s="16"/>
      <c r="E547" s="23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4"/>
      <c r="D548" s="16"/>
      <c r="E548" s="23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4"/>
      <c r="D549" s="16"/>
      <c r="E549" s="23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4"/>
      <c r="D550" s="16"/>
      <c r="E550" s="23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4"/>
      <c r="D551" s="16"/>
      <c r="E551" s="23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4"/>
      <c r="D552" s="16"/>
      <c r="E552" s="23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4"/>
      <c r="D553" s="16"/>
      <c r="E553" s="23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4"/>
      <c r="D554" s="16"/>
      <c r="E554" s="23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4"/>
      <c r="D555" s="16"/>
      <c r="E555" s="23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4"/>
      <c r="D556" s="16"/>
      <c r="E556" s="23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4"/>
      <c r="D557" s="16"/>
      <c r="E557" s="23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4"/>
      <c r="D558" s="16"/>
      <c r="E558" s="23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4"/>
      <c r="D559" s="16"/>
      <c r="E559" s="23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4"/>
      <c r="D560" s="16"/>
      <c r="E560" s="23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4"/>
      <c r="D561" s="16"/>
      <c r="E561" s="23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4"/>
      <c r="D562" s="16"/>
      <c r="E562" s="23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4"/>
      <c r="D563" s="16"/>
      <c r="E563" s="23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4"/>
      <c r="D564" s="16"/>
      <c r="E564" s="23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4"/>
      <c r="D565" s="16"/>
      <c r="E565" s="23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4"/>
      <c r="D566" s="16"/>
      <c r="E566" s="23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4"/>
      <c r="D567" s="16"/>
      <c r="E567" s="23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4"/>
      <c r="D568" s="16"/>
      <c r="E568" s="23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4"/>
      <c r="D569" s="16"/>
      <c r="E569" s="23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4"/>
      <c r="D570" s="16"/>
      <c r="E570" s="23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4"/>
      <c r="D571" s="16"/>
      <c r="E571" s="23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4"/>
      <c r="D572" s="16"/>
      <c r="E572" s="23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4"/>
      <c r="D573" s="16"/>
      <c r="E573" s="23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4"/>
      <c r="D574" s="16"/>
      <c r="E574" s="23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4"/>
      <c r="D575" s="16"/>
      <c r="E575" s="23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4"/>
      <c r="D576" s="16"/>
      <c r="E576" s="23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4"/>
      <c r="D577" s="16"/>
      <c r="E577" s="23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4"/>
      <c r="D578" s="16"/>
      <c r="E578" s="23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4"/>
      <c r="D579" s="16"/>
      <c r="E579" s="23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4"/>
      <c r="D580" s="16"/>
      <c r="E580" s="23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4"/>
      <c r="D581" s="16"/>
      <c r="E581" s="23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4"/>
      <c r="D582" s="16"/>
      <c r="E582" s="23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4"/>
      <c r="D583" s="16"/>
      <c r="E583" s="23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4"/>
      <c r="D584" s="16"/>
      <c r="E584" s="23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4"/>
      <c r="D585" s="16"/>
      <c r="E585" s="23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4"/>
      <c r="D586" s="16"/>
      <c r="E586" s="23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4"/>
      <c r="D587" s="16"/>
      <c r="E587" s="23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4"/>
      <c r="D588" s="16"/>
      <c r="E588" s="23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4"/>
      <c r="D589" s="16"/>
      <c r="E589" s="23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4"/>
      <c r="D590" s="16"/>
      <c r="E590" s="23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4"/>
      <c r="D591" s="16"/>
      <c r="E591" s="23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4"/>
      <c r="D592" s="16"/>
      <c r="E592" s="23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4"/>
      <c r="D593" s="16"/>
      <c r="E593" s="23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4"/>
      <c r="D594" s="16"/>
      <c r="E594" s="23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4"/>
      <c r="D595" s="16"/>
      <c r="E595" s="23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4"/>
      <c r="D596" s="16"/>
      <c r="E596" s="23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4"/>
      <c r="D597" s="16"/>
      <c r="E597" s="23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4"/>
      <c r="D598" s="16"/>
      <c r="E598" s="23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4"/>
      <c r="D599" s="16"/>
      <c r="E599" s="23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4"/>
      <c r="D600" s="16"/>
      <c r="E600" s="23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4"/>
      <c r="D601" s="16"/>
      <c r="E601" s="23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4"/>
      <c r="D602" s="16"/>
      <c r="E602" s="23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4"/>
      <c r="D603" s="16"/>
      <c r="E603" s="23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4"/>
      <c r="D604" s="16"/>
      <c r="E604" s="23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4"/>
      <c r="D605" s="16"/>
      <c r="E605" s="23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4"/>
      <c r="D606" s="16"/>
      <c r="E606" s="23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4"/>
      <c r="D607" s="16"/>
      <c r="E607" s="23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4"/>
      <c r="D608" s="16"/>
      <c r="E608" s="23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4"/>
      <c r="D609" s="16"/>
      <c r="E609" s="23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4"/>
      <c r="D610" s="16"/>
      <c r="E610" s="23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4"/>
      <c r="D611" s="16"/>
      <c r="E611" s="23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4"/>
      <c r="D612" s="16"/>
      <c r="E612" s="23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4"/>
      <c r="D613" s="16"/>
      <c r="E613" s="23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4"/>
      <c r="D614" s="16"/>
      <c r="E614" s="23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4"/>
      <c r="D615" s="16"/>
      <c r="E615" s="23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4"/>
      <c r="D616" s="16"/>
      <c r="E616" s="23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4"/>
      <c r="D617" s="16"/>
      <c r="E617" s="23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4"/>
      <c r="D618" s="16"/>
      <c r="E618" s="23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4"/>
      <c r="D619" s="16"/>
      <c r="E619" s="23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4"/>
      <c r="D620" s="16"/>
      <c r="E620" s="23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4"/>
      <c r="D621" s="16"/>
      <c r="E621" s="23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4"/>
      <c r="D622" s="16"/>
      <c r="E622" s="23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4"/>
      <c r="D623" s="16"/>
      <c r="E623" s="23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4"/>
      <c r="D624" s="16"/>
      <c r="E624" s="23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4"/>
      <c r="D625" s="16"/>
      <c r="E625" s="23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4"/>
      <c r="D626" s="16"/>
      <c r="E626" s="23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4"/>
      <c r="D627" s="16"/>
      <c r="E627" s="23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4"/>
      <c r="D628" s="16"/>
      <c r="E628" s="23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4"/>
      <c r="D629" s="16"/>
      <c r="E629" s="23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4"/>
      <c r="D630" s="16"/>
      <c r="E630" s="23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4"/>
      <c r="D631" s="16"/>
      <c r="E631" s="23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4"/>
      <c r="D632" s="16"/>
      <c r="E632" s="23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4"/>
      <c r="D633" s="16"/>
      <c r="E633" s="23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4"/>
      <c r="D634" s="16"/>
      <c r="E634" s="23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4"/>
      <c r="D635" s="16"/>
      <c r="E635" s="23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4"/>
      <c r="D636" s="16"/>
      <c r="E636" s="23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4"/>
      <c r="D637" s="16"/>
      <c r="E637" s="23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4"/>
      <c r="D638" s="16"/>
      <c r="E638" s="23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4"/>
      <c r="D639" s="16"/>
      <c r="E639" s="23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4"/>
      <c r="D640" s="16"/>
      <c r="E640" s="23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4"/>
      <c r="D641" s="16"/>
      <c r="E641" s="23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4"/>
      <c r="D642" s="16"/>
      <c r="E642" s="23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4"/>
      <c r="D643" s="16"/>
      <c r="E643" s="23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4"/>
      <c r="D644" s="16"/>
      <c r="E644" s="23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4"/>
      <c r="D645" s="16"/>
      <c r="E645" s="23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4"/>
      <c r="D646" s="16"/>
      <c r="E646" s="23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4"/>
      <c r="D647" s="16"/>
      <c r="E647" s="23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4"/>
      <c r="D648" s="16"/>
      <c r="E648" s="23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4"/>
      <c r="D649" s="16"/>
      <c r="E649" s="23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4"/>
      <c r="D650" s="16"/>
      <c r="E650" s="23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4"/>
      <c r="D651" s="16"/>
      <c r="E651" s="23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4"/>
      <c r="D652" s="16"/>
      <c r="E652" s="23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4"/>
      <c r="D653" s="16"/>
      <c r="E653" s="23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4"/>
      <c r="D654" s="16"/>
      <c r="E654" s="23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4"/>
      <c r="D655" s="16"/>
      <c r="E655" s="23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4"/>
      <c r="D656" s="16"/>
      <c r="E656" s="23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4"/>
      <c r="D657" s="16"/>
      <c r="E657" s="23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4"/>
      <c r="D658" s="16"/>
      <c r="E658" s="23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4"/>
      <c r="D659" s="16"/>
      <c r="E659" s="23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4"/>
      <c r="D660" s="16"/>
      <c r="E660" s="23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4"/>
      <c r="D661" s="16"/>
      <c r="E661" s="23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4"/>
      <c r="D662" s="16"/>
      <c r="E662" s="23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4"/>
      <c r="D663" s="16"/>
      <c r="E663" s="23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4"/>
      <c r="D664" s="16"/>
      <c r="E664" s="23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4"/>
      <c r="D665" s="16"/>
      <c r="E665" s="23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4"/>
      <c r="D666" s="16"/>
      <c r="E666" s="23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4"/>
      <c r="D667" s="16"/>
      <c r="E667" s="23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4"/>
      <c r="D668" s="16"/>
      <c r="E668" s="23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4"/>
      <c r="D669" s="16"/>
      <c r="E669" s="23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4"/>
      <c r="D670" s="16"/>
      <c r="E670" s="23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4"/>
      <c r="D671" s="16"/>
      <c r="E671" s="23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4"/>
      <c r="D672" s="16"/>
      <c r="E672" s="23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4"/>
      <c r="D673" s="16"/>
      <c r="E673" s="23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4"/>
      <c r="D674" s="16"/>
      <c r="E674" s="23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4"/>
      <c r="D675" s="16"/>
      <c r="E675" s="23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4"/>
      <c r="D676" s="16"/>
      <c r="E676" s="23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4"/>
      <c r="D677" s="16"/>
      <c r="E677" s="23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4"/>
      <c r="D678" s="16"/>
      <c r="E678" s="23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4"/>
      <c r="D679" s="16"/>
      <c r="E679" s="23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4"/>
      <c r="D680" s="16"/>
      <c r="E680" s="23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4"/>
      <c r="D681" s="16"/>
      <c r="E681" s="23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4"/>
      <c r="D682" s="16"/>
      <c r="E682" s="23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4"/>
      <c r="D683" s="16"/>
      <c r="E683" s="23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4"/>
      <c r="D684" s="16"/>
      <c r="E684" s="23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4"/>
      <c r="D685" s="16"/>
      <c r="E685" s="23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4"/>
      <c r="D686" s="16"/>
      <c r="E686" s="23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4"/>
      <c r="D687" s="16"/>
      <c r="E687" s="23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4"/>
      <c r="D688" s="16"/>
      <c r="E688" s="23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4"/>
      <c r="D689" s="16"/>
      <c r="E689" s="23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4"/>
      <c r="D690" s="16"/>
      <c r="E690" s="23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4"/>
      <c r="D691" s="16"/>
      <c r="E691" s="23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4"/>
      <c r="D692" s="16"/>
      <c r="E692" s="23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4"/>
      <c r="D693" s="16"/>
      <c r="E693" s="23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4"/>
      <c r="D694" s="16"/>
      <c r="E694" s="23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4"/>
      <c r="D695" s="16"/>
      <c r="E695" s="23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4"/>
      <c r="D696" s="16"/>
      <c r="E696" s="23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4"/>
      <c r="D697" s="16"/>
      <c r="E697" s="23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4"/>
      <c r="D698" s="16"/>
      <c r="E698" s="23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4"/>
      <c r="D699" s="16"/>
      <c r="E699" s="23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4"/>
      <c r="D700" s="16"/>
      <c r="E700" s="23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4"/>
      <c r="D701" s="16"/>
      <c r="E701" s="23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4"/>
      <c r="D702" s="16"/>
      <c r="E702" s="23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4"/>
      <c r="D703" s="16"/>
      <c r="E703" s="23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4"/>
      <c r="D704" s="16"/>
      <c r="E704" s="23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4"/>
      <c r="D705" s="16"/>
      <c r="E705" s="23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4"/>
      <c r="D706" s="16"/>
      <c r="E706" s="23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4"/>
      <c r="D707" s="16"/>
      <c r="E707" s="23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4"/>
      <c r="D708" s="16"/>
      <c r="E708" s="23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4"/>
      <c r="D709" s="16"/>
      <c r="E709" s="23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4"/>
      <c r="D710" s="16"/>
      <c r="E710" s="23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4"/>
      <c r="D711" s="16"/>
      <c r="E711" s="23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4"/>
      <c r="D712" s="16"/>
      <c r="E712" s="23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4"/>
      <c r="D713" s="16"/>
      <c r="E713" s="23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4"/>
      <c r="D714" s="16"/>
      <c r="E714" s="23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4"/>
      <c r="D715" s="16"/>
      <c r="E715" s="23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4"/>
      <c r="D716" s="16"/>
      <c r="E716" s="23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4"/>
      <c r="D717" s="16"/>
      <c r="E717" s="23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4"/>
      <c r="D718" s="16"/>
      <c r="E718" s="23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4"/>
      <c r="D719" s="16"/>
      <c r="E719" s="23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4"/>
      <c r="D720" s="16"/>
      <c r="E720" s="23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4"/>
      <c r="D721" s="16"/>
      <c r="E721" s="23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4"/>
      <c r="D722" s="16"/>
      <c r="E722" s="23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4"/>
      <c r="D723" s="16"/>
      <c r="E723" s="23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4"/>
      <c r="D724" s="16"/>
      <c r="E724" s="23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4"/>
      <c r="D725" s="16"/>
      <c r="E725" s="23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4"/>
      <c r="D726" s="16"/>
      <c r="E726" s="23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4"/>
      <c r="D727" s="16"/>
      <c r="E727" s="23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4"/>
      <c r="D728" s="16"/>
      <c r="E728" s="23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4"/>
      <c r="D729" s="16"/>
      <c r="E729" s="23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4"/>
      <c r="D730" s="16"/>
      <c r="E730" s="23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4"/>
      <c r="D731" s="16"/>
      <c r="E731" s="23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4"/>
      <c r="D732" s="16"/>
      <c r="E732" s="23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4"/>
      <c r="D733" s="16"/>
      <c r="E733" s="23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4"/>
      <c r="D734" s="16"/>
      <c r="E734" s="23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4"/>
      <c r="D735" s="16"/>
      <c r="E735" s="23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4"/>
      <c r="D736" s="16"/>
      <c r="E736" s="23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4"/>
      <c r="D737" s="16"/>
      <c r="E737" s="23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4"/>
      <c r="D738" s="16"/>
      <c r="E738" s="23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4"/>
      <c r="D739" s="16"/>
      <c r="E739" s="23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4"/>
      <c r="D740" s="16"/>
      <c r="E740" s="23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4"/>
      <c r="D741" s="16"/>
      <c r="E741" s="23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4"/>
      <c r="D742" s="16"/>
      <c r="E742" s="23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4"/>
      <c r="D743" s="16"/>
      <c r="E743" s="23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4"/>
      <c r="D744" s="16"/>
      <c r="E744" s="23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4"/>
      <c r="D745" s="16"/>
      <c r="E745" s="23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4"/>
      <c r="D746" s="16"/>
      <c r="E746" s="23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4"/>
      <c r="D747" s="16"/>
      <c r="E747" s="23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4"/>
      <c r="D748" s="16"/>
      <c r="E748" s="23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4"/>
      <c r="D749" s="16"/>
      <c r="E749" s="23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4"/>
      <c r="D750" s="16"/>
      <c r="E750" s="23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4"/>
      <c r="D751" s="16"/>
      <c r="E751" s="23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4"/>
      <c r="D752" s="16"/>
      <c r="E752" s="23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4"/>
      <c r="D753" s="16"/>
      <c r="E753" s="23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4"/>
      <c r="D754" s="16"/>
      <c r="E754" s="23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4"/>
      <c r="D755" s="16"/>
      <c r="E755" s="23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4"/>
      <c r="D756" s="16"/>
      <c r="E756" s="23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4"/>
      <c r="D757" s="16"/>
      <c r="E757" s="23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4"/>
      <c r="D758" s="16"/>
      <c r="E758" s="23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4"/>
      <c r="D759" s="16"/>
      <c r="E759" s="23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4"/>
      <c r="D760" s="16"/>
      <c r="E760" s="23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4"/>
      <c r="D761" s="16"/>
      <c r="E761" s="23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4"/>
      <c r="D762" s="16"/>
      <c r="E762" s="23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4"/>
      <c r="D763" s="16"/>
      <c r="E763" s="23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4"/>
      <c r="D764" s="16"/>
      <c r="E764" s="23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4"/>
      <c r="D765" s="16"/>
      <c r="E765" s="23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4"/>
      <c r="D766" s="16"/>
      <c r="E766" s="23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4"/>
      <c r="D767" s="16"/>
      <c r="E767" s="23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4"/>
      <c r="D768" s="16"/>
      <c r="E768" s="23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4"/>
      <c r="D769" s="16"/>
      <c r="E769" s="23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4"/>
      <c r="D770" s="16"/>
      <c r="E770" s="23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4"/>
      <c r="D771" s="16"/>
      <c r="E771" s="23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4"/>
      <c r="D772" s="16"/>
      <c r="E772" s="23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4"/>
      <c r="D773" s="16"/>
      <c r="E773" s="23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4"/>
      <c r="D774" s="16"/>
      <c r="E774" s="23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4"/>
      <c r="D775" s="16"/>
      <c r="E775" s="23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4"/>
      <c r="D776" s="16"/>
      <c r="E776" s="23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4"/>
      <c r="D777" s="16"/>
      <c r="E777" s="23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4"/>
      <c r="D778" s="16"/>
      <c r="E778" s="23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4"/>
      <c r="D779" s="16"/>
      <c r="E779" s="23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4"/>
      <c r="D780" s="16"/>
      <c r="E780" s="23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4"/>
      <c r="D781" s="16"/>
      <c r="E781" s="23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4"/>
      <c r="D782" s="16"/>
      <c r="E782" s="23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4"/>
      <c r="D783" s="16"/>
      <c r="E783" s="23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4"/>
      <c r="D784" s="16"/>
      <c r="E784" s="23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4"/>
      <c r="D785" s="16"/>
      <c r="E785" s="23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4"/>
      <c r="D786" s="16"/>
      <c r="E786" s="23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4"/>
      <c r="D787" s="16"/>
      <c r="E787" s="23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4"/>
      <c r="D788" s="16"/>
      <c r="E788" s="23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4"/>
      <c r="D789" s="16"/>
      <c r="E789" s="23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4"/>
      <c r="D790" s="16"/>
      <c r="E790" s="23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4"/>
      <c r="D791" s="16"/>
      <c r="E791" s="23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4"/>
      <c r="D792" s="16"/>
      <c r="E792" s="23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4"/>
      <c r="D793" s="16"/>
      <c r="E793" s="23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4"/>
      <c r="D794" s="16"/>
      <c r="E794" s="23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4"/>
      <c r="D795" s="16"/>
      <c r="E795" s="23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4"/>
      <c r="D796" s="16"/>
      <c r="E796" s="23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4"/>
      <c r="D797" s="16"/>
      <c r="E797" s="23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4"/>
      <c r="D798" s="16"/>
      <c r="E798" s="23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4"/>
      <c r="D799" s="16"/>
      <c r="E799" s="23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4"/>
      <c r="D800" s="16"/>
      <c r="E800" s="23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4"/>
      <c r="D801" s="16"/>
      <c r="E801" s="23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4"/>
      <c r="D802" s="16"/>
      <c r="E802" s="23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4"/>
      <c r="D803" s="16"/>
      <c r="E803" s="23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4"/>
      <c r="D804" s="16"/>
      <c r="E804" s="23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4"/>
      <c r="D805" s="16"/>
      <c r="E805" s="23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4"/>
      <c r="D806" s="16"/>
      <c r="E806" s="23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4"/>
      <c r="D807" s="16"/>
      <c r="E807" s="23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4"/>
      <c r="D808" s="16"/>
      <c r="E808" s="23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4"/>
      <c r="D809" s="16"/>
      <c r="E809" s="23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4"/>
      <c r="D810" s="16"/>
      <c r="E810" s="23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4"/>
      <c r="D811" s="16"/>
      <c r="E811" s="23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4"/>
      <c r="D812" s="16"/>
      <c r="E812" s="23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4"/>
      <c r="D813" s="16"/>
      <c r="E813" s="23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4"/>
      <c r="D814" s="16"/>
      <c r="E814" s="23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4"/>
      <c r="D815" s="16"/>
      <c r="E815" s="23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4"/>
      <c r="D816" s="16"/>
      <c r="E816" s="23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4"/>
      <c r="D817" s="16"/>
      <c r="E817" s="23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4"/>
      <c r="D818" s="16"/>
      <c r="E818" s="23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4"/>
      <c r="D819" s="16"/>
      <c r="E819" s="23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4"/>
      <c r="D820" s="16"/>
      <c r="E820" s="23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4"/>
      <c r="D821" s="16"/>
      <c r="E821" s="23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4"/>
      <c r="D822" s="16"/>
      <c r="E822" s="23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4"/>
      <c r="D823" s="16"/>
      <c r="E823" s="23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4"/>
      <c r="D824" s="16"/>
      <c r="E824" s="23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4"/>
      <c r="D825" s="16"/>
      <c r="E825" s="23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4"/>
      <c r="D826" s="16"/>
      <c r="E826" s="23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4"/>
      <c r="D827" s="16"/>
      <c r="E827" s="23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4"/>
      <c r="D828" s="16"/>
      <c r="E828" s="23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4"/>
      <c r="D829" s="16"/>
      <c r="E829" s="23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4"/>
      <c r="D830" s="16"/>
      <c r="E830" s="23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4"/>
      <c r="D831" s="16"/>
      <c r="E831" s="23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4"/>
      <c r="D832" s="16"/>
      <c r="E832" s="23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4"/>
      <c r="D833" s="16"/>
      <c r="E833" s="23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4"/>
      <c r="D834" s="16"/>
      <c r="E834" s="23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4"/>
      <c r="D835" s="16"/>
      <c r="E835" s="23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4"/>
      <c r="D836" s="16"/>
      <c r="E836" s="23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4"/>
      <c r="D837" s="16"/>
      <c r="E837" s="23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4"/>
      <c r="D838" s="16"/>
      <c r="E838" s="23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4"/>
      <c r="D839" s="16"/>
      <c r="E839" s="23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4"/>
      <c r="D840" s="16"/>
      <c r="E840" s="23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4"/>
      <c r="D841" s="16"/>
      <c r="E841" s="23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4"/>
      <c r="D842" s="16"/>
      <c r="E842" s="23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4"/>
      <c r="D843" s="16"/>
      <c r="E843" s="23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4"/>
      <c r="D844" s="16"/>
      <c r="E844" s="23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4"/>
      <c r="D845" s="16"/>
      <c r="E845" s="23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4"/>
      <c r="D846" s="16"/>
      <c r="E846" s="23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4"/>
      <c r="D847" s="16"/>
      <c r="E847" s="23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4"/>
      <c r="D848" s="16"/>
      <c r="E848" s="23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4"/>
      <c r="D849" s="16"/>
      <c r="E849" s="23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4"/>
      <c r="D850" s="16"/>
      <c r="E850" s="23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4"/>
      <c r="D851" s="16"/>
      <c r="E851" s="23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4"/>
      <c r="D852" s="16"/>
      <c r="E852" s="23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4"/>
      <c r="D853" s="16"/>
      <c r="E853" s="23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4"/>
      <c r="D854" s="16"/>
      <c r="E854" s="23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4"/>
      <c r="D855" s="16"/>
      <c r="E855" s="23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4"/>
      <c r="D856" s="16"/>
      <c r="E856" s="23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4"/>
      <c r="D857" s="16"/>
      <c r="E857" s="23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4"/>
      <c r="D858" s="16"/>
      <c r="E858" s="23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4"/>
      <c r="D859" s="16"/>
      <c r="E859" s="23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4"/>
      <c r="D860" s="16"/>
      <c r="E860" s="23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4"/>
      <c r="D861" s="16"/>
      <c r="E861" s="23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4"/>
      <c r="D862" s="16"/>
      <c r="E862" s="23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4"/>
      <c r="D863" s="16"/>
      <c r="E863" s="23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4"/>
      <c r="D864" s="16"/>
      <c r="E864" s="23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4"/>
      <c r="D865" s="16"/>
      <c r="E865" s="23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4"/>
      <c r="D866" s="16"/>
      <c r="E866" s="23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4"/>
      <c r="D867" s="16"/>
      <c r="E867" s="23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4"/>
      <c r="D868" s="16"/>
      <c r="E868" s="23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4"/>
      <c r="D869" s="16"/>
      <c r="E869" s="23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4"/>
      <c r="D870" s="16"/>
      <c r="E870" s="23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4"/>
      <c r="D871" s="16"/>
      <c r="E871" s="23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4"/>
      <c r="D872" s="16"/>
      <c r="E872" s="23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4"/>
      <c r="D873" s="16"/>
      <c r="E873" s="23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4"/>
      <c r="D874" s="16"/>
      <c r="E874" s="23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4"/>
      <c r="D875" s="16"/>
      <c r="E875" s="23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4"/>
      <c r="D876" s="16"/>
      <c r="E876" s="23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4"/>
      <c r="D877" s="16"/>
      <c r="E877" s="23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4"/>
      <c r="D878" s="16"/>
      <c r="E878" s="23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4"/>
      <c r="D879" s="16"/>
      <c r="E879" s="23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4"/>
      <c r="D880" s="16"/>
      <c r="E880" s="23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4"/>
      <c r="D881" s="16"/>
      <c r="E881" s="23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4"/>
      <c r="D882" s="16"/>
      <c r="E882" s="23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4"/>
      <c r="D883" s="16"/>
      <c r="E883" s="23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4"/>
      <c r="D884" s="16"/>
      <c r="E884" s="23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4"/>
      <c r="D885" s="16"/>
      <c r="E885" s="23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4"/>
      <c r="D886" s="16"/>
      <c r="E886" s="23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4"/>
      <c r="D887" s="16"/>
      <c r="E887" s="23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4"/>
      <c r="D888" s="16"/>
      <c r="E888" s="23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4"/>
      <c r="D889" s="16"/>
      <c r="E889" s="23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4"/>
      <c r="D890" s="16"/>
      <c r="E890" s="23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4"/>
      <c r="D891" s="16"/>
      <c r="E891" s="23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4"/>
      <c r="D892" s="16"/>
      <c r="E892" s="23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4"/>
      <c r="D893" s="16"/>
      <c r="E893" s="23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4"/>
      <c r="D894" s="16"/>
      <c r="E894" s="23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4"/>
      <c r="D895" s="16"/>
      <c r="E895" s="23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4"/>
      <c r="D896" s="16"/>
      <c r="E896" s="23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4"/>
      <c r="D897" s="16"/>
      <c r="E897" s="23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4"/>
      <c r="D898" s="16"/>
      <c r="E898" s="23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4"/>
      <c r="D899" s="16"/>
      <c r="E899" s="23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4"/>
      <c r="D900" s="16"/>
      <c r="E900" s="23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4"/>
      <c r="D901" s="16"/>
      <c r="E901" s="23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4"/>
      <c r="D902" s="16"/>
      <c r="E902" s="23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4"/>
      <c r="D903" s="16"/>
      <c r="E903" s="23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4"/>
      <c r="D904" s="16"/>
      <c r="E904" s="23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4"/>
      <c r="D905" s="16"/>
      <c r="E905" s="23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4"/>
      <c r="D906" s="16"/>
      <c r="E906" s="23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4"/>
      <c r="D907" s="16"/>
      <c r="E907" s="23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4"/>
      <c r="D908" s="16"/>
      <c r="E908" s="23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4"/>
      <c r="D909" s="16"/>
      <c r="E909" s="23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4"/>
      <c r="D910" s="16"/>
      <c r="E910" s="23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4"/>
      <c r="D911" s="16"/>
      <c r="E911" s="23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4"/>
      <c r="D912" s="16"/>
      <c r="E912" s="23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4"/>
      <c r="D913" s="16"/>
      <c r="E913" s="23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4"/>
      <c r="D914" s="16"/>
      <c r="E914" s="23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4"/>
      <c r="D915" s="16"/>
      <c r="E915" s="23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4"/>
      <c r="D916" s="16"/>
      <c r="E916" s="23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4"/>
      <c r="D917" s="16"/>
      <c r="E917" s="23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4"/>
      <c r="D918" s="16"/>
      <c r="E918" s="23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4"/>
      <c r="D919" s="16"/>
      <c r="E919" s="23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4"/>
      <c r="D920" s="16"/>
      <c r="E920" s="23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4"/>
      <c r="D921" s="16"/>
      <c r="E921" s="23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4"/>
      <c r="D922" s="16"/>
      <c r="E922" s="23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4"/>
      <c r="D923" s="16"/>
      <c r="E923" s="23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4"/>
      <c r="D924" s="16"/>
      <c r="E924" s="23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4"/>
      <c r="D925" s="16"/>
      <c r="E925" s="23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4"/>
      <c r="D926" s="16"/>
      <c r="E926" s="23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4"/>
      <c r="D927" s="16"/>
      <c r="E927" s="23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4"/>
      <c r="D928" s="16"/>
      <c r="E928" s="23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4"/>
      <c r="D929" s="16"/>
      <c r="E929" s="23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4"/>
      <c r="D930" s="16"/>
      <c r="E930" s="23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4"/>
      <c r="D931" s="16"/>
      <c r="E931" s="23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4"/>
      <c r="D932" s="16"/>
      <c r="E932" s="23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4"/>
      <c r="D933" s="16"/>
      <c r="E933" s="23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4"/>
      <c r="D934" s="16"/>
      <c r="E934" s="23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4"/>
      <c r="D935" s="16"/>
      <c r="E935" s="23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4"/>
      <c r="D936" s="16"/>
      <c r="E936" s="23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4"/>
      <c r="D937" s="16"/>
      <c r="E937" s="23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4"/>
      <c r="D938" s="16"/>
      <c r="E938" s="23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4"/>
      <c r="D939" s="16"/>
      <c r="E939" s="23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4"/>
      <c r="D940" s="16"/>
      <c r="E940" s="23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4"/>
      <c r="D941" s="16"/>
      <c r="E941" s="23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4"/>
      <c r="D942" s="16"/>
      <c r="E942" s="23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4"/>
      <c r="D943" s="16"/>
      <c r="E943" s="23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4"/>
      <c r="D944" s="16"/>
      <c r="E944" s="23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4"/>
      <c r="D945" s="16"/>
      <c r="E945" s="23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4"/>
      <c r="D946" s="16"/>
      <c r="E946" s="23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4"/>
      <c r="D947" s="16"/>
      <c r="E947" s="23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4"/>
      <c r="D948" s="16"/>
      <c r="E948" s="23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4"/>
      <c r="D949" s="16"/>
      <c r="E949" s="23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4"/>
      <c r="D950" s="16"/>
      <c r="E950" s="23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4"/>
      <c r="D951" s="16"/>
      <c r="E951" s="23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4"/>
      <c r="D952" s="16"/>
      <c r="E952" s="23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4"/>
      <c r="D953" s="16"/>
      <c r="E953" s="23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4"/>
      <c r="D954" s="16"/>
      <c r="E954" s="23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4"/>
      <c r="D955" s="16"/>
      <c r="E955" s="23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4"/>
      <c r="D956" s="16"/>
      <c r="E956" s="23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4"/>
      <c r="D957" s="16"/>
      <c r="E957" s="23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4"/>
      <c r="D958" s="16"/>
      <c r="E958" s="23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4"/>
      <c r="D959" s="16"/>
      <c r="E959" s="23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4"/>
      <c r="D960" s="16"/>
      <c r="E960" s="23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4"/>
      <c r="D961" s="16"/>
      <c r="E961" s="23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4"/>
      <c r="D962" s="16"/>
      <c r="E962" s="23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4"/>
      <c r="D963" s="16"/>
      <c r="E963" s="23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4"/>
      <c r="D964" s="16"/>
      <c r="E964" s="23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4"/>
      <c r="D965" s="16"/>
      <c r="E965" s="23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4"/>
      <c r="D966" s="16"/>
      <c r="E966" s="23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4"/>
      <c r="D967" s="16"/>
      <c r="E967" s="23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4"/>
      <c r="D968" s="16"/>
      <c r="E968" s="23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4"/>
      <c r="D969" s="16"/>
      <c r="E969" s="23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4"/>
      <c r="D970" s="16"/>
      <c r="E970" s="23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4"/>
      <c r="D971" s="16"/>
      <c r="E971" s="23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4"/>
      <c r="D972" s="16"/>
      <c r="E972" s="23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4"/>
      <c r="D973" s="16"/>
      <c r="E973" s="23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4"/>
      <c r="D974" s="16"/>
      <c r="E974" s="23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4"/>
      <c r="D975" s="16"/>
      <c r="E975" s="23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4"/>
      <c r="D976" s="16"/>
      <c r="E976" s="23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4"/>
      <c r="D977" s="16"/>
      <c r="E977" s="23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4"/>
      <c r="D978" s="16"/>
      <c r="E978" s="23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4"/>
      <c r="D979" s="16"/>
      <c r="E979" s="23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4"/>
      <c r="D980" s="16"/>
      <c r="E980" s="23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4"/>
      <c r="D981" s="16"/>
      <c r="E981" s="23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4"/>
      <c r="D982" s="16"/>
      <c r="E982" s="23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4"/>
      <c r="D983" s="16"/>
      <c r="E983" s="23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4"/>
      <c r="D984" s="16"/>
      <c r="E984" s="23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4"/>
      <c r="D985" s="16"/>
      <c r="E985" s="23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4"/>
      <c r="D986" s="16"/>
      <c r="E986" s="23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4"/>
      <c r="D987" s="16"/>
      <c r="E987" s="23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4"/>
      <c r="D988" s="16"/>
      <c r="E988" s="23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4"/>
      <c r="D989" s="16"/>
      <c r="E989" s="23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4"/>
      <c r="D990" s="16"/>
      <c r="E990" s="23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4"/>
      <c r="D991" s="16"/>
      <c r="E991" s="23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4"/>
      <c r="D992" s="16"/>
      <c r="E992" s="23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4"/>
      <c r="D993" s="16"/>
      <c r="E993" s="23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4"/>
      <c r="D994" s="16"/>
      <c r="E994" s="23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4"/>
      <c r="D995" s="16"/>
      <c r="E995" s="23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4"/>
      <c r="D996" s="16"/>
      <c r="E996" s="23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4"/>
      <c r="D997" s="16"/>
      <c r="E997" s="23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4"/>
      <c r="D998" s="16"/>
      <c r="E998" s="23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4"/>
      <c r="D999" s="16"/>
      <c r="E999" s="23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4"/>
      <c r="D1000" s="16"/>
      <c r="E1000" s="23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4"/>
      <c r="D1001" s="16"/>
      <c r="E1001" s="23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4"/>
      <c r="D1002" s="16"/>
      <c r="E1002" s="23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4"/>
      <c r="D1003" s="16"/>
      <c r="E1003" s="23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4"/>
      <c r="D1004" s="16"/>
      <c r="E1004" s="23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4"/>
      <c r="D1005" s="16"/>
      <c r="E1005" s="23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4"/>
      <c r="D1006" s="16"/>
      <c r="E1006" s="23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4"/>
      <c r="D1007" s="16"/>
      <c r="E1007" s="23"/>
      <c r="F1007" s="16"/>
      <c r="G1007" s="16"/>
      <c r="H1007" s="16"/>
      <c r="I1007" s="16"/>
      <c r="J1007" s="16"/>
      <c r="K1007" s="16"/>
      <c r="L1007" s="16"/>
      <c r="M1007" s="16"/>
    </row>
  </sheetData>
  <dataConsolidate link="1"/>
  <mergeCells count="64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72:M72"/>
    <mergeCell ref="A43:M43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1:M71"/>
    <mergeCell ref="Q32:R32"/>
    <mergeCell ref="Q34:W34"/>
    <mergeCell ref="S32:T32"/>
    <mergeCell ref="N43:S43"/>
    <mergeCell ref="T43:W43"/>
    <mergeCell ref="U32:V32"/>
    <mergeCell ref="M35:O35"/>
    <mergeCell ref="A34:O34"/>
    <mergeCell ref="Q39:S39"/>
    <mergeCell ref="T39:U39"/>
    <mergeCell ref="V39:W3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219075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180975</xdr:colOff>
                <xdr:row>25</xdr:row>
                <xdr:rowOff>0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8" customWidth="1"/>
    <col min="24" max="24" width="12.140625" customWidth="1"/>
    <col min="26" max="26" width="16.28515625" customWidth="1"/>
    <col min="31" max="31" width="10.42578125" customWidth="1"/>
    <col min="32" max="32" width="9.140625" style="60"/>
    <col min="33" max="33" width="9.5703125" bestFit="1" customWidth="1"/>
    <col min="34" max="34" width="9.85546875" customWidth="1"/>
  </cols>
  <sheetData>
    <row r="1" spans="2:37" x14ac:dyDescent="0.25">
      <c r="AE1" s="118" t="s">
        <v>123</v>
      </c>
      <c r="AF1" s="118"/>
      <c r="AG1" s="118"/>
      <c r="AH1" s="118"/>
      <c r="AI1" s="118"/>
      <c r="AJ1" s="118"/>
      <c r="AK1" s="118"/>
    </row>
    <row r="4" spans="2:37" x14ac:dyDescent="0.25">
      <c r="B4" s="96" t="s">
        <v>13</v>
      </c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96"/>
      <c r="R4" s="97"/>
      <c r="S4" s="97"/>
      <c r="T4" s="93" t="s">
        <v>101</v>
      </c>
      <c r="U4" s="93"/>
      <c r="V4" s="93"/>
      <c r="W4" s="93"/>
      <c r="X4" s="93"/>
      <c r="Y4" s="93"/>
      <c r="Z4" s="93"/>
      <c r="AA4" s="93"/>
      <c r="AB4" s="93" t="s">
        <v>108</v>
      </c>
      <c r="AC4" s="93"/>
      <c r="AD4" s="93"/>
      <c r="AF4" s="60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9" t="s">
        <v>19</v>
      </c>
      <c r="O5" s="49" t="s">
        <v>21</v>
      </c>
      <c r="P5" s="49" t="s">
        <v>22</v>
      </c>
      <c r="Q5" s="49" t="s">
        <v>18</v>
      </c>
      <c r="R5" s="49" t="s">
        <v>20</v>
      </c>
      <c r="S5" s="49" t="s">
        <v>23</v>
      </c>
      <c r="T5" s="33" t="s">
        <v>45</v>
      </c>
      <c r="U5" s="33" t="s">
        <v>121</v>
      </c>
      <c r="V5" s="57" t="s">
        <v>102</v>
      </c>
      <c r="W5" s="33" t="s">
        <v>103</v>
      </c>
      <c r="X5" s="33" t="s">
        <v>104</v>
      </c>
      <c r="Y5" s="33" t="s">
        <v>105</v>
      </c>
      <c r="Z5" s="33" t="s">
        <v>106</v>
      </c>
      <c r="AA5" s="33" t="s">
        <v>107</v>
      </c>
      <c r="AB5" s="33" t="s">
        <v>103</v>
      </c>
      <c r="AC5" s="33" t="s">
        <v>104</v>
      </c>
      <c r="AD5" s="33" t="s">
        <v>105</v>
      </c>
      <c r="AE5" s="37" t="s">
        <v>112</v>
      </c>
      <c r="AF5" s="61" t="s">
        <v>113</v>
      </c>
      <c r="AG5" s="37" t="s">
        <v>114</v>
      </c>
      <c r="AH5" s="52" t="s">
        <v>118</v>
      </c>
      <c r="AI5" s="52" t="s">
        <v>115</v>
      </c>
      <c r="AJ5" s="52" t="s">
        <v>116</v>
      </c>
      <c r="AK5" s="52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3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5">
        <v>8.1199351145806584E-5</v>
      </c>
      <c r="V6" s="54">
        <v>0.26420497997470704</v>
      </c>
      <c r="W6" s="2">
        <v>-9.6878701869559432E-3</v>
      </c>
      <c r="X6" s="55">
        <v>0.84191308475782911</v>
      </c>
      <c r="Y6" s="35">
        <v>-2.4950003905054767E-4</v>
      </c>
      <c r="Z6" s="36">
        <v>2.9470481567171625E-5</v>
      </c>
      <c r="AA6" s="2">
        <v>1.5650999999999999</v>
      </c>
      <c r="AB6" s="2">
        <f>W6*M6</f>
        <v>-9.6878701869559436E-2</v>
      </c>
      <c r="AC6" s="2" t="e">
        <f>AE6*M6</f>
        <v>#VALUE!</v>
      </c>
      <c r="AD6" s="2">
        <f>Y6*M6</f>
        <v>-2.4950003905054767E-3</v>
      </c>
      <c r="AE6" s="59" t="e">
        <f>BSGamma($AA$17,E6,D6,0.001,V6)</f>
        <v>#VALUE!</v>
      </c>
      <c r="AF6" s="60">
        <f t="shared" ref="AF6:AF37" si="0">IF(ISERR(AE6),0,AE6*M6)</f>
        <v>0</v>
      </c>
      <c r="AG6" s="31" t="e">
        <f>IF(AE6 = 0,0,(Y6*-10000)/AE6)</f>
        <v>#VALUE!</v>
      </c>
      <c r="AH6">
        <f>IF(F6="C",MAX(0,$AA$14-E6),MAX(0,E6-$AA$14))*10000</f>
        <v>0</v>
      </c>
      <c r="AI6" s="51">
        <f>MAX(0,(U6*10000)-AH6)</f>
        <v>0.81199351145806586</v>
      </c>
      <c r="AJ6" s="51">
        <f>AI6*M6</f>
        <v>8.1199351145806595</v>
      </c>
      <c r="AK6" s="50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3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5">
        <v>7.4421382497728584E-5</v>
      </c>
      <c r="V7" s="54">
        <v>0.24014391877688013</v>
      </c>
      <c r="W7" s="2">
        <v>-9.7672371887170713E-3</v>
      </c>
      <c r="X7" s="55">
        <v>0.96797095253886623</v>
      </c>
      <c r="Y7" s="35">
        <v>-2.2846199736357761E-4</v>
      </c>
      <c r="Z7" s="36">
        <v>3.0772258745588902E-5</v>
      </c>
      <c r="AA7" s="2">
        <v>1.5650999999999999</v>
      </c>
      <c r="AB7" s="2">
        <f t="shared" ref="AB7:AB70" si="4">W7*M7</f>
        <v>0</v>
      </c>
      <c r="AC7" s="2" t="e">
        <f t="shared" ref="AC7:AC70" si="5">AE7*M7</f>
        <v>#VALUE!</v>
      </c>
      <c r="AD7" s="2">
        <f t="shared" ref="AD7:AD70" si="6">Y7*M7</f>
        <v>0</v>
      </c>
      <c r="AE7" s="59" t="e">
        <f t="shared" ref="AE7:AE70" si="7">BSGamma($AA$17,E7,D7,0.001,V7)</f>
        <v>#VALUE!</v>
      </c>
      <c r="AF7" s="60">
        <f t="shared" si="0"/>
        <v>0</v>
      </c>
      <c r="AG7" s="31" t="e">
        <f t="shared" ref="AG7:AG70" si="8">IF(AE7 = 0,0,(Y7*-10000)/AE7)</f>
        <v>#VALUE!</v>
      </c>
      <c r="AH7">
        <f t="shared" ref="AH7:AH70" si="9">IF(F7="C",MAX(0,$AA$14-E7),MAX(0,E7-$AA$14))*10000</f>
        <v>0</v>
      </c>
      <c r="AI7" s="51">
        <f t="shared" ref="AI7:AI70" si="10">MAX(0,(U7*10000)-AH7)</f>
        <v>0.74421382497728583</v>
      </c>
      <c r="AJ7" s="51">
        <f t="shared" ref="AJ7:AJ70" si="11">AI7*M7</f>
        <v>0</v>
      </c>
      <c r="AK7" s="50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3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5">
        <v>7.1611499573167992E-5</v>
      </c>
      <c r="V8" s="54">
        <v>0.21823570997051434</v>
      </c>
      <c r="W8" s="2">
        <v>-1.0310207742769443E-2</v>
      </c>
      <c r="X8" s="55">
        <v>0</v>
      </c>
      <c r="Y8" s="35">
        <v>-2.1819140367112388E-4</v>
      </c>
      <c r="Z8" s="36">
        <v>3.5808876129176322E-5</v>
      </c>
      <c r="AA8" s="2">
        <v>1.5650999999999999</v>
      </c>
      <c r="AB8" s="2">
        <f t="shared" si="4"/>
        <v>0</v>
      </c>
      <c r="AC8" s="2" t="e">
        <f t="shared" si="5"/>
        <v>#VALUE!</v>
      </c>
      <c r="AD8" s="2">
        <f t="shared" si="6"/>
        <v>0</v>
      </c>
      <c r="AE8" s="59" t="e">
        <f t="shared" si="7"/>
        <v>#VALUE!</v>
      </c>
      <c r="AF8" s="60">
        <f t="shared" si="0"/>
        <v>0</v>
      </c>
      <c r="AG8" s="31" t="e">
        <f t="shared" si="8"/>
        <v>#VALUE!</v>
      </c>
      <c r="AH8">
        <f t="shared" si="9"/>
        <v>0</v>
      </c>
      <c r="AI8" s="51">
        <f t="shared" si="10"/>
        <v>0.71611499573167992</v>
      </c>
      <c r="AJ8" s="51">
        <f t="shared" si="11"/>
        <v>0</v>
      </c>
      <c r="AK8" s="50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3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5">
        <v>8.0178960996781138E-5</v>
      </c>
      <c r="V9" s="54">
        <v>0.1984803535556523</v>
      </c>
      <c r="W9" s="2">
        <v>-1.2365932135729427E-2</v>
      </c>
      <c r="X9" s="55">
        <v>0</v>
      </c>
      <c r="Y9" s="35">
        <v>-2.3096374601349581E-4</v>
      </c>
      <c r="Z9" s="36">
        <v>3.7211110609111571E-5</v>
      </c>
      <c r="AA9" s="2">
        <v>1.5650999999999999</v>
      </c>
      <c r="AB9" s="2">
        <f t="shared" si="4"/>
        <v>0</v>
      </c>
      <c r="AC9" s="2" t="e">
        <f t="shared" si="5"/>
        <v>#VALUE!</v>
      </c>
      <c r="AD9" s="2">
        <f t="shared" si="6"/>
        <v>0</v>
      </c>
      <c r="AE9" s="59" t="e">
        <f t="shared" si="7"/>
        <v>#VALUE!</v>
      </c>
      <c r="AF9" s="60">
        <f t="shared" si="0"/>
        <v>0</v>
      </c>
      <c r="AG9" s="31" t="e">
        <f t="shared" si="8"/>
        <v>#VALUE!</v>
      </c>
      <c r="AH9">
        <f t="shared" si="9"/>
        <v>0</v>
      </c>
      <c r="AI9" s="51">
        <f t="shared" si="10"/>
        <v>0.80178960996781135</v>
      </c>
      <c r="AJ9" s="51">
        <f t="shared" si="11"/>
        <v>0</v>
      </c>
      <c r="AK9" s="50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3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5">
        <v>9.787043407957923E-5</v>
      </c>
      <c r="V10" s="54">
        <v>0.18087784953227981</v>
      </c>
      <c r="W10" s="2">
        <v>-1.6053871129648158E-2</v>
      </c>
      <c r="X10" s="56">
        <v>0</v>
      </c>
      <c r="Y10" s="35">
        <v>-2.6307424795380687E-4</v>
      </c>
      <c r="Z10" s="36">
        <v>3.727217643731054E-5</v>
      </c>
      <c r="AA10" s="2">
        <v>1.5650999999999999</v>
      </c>
      <c r="AB10" s="2">
        <f t="shared" si="4"/>
        <v>0</v>
      </c>
      <c r="AC10" s="2" t="e">
        <f t="shared" si="5"/>
        <v>#VALUE!</v>
      </c>
      <c r="AD10" s="2">
        <f t="shared" si="6"/>
        <v>0</v>
      </c>
      <c r="AE10" s="59" t="e">
        <f t="shared" si="7"/>
        <v>#VALUE!</v>
      </c>
      <c r="AF10" s="60">
        <f t="shared" si="0"/>
        <v>0</v>
      </c>
      <c r="AG10" s="31" t="e">
        <f t="shared" si="8"/>
        <v>#VALUE!</v>
      </c>
      <c r="AH10">
        <f t="shared" si="9"/>
        <v>0</v>
      </c>
      <c r="AI10" s="51">
        <f t="shared" si="10"/>
        <v>0.97870434079579227</v>
      </c>
      <c r="AJ10" s="51">
        <f t="shared" si="11"/>
        <v>0</v>
      </c>
      <c r="AK10" s="50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3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5">
        <v>1.2338459576258055E-4</v>
      </c>
      <c r="V11" s="54">
        <v>0.16542819790035423</v>
      </c>
      <c r="W11" s="2">
        <v>-2.1560138228549582E-2</v>
      </c>
      <c r="X11" s="55">
        <v>0</v>
      </c>
      <c r="Y11" s="35">
        <v>-3.1239254104964881E-4</v>
      </c>
      <c r="Z11" s="36">
        <v>6.4093314576517895E-5</v>
      </c>
      <c r="AA11" s="2">
        <v>1.5650999999999999</v>
      </c>
      <c r="AB11" s="2">
        <f t="shared" si="4"/>
        <v>0</v>
      </c>
      <c r="AC11" s="2" t="e">
        <f t="shared" si="5"/>
        <v>#VALUE!</v>
      </c>
      <c r="AD11" s="2">
        <f t="shared" si="6"/>
        <v>0</v>
      </c>
      <c r="AE11" s="59" t="e">
        <f t="shared" si="7"/>
        <v>#VALUE!</v>
      </c>
      <c r="AF11" s="60">
        <f t="shared" si="0"/>
        <v>0</v>
      </c>
      <c r="AG11" s="31" t="e">
        <f t="shared" si="8"/>
        <v>#VALUE!</v>
      </c>
      <c r="AH11">
        <f t="shared" si="9"/>
        <v>0</v>
      </c>
      <c r="AI11" s="51">
        <f t="shared" si="10"/>
        <v>1.2338459576258056</v>
      </c>
      <c r="AJ11" s="51">
        <f t="shared" si="11"/>
        <v>0</v>
      </c>
      <c r="AK11" s="50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3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5">
        <v>1.9676249128862636E-4</v>
      </c>
      <c r="V12" s="54">
        <v>0.15213139865993242</v>
      </c>
      <c r="W12" s="2">
        <v>-3.4836869172406915E-2</v>
      </c>
      <c r="X12" s="55">
        <v>0</v>
      </c>
      <c r="Y12" s="35">
        <v>-4.2589234528331163E-4</v>
      </c>
      <c r="Z12" s="36">
        <v>6.9378177746595558E-5</v>
      </c>
      <c r="AA12" s="2">
        <v>1.5650999999999999</v>
      </c>
      <c r="AB12" s="2">
        <f t="shared" si="4"/>
        <v>0</v>
      </c>
      <c r="AC12" s="2" t="e">
        <f t="shared" si="5"/>
        <v>#VALUE!</v>
      </c>
      <c r="AD12" s="2">
        <f t="shared" si="6"/>
        <v>0</v>
      </c>
      <c r="AE12" s="59" t="e">
        <f t="shared" si="7"/>
        <v>#VALUE!</v>
      </c>
      <c r="AF12" s="60">
        <f t="shared" si="0"/>
        <v>0</v>
      </c>
      <c r="AG12" s="31" t="e">
        <f t="shared" si="8"/>
        <v>#VALUE!</v>
      </c>
      <c r="AH12">
        <f t="shared" si="9"/>
        <v>0</v>
      </c>
      <c r="AI12" s="51">
        <f t="shared" si="10"/>
        <v>1.9676249128862635</v>
      </c>
      <c r="AJ12" s="51">
        <f t="shared" si="11"/>
        <v>0</v>
      </c>
      <c r="AK12" s="50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3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5">
        <v>3.3657321716550412E-4</v>
      </c>
      <c r="V13" s="54">
        <v>0.14098745181098593</v>
      </c>
      <c r="W13" s="2">
        <v>-5.9208535931378342E-2</v>
      </c>
      <c r="X13" s="55">
        <v>0</v>
      </c>
      <c r="Y13" s="35">
        <v>-6.0446077599329222E-4</v>
      </c>
      <c r="Z13" s="36">
        <v>1.0864042001770417E-4</v>
      </c>
      <c r="AA13" s="2">
        <v>1.5650999999999999</v>
      </c>
      <c r="AB13" s="2">
        <f t="shared" si="4"/>
        <v>0</v>
      </c>
      <c r="AC13" s="2" t="e">
        <f t="shared" si="5"/>
        <v>#VALUE!</v>
      </c>
      <c r="AD13" s="2">
        <f t="shared" si="6"/>
        <v>0</v>
      </c>
      <c r="AE13" s="59" t="e">
        <f t="shared" si="7"/>
        <v>#VALUE!</v>
      </c>
      <c r="AF13" s="60">
        <f t="shared" si="0"/>
        <v>0</v>
      </c>
      <c r="AG13" s="31" t="e">
        <f t="shared" si="8"/>
        <v>#VALUE!</v>
      </c>
      <c r="AH13">
        <f t="shared" si="9"/>
        <v>0</v>
      </c>
      <c r="AI13" s="51">
        <f t="shared" si="10"/>
        <v>3.3657321716550412</v>
      </c>
      <c r="AJ13" s="51">
        <f t="shared" si="11"/>
        <v>0</v>
      </c>
      <c r="AK13" s="50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3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5">
        <v>6.2461154282803021E-4</v>
      </c>
      <c r="V14" s="54">
        <v>0.13199635735350057</v>
      </c>
      <c r="W14" s="2">
        <v>-0.10560974891081049</v>
      </c>
      <c r="X14" s="55">
        <v>0</v>
      </c>
      <c r="Y14" s="35">
        <v>-8.7852672117392106E-4</v>
      </c>
      <c r="Z14" s="36">
        <v>1.6322430590728465E-4</v>
      </c>
      <c r="AA14" s="2">
        <v>1.5650999999999999</v>
      </c>
      <c r="AB14" s="2">
        <f t="shared" si="4"/>
        <v>0</v>
      </c>
      <c r="AC14" s="2" t="e">
        <f t="shared" si="5"/>
        <v>#VALUE!</v>
      </c>
      <c r="AD14" s="2">
        <f t="shared" si="6"/>
        <v>0</v>
      </c>
      <c r="AE14" s="59" t="e">
        <f t="shared" si="7"/>
        <v>#VALUE!</v>
      </c>
      <c r="AF14" s="60">
        <f t="shared" si="0"/>
        <v>0</v>
      </c>
      <c r="AG14" s="31" t="e">
        <f t="shared" si="8"/>
        <v>#VALUE!</v>
      </c>
      <c r="AH14">
        <f t="shared" si="9"/>
        <v>0</v>
      </c>
      <c r="AI14" s="51">
        <f t="shared" si="10"/>
        <v>6.2461154282803024</v>
      </c>
      <c r="AJ14" s="51">
        <f t="shared" si="11"/>
        <v>0</v>
      </c>
      <c r="AK14" s="50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3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5">
        <v>1.1984139041402108E-3</v>
      </c>
      <c r="V15" s="54">
        <v>0.12515811528751897</v>
      </c>
      <c r="W15" s="2">
        <v>-0.18793765586023906</v>
      </c>
      <c r="X15" s="55">
        <v>0</v>
      </c>
      <c r="Y15" s="35">
        <v>-1.2388664701268209E-3</v>
      </c>
      <c r="Z15" s="36">
        <v>2.6185509900915273E-4</v>
      </c>
      <c r="AA15" s="2">
        <v>1.5650999999999999</v>
      </c>
      <c r="AB15" s="2">
        <f t="shared" si="4"/>
        <v>0</v>
      </c>
      <c r="AC15" s="2" t="e">
        <f t="shared" si="5"/>
        <v>#VALUE!</v>
      </c>
      <c r="AD15" s="2">
        <f t="shared" si="6"/>
        <v>0</v>
      </c>
      <c r="AE15" s="59" t="e">
        <f t="shared" si="7"/>
        <v>#VALUE!</v>
      </c>
      <c r="AF15" s="60">
        <f t="shared" si="0"/>
        <v>0</v>
      </c>
      <c r="AG15" s="31" t="e">
        <f t="shared" si="8"/>
        <v>#VALUE!</v>
      </c>
      <c r="AH15">
        <f t="shared" si="9"/>
        <v>0</v>
      </c>
      <c r="AI15" s="51">
        <f t="shared" si="10"/>
        <v>11.984139041402107</v>
      </c>
      <c r="AJ15" s="51">
        <f t="shared" si="11"/>
        <v>0</v>
      </c>
      <c r="AK15" s="50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3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5">
        <v>2.3571633551261869E-3</v>
      </c>
      <c r="V16" s="54">
        <v>0.1204727256130127</v>
      </c>
      <c r="W16" s="2">
        <v>-0.32187740475039894</v>
      </c>
      <c r="X16" s="55">
        <v>0</v>
      </c>
      <c r="Y16" s="35">
        <v>-1.5770148129181599E-3</v>
      </c>
      <c r="Z16" s="36">
        <v>3.3785626936487425E-4</v>
      </c>
      <c r="AA16" s="2">
        <v>1.5650999999999999</v>
      </c>
      <c r="AB16" s="2">
        <f t="shared" si="4"/>
        <v>0</v>
      </c>
      <c r="AC16" s="2" t="e">
        <f t="shared" si="5"/>
        <v>#VALUE!</v>
      </c>
      <c r="AD16" s="2">
        <f t="shared" si="6"/>
        <v>0</v>
      </c>
      <c r="AE16" s="59" t="e">
        <f t="shared" si="7"/>
        <v>#VALUE!</v>
      </c>
      <c r="AF16" s="60">
        <f t="shared" si="0"/>
        <v>0</v>
      </c>
      <c r="AG16" s="31" t="e">
        <f t="shared" si="8"/>
        <v>#VALUE!</v>
      </c>
      <c r="AH16">
        <f t="shared" si="9"/>
        <v>0</v>
      </c>
      <c r="AI16" s="51">
        <f t="shared" si="10"/>
        <v>23.571633551261868</v>
      </c>
      <c r="AJ16" s="51">
        <f t="shared" si="11"/>
        <v>0</v>
      </c>
      <c r="AK16" s="50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3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5">
        <v>7.1000000461935997E-3</v>
      </c>
      <c r="V17" s="54">
        <v>0.19486266952716297</v>
      </c>
      <c r="W17" s="2">
        <v>-0.49550698962638023</v>
      </c>
      <c r="X17" s="55">
        <v>0</v>
      </c>
      <c r="Y17" s="35">
        <v>-2.8652366511571609E-3</v>
      </c>
      <c r="Z17" s="36">
        <v>3.6659330718152687E-4</v>
      </c>
      <c r="AA17" s="2">
        <v>1.5650999999999999</v>
      </c>
      <c r="AB17" s="2">
        <f t="shared" si="4"/>
        <v>0</v>
      </c>
      <c r="AC17" s="2" t="e">
        <f t="shared" si="5"/>
        <v>#VALUE!</v>
      </c>
      <c r="AD17" s="2">
        <f t="shared" si="6"/>
        <v>0</v>
      </c>
      <c r="AE17" s="59" t="e">
        <f t="shared" si="7"/>
        <v>#VALUE!</v>
      </c>
      <c r="AF17" s="60">
        <f t="shared" si="0"/>
        <v>0</v>
      </c>
      <c r="AG17" s="31" t="e">
        <f t="shared" si="8"/>
        <v>#VALUE!</v>
      </c>
      <c r="AH17">
        <f t="shared" si="9"/>
        <v>0</v>
      </c>
      <c r="AI17" s="51">
        <f t="shared" si="10"/>
        <v>71.000000461935997</v>
      </c>
      <c r="AJ17" s="51">
        <f t="shared" si="11"/>
        <v>0</v>
      </c>
      <c r="AK17" s="50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3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5">
        <v>7.2386292668941759E-3</v>
      </c>
      <c r="V18" s="54">
        <v>0.11756050343842617</v>
      </c>
      <c r="W18" s="2">
        <v>-0.67253122920548303</v>
      </c>
      <c r="X18" s="55">
        <v>0</v>
      </c>
      <c r="Y18" s="35">
        <v>-1.5495704596294006E-3</v>
      </c>
      <c r="Z18" s="36">
        <v>3.3893781142562817E-4</v>
      </c>
      <c r="AA18" s="2">
        <v>1.5650999999999999</v>
      </c>
      <c r="AB18" s="2">
        <f t="shared" si="4"/>
        <v>0</v>
      </c>
      <c r="AC18" s="2" t="e">
        <f t="shared" si="5"/>
        <v>#VALUE!</v>
      </c>
      <c r="AD18" s="2">
        <f t="shared" si="6"/>
        <v>0</v>
      </c>
      <c r="AE18" s="59" t="e">
        <f t="shared" si="7"/>
        <v>#VALUE!</v>
      </c>
      <c r="AF18" s="60">
        <f t="shared" si="0"/>
        <v>0</v>
      </c>
      <c r="AG18" s="31" t="e">
        <f t="shared" si="8"/>
        <v>#VALUE!</v>
      </c>
      <c r="AH18">
        <f t="shared" si="9"/>
        <v>49.000000000001265</v>
      </c>
      <c r="AI18" s="51">
        <f t="shared" si="10"/>
        <v>23.386292668940499</v>
      </c>
      <c r="AJ18" s="51">
        <f t="shared" si="11"/>
        <v>0</v>
      </c>
      <c r="AK18" s="50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3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5">
        <v>1.1016346548179045E-2</v>
      </c>
      <c r="V19" s="54">
        <v>0.11933367093836011</v>
      </c>
      <c r="W19" s="2">
        <v>-0.81481940558608035</v>
      </c>
      <c r="X19" s="55">
        <v>0</v>
      </c>
      <c r="Y19" s="35">
        <v>-1.168430220345048E-3</v>
      </c>
      <c r="Z19" s="36">
        <v>2.4830637402398388E-4</v>
      </c>
      <c r="AA19" s="2">
        <v>1.5650999999999999</v>
      </c>
      <c r="AB19" s="2">
        <f t="shared" si="4"/>
        <v>0</v>
      </c>
      <c r="AC19" s="2" t="e">
        <f t="shared" si="5"/>
        <v>#VALUE!</v>
      </c>
      <c r="AD19" s="2">
        <f t="shared" si="6"/>
        <v>0</v>
      </c>
      <c r="AE19" s="59" t="e">
        <f t="shared" si="7"/>
        <v>#VALUE!</v>
      </c>
      <c r="AF19" s="60">
        <f t="shared" si="0"/>
        <v>0</v>
      </c>
      <c r="AG19" s="31" t="e">
        <f t="shared" si="8"/>
        <v>#VALUE!</v>
      </c>
      <c r="AH19">
        <f t="shared" si="9"/>
        <v>99.000000000000199</v>
      </c>
      <c r="AI19" s="51">
        <f t="shared" si="10"/>
        <v>11.163465481790254</v>
      </c>
      <c r="AJ19" s="51">
        <f t="shared" si="11"/>
        <v>0</v>
      </c>
      <c r="AK19" s="50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3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5">
        <v>1.5421554579886813E-2</v>
      </c>
      <c r="V20" s="54">
        <v>0.1232596908297694</v>
      </c>
      <c r="W20" s="2">
        <v>-0.9034281906599263</v>
      </c>
      <c r="X20" s="55">
        <v>0.45586362429465982</v>
      </c>
      <c r="Y20" s="35">
        <v>-7.6797840683540336E-4</v>
      </c>
      <c r="Z20" s="36">
        <v>1.6479683442466656E-4</v>
      </c>
      <c r="AA20" s="2">
        <v>1.5650999999999999</v>
      </c>
      <c r="AB20" s="2">
        <f t="shared" si="4"/>
        <v>0</v>
      </c>
      <c r="AC20" s="2" t="e">
        <f t="shared" si="5"/>
        <v>#VALUE!</v>
      </c>
      <c r="AD20" s="2">
        <f t="shared" si="6"/>
        <v>0</v>
      </c>
      <c r="AE20" s="59" t="e">
        <f t="shared" si="7"/>
        <v>#VALUE!</v>
      </c>
      <c r="AF20" s="60">
        <f t="shared" si="0"/>
        <v>0</v>
      </c>
      <c r="AG20" s="31" t="e">
        <f t="shared" si="8"/>
        <v>#VALUE!</v>
      </c>
      <c r="AH20">
        <f t="shared" si="9"/>
        <v>149.00000000000136</v>
      </c>
      <c r="AI20" s="51">
        <f t="shared" si="10"/>
        <v>5.2155457988667706</v>
      </c>
      <c r="AJ20" s="51">
        <f t="shared" si="11"/>
        <v>0</v>
      </c>
      <c r="AK20" s="50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3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5">
        <v>2.0139865568373858E-2</v>
      </c>
      <c r="V21" s="54">
        <v>0.1293385631126398</v>
      </c>
      <c r="W21" s="2">
        <v>-0.95204286396793458</v>
      </c>
      <c r="X21" s="55">
        <v>0</v>
      </c>
      <c r="Y21" s="35">
        <v>-4.7107727011627768E-4</v>
      </c>
      <c r="Z21" s="36">
        <v>1.1003700345069145E-4</v>
      </c>
      <c r="AA21" s="2">
        <v>1.5650999999999999</v>
      </c>
      <c r="AB21" s="2">
        <f t="shared" si="4"/>
        <v>0</v>
      </c>
      <c r="AC21" s="2" t="e">
        <f t="shared" si="5"/>
        <v>#VALUE!</v>
      </c>
      <c r="AD21" s="2">
        <f t="shared" si="6"/>
        <v>0</v>
      </c>
      <c r="AE21" s="59" t="e">
        <f t="shared" si="7"/>
        <v>#VALUE!</v>
      </c>
      <c r="AF21" s="60">
        <f t="shared" si="0"/>
        <v>0</v>
      </c>
      <c r="AG21" s="31" t="e">
        <f t="shared" si="8"/>
        <v>#VALUE!</v>
      </c>
      <c r="AH21">
        <f t="shared" si="9"/>
        <v>199.00000000000028</v>
      </c>
      <c r="AI21" s="51">
        <f t="shared" si="10"/>
        <v>2.3986556837382977</v>
      </c>
      <c r="AJ21" s="51">
        <f t="shared" si="11"/>
        <v>0</v>
      </c>
      <c r="AK21" s="50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3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5">
        <v>2.5021042245330444E-2</v>
      </c>
      <c r="V22" s="54">
        <v>0.13757028778701397</v>
      </c>
      <c r="W22" s="2">
        <v>-0.97506282275406442</v>
      </c>
      <c r="X22" s="55">
        <v>0</v>
      </c>
      <c r="Y22" s="35">
        <v>-2.928207005908077E-4</v>
      </c>
      <c r="Z22" s="36">
        <v>6.7546212518670989E-5</v>
      </c>
      <c r="AA22" s="2">
        <v>1.5650999999999999</v>
      </c>
      <c r="AB22" s="2">
        <f t="shared" si="4"/>
        <v>0</v>
      </c>
      <c r="AC22" s="2" t="e">
        <f t="shared" si="5"/>
        <v>#VALUE!</v>
      </c>
      <c r="AD22" s="2">
        <f t="shared" si="6"/>
        <v>0</v>
      </c>
      <c r="AE22" s="59" t="e">
        <f t="shared" si="7"/>
        <v>#VALUE!</v>
      </c>
      <c r="AF22" s="60">
        <f t="shared" si="0"/>
        <v>0</v>
      </c>
      <c r="AG22" s="31" t="e">
        <f t="shared" si="8"/>
        <v>#VALUE!</v>
      </c>
      <c r="AH22">
        <f t="shared" si="9"/>
        <v>249.00000000000145</v>
      </c>
      <c r="AI22" s="51">
        <f t="shared" si="10"/>
        <v>1.2104224533029821</v>
      </c>
      <c r="AJ22" s="51">
        <f t="shared" si="11"/>
        <v>0</v>
      </c>
      <c r="AK22" s="50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3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5">
        <v>2.9971969328718363E-2</v>
      </c>
      <c r="V23" s="54">
        <v>0.14795486485286347</v>
      </c>
      <c r="W23" s="2">
        <v>-0.98537525388845271</v>
      </c>
      <c r="X23" s="55">
        <v>0</v>
      </c>
      <c r="Y23" s="2">
        <v>-1.9919460149662467E-4</v>
      </c>
      <c r="Z23" s="36">
        <v>3.8053563388523032E-5</v>
      </c>
      <c r="AA23" s="2">
        <v>1.5650999999999999</v>
      </c>
      <c r="AB23" s="2">
        <f t="shared" si="4"/>
        <v>0</v>
      </c>
      <c r="AC23" s="2" t="e">
        <f t="shared" si="5"/>
        <v>#VALUE!</v>
      </c>
      <c r="AD23" s="2">
        <f t="shared" si="6"/>
        <v>0</v>
      </c>
      <c r="AE23" s="59" t="e">
        <f t="shared" si="7"/>
        <v>#VALUE!</v>
      </c>
      <c r="AF23" s="60">
        <f t="shared" si="0"/>
        <v>0</v>
      </c>
      <c r="AG23" s="31" t="e">
        <f t="shared" si="8"/>
        <v>#VALUE!</v>
      </c>
      <c r="AH23">
        <f t="shared" si="9"/>
        <v>299.0000000000004</v>
      </c>
      <c r="AI23" s="51">
        <f t="shared" si="10"/>
        <v>0.71969328718324732</v>
      </c>
      <c r="AJ23" s="51">
        <f t="shared" si="11"/>
        <v>0</v>
      </c>
      <c r="AK23" s="50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3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5">
        <v>3.4947170242700727E-2</v>
      </c>
      <c r="V24" s="54">
        <v>0.16049229431017409</v>
      </c>
      <c r="W24" s="2">
        <v>-0.99069384771629254</v>
      </c>
      <c r="X24" s="55">
        <v>0.96000685239764894</v>
      </c>
      <c r="Y24" s="2">
        <v>-1.4673614098978258E-4</v>
      </c>
      <c r="Z24" s="36">
        <v>2.9466031867542153E-5</v>
      </c>
      <c r="AA24" s="2">
        <v>1.5650999999999999</v>
      </c>
      <c r="AB24" s="2">
        <f t="shared" si="4"/>
        <v>0</v>
      </c>
      <c r="AC24" s="2" t="e">
        <f t="shared" si="5"/>
        <v>#VALUE!</v>
      </c>
      <c r="AD24" s="2">
        <f t="shared" si="6"/>
        <v>0</v>
      </c>
      <c r="AE24" s="59" t="e">
        <f t="shared" si="7"/>
        <v>#VALUE!</v>
      </c>
      <c r="AF24" s="60">
        <f t="shared" si="0"/>
        <v>0</v>
      </c>
      <c r="AG24" s="31" t="e">
        <f t="shared" si="8"/>
        <v>#VALUE!</v>
      </c>
      <c r="AH24">
        <f t="shared" si="9"/>
        <v>349.00000000000153</v>
      </c>
      <c r="AI24" s="51">
        <f t="shared" si="10"/>
        <v>0.47170242700570952</v>
      </c>
      <c r="AJ24" s="51">
        <f t="shared" si="11"/>
        <v>0</v>
      </c>
      <c r="AK24" s="50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3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5">
        <v>3.9938167651417097E-2</v>
      </c>
      <c r="V25" s="54">
        <v>0.17518257615898847</v>
      </c>
      <c r="W25" s="2">
        <v>-0.99295163726063207</v>
      </c>
      <c r="X25" s="55">
        <v>0.96459820214130731</v>
      </c>
      <c r="Y25" s="2">
        <v>-1.2498221345756254E-4</v>
      </c>
      <c r="Z25" s="36">
        <v>1.9661772495370433E-5</v>
      </c>
      <c r="AA25" s="2">
        <v>1.5650999999999999</v>
      </c>
      <c r="AB25" s="2">
        <f t="shared" si="4"/>
        <v>0</v>
      </c>
      <c r="AC25" s="2" t="e">
        <f t="shared" si="5"/>
        <v>#VALUE!</v>
      </c>
      <c r="AD25" s="2">
        <f t="shared" si="6"/>
        <v>0</v>
      </c>
      <c r="AE25" s="59" t="e">
        <f t="shared" si="7"/>
        <v>#VALUE!</v>
      </c>
      <c r="AF25" s="60">
        <f t="shared" si="0"/>
        <v>0</v>
      </c>
      <c r="AG25" s="31" t="e">
        <f t="shared" si="8"/>
        <v>#VALUE!</v>
      </c>
      <c r="AH25">
        <f t="shared" si="9"/>
        <v>399.00000000000045</v>
      </c>
      <c r="AI25" s="51">
        <f t="shared" si="10"/>
        <v>0.38167651417052184</v>
      </c>
      <c r="AJ25" s="51">
        <f t="shared" si="11"/>
        <v>0</v>
      </c>
      <c r="AK25" s="50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3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5">
        <v>4.4933497038128635E-2</v>
      </c>
      <c r="V26" s="54">
        <v>0.19202571039927818</v>
      </c>
      <c r="W26" s="2">
        <v>-0.99424128479175922</v>
      </c>
      <c r="X26" s="55">
        <v>0.93178526449189381</v>
      </c>
      <c r="Y26" s="2">
        <v>-1.1497841994031873E-4</v>
      </c>
      <c r="Z26" s="36">
        <v>1.9688702954205606E-5</v>
      </c>
      <c r="AA26" s="2">
        <v>1.5650999999999999</v>
      </c>
      <c r="AB26" s="2">
        <f t="shared" si="4"/>
        <v>0</v>
      </c>
      <c r="AC26" s="2" t="e">
        <f t="shared" si="5"/>
        <v>#VALUE!</v>
      </c>
      <c r="AD26" s="2">
        <f t="shared" si="6"/>
        <v>0</v>
      </c>
      <c r="AE26" s="59" t="e">
        <f t="shared" si="7"/>
        <v>#VALUE!</v>
      </c>
      <c r="AF26" s="60">
        <f t="shared" si="0"/>
        <v>0</v>
      </c>
      <c r="AG26" s="31" t="e">
        <f t="shared" si="8"/>
        <v>#VALUE!</v>
      </c>
      <c r="AH26">
        <f t="shared" si="9"/>
        <v>449.00000000000159</v>
      </c>
      <c r="AI26" s="51">
        <f t="shared" si="10"/>
        <v>0.33497038128473378</v>
      </c>
      <c r="AJ26" s="51">
        <f t="shared" si="11"/>
        <v>0</v>
      </c>
      <c r="AK26" s="50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3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5">
        <v>4.9933175905381037E-2</v>
      </c>
      <c r="V27" s="54">
        <v>0.21102169703104323</v>
      </c>
      <c r="W27" s="2">
        <v>-0.99475196361446627</v>
      </c>
      <c r="X27" s="55">
        <v>0.78384519397573749</v>
      </c>
      <c r="Y27" s="2">
        <v>-1.1677813097680746E-4</v>
      </c>
      <c r="Z27" s="36">
        <v>1.9716027393722191E-5</v>
      </c>
      <c r="AA27" s="2">
        <v>1.5650999999999999</v>
      </c>
      <c r="AB27" s="2">
        <f t="shared" si="4"/>
        <v>0</v>
      </c>
      <c r="AC27" s="2" t="e">
        <f t="shared" si="5"/>
        <v>#VALUE!</v>
      </c>
      <c r="AD27" s="2">
        <f t="shared" si="6"/>
        <v>0</v>
      </c>
      <c r="AE27" s="59" t="e">
        <f t="shared" si="7"/>
        <v>#VALUE!</v>
      </c>
      <c r="AF27" s="60">
        <f t="shared" si="0"/>
        <v>0</v>
      </c>
      <c r="AG27" s="31" t="e">
        <f t="shared" si="8"/>
        <v>#VALUE!</v>
      </c>
      <c r="AH27">
        <f t="shared" si="9"/>
        <v>499.00000000000057</v>
      </c>
      <c r="AI27" s="51">
        <f t="shared" si="10"/>
        <v>0.33175905380977611</v>
      </c>
      <c r="AJ27" s="51">
        <f t="shared" si="11"/>
        <v>0</v>
      </c>
      <c r="AK27" s="50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3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5">
        <v>5.4937219892936658E-2</v>
      </c>
      <c r="V28" s="54">
        <v>0.23217053605428362</v>
      </c>
      <c r="W28" s="2">
        <v>-0.99465768629688212</v>
      </c>
      <c r="X28" s="55">
        <v>0.72323851067159062</v>
      </c>
      <c r="Y28" s="2">
        <v>-1.3043410533604931E-4</v>
      </c>
      <c r="Z28" s="36">
        <v>1.9746513794292875E-5</v>
      </c>
      <c r="AA28" s="2">
        <v>1.5650999999999999</v>
      </c>
      <c r="AB28" s="2">
        <f t="shared" si="4"/>
        <v>0</v>
      </c>
      <c r="AC28" s="2" t="e">
        <f t="shared" si="5"/>
        <v>#VALUE!</v>
      </c>
      <c r="AD28" s="2">
        <f t="shared" si="6"/>
        <v>0</v>
      </c>
      <c r="AE28" s="59" t="e">
        <f t="shared" si="7"/>
        <v>#VALUE!</v>
      </c>
      <c r="AF28" s="60">
        <f t="shared" si="0"/>
        <v>0</v>
      </c>
      <c r="AG28" s="31" t="e">
        <f t="shared" si="8"/>
        <v>#VALUE!</v>
      </c>
      <c r="AH28">
        <f t="shared" si="9"/>
        <v>549.00000000000171</v>
      </c>
      <c r="AI28" s="51">
        <f t="shared" si="10"/>
        <v>0.37219892936491306</v>
      </c>
      <c r="AJ28" s="51">
        <f t="shared" si="11"/>
        <v>0</v>
      </c>
      <c r="AK28" s="50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3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5">
        <v>5.9945648867460698E-2</v>
      </c>
      <c r="V29" s="54">
        <v>0.25547222746899934</v>
      </c>
      <c r="W29" s="2">
        <v>-0.99410840163359981</v>
      </c>
      <c r="X29" s="55">
        <v>0.71422133303684943</v>
      </c>
      <c r="Y29" s="2">
        <v>-1.5599872907370662E-4</v>
      </c>
      <c r="Z29" s="36">
        <v>1.977947727223317E-5</v>
      </c>
      <c r="AA29" s="2">
        <v>1.5650999999999999</v>
      </c>
      <c r="AB29" s="2">
        <f t="shared" si="4"/>
        <v>0</v>
      </c>
      <c r="AC29" s="2" t="e">
        <f t="shared" si="5"/>
        <v>#VALUE!</v>
      </c>
      <c r="AD29" s="2">
        <f t="shared" si="6"/>
        <v>0</v>
      </c>
      <c r="AE29" s="59" t="e">
        <f t="shared" si="7"/>
        <v>#VALUE!</v>
      </c>
      <c r="AF29" s="60">
        <f t="shared" si="0"/>
        <v>0</v>
      </c>
      <c r="AG29" s="31" t="e">
        <f t="shared" si="8"/>
        <v>#VALUE!</v>
      </c>
      <c r="AH29">
        <f t="shared" si="9"/>
        <v>599.00000000000068</v>
      </c>
      <c r="AI29" s="51">
        <f t="shared" si="10"/>
        <v>0.45648867460624842</v>
      </c>
      <c r="AJ29" s="51">
        <f t="shared" si="11"/>
        <v>0</v>
      </c>
      <c r="AK29" s="50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3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5">
        <v>6.4958485315866926E-2</v>
      </c>
      <c r="V30" s="54">
        <v>0.2809267712752046</v>
      </c>
      <c r="W30" s="2">
        <v>-0.99322759936178417</v>
      </c>
      <c r="X30" s="55">
        <v>0.73250794366057015</v>
      </c>
      <c r="Y30" s="2">
        <v>-1.9352554713736398E-4</v>
      </c>
      <c r="Z30" s="36">
        <v>1.9812189702497762E-5</v>
      </c>
      <c r="AA30" s="2">
        <v>1.5650999999999999</v>
      </c>
      <c r="AB30" s="2">
        <f t="shared" si="4"/>
        <v>0</v>
      </c>
      <c r="AC30" s="2" t="e">
        <f t="shared" si="5"/>
        <v>#VALUE!</v>
      </c>
      <c r="AD30" s="2">
        <f t="shared" si="6"/>
        <v>0</v>
      </c>
      <c r="AE30" s="59" t="e">
        <f t="shared" si="7"/>
        <v>#VALUE!</v>
      </c>
      <c r="AF30" s="60">
        <f t="shared" si="0"/>
        <v>0</v>
      </c>
      <c r="AG30" s="31" t="e">
        <f t="shared" si="8"/>
        <v>#VALUE!</v>
      </c>
      <c r="AH30">
        <f t="shared" si="9"/>
        <v>648.99999999999955</v>
      </c>
      <c r="AI30" s="51">
        <f t="shared" si="10"/>
        <v>0.58485315866971632</v>
      </c>
      <c r="AJ30" s="51">
        <f t="shared" si="11"/>
        <v>0</v>
      </c>
      <c r="AK30" s="50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3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5">
        <v>6.9975749618210112E-2</v>
      </c>
      <c r="V31" s="54">
        <v>0.30853416747289941</v>
      </c>
      <c r="W31" s="2">
        <v>-0.99211342707809069</v>
      </c>
      <c r="X31" s="55">
        <v>0.76249876297262764</v>
      </c>
      <c r="Y31" s="2">
        <v>-2.4306472003765922E-4</v>
      </c>
      <c r="Z31" s="36">
        <v>1.9844476009819867E-5</v>
      </c>
      <c r="AA31" s="2">
        <v>1.5650999999999999</v>
      </c>
      <c r="AB31" s="2">
        <f t="shared" si="4"/>
        <v>0</v>
      </c>
      <c r="AC31" s="2" t="e">
        <f t="shared" si="5"/>
        <v>#VALUE!</v>
      </c>
      <c r="AD31" s="2">
        <f t="shared" si="6"/>
        <v>0</v>
      </c>
      <c r="AE31" s="59" t="e">
        <f t="shared" si="7"/>
        <v>#VALUE!</v>
      </c>
      <c r="AF31" s="60">
        <f t="shared" si="0"/>
        <v>0</v>
      </c>
      <c r="AG31" s="31" t="e">
        <f t="shared" si="8"/>
        <v>#VALUE!</v>
      </c>
      <c r="AH31">
        <f t="shared" si="9"/>
        <v>699.00000000000068</v>
      </c>
      <c r="AI31" s="51">
        <f t="shared" si="10"/>
        <v>0.75749618210045355</v>
      </c>
      <c r="AJ31" s="51">
        <f t="shared" si="11"/>
        <v>0</v>
      </c>
      <c r="AK31" s="50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3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5">
        <v>7.4997461117907296E-2</v>
      </c>
      <c r="V32" s="54">
        <v>0.33829441606204114</v>
      </c>
      <c r="W32" s="2">
        <v>-0.99084222167956415</v>
      </c>
      <c r="X32" s="55">
        <v>0.79477854501055389</v>
      </c>
      <c r="Y32" s="2">
        <v>-3.0467123538908616E-4</v>
      </c>
      <c r="Z32" s="36">
        <v>1.9876053409667582E-5</v>
      </c>
      <c r="AA32" s="2">
        <v>1.5650999999999999</v>
      </c>
      <c r="AB32" s="2">
        <f t="shared" si="4"/>
        <v>0</v>
      </c>
      <c r="AC32" s="2" t="e">
        <f t="shared" si="5"/>
        <v>#VALUE!</v>
      </c>
      <c r="AD32" s="2">
        <f t="shared" si="6"/>
        <v>0</v>
      </c>
      <c r="AE32" s="59" t="e">
        <f t="shared" si="7"/>
        <v>#VALUE!</v>
      </c>
      <c r="AF32" s="60">
        <f t="shared" si="0"/>
        <v>0</v>
      </c>
      <c r="AG32" s="31" t="e">
        <f t="shared" si="8"/>
        <v>#VALUE!</v>
      </c>
      <c r="AH32">
        <f t="shared" si="9"/>
        <v>749.00000000000193</v>
      </c>
      <c r="AI32" s="51">
        <f t="shared" si="10"/>
        <v>0.97461117907107564</v>
      </c>
      <c r="AJ32" s="51">
        <f t="shared" si="11"/>
        <v>0</v>
      </c>
      <c r="AK32" s="50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3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5">
        <v>8.0023639217036438E-2</v>
      </c>
      <c r="V33" s="54">
        <v>0.37020751704270083</v>
      </c>
      <c r="W33" s="2">
        <v>-0.98947196305720375</v>
      </c>
      <c r="X33" s="55">
        <v>0.82406090664307019</v>
      </c>
      <c r="Y33" s="2">
        <v>-3.7839448819390126E-4</v>
      </c>
      <c r="Z33" s="36">
        <v>3.3593444811463868E-5</v>
      </c>
      <c r="AA33" s="2">
        <v>1.5650999999999999</v>
      </c>
      <c r="AB33" s="2">
        <f t="shared" si="4"/>
        <v>0</v>
      </c>
      <c r="AC33" s="2" t="e">
        <f t="shared" si="5"/>
        <v>#VALUE!</v>
      </c>
      <c r="AD33" s="2">
        <f t="shared" si="6"/>
        <v>0</v>
      </c>
      <c r="AE33" s="59" t="e">
        <f t="shared" si="7"/>
        <v>#VALUE!</v>
      </c>
      <c r="AF33" s="60">
        <f t="shared" si="0"/>
        <v>0</v>
      </c>
      <c r="AG33" s="31" t="e">
        <f t="shared" si="8"/>
        <v>#VALUE!</v>
      </c>
      <c r="AH33">
        <f t="shared" si="9"/>
        <v>799.0000000000008</v>
      </c>
      <c r="AI33" s="51">
        <f t="shared" si="10"/>
        <v>1.2363921703636152</v>
      </c>
      <c r="AJ33" s="51">
        <f t="shared" si="11"/>
        <v>0</v>
      </c>
      <c r="AK33" s="50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3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5">
        <v>8.5070516615054173E-2</v>
      </c>
      <c r="V34" s="54">
        <v>0.40427347041482165</v>
      </c>
      <c r="W34" s="2">
        <v>-0.98705691075711555</v>
      </c>
      <c r="X34" s="55">
        <v>0.8966998586038698</v>
      </c>
      <c r="Y34" s="2">
        <v>-4.9113662857176266E-4</v>
      </c>
      <c r="Z34" s="36">
        <v>3.8697436539503194E-5</v>
      </c>
      <c r="AA34" s="2">
        <v>1.5650999999999999</v>
      </c>
      <c r="AB34" s="2">
        <f t="shared" si="4"/>
        <v>0</v>
      </c>
      <c r="AC34" s="2" t="e">
        <f t="shared" si="5"/>
        <v>#VALUE!</v>
      </c>
      <c r="AD34" s="2">
        <f t="shared" si="6"/>
        <v>0</v>
      </c>
      <c r="AE34" s="59" t="e">
        <f t="shared" si="7"/>
        <v>#VALUE!</v>
      </c>
      <c r="AF34" s="60">
        <f t="shared" si="0"/>
        <v>0</v>
      </c>
      <c r="AG34" s="31" t="e">
        <f t="shared" si="8"/>
        <v>#VALUE!</v>
      </c>
      <c r="AH34">
        <f t="shared" si="9"/>
        <v>848.99999999999977</v>
      </c>
      <c r="AI34" s="51">
        <f t="shared" si="10"/>
        <v>1.7051661505419133</v>
      </c>
      <c r="AJ34" s="51">
        <f t="shared" si="11"/>
        <v>0</v>
      </c>
      <c r="AK34" s="50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3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5">
        <v>9.0131182289735531E-2</v>
      </c>
      <c r="V35" s="54">
        <v>0.44049227617840359</v>
      </c>
      <c r="W35" s="2">
        <v>-0.98426134336016369</v>
      </c>
      <c r="X35" s="55">
        <v>0.97085895907125108</v>
      </c>
      <c r="Y35" s="2">
        <v>-6.3142971592561868E-4</v>
      </c>
      <c r="Z35" s="36">
        <v>3.8759053379827657E-5</v>
      </c>
      <c r="AA35" s="2">
        <v>1.5650999999999999</v>
      </c>
      <c r="AB35" s="2">
        <f t="shared" si="4"/>
        <v>0</v>
      </c>
      <c r="AC35" s="2" t="e">
        <f t="shared" si="5"/>
        <v>#VALUE!</v>
      </c>
      <c r="AD35" s="2">
        <f t="shared" si="6"/>
        <v>0</v>
      </c>
      <c r="AE35" s="59" t="e">
        <f t="shared" si="7"/>
        <v>#VALUE!</v>
      </c>
      <c r="AF35" s="60">
        <f t="shared" si="0"/>
        <v>0</v>
      </c>
      <c r="AG35" s="31" t="e">
        <f t="shared" si="8"/>
        <v>#VALUE!</v>
      </c>
      <c r="AH35">
        <f t="shared" si="9"/>
        <v>899.00000000000091</v>
      </c>
      <c r="AI35" s="51">
        <f t="shared" si="10"/>
        <v>2.3118228973544319</v>
      </c>
      <c r="AJ35" s="51">
        <f t="shared" si="11"/>
        <v>0</v>
      </c>
      <c r="AK35" s="50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3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5">
        <v>5.5180738412799829E-2</v>
      </c>
      <c r="V36" s="54">
        <v>0.26420497997470704</v>
      </c>
      <c r="W36" s="2">
        <v>0.9903783911365891</v>
      </c>
      <c r="X36" s="55">
        <v>8.4867609479617076E-7</v>
      </c>
      <c r="Y36" s="2">
        <v>-2.4913728829400539E-4</v>
      </c>
      <c r="Z36" s="36">
        <v>2.9470452230999367E-5</v>
      </c>
      <c r="AA36" s="2">
        <v>1.5650999999999999</v>
      </c>
      <c r="AB36" s="2">
        <f t="shared" si="4"/>
        <v>0</v>
      </c>
      <c r="AC36" s="2" t="e">
        <f t="shared" si="5"/>
        <v>#VALUE!</v>
      </c>
      <c r="AD36" s="2">
        <f t="shared" si="6"/>
        <v>0</v>
      </c>
      <c r="AE36" s="59" t="e">
        <f t="shared" si="7"/>
        <v>#VALUE!</v>
      </c>
      <c r="AF36" s="60">
        <f t="shared" si="0"/>
        <v>0</v>
      </c>
      <c r="AG36" s="31" t="e">
        <f t="shared" si="8"/>
        <v>#VALUE!</v>
      </c>
      <c r="AH36">
        <f t="shared" si="9"/>
        <v>550.99999999999932</v>
      </c>
      <c r="AI36" s="51">
        <f t="shared" si="10"/>
        <v>0.80738412799894377</v>
      </c>
      <c r="AJ36" s="51">
        <f t="shared" si="11"/>
        <v>0</v>
      </c>
      <c r="AK36" s="50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3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5">
        <v>5.0174002271439908E-2</v>
      </c>
      <c r="V37" s="54">
        <v>0.24014391877688013</v>
      </c>
      <c r="W37" s="2">
        <v>0.99029902415853122</v>
      </c>
      <c r="X37" s="55">
        <v>0</v>
      </c>
      <c r="Y37" s="2">
        <v>-2.2813216354481477E-4</v>
      </c>
      <c r="Z37" s="36">
        <v>3.0772230875823758E-5</v>
      </c>
      <c r="AA37" s="2">
        <v>1.5650999999999999</v>
      </c>
      <c r="AB37" s="2">
        <f t="shared" si="4"/>
        <v>0</v>
      </c>
      <c r="AC37" s="2" t="e">
        <f t="shared" si="5"/>
        <v>#VALUE!</v>
      </c>
      <c r="AD37" s="2">
        <f t="shared" si="6"/>
        <v>0</v>
      </c>
      <c r="AE37" s="59" t="e">
        <f t="shared" si="7"/>
        <v>#VALUE!</v>
      </c>
      <c r="AF37" s="60">
        <f t="shared" si="0"/>
        <v>0</v>
      </c>
      <c r="AG37" s="31" t="e">
        <f t="shared" si="8"/>
        <v>#VALUE!</v>
      </c>
      <c r="AH37">
        <f t="shared" si="9"/>
        <v>501.00000000000034</v>
      </c>
      <c r="AI37" s="51">
        <f t="shared" si="10"/>
        <v>0.74002271439871947</v>
      </c>
      <c r="AJ37" s="51">
        <f t="shared" si="11"/>
        <v>0</v>
      </c>
      <c r="AK37" s="50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3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5">
        <v>4.5171234214798316E-2</v>
      </c>
      <c r="V38" s="54">
        <v>0.21823570997051434</v>
      </c>
      <c r="W38" s="2">
        <v>0.98975605375086417</v>
      </c>
      <c r="X38" s="55">
        <v>0</v>
      </c>
      <c r="Y38" s="2">
        <v>-2.1789448305739866E-4</v>
      </c>
      <c r="Z38" s="36">
        <v>3.5808848475919752E-5</v>
      </c>
      <c r="AA38" s="2">
        <v>1.5650999999999999</v>
      </c>
      <c r="AB38" s="2">
        <f t="shared" si="4"/>
        <v>0</v>
      </c>
      <c r="AC38" s="2" t="e">
        <f t="shared" si="5"/>
        <v>#VALUE!</v>
      </c>
      <c r="AD38" s="2">
        <f t="shared" si="6"/>
        <v>0</v>
      </c>
      <c r="AE38" s="59" t="e">
        <f t="shared" si="7"/>
        <v>#VALUE!</v>
      </c>
      <c r="AF38" s="60">
        <f t="shared" ref="AF38:AF69" si="13">IF(ISERR(AE38),0,AE38*M38)</f>
        <v>0</v>
      </c>
      <c r="AG38" s="31" t="e">
        <f t="shared" si="8"/>
        <v>#VALUE!</v>
      </c>
      <c r="AH38">
        <f t="shared" si="9"/>
        <v>450.9999999999992</v>
      </c>
      <c r="AI38" s="51">
        <f t="shared" si="10"/>
        <v>0.71234214798397488</v>
      </c>
      <c r="AJ38" s="51">
        <f t="shared" si="11"/>
        <v>0</v>
      </c>
      <c r="AK38" s="50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3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5">
        <v>4.017984348371216E-2</v>
      </c>
      <c r="V39" s="54">
        <v>0.1984803535556523</v>
      </c>
      <c r="W39" s="2">
        <v>0.98770033251658362</v>
      </c>
      <c r="X39" s="55">
        <v>0</v>
      </c>
      <c r="Y39" s="2">
        <v>-2.3069967905503622E-4</v>
      </c>
      <c r="Z39" s="36">
        <v>3.7211099685380278E-5</v>
      </c>
      <c r="AA39" s="2">
        <v>1.5650999999999999</v>
      </c>
      <c r="AB39" s="2">
        <f t="shared" si="4"/>
        <v>0</v>
      </c>
      <c r="AC39" s="2" t="e">
        <f t="shared" si="5"/>
        <v>#VALUE!</v>
      </c>
      <c r="AD39" s="2">
        <f t="shared" si="6"/>
        <v>0</v>
      </c>
      <c r="AE39" s="59" t="e">
        <f t="shared" si="7"/>
        <v>#VALUE!</v>
      </c>
      <c r="AF39" s="60">
        <f t="shared" si="13"/>
        <v>0</v>
      </c>
      <c r="AG39" s="31" t="e">
        <f t="shared" si="8"/>
        <v>#VALUE!</v>
      </c>
      <c r="AH39">
        <f t="shared" si="9"/>
        <v>401.00000000000023</v>
      </c>
      <c r="AI39" s="51">
        <f t="shared" si="10"/>
        <v>0.79843483712136276</v>
      </c>
      <c r="AJ39" s="51">
        <f t="shared" si="11"/>
        <v>0</v>
      </c>
      <c r="AK39" s="50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3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5">
        <v>3.5197576778754069E-2</v>
      </c>
      <c r="V40" s="54">
        <v>0.18087784953227981</v>
      </c>
      <c r="W40" s="2">
        <v>0.98401239466735069</v>
      </c>
      <c r="X40" s="55">
        <v>0</v>
      </c>
      <c r="Y40" s="2">
        <v>-2.6284308136189993E-4</v>
      </c>
      <c r="Z40" s="36">
        <v>3.7272165494546539E-5</v>
      </c>
      <c r="AA40" s="2">
        <v>1.5650999999999999</v>
      </c>
      <c r="AB40" s="2">
        <f t="shared" si="4"/>
        <v>0</v>
      </c>
      <c r="AC40" s="2" t="e">
        <f t="shared" si="5"/>
        <v>#VALUE!</v>
      </c>
      <c r="AD40" s="2">
        <f t="shared" si="6"/>
        <v>0</v>
      </c>
      <c r="AE40" s="59" t="e">
        <f t="shared" si="7"/>
        <v>#VALUE!</v>
      </c>
      <c r="AF40" s="60">
        <f t="shared" si="13"/>
        <v>0</v>
      </c>
      <c r="AG40" s="31" t="e">
        <f t="shared" si="8"/>
        <v>#VALUE!</v>
      </c>
      <c r="AH40">
        <f t="shared" si="9"/>
        <v>350.99999999999909</v>
      </c>
      <c r="AI40" s="51">
        <f t="shared" si="10"/>
        <v>0.97576778754159932</v>
      </c>
      <c r="AJ40" s="51">
        <f t="shared" si="11"/>
        <v>0</v>
      </c>
      <c r="AK40" s="50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3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5">
        <v>3.0223132760095989E-2</v>
      </c>
      <c r="V41" s="54">
        <v>0.16542819790035423</v>
      </c>
      <c r="W41" s="2">
        <v>0.97850612927498648</v>
      </c>
      <c r="X41" s="55">
        <v>0</v>
      </c>
      <c r="Y41" s="2">
        <v>-3.1219426754247582E-4</v>
      </c>
      <c r="Z41" s="36">
        <v>6.4093262310570276E-5</v>
      </c>
      <c r="AA41" s="2">
        <v>1.5650999999999999</v>
      </c>
      <c r="AB41" s="2">
        <f t="shared" si="4"/>
        <v>0</v>
      </c>
      <c r="AC41" s="2" t="e">
        <f t="shared" si="5"/>
        <v>#VALUE!</v>
      </c>
      <c r="AD41" s="2">
        <f t="shared" si="6"/>
        <v>0</v>
      </c>
      <c r="AE41" s="59" t="e">
        <f t="shared" si="7"/>
        <v>#VALUE!</v>
      </c>
      <c r="AF41" s="60">
        <f t="shared" si="13"/>
        <v>0</v>
      </c>
      <c r="AG41" s="31" t="e">
        <f t="shared" si="8"/>
        <v>#VALUE!</v>
      </c>
      <c r="AH41">
        <f t="shared" si="9"/>
        <v>301.00000000000017</v>
      </c>
      <c r="AI41" s="51">
        <f t="shared" si="10"/>
        <v>1.2313276009597303</v>
      </c>
      <c r="AJ41" s="51">
        <f t="shared" si="11"/>
        <v>0</v>
      </c>
      <c r="AK41" s="50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3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5">
        <v>2.52965524313538E-2</v>
      </c>
      <c r="V42" s="54">
        <v>0.15213139865993242</v>
      </c>
      <c r="W42" s="2">
        <v>0.96522940856043193</v>
      </c>
      <c r="X42" s="55">
        <v>0</v>
      </c>
      <c r="Y42" s="2">
        <v>-4.2572685371954631E-4</v>
      </c>
      <c r="Z42" s="36">
        <v>6.9378089698285406E-5</v>
      </c>
      <c r="AA42" s="2">
        <v>1.5650999999999999</v>
      </c>
      <c r="AB42" s="2">
        <f t="shared" si="4"/>
        <v>0</v>
      </c>
      <c r="AC42" s="2" t="e">
        <f t="shared" si="5"/>
        <v>#VALUE!</v>
      </c>
      <c r="AD42" s="2">
        <f t="shared" si="6"/>
        <v>0</v>
      </c>
      <c r="AE42" s="59" t="e">
        <f t="shared" si="7"/>
        <v>#VALUE!</v>
      </c>
      <c r="AF42" s="60">
        <f t="shared" si="13"/>
        <v>0</v>
      </c>
      <c r="AG42" s="31" t="e">
        <f t="shared" si="8"/>
        <v>#VALUE!</v>
      </c>
      <c r="AH42">
        <f t="shared" si="9"/>
        <v>250.99999999999901</v>
      </c>
      <c r="AI42" s="51">
        <f t="shared" si="10"/>
        <v>1.9655243135389924</v>
      </c>
      <c r="AJ42" s="51">
        <f t="shared" si="11"/>
        <v>0</v>
      </c>
      <c r="AK42" s="50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3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5">
        <v>2.0436404881690615E-2</v>
      </c>
      <c r="V43" s="54">
        <v>0.14098745181098593</v>
      </c>
      <c r="W43" s="2">
        <v>0.9408577625029193</v>
      </c>
      <c r="X43" s="55">
        <v>0</v>
      </c>
      <c r="Y43" s="2">
        <v>-6.0432797633985607E-4</v>
      </c>
      <c r="Z43" s="36">
        <v>1.0864037632226167E-4</v>
      </c>
      <c r="AA43" s="2">
        <v>1.5650999999999999</v>
      </c>
      <c r="AB43" s="2">
        <f t="shared" si="4"/>
        <v>0</v>
      </c>
      <c r="AC43" s="2" t="e">
        <f t="shared" si="5"/>
        <v>#VALUE!</v>
      </c>
      <c r="AD43" s="2">
        <f t="shared" si="6"/>
        <v>0</v>
      </c>
      <c r="AE43" s="59" t="e">
        <f t="shared" si="7"/>
        <v>#VALUE!</v>
      </c>
      <c r="AF43" s="60">
        <f t="shared" si="13"/>
        <v>0</v>
      </c>
      <c r="AG43" s="31" t="e">
        <f t="shared" si="8"/>
        <v>#VALUE!</v>
      </c>
      <c r="AH43">
        <f t="shared" si="9"/>
        <v>201.00000000000006</v>
      </c>
      <c r="AI43" s="51">
        <f t="shared" si="10"/>
        <v>3.3640488169060916</v>
      </c>
      <c r="AJ43" s="51">
        <f t="shared" si="11"/>
        <v>0</v>
      </c>
      <c r="AK43" s="50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3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5">
        <v>1.5724484820930949E-2</v>
      </c>
      <c r="V44" s="54">
        <v>0.13199635735350057</v>
      </c>
      <c r="W44" s="2">
        <v>0.89445659155028767</v>
      </c>
      <c r="X44" s="55">
        <v>0</v>
      </c>
      <c r="Y44" s="2">
        <v>-8.7842645993631025E-4</v>
      </c>
      <c r="Z44" s="36">
        <v>1.6322422823190214E-4</v>
      </c>
      <c r="AA44" s="2">
        <v>1.5650999999999999</v>
      </c>
      <c r="AB44" s="2">
        <f t="shared" si="4"/>
        <v>0</v>
      </c>
      <c r="AC44" s="2" t="e">
        <f t="shared" si="5"/>
        <v>#VALUE!</v>
      </c>
      <c r="AD44" s="2">
        <f t="shared" si="6"/>
        <v>0</v>
      </c>
      <c r="AE44" s="59" t="e">
        <f t="shared" si="7"/>
        <v>#VALUE!</v>
      </c>
      <c r="AF44" s="60">
        <f t="shared" si="13"/>
        <v>0</v>
      </c>
      <c r="AG44" s="31" t="e">
        <f t="shared" si="8"/>
        <v>#VALUE!</v>
      </c>
      <c r="AH44">
        <f t="shared" si="9"/>
        <v>150.99999999999892</v>
      </c>
      <c r="AI44" s="51">
        <f t="shared" si="10"/>
        <v>6.2448482093105611</v>
      </c>
      <c r="AJ44" s="51">
        <f t="shared" si="11"/>
        <v>0</v>
      </c>
      <c r="AK44" s="50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3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5">
        <v>1.1298328568095721E-2</v>
      </c>
      <c r="V45" s="54">
        <v>0.12515811528751897</v>
      </c>
      <c r="W45" s="2">
        <v>0.81212876673398537</v>
      </c>
      <c r="X45" s="55">
        <v>0</v>
      </c>
      <c r="Y45" s="2">
        <v>-1.2387985114968151E-3</v>
      </c>
      <c r="Z45" s="36">
        <v>2.6185458969906275E-4</v>
      </c>
      <c r="AA45" s="2">
        <v>1.5650999999999999</v>
      </c>
      <c r="AB45" s="2">
        <f t="shared" si="4"/>
        <v>0</v>
      </c>
      <c r="AC45" s="2" t="e">
        <f t="shared" si="5"/>
        <v>#VALUE!</v>
      </c>
      <c r="AD45" s="2">
        <f t="shared" si="6"/>
        <v>0</v>
      </c>
      <c r="AE45" s="59" t="e">
        <f t="shared" si="7"/>
        <v>#VALUE!</v>
      </c>
      <c r="AF45" s="60">
        <f t="shared" si="13"/>
        <v>0</v>
      </c>
      <c r="AG45" s="31" t="e">
        <f t="shared" si="8"/>
        <v>#VALUE!</v>
      </c>
      <c r="AH45">
        <f t="shared" si="9"/>
        <v>100.99999999999997</v>
      </c>
      <c r="AI45" s="51">
        <f t="shared" si="10"/>
        <v>11.983285680957238</v>
      </c>
      <c r="AJ45" s="51">
        <f t="shared" si="11"/>
        <v>0</v>
      </c>
      <c r="AK45" s="50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3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5">
        <v>7.4571183521020025E-3</v>
      </c>
      <c r="V46" s="54">
        <v>0.1204727256130127</v>
      </c>
      <c r="W46" s="2">
        <v>0.67818925711837008</v>
      </c>
      <c r="X46" s="55">
        <v>0</v>
      </c>
      <c r="Y46" s="2">
        <v>-1.5769783665466137E-3</v>
      </c>
      <c r="Z46" s="36">
        <v>3.3785598623533534E-4</v>
      </c>
      <c r="AA46" s="2">
        <v>1.5650999999999999</v>
      </c>
      <c r="AB46" s="2">
        <f t="shared" si="4"/>
        <v>0</v>
      </c>
      <c r="AC46" s="2" t="e">
        <f t="shared" si="5"/>
        <v>#VALUE!</v>
      </c>
      <c r="AD46" s="2">
        <f t="shared" si="6"/>
        <v>0</v>
      </c>
      <c r="AE46" s="59" t="e">
        <f t="shared" si="7"/>
        <v>#VALUE!</v>
      </c>
      <c r="AF46" s="60">
        <f t="shared" si="13"/>
        <v>0</v>
      </c>
      <c r="AG46" s="31" t="e">
        <f t="shared" si="8"/>
        <v>#VALUE!</v>
      </c>
      <c r="AH46">
        <f t="shared" si="9"/>
        <v>50.99999999999882</v>
      </c>
      <c r="AI46" s="51">
        <f t="shared" si="10"/>
        <v>23.571183521021212</v>
      </c>
      <c r="AJ46" s="51">
        <f t="shared" si="11"/>
        <v>0</v>
      </c>
      <c r="AK46" s="50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3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5">
        <v>7.4000000022351742E-3</v>
      </c>
      <c r="V47" s="54">
        <v>0.20033945498258379</v>
      </c>
      <c r="W47" s="2">
        <v>0.50448938338421789</v>
      </c>
      <c r="X47" s="55">
        <v>0</v>
      </c>
      <c r="Y47" s="2">
        <v>-2.9458189595816023E-3</v>
      </c>
      <c r="Z47" s="36">
        <v>3.6659256154145461E-4</v>
      </c>
      <c r="AA47" s="2">
        <v>1.5650999999999999</v>
      </c>
      <c r="AB47" s="2">
        <f t="shared" si="4"/>
        <v>0</v>
      </c>
      <c r="AC47" s="2" t="e">
        <f t="shared" si="5"/>
        <v>#VALUE!</v>
      </c>
      <c r="AD47" s="2">
        <f t="shared" si="6"/>
        <v>0</v>
      </c>
      <c r="AE47" s="59" t="e">
        <f t="shared" si="7"/>
        <v>#VALUE!</v>
      </c>
      <c r="AF47" s="60">
        <f t="shared" si="13"/>
        <v>0</v>
      </c>
      <c r="AG47" s="31" t="e">
        <f t="shared" si="8"/>
        <v>#VALUE!</v>
      </c>
      <c r="AH47">
        <f t="shared" si="9"/>
        <v>0.99999999999988987</v>
      </c>
      <c r="AI47" s="51">
        <f t="shared" si="10"/>
        <v>73.000000022351855</v>
      </c>
      <c r="AJ47" s="51">
        <f t="shared" si="11"/>
        <v>0</v>
      </c>
      <c r="AK47" s="50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3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5">
        <v>2.3386601062499526E-3</v>
      </c>
      <c r="V48" s="54">
        <v>0.11756050343842617</v>
      </c>
      <c r="W48" s="2">
        <v>0.32753638011934455</v>
      </c>
      <c r="X48" s="55">
        <v>0</v>
      </c>
      <c r="Y48" s="2">
        <v>-1.5495961318951479E-3</v>
      </c>
      <c r="Z48" s="36">
        <v>3.3893723635753086E-4</v>
      </c>
      <c r="AA48" s="2">
        <v>1.5650999999999999</v>
      </c>
      <c r="AB48" s="2">
        <f t="shared" si="4"/>
        <v>0</v>
      </c>
      <c r="AC48" s="2" t="e">
        <f t="shared" si="5"/>
        <v>#VALUE!</v>
      </c>
      <c r="AD48" s="2">
        <f t="shared" si="6"/>
        <v>0</v>
      </c>
      <c r="AE48" s="59" t="e">
        <f t="shared" si="7"/>
        <v>#VALUE!</v>
      </c>
      <c r="AF48" s="60">
        <f t="shared" si="13"/>
        <v>0</v>
      </c>
      <c r="AG48" s="31" t="e">
        <f t="shared" si="8"/>
        <v>#VALUE!</v>
      </c>
      <c r="AH48">
        <f t="shared" si="9"/>
        <v>0</v>
      </c>
      <c r="AI48" s="51">
        <f t="shared" si="10"/>
        <v>23.386601062499526</v>
      </c>
      <c r="AJ48" s="51">
        <f t="shared" si="11"/>
        <v>0</v>
      </c>
      <c r="AK48" s="50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3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5">
        <v>1.1164091165729115E-3</v>
      </c>
      <c r="V49" s="54">
        <v>0.11933367093836011</v>
      </c>
      <c r="W49" s="2">
        <v>0.18524911076303147</v>
      </c>
      <c r="X49" s="55">
        <v>0</v>
      </c>
      <c r="Y49" s="2">
        <v>-1.1684861695963273E-3</v>
      </c>
      <c r="Z49" s="36">
        <v>2.4830867861856242E-4</v>
      </c>
      <c r="AA49" s="2">
        <v>1.5650999999999999</v>
      </c>
      <c r="AB49" s="2">
        <f t="shared" si="4"/>
        <v>0</v>
      </c>
      <c r="AC49" s="2" t="e">
        <f t="shared" si="5"/>
        <v>#VALUE!</v>
      </c>
      <c r="AD49" s="2">
        <f t="shared" si="6"/>
        <v>0</v>
      </c>
      <c r="AE49" s="59" t="e">
        <f t="shared" si="7"/>
        <v>#VALUE!</v>
      </c>
      <c r="AF49" s="60">
        <f t="shared" si="13"/>
        <v>0</v>
      </c>
      <c r="AG49" s="31" t="e">
        <f t="shared" si="8"/>
        <v>#VALUE!</v>
      </c>
      <c r="AH49">
        <f t="shared" si="9"/>
        <v>0</v>
      </c>
      <c r="AI49" s="51">
        <f t="shared" si="10"/>
        <v>11.164091165729115</v>
      </c>
      <c r="AJ49" s="51">
        <f t="shared" si="11"/>
        <v>0</v>
      </c>
      <c r="AK49" s="50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3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5">
        <v>5.216474251880307E-4</v>
      </c>
      <c r="V50" s="54">
        <v>0.1232596908297694</v>
      </c>
      <c r="W50" s="2">
        <v>9.6641212812860214E-2</v>
      </c>
      <c r="X50" s="55">
        <v>0</v>
      </c>
      <c r="Y50" s="2">
        <v>-7.6806409255681253E-4</v>
      </c>
      <c r="Z50" s="36">
        <v>1.6479641023945486E-4</v>
      </c>
      <c r="AA50" s="2">
        <v>1.5650999999999999</v>
      </c>
      <c r="AB50" s="2">
        <f t="shared" si="4"/>
        <v>0</v>
      </c>
      <c r="AC50" s="2" t="e">
        <f t="shared" si="5"/>
        <v>#VALUE!</v>
      </c>
      <c r="AD50" s="2">
        <f t="shared" si="6"/>
        <v>0</v>
      </c>
      <c r="AE50" s="59" t="e">
        <f t="shared" si="7"/>
        <v>#VALUE!</v>
      </c>
      <c r="AF50" s="60">
        <f t="shared" si="13"/>
        <v>0</v>
      </c>
      <c r="AG50" s="31" t="e">
        <f t="shared" si="8"/>
        <v>#VALUE!</v>
      </c>
      <c r="AH50">
        <f t="shared" si="9"/>
        <v>0</v>
      </c>
      <c r="AI50" s="51">
        <f t="shared" si="10"/>
        <v>5.2164742518803067</v>
      </c>
      <c r="AJ50" s="51">
        <f t="shared" si="11"/>
        <v>0</v>
      </c>
      <c r="AK50" s="50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3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5">
        <v>2.3998364970128798E-4</v>
      </c>
      <c r="V51" s="54">
        <v>0.1293385631126398</v>
      </c>
      <c r="W51" s="2">
        <v>4.8027688265695208E-2</v>
      </c>
      <c r="X51" s="55">
        <v>0</v>
      </c>
      <c r="Y51" s="2">
        <v>-4.7119122755980345E-4</v>
      </c>
      <c r="Z51" s="36">
        <v>1.1003789530448078E-4</v>
      </c>
      <c r="AA51" s="2">
        <v>1.5650999999999999</v>
      </c>
      <c r="AB51" s="2">
        <f t="shared" si="4"/>
        <v>0</v>
      </c>
      <c r="AC51" s="2" t="e">
        <f t="shared" si="5"/>
        <v>#VALUE!</v>
      </c>
      <c r="AD51" s="2">
        <f t="shared" si="6"/>
        <v>0</v>
      </c>
      <c r="AE51" s="59" t="e">
        <f t="shared" si="7"/>
        <v>#VALUE!</v>
      </c>
      <c r="AF51" s="60">
        <f t="shared" si="13"/>
        <v>0</v>
      </c>
      <c r="AG51" s="31" t="e">
        <f t="shared" si="8"/>
        <v>#VALUE!</v>
      </c>
      <c r="AH51">
        <f t="shared" si="9"/>
        <v>0</v>
      </c>
      <c r="AI51" s="51">
        <f t="shared" si="10"/>
        <v>2.3998364970128798</v>
      </c>
      <c r="AJ51" s="51">
        <f t="shared" si="11"/>
        <v>0</v>
      </c>
      <c r="AK51" s="50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3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5">
        <v>1.2118092944529462E-4</v>
      </c>
      <c r="V52" s="54">
        <v>0.13757028778701397</v>
      </c>
      <c r="W52" s="2">
        <v>2.5008897404942047E-2</v>
      </c>
      <c r="X52" s="55">
        <v>0</v>
      </c>
      <c r="Y52" s="2">
        <v>-2.9296286178520485E-4</v>
      </c>
      <c r="Z52" s="36">
        <v>6.7548805491670784E-5</v>
      </c>
      <c r="AA52" s="2">
        <v>1.5650999999999999</v>
      </c>
      <c r="AB52" s="2">
        <f t="shared" si="4"/>
        <v>0</v>
      </c>
      <c r="AC52" s="2" t="e">
        <f t="shared" si="5"/>
        <v>#VALUE!</v>
      </c>
      <c r="AD52" s="2">
        <f t="shared" si="6"/>
        <v>0</v>
      </c>
      <c r="AE52" s="59" t="e">
        <f t="shared" si="7"/>
        <v>#VALUE!</v>
      </c>
      <c r="AF52" s="60">
        <f t="shared" si="13"/>
        <v>0</v>
      </c>
      <c r="AG52" s="31" t="e">
        <f t="shared" si="8"/>
        <v>#VALUE!</v>
      </c>
      <c r="AH52">
        <f t="shared" si="9"/>
        <v>0</v>
      </c>
      <c r="AI52" s="51">
        <f t="shared" si="10"/>
        <v>1.2118092944529462</v>
      </c>
      <c r="AJ52" s="51">
        <f t="shared" si="11"/>
        <v>0</v>
      </c>
      <c r="AK52" s="50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3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5">
        <v>7.2126364204528251E-5</v>
      </c>
      <c r="V53" s="54">
        <v>0.14795486485286347</v>
      </c>
      <c r="W53" s="2">
        <v>1.469739074729449E-2</v>
      </c>
      <c r="X53" s="55">
        <v>0</v>
      </c>
      <c r="Y53" s="2">
        <v>-1.9936522724189968E-4</v>
      </c>
      <c r="Z53" s="36">
        <v>3.8055846713397462E-5</v>
      </c>
      <c r="AA53" s="2">
        <v>1.5650999999999999</v>
      </c>
      <c r="AB53" s="2">
        <f t="shared" si="4"/>
        <v>0</v>
      </c>
      <c r="AC53" s="2" t="e">
        <f t="shared" si="5"/>
        <v>#VALUE!</v>
      </c>
      <c r="AD53" s="2">
        <f t="shared" si="6"/>
        <v>0</v>
      </c>
      <c r="AE53" s="59" t="e">
        <f t="shared" si="7"/>
        <v>#VALUE!</v>
      </c>
      <c r="AF53" s="60">
        <f t="shared" si="13"/>
        <v>0</v>
      </c>
      <c r="AG53" s="31" t="e">
        <f t="shared" si="8"/>
        <v>#VALUE!</v>
      </c>
      <c r="AH53">
        <f t="shared" si="9"/>
        <v>0</v>
      </c>
      <c r="AI53" s="51">
        <f t="shared" si="10"/>
        <v>0.72126364204528248</v>
      </c>
      <c r="AJ53" s="51">
        <f t="shared" si="11"/>
        <v>0</v>
      </c>
      <c r="AK53" s="50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3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5">
        <v>4.7341293692565039E-5</v>
      </c>
      <c r="V54" s="54">
        <v>0.16049229431017409</v>
      </c>
      <c r="W54" s="2">
        <v>9.3796575175678007E-3</v>
      </c>
      <c r="X54" s="55">
        <v>0.95954405647310892</v>
      </c>
      <c r="Y54" s="2">
        <v>-1.4693501410608861E-4</v>
      </c>
      <c r="Z54" s="36">
        <v>2.9477129578996312E-5</v>
      </c>
      <c r="AA54" s="2">
        <v>1.5650999999999999</v>
      </c>
      <c r="AB54" s="2">
        <f t="shared" si="4"/>
        <v>0</v>
      </c>
      <c r="AC54" s="2" t="e">
        <f t="shared" si="5"/>
        <v>#VALUE!</v>
      </c>
      <c r="AD54" s="2">
        <f t="shared" si="6"/>
        <v>0</v>
      </c>
      <c r="AE54" s="59" t="e">
        <f t="shared" si="7"/>
        <v>#VALUE!</v>
      </c>
      <c r="AF54" s="60">
        <f t="shared" si="13"/>
        <v>0</v>
      </c>
      <c r="AG54" s="31" t="e">
        <f t="shared" si="8"/>
        <v>#VALUE!</v>
      </c>
      <c r="AH54">
        <f t="shared" si="9"/>
        <v>0</v>
      </c>
      <c r="AI54" s="51">
        <f t="shared" si="10"/>
        <v>0.4734129369256504</v>
      </c>
      <c r="AJ54" s="51">
        <f t="shared" si="11"/>
        <v>0</v>
      </c>
      <c r="AK54" s="50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3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5">
        <v>3.8359639553938722E-5</v>
      </c>
      <c r="V55" s="54">
        <v>0.17518257615898847</v>
      </c>
      <c r="W55" s="2">
        <v>7.1224100425666325E-3</v>
      </c>
      <c r="X55" s="55">
        <v>0.96421830226224814</v>
      </c>
      <c r="Y55" s="2">
        <v>-1.252089076573424E-4</v>
      </c>
      <c r="Z55" s="36">
        <v>1.9665808409435485E-5</v>
      </c>
      <c r="AA55" s="2">
        <v>1.5650999999999999</v>
      </c>
      <c r="AB55" s="2">
        <f t="shared" si="4"/>
        <v>0</v>
      </c>
      <c r="AC55" s="2" t="e">
        <f t="shared" si="5"/>
        <v>#VALUE!</v>
      </c>
      <c r="AD55" s="2">
        <f t="shared" si="6"/>
        <v>0</v>
      </c>
      <c r="AE55" s="59" t="e">
        <f t="shared" si="7"/>
        <v>#VALUE!</v>
      </c>
      <c r="AF55" s="60">
        <f t="shared" si="13"/>
        <v>0</v>
      </c>
      <c r="AG55" s="31" t="e">
        <f t="shared" si="8"/>
        <v>#VALUE!</v>
      </c>
      <c r="AH55">
        <f t="shared" si="9"/>
        <v>0</v>
      </c>
      <c r="AI55" s="51">
        <f t="shared" si="10"/>
        <v>0.38359639553938724</v>
      </c>
      <c r="AJ55" s="51">
        <f t="shared" si="11"/>
        <v>0</v>
      </c>
      <c r="AK55" s="50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3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5">
        <v>3.3708268785229029E-5</v>
      </c>
      <c r="V56" s="54">
        <v>0.19202571039927818</v>
      </c>
      <c r="W56" s="2">
        <v>5.8332014101459308E-3</v>
      </c>
      <c r="X56" s="55">
        <v>0.93145623559933899</v>
      </c>
      <c r="Y56" s="2">
        <v>-1.1523321629706423E-4</v>
      </c>
      <c r="Z56" s="36">
        <v>1.9696361030800222E-5</v>
      </c>
      <c r="AA56" s="2">
        <v>1.5650999999999999</v>
      </c>
      <c r="AB56" s="2">
        <f t="shared" si="4"/>
        <v>0</v>
      </c>
      <c r="AC56" s="2" t="e">
        <f t="shared" si="5"/>
        <v>#VALUE!</v>
      </c>
      <c r="AD56" s="2">
        <f t="shared" si="6"/>
        <v>0</v>
      </c>
      <c r="AE56" s="59" t="e">
        <f t="shared" si="7"/>
        <v>#VALUE!</v>
      </c>
      <c r="AF56" s="60">
        <f t="shared" si="13"/>
        <v>0</v>
      </c>
      <c r="AG56" s="31" t="e">
        <f t="shared" si="8"/>
        <v>#VALUE!</v>
      </c>
      <c r="AH56">
        <f t="shared" si="9"/>
        <v>0</v>
      </c>
      <c r="AI56" s="51">
        <f t="shared" si="10"/>
        <v>0.33708268785229029</v>
      </c>
      <c r="AJ56" s="51">
        <f t="shared" si="11"/>
        <v>0</v>
      </c>
      <c r="AK56" s="50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3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5">
        <v>3.3406769725283334E-5</v>
      </c>
      <c r="V57" s="54">
        <v>0.21102169703104323</v>
      </c>
      <c r="W57" s="2">
        <v>5.3227665009588747E-3</v>
      </c>
      <c r="X57" s="55">
        <v>0.78354081495236994</v>
      </c>
      <c r="Y57" s="2">
        <v>-1.170610648750622E-4</v>
      </c>
      <c r="Z57" s="36">
        <v>1.9726854084051157E-5</v>
      </c>
      <c r="AA57" s="2">
        <v>1.5650999999999999</v>
      </c>
      <c r="AB57" s="2">
        <f t="shared" si="4"/>
        <v>0</v>
      </c>
      <c r="AC57" s="2" t="e">
        <f t="shared" si="5"/>
        <v>#VALUE!</v>
      </c>
      <c r="AD57" s="2">
        <f t="shared" si="6"/>
        <v>0</v>
      </c>
      <c r="AE57" s="59" t="e">
        <f t="shared" si="7"/>
        <v>#VALUE!</v>
      </c>
      <c r="AF57" s="60">
        <f t="shared" si="13"/>
        <v>0</v>
      </c>
      <c r="AG57" s="31" t="e">
        <f t="shared" si="8"/>
        <v>#VALUE!</v>
      </c>
      <c r="AH57">
        <f t="shared" si="9"/>
        <v>0</v>
      </c>
      <c r="AI57" s="51">
        <f t="shared" si="10"/>
        <v>0.33406769725283336</v>
      </c>
      <c r="AJ57" s="51">
        <f t="shared" si="11"/>
        <v>0</v>
      </c>
      <c r="AK57" s="50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3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5">
        <v>3.7474658669514331E-5</v>
      </c>
      <c r="V58" s="54">
        <v>0.23217053605428362</v>
      </c>
      <c r="W58" s="2">
        <v>5.4170141095194035E-3</v>
      </c>
      <c r="X58" s="55">
        <v>0.72296178194305927</v>
      </c>
      <c r="Y58" s="2">
        <v>-1.307453745865314E-4</v>
      </c>
      <c r="Z58" s="36">
        <v>1.9757283687926151E-5</v>
      </c>
      <c r="AA58" s="2">
        <v>1.5650999999999999</v>
      </c>
      <c r="AB58" s="2">
        <f t="shared" si="4"/>
        <v>0</v>
      </c>
      <c r="AC58" s="2" t="e">
        <f t="shared" si="5"/>
        <v>#VALUE!</v>
      </c>
      <c r="AD58" s="2">
        <f t="shared" si="6"/>
        <v>0</v>
      </c>
      <c r="AE58" s="59" t="e">
        <f t="shared" si="7"/>
        <v>#VALUE!</v>
      </c>
      <c r="AF58" s="60">
        <f t="shared" si="13"/>
        <v>0</v>
      </c>
      <c r="AG58" s="31" t="e">
        <f t="shared" si="8"/>
        <v>#VALUE!</v>
      </c>
      <c r="AH58">
        <f t="shared" si="9"/>
        <v>0</v>
      </c>
      <c r="AI58" s="51">
        <f t="shared" si="10"/>
        <v>0.37474658669514332</v>
      </c>
      <c r="AJ58" s="51">
        <f t="shared" si="11"/>
        <v>0</v>
      </c>
      <c r="AK58" s="50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3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5">
        <v>4.5931375836816548E-5</v>
      </c>
      <c r="V59" s="54">
        <v>0.25547222746899934</v>
      </c>
      <c r="W59" s="2">
        <v>5.9660562201696056E-3</v>
      </c>
      <c r="X59" s="55">
        <v>0.71397426698489763</v>
      </c>
      <c r="Y59" s="2">
        <v>-1.5633885042448125E-4</v>
      </c>
      <c r="Z59" s="36">
        <v>1.9787647163791068E-5</v>
      </c>
      <c r="AA59" s="2">
        <v>1.5650999999999999</v>
      </c>
      <c r="AB59" s="2">
        <f t="shared" si="4"/>
        <v>0</v>
      </c>
      <c r="AC59" s="2" t="e">
        <f t="shared" si="5"/>
        <v>#VALUE!</v>
      </c>
      <c r="AD59" s="2">
        <f t="shared" si="6"/>
        <v>0</v>
      </c>
      <c r="AE59" s="59" t="e">
        <f t="shared" si="7"/>
        <v>#VALUE!</v>
      </c>
      <c r="AF59" s="60">
        <f t="shared" si="13"/>
        <v>0</v>
      </c>
      <c r="AG59" s="31" t="e">
        <f t="shared" si="8"/>
        <v>#VALUE!</v>
      </c>
      <c r="AH59">
        <f t="shared" si="9"/>
        <v>0</v>
      </c>
      <c r="AI59" s="51">
        <f t="shared" si="10"/>
        <v>0.45931375836816546</v>
      </c>
      <c r="AJ59" s="51">
        <f t="shared" si="11"/>
        <v>0</v>
      </c>
      <c r="AK59" s="50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3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5">
        <v>5.879628266652186E-5</v>
      </c>
      <c r="V60" s="54">
        <v>0.2809267712752046</v>
      </c>
      <c r="W60" s="2">
        <v>6.8465843625261889E-3</v>
      </c>
      <c r="X60" s="55">
        <v>0.73228623779271962</v>
      </c>
      <c r="Y60" s="2">
        <v>-1.9389397205251652E-4</v>
      </c>
      <c r="Z60" s="36">
        <v>1.9817943043638273E-5</v>
      </c>
      <c r="AA60" s="2">
        <v>1.5650999999999999</v>
      </c>
      <c r="AB60" s="2">
        <f t="shared" si="4"/>
        <v>0</v>
      </c>
      <c r="AC60" s="2" t="e">
        <f t="shared" si="5"/>
        <v>#VALUE!</v>
      </c>
      <c r="AD60" s="2">
        <f t="shared" si="6"/>
        <v>0</v>
      </c>
      <c r="AE60" s="59" t="e">
        <f t="shared" si="7"/>
        <v>#VALUE!</v>
      </c>
      <c r="AF60" s="60">
        <f t="shared" si="13"/>
        <v>0</v>
      </c>
      <c r="AG60" s="31" t="e">
        <f t="shared" si="8"/>
        <v>#VALUE!</v>
      </c>
      <c r="AH60">
        <f t="shared" si="9"/>
        <v>0</v>
      </c>
      <c r="AI60" s="51">
        <f t="shared" si="10"/>
        <v>0.5879628266652186</v>
      </c>
      <c r="AJ60" s="51">
        <f t="shared" si="11"/>
        <v>0</v>
      </c>
      <c r="AK60" s="50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3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5">
        <v>7.6088660456964788E-5</v>
      </c>
      <c r="V61" s="54">
        <v>0.30853416747289941</v>
      </c>
      <c r="W61" s="2">
        <v>7.9604370634031359E-3</v>
      </c>
      <c r="X61" s="55">
        <v>0.76230536640109481</v>
      </c>
      <c r="Y61" s="2">
        <v>-2.4346298812732108E-4</v>
      </c>
      <c r="Z61" s="36">
        <v>1.9848171079106384E-5</v>
      </c>
      <c r="AA61" s="2">
        <v>1.5650999999999999</v>
      </c>
      <c r="AB61" s="2">
        <f t="shared" si="4"/>
        <v>0</v>
      </c>
      <c r="AC61" s="2" t="e">
        <f t="shared" si="5"/>
        <v>#VALUE!</v>
      </c>
      <c r="AD61" s="2">
        <f t="shared" si="6"/>
        <v>0</v>
      </c>
      <c r="AE61" s="59" t="e">
        <f t="shared" si="7"/>
        <v>#VALUE!</v>
      </c>
      <c r="AF61" s="60">
        <f t="shared" si="13"/>
        <v>0</v>
      </c>
      <c r="AG61" s="31" t="e">
        <f t="shared" si="8"/>
        <v>#VALUE!</v>
      </c>
      <c r="AH61">
        <f t="shared" si="9"/>
        <v>0</v>
      </c>
      <c r="AI61" s="51">
        <f t="shared" si="10"/>
        <v>0.76088660456964785</v>
      </c>
      <c r="AJ61" s="51">
        <f t="shared" si="11"/>
        <v>0</v>
      </c>
      <c r="AK61" s="50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3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5">
        <v>9.782771035915851E-5</v>
      </c>
      <c r="V62" s="54">
        <v>0.33829441606204114</v>
      </c>
      <c r="W62" s="2">
        <v>9.231386342049331E-3</v>
      </c>
      <c r="X62" s="55">
        <v>0.79460596919069038</v>
      </c>
      <c r="Y62" s="2">
        <v>-3.0509791410599559E-4</v>
      </c>
      <c r="Z62" s="36">
        <v>1.9878332249756179E-5</v>
      </c>
      <c r="AA62" s="2">
        <v>1.5650999999999999</v>
      </c>
      <c r="AB62" s="2">
        <f t="shared" si="4"/>
        <v>0</v>
      </c>
      <c r="AC62" s="2" t="e">
        <f t="shared" si="5"/>
        <v>#VALUE!</v>
      </c>
      <c r="AD62" s="2">
        <f t="shared" si="6"/>
        <v>0</v>
      </c>
      <c r="AE62" s="59" t="e">
        <f t="shared" si="7"/>
        <v>#VALUE!</v>
      </c>
      <c r="AF62" s="60">
        <f t="shared" si="13"/>
        <v>0</v>
      </c>
      <c r="AG62" s="31" t="e">
        <f t="shared" si="8"/>
        <v>#VALUE!</v>
      </c>
      <c r="AH62">
        <f t="shared" si="9"/>
        <v>0</v>
      </c>
      <c r="AI62" s="51">
        <f t="shared" si="10"/>
        <v>0.97827710359158515</v>
      </c>
      <c r="AJ62" s="51">
        <f t="shared" si="11"/>
        <v>0</v>
      </c>
      <c r="AK62" s="50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3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5">
        <v>1.2403255473835201E-4</v>
      </c>
      <c r="V63" s="54">
        <v>0.37020751704270083</v>
      </c>
      <c r="W63" s="2">
        <v>1.0601392863491977E-2</v>
      </c>
      <c r="X63" s="55">
        <v>0.82390910321157418</v>
      </c>
      <c r="Y63" s="2">
        <v>-3.7885053357087256E-4</v>
      </c>
      <c r="Z63" s="36">
        <v>3.3613221409952267E-5</v>
      </c>
      <c r="AA63" s="2">
        <v>1.5650999999999999</v>
      </c>
      <c r="AB63" s="2">
        <f t="shared" si="4"/>
        <v>0</v>
      </c>
      <c r="AC63" s="2" t="e">
        <f t="shared" si="5"/>
        <v>#VALUE!</v>
      </c>
      <c r="AD63" s="2">
        <f t="shared" si="6"/>
        <v>0</v>
      </c>
      <c r="AE63" s="59" t="e">
        <f t="shared" si="7"/>
        <v>#VALUE!</v>
      </c>
      <c r="AF63" s="60">
        <f t="shared" si="13"/>
        <v>0</v>
      </c>
      <c r="AG63" s="31" t="e">
        <f t="shared" si="8"/>
        <v>#VALUE!</v>
      </c>
      <c r="AH63">
        <f t="shared" si="9"/>
        <v>0</v>
      </c>
      <c r="AI63" s="51">
        <f t="shared" si="10"/>
        <v>1.2403255473835202</v>
      </c>
      <c r="AJ63" s="51">
        <f t="shared" si="11"/>
        <v>0</v>
      </c>
      <c r="AK63" s="50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3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5">
        <v>1.7095647955773504E-4</v>
      </c>
      <c r="V64" s="54">
        <v>0.40427347041482165</v>
      </c>
      <c r="W64" s="2">
        <v>1.3016096373638784E-2</v>
      </c>
      <c r="X64" s="55">
        <v>0.89656273865530178</v>
      </c>
      <c r="Y64" s="2">
        <v>-4.916201945875079E-4</v>
      </c>
      <c r="Z64" s="36">
        <v>3.8703956722565386E-5</v>
      </c>
      <c r="AA64" s="2">
        <v>1.5650999999999999</v>
      </c>
      <c r="AB64" s="2">
        <f t="shared" si="4"/>
        <v>0</v>
      </c>
      <c r="AC64" s="2" t="e">
        <f t="shared" si="5"/>
        <v>#VALUE!</v>
      </c>
      <c r="AD64" s="2">
        <f t="shared" si="6"/>
        <v>0</v>
      </c>
      <c r="AE64" s="59" t="e">
        <f t="shared" si="7"/>
        <v>#VALUE!</v>
      </c>
      <c r="AF64" s="60">
        <f t="shared" si="13"/>
        <v>0</v>
      </c>
      <c r="AG64" s="31" t="e">
        <f t="shared" si="8"/>
        <v>#VALUE!</v>
      </c>
      <c r="AH64">
        <f t="shared" si="9"/>
        <v>0</v>
      </c>
      <c r="AI64" s="51">
        <f t="shared" si="10"/>
        <v>1.7095647955773505</v>
      </c>
      <c r="AJ64" s="51">
        <f t="shared" si="11"/>
        <v>0</v>
      </c>
      <c r="AK64" s="50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3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5">
        <v>2.3165590829105819E-4</v>
      </c>
      <c r="V65" s="54">
        <v>0.44049227617840359</v>
      </c>
      <c r="W65" s="2">
        <v>1.5811261977233655E-2</v>
      </c>
      <c r="X65" s="55">
        <v>0.97073908073251758</v>
      </c>
      <c r="Y65" s="2">
        <v>-6.3194333685412407E-4</v>
      </c>
      <c r="Z65" s="36">
        <v>3.876200967410198E-5</v>
      </c>
      <c r="AA65" s="2">
        <v>1.5650999999999999</v>
      </c>
      <c r="AB65" s="2">
        <f t="shared" si="4"/>
        <v>0</v>
      </c>
      <c r="AC65" s="2" t="e">
        <f t="shared" si="5"/>
        <v>#VALUE!</v>
      </c>
      <c r="AD65" s="2">
        <f t="shared" si="6"/>
        <v>0</v>
      </c>
      <c r="AE65" s="59" t="e">
        <f t="shared" si="7"/>
        <v>#VALUE!</v>
      </c>
      <c r="AF65" s="60">
        <f t="shared" si="13"/>
        <v>0</v>
      </c>
      <c r="AG65" s="31" t="e">
        <f t="shared" si="8"/>
        <v>#VALUE!</v>
      </c>
      <c r="AH65">
        <f t="shared" si="9"/>
        <v>0</v>
      </c>
      <c r="AI65" s="51">
        <f t="shared" si="10"/>
        <v>2.3165590829105818</v>
      </c>
      <c r="AJ65" s="51">
        <f t="shared" si="11"/>
        <v>0</v>
      </c>
      <c r="AK65" s="50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3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5">
        <v>1.4024361866305218E-4</v>
      </c>
      <c r="V66" s="54">
        <v>0.10908946559042221</v>
      </c>
      <c r="W66" s="2">
        <v>-1.5048388587889306E-2</v>
      </c>
      <c r="X66" s="55">
        <v>0</v>
      </c>
      <c r="Y66" s="2">
        <v>-5.8744395122650194E-5</v>
      </c>
      <c r="Z66" s="36">
        <v>1.0005822846616781E-4</v>
      </c>
      <c r="AA66" s="2">
        <v>1.5642</v>
      </c>
      <c r="AB66" s="2">
        <f t="shared" si="4"/>
        <v>0</v>
      </c>
      <c r="AC66" s="2" t="e">
        <f t="shared" si="5"/>
        <v>#VALUE!</v>
      </c>
      <c r="AD66" s="2">
        <f t="shared" si="6"/>
        <v>0</v>
      </c>
      <c r="AE66" s="59" t="e">
        <f t="shared" si="7"/>
        <v>#VALUE!</v>
      </c>
      <c r="AF66" s="60">
        <f t="shared" si="13"/>
        <v>0</v>
      </c>
      <c r="AG66" s="31" t="e">
        <f t="shared" si="8"/>
        <v>#VALUE!</v>
      </c>
      <c r="AH66">
        <f t="shared" si="9"/>
        <v>0</v>
      </c>
      <c r="AI66" s="51">
        <f t="shared" si="10"/>
        <v>1.4024361866305217</v>
      </c>
      <c r="AJ66" s="51">
        <f t="shared" si="11"/>
        <v>0</v>
      </c>
      <c r="AK66" s="50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3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5">
        <v>1.7091252918472518E-4</v>
      </c>
      <c r="V67" s="54">
        <v>0.10347358242750815</v>
      </c>
      <c r="W67" s="2">
        <v>-1.8909580693521087E-2</v>
      </c>
      <c r="X67" s="55">
        <v>0</v>
      </c>
      <c r="Y67" s="2">
        <v>-6.8065663889373048E-5</v>
      </c>
      <c r="Z67" s="36">
        <v>1.4050543620535127E-4</v>
      </c>
      <c r="AA67" s="2">
        <v>1.5642</v>
      </c>
      <c r="AB67" s="2">
        <f t="shared" si="4"/>
        <v>0</v>
      </c>
      <c r="AC67" s="2" t="e">
        <f t="shared" si="5"/>
        <v>#VALUE!</v>
      </c>
      <c r="AD67" s="2">
        <f t="shared" si="6"/>
        <v>0</v>
      </c>
      <c r="AE67" s="59" t="e">
        <f t="shared" si="7"/>
        <v>#VALUE!</v>
      </c>
      <c r="AF67" s="60">
        <f t="shared" si="13"/>
        <v>0</v>
      </c>
      <c r="AG67" s="31" t="e">
        <f t="shared" si="8"/>
        <v>#VALUE!</v>
      </c>
      <c r="AH67">
        <f t="shared" si="9"/>
        <v>0</v>
      </c>
      <c r="AI67" s="51">
        <f t="shared" si="10"/>
        <v>1.7091252918472517</v>
      </c>
      <c r="AJ67" s="51">
        <f t="shared" si="11"/>
        <v>0</v>
      </c>
      <c r="AK67" s="50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3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5">
        <v>2.2087118979903026E-4</v>
      </c>
      <c r="V68" s="54">
        <v>9.8277391541415682E-2</v>
      </c>
      <c r="W68" s="2">
        <v>-2.485039263321118E-2</v>
      </c>
      <c r="X68" s="55">
        <v>0</v>
      </c>
      <c r="Y68" s="2">
        <v>-8.1461483749445217E-5</v>
      </c>
      <c r="Z68" s="36">
        <v>1.6841938704917933E-4</v>
      </c>
      <c r="AA68" s="2">
        <v>1.5642</v>
      </c>
      <c r="AB68" s="2">
        <f t="shared" si="4"/>
        <v>0</v>
      </c>
      <c r="AC68" s="2" t="e">
        <f t="shared" si="5"/>
        <v>#VALUE!</v>
      </c>
      <c r="AD68" s="2">
        <f t="shared" si="6"/>
        <v>0</v>
      </c>
      <c r="AE68" s="59" t="e">
        <f t="shared" si="7"/>
        <v>#VALUE!</v>
      </c>
      <c r="AF68" s="60">
        <f t="shared" si="13"/>
        <v>0</v>
      </c>
      <c r="AG68" s="31" t="e">
        <f t="shared" si="8"/>
        <v>#VALUE!</v>
      </c>
      <c r="AH68">
        <f t="shared" si="9"/>
        <v>0</v>
      </c>
      <c r="AI68" s="51">
        <f t="shared" si="10"/>
        <v>2.2087118979903027</v>
      </c>
      <c r="AJ68" s="51">
        <f t="shared" si="11"/>
        <v>0</v>
      </c>
      <c r="AK68" s="50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3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5">
        <v>3.0525823040291824E-4</v>
      </c>
      <c r="V69" s="54">
        <v>9.3500892932148361E-2</v>
      </c>
      <c r="W69" s="2">
        <v>-3.4496333851781462E-2</v>
      </c>
      <c r="X69" s="55">
        <v>0</v>
      </c>
      <c r="Y69" s="2">
        <v>-1.0166154490831713E-4</v>
      </c>
      <c r="Z69" s="36">
        <v>2.1293197973217736E-4</v>
      </c>
      <c r="AA69" s="2">
        <v>1.5642</v>
      </c>
      <c r="AB69" s="2">
        <f t="shared" si="4"/>
        <v>0</v>
      </c>
      <c r="AC69" s="2" t="e">
        <f t="shared" si="5"/>
        <v>#VALUE!</v>
      </c>
      <c r="AD69" s="2">
        <f t="shared" si="6"/>
        <v>0</v>
      </c>
      <c r="AE69" s="59" t="e">
        <f t="shared" si="7"/>
        <v>#VALUE!</v>
      </c>
      <c r="AF69" s="60">
        <f t="shared" si="13"/>
        <v>0</v>
      </c>
      <c r="AG69" s="31" t="e">
        <f t="shared" si="8"/>
        <v>#VALUE!</v>
      </c>
      <c r="AH69">
        <f t="shared" si="9"/>
        <v>0</v>
      </c>
      <c r="AI69" s="51">
        <f t="shared" si="10"/>
        <v>3.0525823040291824</v>
      </c>
      <c r="AJ69" s="51">
        <f t="shared" si="11"/>
        <v>0</v>
      </c>
      <c r="AK69" s="50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3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5">
        <v>4.2430784877228365E-4</v>
      </c>
      <c r="V70" s="54">
        <v>8.9144086599702632E-2</v>
      </c>
      <c r="W70" s="2">
        <v>-4.7955376057874304E-2</v>
      </c>
      <c r="X70" s="55">
        <v>0</v>
      </c>
      <c r="Y70" s="2">
        <v>-1.2692565479226184E-4</v>
      </c>
      <c r="Z70" s="36">
        <v>2.7569349430633667E-4</v>
      </c>
      <c r="AA70" s="2">
        <v>1.5642</v>
      </c>
      <c r="AB70" s="2">
        <f t="shared" si="4"/>
        <v>0</v>
      </c>
      <c r="AC70" s="2" t="e">
        <f t="shared" si="5"/>
        <v>#VALUE!</v>
      </c>
      <c r="AD70" s="2">
        <f t="shared" si="6"/>
        <v>0</v>
      </c>
      <c r="AE70" s="59" t="e">
        <f t="shared" si="7"/>
        <v>#VALUE!</v>
      </c>
      <c r="AF70" s="60">
        <f t="shared" ref="AF70:AF101" si="17">IF(ISERR(AE70),0,AE70*M70)</f>
        <v>0</v>
      </c>
      <c r="AG70" s="31" t="e">
        <f t="shared" si="8"/>
        <v>#VALUE!</v>
      </c>
      <c r="AH70">
        <f t="shared" si="9"/>
        <v>0</v>
      </c>
      <c r="AI70" s="51">
        <f t="shared" si="10"/>
        <v>4.243078487722836</v>
      </c>
      <c r="AJ70" s="51">
        <f t="shared" si="11"/>
        <v>0</v>
      </c>
      <c r="AK70" s="50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3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5">
        <v>6.1686464319775445E-4</v>
      </c>
      <c r="V71" s="54">
        <v>8.5206972544082049E-2</v>
      </c>
      <c r="W71" s="2">
        <v>-6.889121112523823E-2</v>
      </c>
      <c r="X71" s="55">
        <v>0</v>
      </c>
      <c r="Y71" s="2">
        <v>-1.6176339292787062E-4</v>
      </c>
      <c r="Z71" s="36">
        <v>3.6851100970617713E-4</v>
      </c>
      <c r="AA71" s="2">
        <v>1.5642</v>
      </c>
      <c r="AB71" s="2">
        <f t="shared" ref="AB71:AB125" si="18">W71*M71</f>
        <v>0</v>
      </c>
      <c r="AC71" s="2" t="e">
        <f t="shared" ref="AC71:AC125" si="19">AE71*M71</f>
        <v>#VALUE!</v>
      </c>
      <c r="AD71" s="2">
        <f t="shared" ref="AD71:AD125" si="20">Y71*M71</f>
        <v>0</v>
      </c>
      <c r="AE71" s="59" t="e">
        <f t="shared" ref="AE71:AE125" si="21">BSGamma($AA$17,E71,D71,0.001,V71)</f>
        <v>#VALUE!</v>
      </c>
      <c r="AF71" s="60">
        <f t="shared" si="17"/>
        <v>0</v>
      </c>
      <c r="AG71" s="31" t="e">
        <f t="shared" ref="AG71:AG125" si="22">IF(AE71 = 0,0,(Y71*-10000)/AE71)</f>
        <v>#VALUE!</v>
      </c>
      <c r="AH71">
        <f t="shared" ref="AH71:AH125" si="23">IF(F71="C",MAX(0,$AA$14-E71),MAX(0,E71-$AA$14))*10000</f>
        <v>0</v>
      </c>
      <c r="AI71" s="51">
        <f t="shared" ref="AI71:AI125" si="24">MAX(0,(U71*10000)-AH71)</f>
        <v>6.1686464319775443</v>
      </c>
      <c r="AJ71" s="51">
        <f t="shared" ref="AJ71:AJ125" si="25">AI71*M71</f>
        <v>0</v>
      </c>
      <c r="AK71" s="50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3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5">
        <v>9.375124077932583E-4</v>
      </c>
      <c r="V72" s="54">
        <v>8.1689550765279506E-2</v>
      </c>
      <c r="W72" s="2">
        <v>-0.1011482523224258</v>
      </c>
      <c r="X72" s="55">
        <v>0</v>
      </c>
      <c r="Y72" s="2">
        <v>-2.061677808913667E-4</v>
      </c>
      <c r="Z72" s="36">
        <v>4.1707176381629556E-4</v>
      </c>
      <c r="AA72" s="2">
        <v>1.5642</v>
      </c>
      <c r="AB72" s="2">
        <f t="shared" si="18"/>
        <v>0</v>
      </c>
      <c r="AC72" s="2" t="e">
        <f t="shared" si="19"/>
        <v>#VALUE!</v>
      </c>
      <c r="AD72" s="2">
        <f t="shared" si="20"/>
        <v>0</v>
      </c>
      <c r="AE72" s="59" t="e">
        <f t="shared" si="21"/>
        <v>#VALUE!</v>
      </c>
      <c r="AF72" s="60">
        <f t="shared" si="17"/>
        <v>0</v>
      </c>
      <c r="AG72" s="31" t="e">
        <f t="shared" si="22"/>
        <v>#VALUE!</v>
      </c>
      <c r="AH72">
        <f t="shared" si="23"/>
        <v>0</v>
      </c>
      <c r="AI72" s="51">
        <f t="shared" si="24"/>
        <v>9.3751240779325826</v>
      </c>
      <c r="AJ72" s="51">
        <f t="shared" si="25"/>
        <v>0</v>
      </c>
      <c r="AK72" s="50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3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5">
        <v>1.416978241784104E-3</v>
      </c>
      <c r="V73" s="54">
        <v>7.8591821263305661E-2</v>
      </c>
      <c r="W73" s="2">
        <v>-0.14660509614944628</v>
      </c>
      <c r="X73" s="55">
        <v>0</v>
      </c>
      <c r="Y73" s="2">
        <v>-2.5777221457805126E-4</v>
      </c>
      <c r="Z73" s="36">
        <v>5.7387567731013197E-4</v>
      </c>
      <c r="AA73" s="2">
        <v>1.5642</v>
      </c>
      <c r="AB73" s="2">
        <f t="shared" si="18"/>
        <v>0</v>
      </c>
      <c r="AC73" s="2" t="e">
        <f t="shared" si="19"/>
        <v>#VALUE!</v>
      </c>
      <c r="AD73" s="2">
        <f t="shared" si="20"/>
        <v>0</v>
      </c>
      <c r="AE73" s="59" t="e">
        <f t="shared" si="21"/>
        <v>#VALUE!</v>
      </c>
      <c r="AF73" s="60">
        <f t="shared" si="17"/>
        <v>0</v>
      </c>
      <c r="AG73" s="31" t="e">
        <f t="shared" si="22"/>
        <v>#VALUE!</v>
      </c>
      <c r="AH73">
        <f t="shared" si="23"/>
        <v>0</v>
      </c>
      <c r="AI73" s="51">
        <f t="shared" si="24"/>
        <v>14.16978241784104</v>
      </c>
      <c r="AJ73" s="51">
        <f t="shared" si="25"/>
        <v>0</v>
      </c>
      <c r="AK73" s="50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3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5">
        <v>2.6000000070780516E-3</v>
      </c>
      <c r="V74" s="54">
        <v>8.2106750773082798E-2</v>
      </c>
      <c r="W74" s="2">
        <v>-0.22845899713945739</v>
      </c>
      <c r="X74" s="55">
        <v>0</v>
      </c>
      <c r="Y74" s="2">
        <v>-3.5504937711312948E-4</v>
      </c>
      <c r="Z74" s="36">
        <v>7.3156742612437301E-4</v>
      </c>
      <c r="AA74" s="2">
        <v>1.5642</v>
      </c>
      <c r="AB74" s="2">
        <f t="shared" si="18"/>
        <v>0</v>
      </c>
      <c r="AC74" s="2" t="e">
        <f t="shared" si="19"/>
        <v>#VALUE!</v>
      </c>
      <c r="AD74" s="2">
        <f t="shared" si="20"/>
        <v>0</v>
      </c>
      <c r="AE74" s="59" t="e">
        <f t="shared" si="21"/>
        <v>#VALUE!</v>
      </c>
      <c r="AF74" s="60">
        <f t="shared" si="17"/>
        <v>0</v>
      </c>
      <c r="AG74" s="31" t="e">
        <f t="shared" si="22"/>
        <v>#VALUE!</v>
      </c>
      <c r="AH74">
        <f t="shared" si="23"/>
        <v>0</v>
      </c>
      <c r="AI74" s="51">
        <f t="shared" si="24"/>
        <v>26.000000070780516</v>
      </c>
      <c r="AJ74" s="51">
        <f t="shared" si="25"/>
        <v>0</v>
      </c>
      <c r="AK74" s="50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3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5">
        <v>3.7000000011175871E-3</v>
      </c>
      <c r="V75" s="54">
        <v>7.8934224134678738E-2</v>
      </c>
      <c r="W75" s="2">
        <v>-0.30734476741151529</v>
      </c>
      <c r="X75" s="55">
        <v>0</v>
      </c>
      <c r="Y75" s="2">
        <v>-3.9760947845931372E-4</v>
      </c>
      <c r="Z75" s="36">
        <v>8.6018280787818809E-4</v>
      </c>
      <c r="AA75" s="2">
        <v>1.5642</v>
      </c>
      <c r="AB75" s="2">
        <f t="shared" si="18"/>
        <v>0</v>
      </c>
      <c r="AC75" s="2" t="e">
        <f t="shared" si="19"/>
        <v>#VALUE!</v>
      </c>
      <c r="AD75" s="2">
        <f t="shared" si="20"/>
        <v>0</v>
      </c>
      <c r="AE75" s="59" t="e">
        <f t="shared" si="21"/>
        <v>#VALUE!</v>
      </c>
      <c r="AF75" s="60">
        <f t="shared" si="17"/>
        <v>0</v>
      </c>
      <c r="AG75" s="31" t="e">
        <f t="shared" si="22"/>
        <v>#VALUE!</v>
      </c>
      <c r="AH75">
        <f t="shared" si="23"/>
        <v>0</v>
      </c>
      <c r="AI75" s="51">
        <f t="shared" si="24"/>
        <v>37.000000011175871</v>
      </c>
      <c r="AJ75" s="51">
        <f t="shared" si="25"/>
        <v>0</v>
      </c>
      <c r="AK75" s="50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3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5">
        <v>5.2999998442828655E-3</v>
      </c>
      <c r="V76" s="54">
        <v>7.6751744999702859E-2</v>
      </c>
      <c r="W76" s="2">
        <v>-0.40536358511188464</v>
      </c>
      <c r="X76" s="55">
        <v>0</v>
      </c>
      <c r="Y76" s="2">
        <v>-4.2732813817634654E-4</v>
      </c>
      <c r="Z76" s="36">
        <v>9.3336399045366829E-4</v>
      </c>
      <c r="AA76" s="2">
        <v>1.5642</v>
      </c>
      <c r="AB76" s="2">
        <f t="shared" si="18"/>
        <v>0</v>
      </c>
      <c r="AC76" s="2" t="e">
        <f t="shared" si="19"/>
        <v>#VALUE!</v>
      </c>
      <c r="AD76" s="2">
        <f t="shared" si="20"/>
        <v>0</v>
      </c>
      <c r="AE76" s="59" t="e">
        <f t="shared" si="21"/>
        <v>#VALUE!</v>
      </c>
      <c r="AF76" s="60">
        <f t="shared" si="17"/>
        <v>0</v>
      </c>
      <c r="AG76" s="31" t="e">
        <f t="shared" si="22"/>
        <v>#VALUE!</v>
      </c>
      <c r="AH76">
        <f t="shared" si="23"/>
        <v>0</v>
      </c>
      <c r="AI76" s="51">
        <f t="shared" si="24"/>
        <v>52.999998442828655</v>
      </c>
      <c r="AJ76" s="51">
        <f t="shared" si="25"/>
        <v>0</v>
      </c>
      <c r="AK76" s="50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3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5">
        <v>7.4000000022351742E-3</v>
      </c>
      <c r="V77" s="54">
        <v>7.4396303419425852E-2</v>
      </c>
      <c r="W77" s="2">
        <v>-0.5158690329125325</v>
      </c>
      <c r="X77" s="55">
        <v>0</v>
      </c>
      <c r="Y77" s="2">
        <v>-4.2621403421939149E-4</v>
      </c>
      <c r="Z77" s="36">
        <v>9.3486136098653271E-4</v>
      </c>
      <c r="AA77" s="2">
        <v>1.5642</v>
      </c>
      <c r="AB77" s="2">
        <f t="shared" si="18"/>
        <v>0</v>
      </c>
      <c r="AC77" s="2" t="e">
        <f t="shared" si="19"/>
        <v>#VALUE!</v>
      </c>
      <c r="AD77" s="2">
        <f t="shared" si="20"/>
        <v>0</v>
      </c>
      <c r="AE77" s="59" t="e">
        <f t="shared" si="21"/>
        <v>#VALUE!</v>
      </c>
      <c r="AF77" s="60">
        <f t="shared" si="17"/>
        <v>0</v>
      </c>
      <c r="AG77" s="31" t="e">
        <f t="shared" si="22"/>
        <v>#VALUE!</v>
      </c>
      <c r="AH77">
        <f t="shared" si="23"/>
        <v>0</v>
      </c>
      <c r="AI77" s="51">
        <f t="shared" si="24"/>
        <v>74.000000022351742</v>
      </c>
      <c r="AJ77" s="51">
        <f t="shared" si="25"/>
        <v>0</v>
      </c>
      <c r="AK77" s="50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3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5">
        <v>9.849963790279654E-3</v>
      </c>
      <c r="V78" s="54">
        <v>6.9398557905767433E-2</v>
      </c>
      <c r="W78" s="2">
        <v>-0.63690171392061634</v>
      </c>
      <c r="X78" s="55">
        <v>0</v>
      </c>
      <c r="Y78" s="2">
        <v>-3.7354043882210003E-4</v>
      </c>
      <c r="Z78" s="36">
        <v>8.6433033212210582E-4</v>
      </c>
      <c r="AA78" s="2">
        <v>1.5642</v>
      </c>
      <c r="AB78" s="2">
        <f t="shared" si="18"/>
        <v>0</v>
      </c>
      <c r="AC78" s="2" t="e">
        <f t="shared" si="19"/>
        <v>#VALUE!</v>
      </c>
      <c r="AD78" s="2">
        <f t="shared" si="20"/>
        <v>0</v>
      </c>
      <c r="AE78" s="59" t="e">
        <f t="shared" si="21"/>
        <v>#VALUE!</v>
      </c>
      <c r="AF78" s="60">
        <f t="shared" si="17"/>
        <v>0</v>
      </c>
      <c r="AG78" s="31" t="e">
        <f t="shared" si="22"/>
        <v>#VALUE!</v>
      </c>
      <c r="AH78">
        <f t="shared" si="23"/>
        <v>49.000000000001265</v>
      </c>
      <c r="AI78" s="51">
        <f t="shared" si="24"/>
        <v>49.499637902795271</v>
      </c>
      <c r="AJ78" s="51">
        <f t="shared" si="25"/>
        <v>0</v>
      </c>
      <c r="AK78" s="50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3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5">
        <v>1.3283389033889077E-2</v>
      </c>
      <c r="V79" s="54">
        <v>6.881898206473025E-2</v>
      </c>
      <c r="W79" s="2">
        <v>-0.74548194298778125</v>
      </c>
      <c r="X79" s="55">
        <v>0</v>
      </c>
      <c r="Y79" s="2">
        <v>-3.1622184771077586E-4</v>
      </c>
      <c r="Z79" s="36">
        <v>7.3745516222636226E-4</v>
      </c>
      <c r="AA79" s="2">
        <v>1.5642</v>
      </c>
      <c r="AB79" s="2">
        <f t="shared" si="18"/>
        <v>0</v>
      </c>
      <c r="AC79" s="2" t="e">
        <f t="shared" si="19"/>
        <v>#VALUE!</v>
      </c>
      <c r="AD79" s="2">
        <f t="shared" si="20"/>
        <v>0</v>
      </c>
      <c r="AE79" s="59" t="e">
        <f t="shared" si="21"/>
        <v>#VALUE!</v>
      </c>
      <c r="AF79" s="60">
        <f t="shared" si="17"/>
        <v>0</v>
      </c>
      <c r="AG79" s="31" t="e">
        <f t="shared" si="22"/>
        <v>#VALUE!</v>
      </c>
      <c r="AH79">
        <f t="shared" si="23"/>
        <v>99.000000000000199</v>
      </c>
      <c r="AI79" s="51">
        <f t="shared" si="24"/>
        <v>33.833890338890569</v>
      </c>
      <c r="AJ79" s="51">
        <f t="shared" si="25"/>
        <v>0</v>
      </c>
      <c r="AK79" s="50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3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5">
        <v>1.7238446061206374E-2</v>
      </c>
      <c r="V80" s="54">
        <v>6.8659098500514659E-2</v>
      </c>
      <c r="W80" s="2">
        <v>-0.83383467431171088</v>
      </c>
      <c r="X80" s="55">
        <v>0</v>
      </c>
      <c r="Y80" s="2">
        <v>-2.4504692679877814E-4</v>
      </c>
      <c r="Z80" s="36">
        <v>5.803494090360975E-4</v>
      </c>
      <c r="AA80" s="2">
        <v>1.5642</v>
      </c>
      <c r="AB80" s="2">
        <f t="shared" si="18"/>
        <v>0</v>
      </c>
      <c r="AC80" s="2" t="e">
        <f t="shared" si="19"/>
        <v>#VALUE!</v>
      </c>
      <c r="AD80" s="2">
        <f t="shared" si="20"/>
        <v>0</v>
      </c>
      <c r="AE80" s="59" t="e">
        <f t="shared" si="21"/>
        <v>#VALUE!</v>
      </c>
      <c r="AF80" s="60">
        <f t="shared" si="17"/>
        <v>0</v>
      </c>
      <c r="AG80" s="31" t="e">
        <f t="shared" si="22"/>
        <v>#VALUE!</v>
      </c>
      <c r="AH80">
        <f t="shared" si="23"/>
        <v>149.00000000000136</v>
      </c>
      <c r="AI80" s="51">
        <f t="shared" si="24"/>
        <v>23.384460612062384</v>
      </c>
      <c r="AJ80" s="51">
        <f t="shared" si="25"/>
        <v>0</v>
      </c>
      <c r="AK80" s="50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3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5">
        <v>2.1592768441763846E-2</v>
      </c>
      <c r="V81" s="54">
        <v>6.8918907213120661E-2</v>
      </c>
      <c r="W81" s="2">
        <v>-0.89843898729750027</v>
      </c>
      <c r="X81" s="55">
        <v>0.31230709313196536</v>
      </c>
      <c r="Y81" s="2">
        <v>-1.7512937547703081E-4</v>
      </c>
      <c r="Z81" s="36">
        <v>4.4260838687426585E-4</v>
      </c>
      <c r="AA81" s="2">
        <v>1.5642</v>
      </c>
      <c r="AB81" s="2">
        <f t="shared" si="18"/>
        <v>0</v>
      </c>
      <c r="AC81" s="2" t="e">
        <f t="shared" si="19"/>
        <v>#VALUE!</v>
      </c>
      <c r="AD81" s="2">
        <f t="shared" si="20"/>
        <v>0</v>
      </c>
      <c r="AE81" s="59" t="e">
        <f t="shared" si="21"/>
        <v>#VALUE!</v>
      </c>
      <c r="AF81" s="60">
        <f t="shared" si="17"/>
        <v>0</v>
      </c>
      <c r="AG81" s="31" t="e">
        <f t="shared" si="22"/>
        <v>#VALUE!</v>
      </c>
      <c r="AH81">
        <f t="shared" si="23"/>
        <v>199.00000000000028</v>
      </c>
      <c r="AI81" s="51">
        <f t="shared" si="24"/>
        <v>16.927684417638176</v>
      </c>
      <c r="AJ81" s="51">
        <f t="shared" si="25"/>
        <v>0</v>
      </c>
      <c r="AK81" s="50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3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5">
        <v>2.6221137682861727E-2</v>
      </c>
      <c r="V82" s="54">
        <v>6.9598408202555362E-2</v>
      </c>
      <c r="W82" s="2">
        <v>-0.941242699965532</v>
      </c>
      <c r="X82" s="55">
        <v>1.4557493288944705E-10</v>
      </c>
      <c r="Y82" s="2">
        <v>-1.1700372223668011E-4</v>
      </c>
      <c r="Z82" s="36">
        <v>3.1968125444058887E-4</v>
      </c>
      <c r="AA82" s="2">
        <v>1.5642</v>
      </c>
      <c r="AB82" s="2">
        <f t="shared" si="18"/>
        <v>0</v>
      </c>
      <c r="AC82" s="2" t="e">
        <f t="shared" si="19"/>
        <v>#VALUE!</v>
      </c>
      <c r="AD82" s="2">
        <f t="shared" si="20"/>
        <v>0</v>
      </c>
      <c r="AE82" s="59" t="e">
        <f t="shared" si="21"/>
        <v>#VALUE!</v>
      </c>
      <c r="AF82" s="60">
        <f t="shared" si="17"/>
        <v>0</v>
      </c>
      <c r="AG82" s="31" t="e">
        <f t="shared" si="22"/>
        <v>#VALUE!</v>
      </c>
      <c r="AH82">
        <f t="shared" si="23"/>
        <v>249.00000000000145</v>
      </c>
      <c r="AI82" s="51">
        <f t="shared" si="24"/>
        <v>13.21137682861584</v>
      </c>
      <c r="AJ82" s="51">
        <f t="shared" si="25"/>
        <v>0</v>
      </c>
      <c r="AK82" s="50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3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5">
        <v>3.101912880198604E-2</v>
      </c>
      <c r="V83" s="54">
        <v>7.0697601468808102E-2</v>
      </c>
      <c r="W83" s="2">
        <v>-0.96735155062787792</v>
      </c>
      <c r="X83" s="55">
        <v>0.95512081462560372</v>
      </c>
      <c r="Y83" s="2">
        <v>-7.4427053950772829E-5</v>
      </c>
      <c r="Z83" s="36">
        <v>2.2006132875511744E-4</v>
      </c>
      <c r="AA83" s="2">
        <v>1.5642</v>
      </c>
      <c r="AB83" s="2">
        <f t="shared" si="18"/>
        <v>0</v>
      </c>
      <c r="AC83" s="2" t="e">
        <f t="shared" si="19"/>
        <v>#VALUE!</v>
      </c>
      <c r="AD83" s="2">
        <f t="shared" si="20"/>
        <v>0</v>
      </c>
      <c r="AE83" s="59" t="e">
        <f t="shared" si="21"/>
        <v>#VALUE!</v>
      </c>
      <c r="AF83" s="60">
        <f t="shared" si="17"/>
        <v>0</v>
      </c>
      <c r="AG83" s="31" t="e">
        <f t="shared" si="22"/>
        <v>#VALUE!</v>
      </c>
      <c r="AH83">
        <f t="shared" si="23"/>
        <v>299.0000000000004</v>
      </c>
      <c r="AI83" s="51">
        <f t="shared" si="24"/>
        <v>11.191288019859996</v>
      </c>
      <c r="AJ83" s="51">
        <f t="shared" si="25"/>
        <v>0</v>
      </c>
      <c r="AK83" s="50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3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5">
        <v>3.5913001313962231E-2</v>
      </c>
      <c r="V84" s="54">
        <v>7.2216487011885988E-2</v>
      </c>
      <c r="W84" s="2">
        <v>-0.98238765674169393</v>
      </c>
      <c r="X84" s="55">
        <v>8.8368733316568249E-2</v>
      </c>
      <c r="Y84" s="2">
        <v>-4.5882789192456088E-5</v>
      </c>
      <c r="Z84" s="36">
        <v>1.4465128217956008E-4</v>
      </c>
      <c r="AA84" s="2">
        <v>1.5642</v>
      </c>
      <c r="AB84" s="2">
        <f t="shared" si="18"/>
        <v>0</v>
      </c>
      <c r="AC84" s="2" t="e">
        <f t="shared" si="19"/>
        <v>#VALUE!</v>
      </c>
      <c r="AD84" s="2">
        <f t="shared" si="20"/>
        <v>0</v>
      </c>
      <c r="AE84" s="59" t="e">
        <f t="shared" si="21"/>
        <v>#VALUE!</v>
      </c>
      <c r="AF84" s="60">
        <f t="shared" si="17"/>
        <v>0</v>
      </c>
      <c r="AG84" s="31" t="e">
        <f t="shared" si="22"/>
        <v>#VALUE!</v>
      </c>
      <c r="AH84">
        <f t="shared" si="23"/>
        <v>349.00000000000153</v>
      </c>
      <c r="AI84" s="51">
        <f t="shared" si="24"/>
        <v>10.130013139620758</v>
      </c>
      <c r="AJ84" s="51">
        <f t="shared" si="25"/>
        <v>0</v>
      </c>
      <c r="AK84" s="50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3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5">
        <v>4.0857647090208234E-2</v>
      </c>
      <c r="V85" s="54">
        <v>7.4155064831785467E-2</v>
      </c>
      <c r="W85" s="2">
        <v>-0.99081709690255992</v>
      </c>
      <c r="X85" s="55">
        <v>0.96871027631197282</v>
      </c>
      <c r="Y85" s="2">
        <v>-2.7631934819026774E-5</v>
      </c>
      <c r="Z85" s="36">
        <v>9.0414758917051197E-5</v>
      </c>
      <c r="AA85" s="2">
        <v>1.5642</v>
      </c>
      <c r="AB85" s="2">
        <f t="shared" si="18"/>
        <v>0</v>
      </c>
      <c r="AC85" s="2" t="e">
        <f t="shared" si="19"/>
        <v>#VALUE!</v>
      </c>
      <c r="AD85" s="2">
        <f t="shared" si="20"/>
        <v>0</v>
      </c>
      <c r="AE85" s="59" t="e">
        <f t="shared" si="21"/>
        <v>#VALUE!</v>
      </c>
      <c r="AF85" s="60">
        <f t="shared" si="17"/>
        <v>0</v>
      </c>
      <c r="AG85" s="31" t="e">
        <f t="shared" si="22"/>
        <v>#VALUE!</v>
      </c>
      <c r="AH85">
        <f t="shared" si="23"/>
        <v>399.00000000000045</v>
      </c>
      <c r="AI85" s="51">
        <f t="shared" si="24"/>
        <v>9.5764709020818941</v>
      </c>
      <c r="AJ85" s="51">
        <f t="shared" si="25"/>
        <v>0</v>
      </c>
      <c r="AK85" s="50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3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5">
        <v>4.5831666032853526E-2</v>
      </c>
      <c r="V86" s="54">
        <v>7.6513334928510091E-2</v>
      </c>
      <c r="W86" s="2">
        <v>-0.99506620802919665</v>
      </c>
      <c r="X86" s="55">
        <v>0.89302224548306097</v>
      </c>
      <c r="Y86" s="2">
        <v>-1.7196847431938451E-5</v>
      </c>
      <c r="Z86" s="36">
        <v>5.8489489376818693E-5</v>
      </c>
      <c r="AA86" s="2">
        <v>1.5642</v>
      </c>
      <c r="AB86" s="2">
        <f t="shared" si="18"/>
        <v>0</v>
      </c>
      <c r="AC86" s="2" t="e">
        <f t="shared" si="19"/>
        <v>#VALUE!</v>
      </c>
      <c r="AD86" s="2">
        <f t="shared" si="20"/>
        <v>0</v>
      </c>
      <c r="AE86" s="59" t="e">
        <f t="shared" si="21"/>
        <v>#VALUE!</v>
      </c>
      <c r="AF86" s="60">
        <f t="shared" si="17"/>
        <v>0</v>
      </c>
      <c r="AG86" s="31" t="e">
        <f t="shared" si="22"/>
        <v>#VALUE!</v>
      </c>
      <c r="AH86">
        <f t="shared" si="23"/>
        <v>449.00000000000159</v>
      </c>
      <c r="AI86" s="51">
        <f t="shared" si="24"/>
        <v>9.3166603285336578</v>
      </c>
      <c r="AJ86" s="51">
        <f t="shared" si="25"/>
        <v>0</v>
      </c>
      <c r="AK86" s="50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3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5">
        <v>5.0818822908783166E-2</v>
      </c>
      <c r="V87" s="54">
        <v>7.9291297302056307E-2</v>
      </c>
      <c r="W87" s="2">
        <v>-0.99725158365350686</v>
      </c>
      <c r="X87" s="55">
        <v>0.55577517275093047</v>
      </c>
      <c r="Y87" s="2">
        <v>-1.1360915932008898E-5</v>
      </c>
      <c r="Z87" s="36">
        <v>3.9133684143988212E-5</v>
      </c>
      <c r="AA87" s="2">
        <v>1.5642</v>
      </c>
      <c r="AB87" s="2">
        <f t="shared" si="18"/>
        <v>0</v>
      </c>
      <c r="AC87" s="2" t="e">
        <f t="shared" si="19"/>
        <v>#VALUE!</v>
      </c>
      <c r="AD87" s="2">
        <f t="shared" si="20"/>
        <v>0</v>
      </c>
      <c r="AE87" s="59" t="e">
        <f t="shared" si="21"/>
        <v>#VALUE!</v>
      </c>
      <c r="AF87" s="60">
        <f t="shared" si="17"/>
        <v>0</v>
      </c>
      <c r="AG87" s="31" t="e">
        <f t="shared" si="22"/>
        <v>#VALUE!</v>
      </c>
      <c r="AH87">
        <f t="shared" si="23"/>
        <v>499.00000000000057</v>
      </c>
      <c r="AI87" s="51">
        <f t="shared" si="24"/>
        <v>9.1882290878310755</v>
      </c>
      <c r="AJ87" s="51">
        <f t="shared" si="25"/>
        <v>0</v>
      </c>
      <c r="AK87" s="50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3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5">
        <v>5.5810241044231573E-2</v>
      </c>
      <c r="V88" s="54">
        <v>8.2488951952424117E-2</v>
      </c>
      <c r="W88" s="2">
        <v>-0.99872032790875331</v>
      </c>
      <c r="X88" s="55">
        <v>0.32862269706191033</v>
      </c>
      <c r="Y88" s="2">
        <v>-7.1170250806483598E-6</v>
      </c>
      <c r="Z88" s="36">
        <v>2.6133492212039588E-5</v>
      </c>
      <c r="AA88" s="2">
        <v>1.5642</v>
      </c>
      <c r="AB88" s="2">
        <f t="shared" si="18"/>
        <v>0</v>
      </c>
      <c r="AC88" s="2" t="e">
        <f t="shared" si="19"/>
        <v>#VALUE!</v>
      </c>
      <c r="AD88" s="2">
        <f t="shared" si="20"/>
        <v>0</v>
      </c>
      <c r="AE88" s="59" t="e">
        <f t="shared" si="21"/>
        <v>#VALUE!</v>
      </c>
      <c r="AF88" s="60">
        <f t="shared" si="17"/>
        <v>0</v>
      </c>
      <c r="AG88" s="31" t="e">
        <f t="shared" si="22"/>
        <v>#VALUE!</v>
      </c>
      <c r="AH88">
        <f t="shared" si="23"/>
        <v>549.00000000000171</v>
      </c>
      <c r="AI88" s="51">
        <f t="shared" si="24"/>
        <v>9.102410442314067</v>
      </c>
      <c r="AJ88" s="51">
        <f t="shared" si="25"/>
        <v>0</v>
      </c>
      <c r="AK88" s="50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3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5">
        <v>6.080730140755982E-2</v>
      </c>
      <c r="V89" s="54">
        <v>8.6106298879613519E-2</v>
      </c>
      <c r="W89" s="2">
        <v>-0.99927152965490784</v>
      </c>
      <c r="X89" s="55">
        <v>0.23426743885702728</v>
      </c>
      <c r="Y89" s="2">
        <v>-5.4134136970684019E-6</v>
      </c>
      <c r="Z89" s="36">
        <v>1.8762684211678926E-5</v>
      </c>
      <c r="AA89" s="2">
        <v>1.5642</v>
      </c>
      <c r="AB89" s="2">
        <f t="shared" si="18"/>
        <v>0</v>
      </c>
      <c r="AC89" s="2" t="e">
        <f t="shared" si="19"/>
        <v>#VALUE!</v>
      </c>
      <c r="AD89" s="2">
        <f t="shared" si="20"/>
        <v>0</v>
      </c>
      <c r="AE89" s="59" t="e">
        <f t="shared" si="21"/>
        <v>#VALUE!</v>
      </c>
      <c r="AF89" s="60">
        <f t="shared" si="17"/>
        <v>0</v>
      </c>
      <c r="AG89" s="31" t="e">
        <f t="shared" si="22"/>
        <v>#VALUE!</v>
      </c>
      <c r="AH89">
        <f t="shared" si="23"/>
        <v>599.00000000000068</v>
      </c>
      <c r="AI89" s="51">
        <f t="shared" si="24"/>
        <v>9.0730140755974844</v>
      </c>
      <c r="AJ89" s="51">
        <f t="shared" si="25"/>
        <v>0</v>
      </c>
      <c r="AK89" s="50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3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5">
        <v>6.5805048176177078E-2</v>
      </c>
      <c r="V90" s="54">
        <v>9.0143338083628066E-2</v>
      </c>
      <c r="W90" s="2">
        <v>-0.99968592676117185</v>
      </c>
      <c r="X90" s="55">
        <v>0.16573057236891009</v>
      </c>
      <c r="Y90" s="2">
        <v>-4.0743950792055731E-6</v>
      </c>
      <c r="Z90" s="36">
        <v>1.4424443326138681E-5</v>
      </c>
      <c r="AA90" s="2">
        <v>1.5642</v>
      </c>
      <c r="AB90" s="2">
        <f t="shared" si="18"/>
        <v>0</v>
      </c>
      <c r="AC90" s="2" t="e">
        <f t="shared" si="19"/>
        <v>#VALUE!</v>
      </c>
      <c r="AD90" s="2">
        <f t="shared" si="20"/>
        <v>0</v>
      </c>
      <c r="AE90" s="59" t="e">
        <f t="shared" si="21"/>
        <v>#VALUE!</v>
      </c>
      <c r="AF90" s="60">
        <f t="shared" si="17"/>
        <v>0</v>
      </c>
      <c r="AG90" s="31" t="e">
        <f t="shared" si="22"/>
        <v>#VALUE!</v>
      </c>
      <c r="AH90">
        <f t="shared" si="23"/>
        <v>648.99999999999955</v>
      </c>
      <c r="AI90" s="51">
        <f t="shared" si="24"/>
        <v>9.0504817617712661</v>
      </c>
      <c r="AJ90" s="51">
        <f t="shared" si="25"/>
        <v>0</v>
      </c>
      <c r="AK90" s="50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3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5">
        <v>7.0803294364885874E-2</v>
      </c>
      <c r="V91" s="54">
        <v>9.4600069564467759E-2</v>
      </c>
      <c r="W91" s="2">
        <v>-0.999999999999999</v>
      </c>
      <c r="X91" s="55">
        <v>0.11570355845254587</v>
      </c>
      <c r="Y91" s="2">
        <v>-2.9997405643752208E-6</v>
      </c>
      <c r="Z91" s="36">
        <v>1.0671266081563324E-5</v>
      </c>
      <c r="AA91" s="2">
        <v>1.5642</v>
      </c>
      <c r="AB91" s="2">
        <f t="shared" si="18"/>
        <v>0</v>
      </c>
      <c r="AC91" s="2" t="e">
        <f t="shared" si="19"/>
        <v>#VALUE!</v>
      </c>
      <c r="AD91" s="2">
        <f t="shared" si="20"/>
        <v>0</v>
      </c>
      <c r="AE91" s="59" t="e">
        <f t="shared" si="21"/>
        <v>#VALUE!</v>
      </c>
      <c r="AF91" s="60">
        <f t="shared" si="17"/>
        <v>0</v>
      </c>
      <c r="AG91" s="31" t="e">
        <f t="shared" si="22"/>
        <v>#VALUE!</v>
      </c>
      <c r="AH91">
        <f t="shared" si="23"/>
        <v>699.00000000000068</v>
      </c>
      <c r="AI91" s="51">
        <f t="shared" si="24"/>
        <v>9.0329436488580086</v>
      </c>
      <c r="AJ91" s="51">
        <f t="shared" si="25"/>
        <v>0</v>
      </c>
      <c r="AK91" s="50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3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5">
        <v>7.5802867299009688E-2</v>
      </c>
      <c r="V92" s="54">
        <v>9.9476493322129045E-2</v>
      </c>
      <c r="W92" s="2">
        <v>-0.999999999999999</v>
      </c>
      <c r="X92" s="55">
        <v>9.717201547329514E-2</v>
      </c>
      <c r="Y92" s="2">
        <v>-2.7195614108035901E-6</v>
      </c>
      <c r="Z92" s="36">
        <v>8.8596744049485032E-6</v>
      </c>
      <c r="AA92" s="2">
        <v>1.5642</v>
      </c>
      <c r="AB92" s="2">
        <f t="shared" si="18"/>
        <v>0</v>
      </c>
      <c r="AC92" s="2" t="e">
        <f t="shared" si="19"/>
        <v>#VALUE!</v>
      </c>
      <c r="AD92" s="2">
        <f t="shared" si="20"/>
        <v>0</v>
      </c>
      <c r="AE92" s="59" t="e">
        <f t="shared" si="21"/>
        <v>#VALUE!</v>
      </c>
      <c r="AF92" s="60">
        <f t="shared" si="17"/>
        <v>0</v>
      </c>
      <c r="AG92" s="31" t="e">
        <f t="shared" si="22"/>
        <v>#VALUE!</v>
      </c>
      <c r="AH92">
        <f t="shared" si="23"/>
        <v>749.00000000000193</v>
      </c>
      <c r="AI92" s="51">
        <f t="shared" si="24"/>
        <v>9.0286729900949467</v>
      </c>
      <c r="AJ92" s="51">
        <f t="shared" si="25"/>
        <v>0</v>
      </c>
      <c r="AK92" s="50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3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5">
        <v>8.0802648662578025E-2</v>
      </c>
      <c r="V93" s="54">
        <v>0.10477260935661192</v>
      </c>
      <c r="W93" s="2">
        <v>-0.999999999999999</v>
      </c>
      <c r="X93" s="55">
        <v>8.4850529324475107E-2</v>
      </c>
      <c r="Y93" s="2">
        <v>-2.5857661098615359E-6</v>
      </c>
      <c r="Z93" s="36">
        <v>8.0982375790794592E-6</v>
      </c>
      <c r="AA93" s="2">
        <v>1.5642</v>
      </c>
      <c r="AB93" s="2">
        <f t="shared" si="18"/>
        <v>0</v>
      </c>
      <c r="AC93" s="2" t="e">
        <f t="shared" si="19"/>
        <v>#VALUE!</v>
      </c>
      <c r="AD93" s="2">
        <f t="shared" si="20"/>
        <v>0</v>
      </c>
      <c r="AE93" s="59" t="e">
        <f t="shared" si="21"/>
        <v>#VALUE!</v>
      </c>
      <c r="AF93" s="60">
        <f t="shared" si="17"/>
        <v>0</v>
      </c>
      <c r="AG93" s="31" t="e">
        <f t="shared" si="22"/>
        <v>#VALUE!</v>
      </c>
      <c r="AH93">
        <f t="shared" si="23"/>
        <v>799.0000000000008</v>
      </c>
      <c r="AI93" s="51">
        <f t="shared" si="24"/>
        <v>9.0264866257793983</v>
      </c>
      <c r="AJ93" s="51">
        <f t="shared" si="25"/>
        <v>0</v>
      </c>
      <c r="AK93" s="50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3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5">
        <v>8.5802592579225401E-2</v>
      </c>
      <c r="V94" s="54">
        <v>0.11048841766791995</v>
      </c>
      <c r="W94" s="2">
        <v>-0.999999999999999</v>
      </c>
      <c r="X94" s="55">
        <v>7.6854006162068209E-2</v>
      </c>
      <c r="Y94" s="2">
        <v>-2.5755545616893304E-6</v>
      </c>
      <c r="Z94" s="36">
        <v>7.6181248955392578E-6</v>
      </c>
      <c r="AA94" s="2">
        <v>1.5642</v>
      </c>
      <c r="AB94" s="2">
        <f t="shared" si="18"/>
        <v>0</v>
      </c>
      <c r="AC94" s="2" t="e">
        <f t="shared" si="19"/>
        <v>#VALUE!</v>
      </c>
      <c r="AD94" s="2">
        <f t="shared" si="20"/>
        <v>0</v>
      </c>
      <c r="AE94" s="59" t="e">
        <f t="shared" si="21"/>
        <v>#VALUE!</v>
      </c>
      <c r="AF94" s="60">
        <f t="shared" si="17"/>
        <v>0</v>
      </c>
      <c r="AG94" s="31" t="e">
        <f t="shared" si="22"/>
        <v>#VALUE!</v>
      </c>
      <c r="AH94">
        <f t="shared" si="23"/>
        <v>848.99999999999977</v>
      </c>
      <c r="AI94" s="51">
        <f t="shared" si="24"/>
        <v>9.0259257922542702</v>
      </c>
      <c r="AJ94" s="51">
        <f t="shared" si="25"/>
        <v>0</v>
      </c>
      <c r="AK94" s="50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3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5">
        <v>9.0802697769349655E-2</v>
      </c>
      <c r="V95" s="54">
        <v>0.11662391825604956</v>
      </c>
      <c r="W95" s="2">
        <v>-0.999999999999999</v>
      </c>
      <c r="X95" s="55">
        <v>7.2216037511528886E-2</v>
      </c>
      <c r="Y95" s="2">
        <v>-2.6899540681410207E-6</v>
      </c>
      <c r="Z95" s="36">
        <v>7.4182551762641546E-6</v>
      </c>
      <c r="AA95" s="2">
        <v>1.5642</v>
      </c>
      <c r="AB95" s="2">
        <f t="shared" si="18"/>
        <v>0</v>
      </c>
      <c r="AC95" s="2" t="e">
        <f t="shared" si="19"/>
        <v>#VALUE!</v>
      </c>
      <c r="AD95" s="2">
        <f t="shared" si="20"/>
        <v>0</v>
      </c>
      <c r="AE95" s="59" t="e">
        <f t="shared" si="21"/>
        <v>#VALUE!</v>
      </c>
      <c r="AF95" s="60">
        <f t="shared" si="17"/>
        <v>0</v>
      </c>
      <c r="AG95" s="31" t="e">
        <f t="shared" si="22"/>
        <v>#VALUE!</v>
      </c>
      <c r="AH95">
        <f t="shared" si="23"/>
        <v>899.00000000000091</v>
      </c>
      <c r="AI95" s="51">
        <f t="shared" si="24"/>
        <v>9.0269776934956099</v>
      </c>
      <c r="AJ95" s="51">
        <f t="shared" si="25"/>
        <v>0</v>
      </c>
      <c r="AK95" s="50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3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5">
        <v>5.4319785196485774E-2</v>
      </c>
      <c r="V96" s="54">
        <v>0.10723529180589253</v>
      </c>
      <c r="W96" s="2">
        <v>0.98707203057288928</v>
      </c>
      <c r="X96" s="55">
        <v>0</v>
      </c>
      <c r="Y96" s="2">
        <v>-5.2469350336438748E-5</v>
      </c>
      <c r="Z96" s="36">
        <v>9.4423028760788619E-5</v>
      </c>
      <c r="AA96" s="2">
        <v>1.5642</v>
      </c>
      <c r="AB96" s="2">
        <f t="shared" si="18"/>
        <v>0</v>
      </c>
      <c r="AC96" s="2" t="e">
        <f t="shared" si="19"/>
        <v>#VALUE!</v>
      </c>
      <c r="AD96" s="2">
        <f t="shared" si="20"/>
        <v>0</v>
      </c>
      <c r="AE96" s="59" t="e">
        <f t="shared" si="21"/>
        <v>#VALUE!</v>
      </c>
      <c r="AF96" s="60">
        <f t="shared" si="17"/>
        <v>0</v>
      </c>
      <c r="AG96" s="31" t="e">
        <f t="shared" si="22"/>
        <v>#VALUE!</v>
      </c>
      <c r="AH96">
        <f t="shared" si="23"/>
        <v>550.99999999999932</v>
      </c>
      <c r="AI96" s="51">
        <f t="shared" si="24"/>
        <v>0</v>
      </c>
      <c r="AJ96" s="51">
        <f t="shared" si="25"/>
        <v>0</v>
      </c>
      <c r="AK96" s="50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3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5">
        <v>4.9356611380239168E-2</v>
      </c>
      <c r="V97" s="54">
        <v>0.10224471891346454</v>
      </c>
      <c r="W97" s="2">
        <v>0.98271392014671832</v>
      </c>
      <c r="X97" s="55">
        <v>0</v>
      </c>
      <c r="Y97" s="2">
        <v>-6.3812852870000851E-5</v>
      </c>
      <c r="Z97" s="36">
        <v>1.3146516798166752E-4</v>
      </c>
      <c r="AA97" s="2">
        <v>1.5642</v>
      </c>
      <c r="AB97" s="2">
        <f t="shared" si="18"/>
        <v>0</v>
      </c>
      <c r="AC97" s="2" t="e">
        <f t="shared" si="19"/>
        <v>#VALUE!</v>
      </c>
      <c r="AD97" s="2">
        <f t="shared" si="20"/>
        <v>0</v>
      </c>
      <c r="AE97" s="59" t="e">
        <f t="shared" si="21"/>
        <v>#VALUE!</v>
      </c>
      <c r="AF97" s="60">
        <f t="shared" si="17"/>
        <v>0</v>
      </c>
      <c r="AG97" s="31" t="e">
        <f t="shared" si="22"/>
        <v>#VALUE!</v>
      </c>
      <c r="AH97">
        <f t="shared" si="23"/>
        <v>501.00000000000034</v>
      </c>
      <c r="AI97" s="51">
        <f t="shared" si="24"/>
        <v>0</v>
      </c>
      <c r="AJ97" s="51">
        <f t="shared" si="25"/>
        <v>0</v>
      </c>
      <c r="AK97" s="50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3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5">
        <v>4.440670335962453E-2</v>
      </c>
      <c r="V98" s="54">
        <v>9.7579074379925856E-2</v>
      </c>
      <c r="W98" s="2">
        <v>0.9767743652221681</v>
      </c>
      <c r="X98" s="55">
        <v>0</v>
      </c>
      <c r="Y98" s="2">
        <v>-7.8007163637898805E-5</v>
      </c>
      <c r="Z98" s="36">
        <v>1.6841908281380741E-4</v>
      </c>
      <c r="AA98" s="2">
        <v>1.5642</v>
      </c>
      <c r="AB98" s="2">
        <f t="shared" si="18"/>
        <v>0</v>
      </c>
      <c r="AC98" s="2" t="e">
        <f t="shared" si="19"/>
        <v>#VALUE!</v>
      </c>
      <c r="AD98" s="2">
        <f t="shared" si="20"/>
        <v>0</v>
      </c>
      <c r="AE98" s="59" t="e">
        <f t="shared" si="21"/>
        <v>#VALUE!</v>
      </c>
      <c r="AF98" s="60">
        <f t="shared" si="17"/>
        <v>0</v>
      </c>
      <c r="AG98" s="31" t="e">
        <f t="shared" si="22"/>
        <v>#VALUE!</v>
      </c>
      <c r="AH98">
        <f t="shared" si="23"/>
        <v>450.9999999999992</v>
      </c>
      <c r="AI98" s="51">
        <f t="shared" si="24"/>
        <v>0</v>
      </c>
      <c r="AJ98" s="51">
        <f t="shared" si="25"/>
        <v>0</v>
      </c>
      <c r="AK98" s="50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3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5">
        <v>3.9498694572012154E-2</v>
      </c>
      <c r="V99" s="54">
        <v>9.3238358205276484E-2</v>
      </c>
      <c r="W99" s="2">
        <v>0.96650233880327663</v>
      </c>
      <c r="X99" s="55">
        <v>0</v>
      </c>
      <c r="Y99" s="2">
        <v>-1.0021199337090616E-4</v>
      </c>
      <c r="Z99" s="36">
        <v>2.1013366778226822E-4</v>
      </c>
      <c r="AA99" s="2">
        <v>1.5642</v>
      </c>
      <c r="AB99" s="2">
        <f t="shared" si="18"/>
        <v>0</v>
      </c>
      <c r="AC99" s="2" t="e">
        <f t="shared" si="19"/>
        <v>#VALUE!</v>
      </c>
      <c r="AD99" s="2">
        <f t="shared" si="20"/>
        <v>0</v>
      </c>
      <c r="AE99" s="59" t="e">
        <f t="shared" si="21"/>
        <v>#VALUE!</v>
      </c>
      <c r="AF99" s="60">
        <f t="shared" si="17"/>
        <v>0</v>
      </c>
      <c r="AG99" s="31" t="e">
        <f t="shared" si="22"/>
        <v>#VALUE!</v>
      </c>
      <c r="AH99">
        <f t="shared" si="23"/>
        <v>401.00000000000023</v>
      </c>
      <c r="AI99" s="51">
        <f t="shared" si="24"/>
        <v>0</v>
      </c>
      <c r="AJ99" s="51">
        <f t="shared" si="25"/>
        <v>0</v>
      </c>
      <c r="AK99" s="50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3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5">
        <v>3.4624608160590938E-2</v>
      </c>
      <c r="V100" s="54">
        <v>8.9222570389523526E-2</v>
      </c>
      <c r="W100" s="2">
        <v>0.95251170745195557</v>
      </c>
      <c r="X100" s="55">
        <v>0</v>
      </c>
      <c r="Y100" s="2">
        <v>-1.271536281950097E-4</v>
      </c>
      <c r="Z100" s="36">
        <v>2.7569276046187502E-4</v>
      </c>
      <c r="AA100" s="2">
        <v>1.5642</v>
      </c>
      <c r="AB100" s="2">
        <f t="shared" si="18"/>
        <v>0</v>
      </c>
      <c r="AC100" s="2" t="e">
        <f t="shared" si="19"/>
        <v>#VALUE!</v>
      </c>
      <c r="AD100" s="2">
        <f t="shared" si="20"/>
        <v>0</v>
      </c>
      <c r="AE100" s="59" t="e">
        <f t="shared" si="21"/>
        <v>#VALUE!</v>
      </c>
      <c r="AF100" s="60">
        <f t="shared" si="17"/>
        <v>0</v>
      </c>
      <c r="AG100" s="31" t="e">
        <f t="shared" si="22"/>
        <v>#VALUE!</v>
      </c>
      <c r="AH100">
        <f t="shared" si="23"/>
        <v>350.99999999999909</v>
      </c>
      <c r="AI100" s="51">
        <f t="shared" si="24"/>
        <v>0</v>
      </c>
      <c r="AJ100" s="51">
        <f t="shared" si="25"/>
        <v>0</v>
      </c>
      <c r="AK100" s="50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3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5">
        <v>2.9824240434176308E-2</v>
      </c>
      <c r="V101" s="54">
        <v>8.5531710932656324E-2</v>
      </c>
      <c r="W101" s="2">
        <v>0.93109328133273772</v>
      </c>
      <c r="X101" s="55">
        <v>0</v>
      </c>
      <c r="Y101" s="2">
        <v>-1.6345104842675119E-4</v>
      </c>
      <c r="Z101" s="36">
        <v>3.7299240816645804E-4</v>
      </c>
      <c r="AA101" s="2">
        <v>1.5642</v>
      </c>
      <c r="AB101" s="2">
        <f t="shared" si="18"/>
        <v>0</v>
      </c>
      <c r="AC101" s="2" t="e">
        <f t="shared" si="19"/>
        <v>#VALUE!</v>
      </c>
      <c r="AD101" s="2">
        <f t="shared" si="20"/>
        <v>0</v>
      </c>
      <c r="AE101" s="59" t="e">
        <f t="shared" si="21"/>
        <v>#VALUE!</v>
      </c>
      <c r="AF101" s="60">
        <f t="shared" si="17"/>
        <v>0</v>
      </c>
      <c r="AG101" s="31" t="e">
        <f t="shared" si="22"/>
        <v>#VALUE!</v>
      </c>
      <c r="AH101">
        <f t="shared" si="23"/>
        <v>301.00000000000017</v>
      </c>
      <c r="AI101" s="51">
        <f t="shared" si="24"/>
        <v>0</v>
      </c>
      <c r="AJ101" s="51">
        <f t="shared" si="25"/>
        <v>0</v>
      </c>
      <c r="AK101" s="50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3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5">
        <v>2.5155949349616805E-2</v>
      </c>
      <c r="V102" s="54">
        <v>8.2165779834681985E-2</v>
      </c>
      <c r="W102" s="2">
        <v>0.89819873517080717</v>
      </c>
      <c r="X102" s="55">
        <v>0</v>
      </c>
      <c r="Y102" s="2">
        <v>-2.0917589293509284E-4</v>
      </c>
      <c r="Z102" s="36">
        <v>4.2459505496081698E-4</v>
      </c>
      <c r="AA102" s="2">
        <v>1.5642</v>
      </c>
      <c r="AB102" s="2">
        <f t="shared" si="18"/>
        <v>0</v>
      </c>
      <c r="AC102" s="2" t="e">
        <f t="shared" si="19"/>
        <v>#VALUE!</v>
      </c>
      <c r="AD102" s="2">
        <f t="shared" si="20"/>
        <v>0</v>
      </c>
      <c r="AE102" s="59" t="e">
        <f t="shared" si="21"/>
        <v>#VALUE!</v>
      </c>
      <c r="AF102" s="60">
        <f t="shared" ref="AF102:AF125" si="26">IF(ISERR(AE102),0,AE102*M102)</f>
        <v>0</v>
      </c>
      <c r="AG102" s="31" t="e">
        <f t="shared" si="22"/>
        <v>#VALUE!</v>
      </c>
      <c r="AH102">
        <f t="shared" si="23"/>
        <v>250.99999999999901</v>
      </c>
      <c r="AI102" s="51">
        <f t="shared" si="24"/>
        <v>0.55949349616903987</v>
      </c>
      <c r="AJ102" s="51">
        <f t="shared" si="25"/>
        <v>0</v>
      </c>
      <c r="AK102" s="50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3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5">
        <v>2.0646510785923843E-2</v>
      </c>
      <c r="V103" s="54">
        <v>7.9124777095596954E-2</v>
      </c>
      <c r="W103" s="2">
        <v>0.85232660263713667</v>
      </c>
      <c r="X103" s="55">
        <v>0</v>
      </c>
      <c r="Y103" s="2">
        <v>-2.6134138565999206E-4</v>
      </c>
      <c r="Z103" s="36">
        <v>5.7387340318520649E-4</v>
      </c>
      <c r="AA103" s="2">
        <v>1.5642</v>
      </c>
      <c r="AB103" s="2">
        <f t="shared" si="18"/>
        <v>0</v>
      </c>
      <c r="AC103" s="2" t="e">
        <f t="shared" si="19"/>
        <v>#VALUE!</v>
      </c>
      <c r="AD103" s="2">
        <f t="shared" si="20"/>
        <v>0</v>
      </c>
      <c r="AE103" s="59" t="e">
        <f t="shared" si="21"/>
        <v>#VALUE!</v>
      </c>
      <c r="AF103" s="60">
        <f t="shared" si="26"/>
        <v>0</v>
      </c>
      <c r="AG103" s="31" t="e">
        <f t="shared" si="22"/>
        <v>#VALUE!</v>
      </c>
      <c r="AH103">
        <f t="shared" si="23"/>
        <v>201.00000000000006</v>
      </c>
      <c r="AI103" s="51">
        <f t="shared" si="24"/>
        <v>5.4651078592383726</v>
      </c>
      <c r="AJ103" s="51">
        <f t="shared" si="25"/>
        <v>0</v>
      </c>
      <c r="AK103" s="50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3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5">
        <v>1.7200000584125519E-2</v>
      </c>
      <c r="V104" s="54">
        <v>8.7588735445913224E-2</v>
      </c>
      <c r="W104" s="2">
        <v>0.75726981248408365</v>
      </c>
      <c r="X104" s="55">
        <v>0</v>
      </c>
      <c r="Y104" s="2">
        <v>-3.9156215779300965E-4</v>
      </c>
      <c r="Z104" s="36">
        <v>7.3156210508588948E-4</v>
      </c>
      <c r="AA104" s="2">
        <v>1.5642</v>
      </c>
      <c r="AB104" s="2">
        <f t="shared" si="18"/>
        <v>0</v>
      </c>
      <c r="AC104" s="2" t="e">
        <f t="shared" si="19"/>
        <v>#VALUE!</v>
      </c>
      <c r="AD104" s="2">
        <f t="shared" si="20"/>
        <v>0</v>
      </c>
      <c r="AE104" s="59" t="e">
        <f t="shared" si="21"/>
        <v>#VALUE!</v>
      </c>
      <c r="AF104" s="60">
        <f t="shared" si="26"/>
        <v>0</v>
      </c>
      <c r="AG104" s="31" t="e">
        <f t="shared" si="22"/>
        <v>#VALUE!</v>
      </c>
      <c r="AH104">
        <f t="shared" si="23"/>
        <v>150.99999999999892</v>
      </c>
      <c r="AI104" s="51">
        <f t="shared" si="24"/>
        <v>21.000005841256268</v>
      </c>
      <c r="AJ104" s="51">
        <f t="shared" si="25"/>
        <v>0</v>
      </c>
      <c r="AK104" s="50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3"/>
      <c r="N105" s="2"/>
      <c r="O105" s="2"/>
      <c r="P105" s="2"/>
      <c r="Q105" s="2"/>
      <c r="R105" s="2"/>
      <c r="S105" s="2"/>
      <c r="T105" s="2"/>
      <c r="U105" s="55"/>
      <c r="V105" s="54"/>
      <c r="W105" s="2"/>
      <c r="X105" s="55"/>
      <c r="Y105" s="2"/>
      <c r="Z105" s="36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59" t="e">
        <f t="shared" si="21"/>
        <v>#VALUE!</v>
      </c>
      <c r="AF105" s="60">
        <f t="shared" si="26"/>
        <v>0</v>
      </c>
      <c r="AG105" s="31" t="e">
        <f t="shared" si="22"/>
        <v>#VALUE!</v>
      </c>
      <c r="AH105">
        <f t="shared" si="23"/>
        <v>100.99999999999997</v>
      </c>
      <c r="AI105" s="51">
        <f t="shared" si="24"/>
        <v>0</v>
      </c>
      <c r="AJ105" s="51">
        <f t="shared" si="25"/>
        <v>0</v>
      </c>
      <c r="AK105" s="50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3"/>
      <c r="N106" s="2"/>
      <c r="O106" s="2"/>
      <c r="P106" s="2"/>
      <c r="Q106" s="2"/>
      <c r="R106" s="2"/>
      <c r="S106" s="2"/>
      <c r="T106" s="2"/>
      <c r="U106" s="55"/>
      <c r="V106" s="54"/>
      <c r="W106" s="2"/>
      <c r="X106" s="55"/>
      <c r="Y106" s="2"/>
      <c r="Z106" s="36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59" t="e">
        <f t="shared" si="21"/>
        <v>#VALUE!</v>
      </c>
      <c r="AF106" s="60">
        <f t="shared" si="26"/>
        <v>0</v>
      </c>
      <c r="AG106" s="31" t="e">
        <f t="shared" si="22"/>
        <v>#VALUE!</v>
      </c>
      <c r="AH106">
        <f t="shared" si="23"/>
        <v>50.99999999999882</v>
      </c>
      <c r="AI106" s="51">
        <f t="shared" si="24"/>
        <v>0</v>
      </c>
      <c r="AJ106" s="51">
        <f t="shared" si="25"/>
        <v>0</v>
      </c>
      <c r="AK106" s="50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3"/>
      <c r="N107" s="2"/>
      <c r="O107" s="2"/>
      <c r="P107" s="2"/>
      <c r="Q107" s="2"/>
      <c r="R107" s="2"/>
      <c r="S107" s="2"/>
      <c r="T107" s="2"/>
      <c r="U107" s="55"/>
      <c r="V107" s="54"/>
      <c r="W107" s="2"/>
      <c r="X107" s="55"/>
      <c r="Y107" s="2"/>
      <c r="Z107" s="36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59" t="e">
        <f t="shared" si="21"/>
        <v>#VALUE!</v>
      </c>
      <c r="AF107" s="60">
        <f t="shared" si="26"/>
        <v>0</v>
      </c>
      <c r="AG107" s="31" t="e">
        <f t="shared" si="22"/>
        <v>#VALUE!</v>
      </c>
      <c r="AH107">
        <f t="shared" si="23"/>
        <v>0.99999999999988987</v>
      </c>
      <c r="AI107" s="51">
        <f t="shared" si="24"/>
        <v>0</v>
      </c>
      <c r="AJ107" s="51">
        <f t="shared" si="25"/>
        <v>0</v>
      </c>
      <c r="AK107" s="50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3"/>
      <c r="N108" s="2"/>
      <c r="O108" s="2"/>
      <c r="P108" s="2"/>
      <c r="Q108" s="2"/>
      <c r="R108" s="2"/>
      <c r="S108" s="2"/>
      <c r="T108" s="2"/>
      <c r="U108" s="55"/>
      <c r="V108" s="54"/>
      <c r="W108" s="2"/>
      <c r="X108" s="55"/>
      <c r="Y108" s="2"/>
      <c r="Z108" s="36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59" t="e">
        <f t="shared" si="21"/>
        <v>#VALUE!</v>
      </c>
      <c r="AF108" s="60">
        <f t="shared" si="26"/>
        <v>0</v>
      </c>
      <c r="AG108" s="31" t="e">
        <f t="shared" si="22"/>
        <v>#VALUE!</v>
      </c>
      <c r="AH108">
        <f t="shared" si="23"/>
        <v>0</v>
      </c>
      <c r="AI108" s="51">
        <f t="shared" si="24"/>
        <v>0</v>
      </c>
      <c r="AJ108" s="51">
        <f t="shared" si="25"/>
        <v>0</v>
      </c>
      <c r="AK108" s="50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3"/>
      <c r="N109" s="2"/>
      <c r="O109" s="2"/>
      <c r="P109" s="2"/>
      <c r="Q109" s="2"/>
      <c r="R109" s="2"/>
      <c r="S109" s="2"/>
      <c r="T109" s="2"/>
      <c r="U109" s="55"/>
      <c r="V109" s="54"/>
      <c r="W109" s="2"/>
      <c r="X109" s="55"/>
      <c r="Y109" s="2"/>
      <c r="Z109" s="36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59" t="e">
        <f t="shared" si="21"/>
        <v>#VALUE!</v>
      </c>
      <c r="AF109" s="60">
        <f t="shared" si="26"/>
        <v>0</v>
      </c>
      <c r="AG109" s="31" t="e">
        <f t="shared" si="22"/>
        <v>#VALUE!</v>
      </c>
      <c r="AH109">
        <f t="shared" si="23"/>
        <v>0</v>
      </c>
      <c r="AI109" s="51">
        <f t="shared" si="24"/>
        <v>0</v>
      </c>
      <c r="AJ109" s="51">
        <f t="shared" si="25"/>
        <v>0</v>
      </c>
      <c r="AK109" s="50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3"/>
      <c r="N110" s="2"/>
      <c r="O110" s="2"/>
      <c r="P110" s="2"/>
      <c r="Q110" s="2"/>
      <c r="R110" s="2"/>
      <c r="S110" s="2"/>
      <c r="T110" s="2"/>
      <c r="U110" s="55"/>
      <c r="V110" s="54"/>
      <c r="W110" s="2"/>
      <c r="X110" s="55"/>
      <c r="Y110" s="2"/>
      <c r="Z110" s="36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59" t="e">
        <f t="shared" si="21"/>
        <v>#VALUE!</v>
      </c>
      <c r="AF110" s="60">
        <f t="shared" si="26"/>
        <v>0</v>
      </c>
      <c r="AG110" s="31" t="e">
        <f t="shared" si="22"/>
        <v>#VALUE!</v>
      </c>
      <c r="AH110">
        <f t="shared" si="23"/>
        <v>0</v>
      </c>
      <c r="AI110" s="51">
        <f t="shared" si="24"/>
        <v>0</v>
      </c>
      <c r="AJ110" s="51">
        <f t="shared" si="25"/>
        <v>0</v>
      </c>
      <c r="AK110" s="50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3"/>
      <c r="N111" s="2"/>
      <c r="O111" s="2"/>
      <c r="P111" s="2"/>
      <c r="Q111" s="2"/>
      <c r="R111" s="2"/>
      <c r="S111" s="2"/>
      <c r="T111" s="2"/>
      <c r="U111" s="55"/>
      <c r="V111" s="54"/>
      <c r="W111" s="2"/>
      <c r="X111" s="55"/>
      <c r="Y111" s="2"/>
      <c r="Z111" s="36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59" t="e">
        <f t="shared" si="21"/>
        <v>#VALUE!</v>
      </c>
      <c r="AF111" s="60">
        <f t="shared" si="26"/>
        <v>0</v>
      </c>
      <c r="AG111" s="31" t="e">
        <f t="shared" si="22"/>
        <v>#VALUE!</v>
      </c>
      <c r="AH111">
        <f t="shared" si="23"/>
        <v>0</v>
      </c>
      <c r="AI111" s="51">
        <f t="shared" si="24"/>
        <v>0</v>
      </c>
      <c r="AJ111" s="51">
        <f t="shared" si="25"/>
        <v>0</v>
      </c>
      <c r="AK111" s="50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3"/>
      <c r="N112" s="2"/>
      <c r="O112" s="2"/>
      <c r="P112" s="2"/>
      <c r="Q112" s="2"/>
      <c r="R112" s="2"/>
      <c r="S112" s="2"/>
      <c r="T112" s="2"/>
      <c r="U112" s="55"/>
      <c r="V112" s="54"/>
      <c r="W112" s="2"/>
      <c r="X112" s="55"/>
      <c r="Y112" s="2"/>
      <c r="Z112" s="36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59" t="e">
        <f t="shared" si="21"/>
        <v>#VALUE!</v>
      </c>
      <c r="AF112" s="60">
        <f t="shared" si="26"/>
        <v>0</v>
      </c>
      <c r="AG112" s="31" t="e">
        <f t="shared" si="22"/>
        <v>#VALUE!</v>
      </c>
      <c r="AH112">
        <f t="shared" si="23"/>
        <v>0</v>
      </c>
      <c r="AI112" s="51">
        <f t="shared" si="24"/>
        <v>0</v>
      </c>
      <c r="AJ112" s="51">
        <f t="shared" si="25"/>
        <v>0</v>
      </c>
      <c r="AK112" s="50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3"/>
      <c r="N113" s="2"/>
      <c r="O113" s="2"/>
      <c r="P113" s="2"/>
      <c r="Q113" s="2"/>
      <c r="R113" s="2"/>
      <c r="S113" s="2"/>
      <c r="T113" s="2"/>
      <c r="U113" s="55"/>
      <c r="V113" s="54"/>
      <c r="W113" s="2"/>
      <c r="X113" s="55"/>
      <c r="Y113" s="2"/>
      <c r="Z113" s="36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59" t="e">
        <f t="shared" si="21"/>
        <v>#VALUE!</v>
      </c>
      <c r="AF113" s="60">
        <f t="shared" si="26"/>
        <v>0</v>
      </c>
      <c r="AG113" s="31" t="e">
        <f t="shared" si="22"/>
        <v>#VALUE!</v>
      </c>
      <c r="AH113">
        <f t="shared" si="23"/>
        <v>0</v>
      </c>
      <c r="AI113" s="51">
        <f t="shared" si="24"/>
        <v>0</v>
      </c>
      <c r="AJ113" s="51">
        <f t="shared" si="25"/>
        <v>0</v>
      </c>
      <c r="AK113" s="50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3"/>
      <c r="N114" s="2"/>
      <c r="O114" s="2"/>
      <c r="P114" s="2"/>
      <c r="Q114" s="2"/>
      <c r="R114" s="2"/>
      <c r="S114" s="2"/>
      <c r="T114" s="2"/>
      <c r="U114" s="55"/>
      <c r="V114" s="54"/>
      <c r="W114" s="2"/>
      <c r="X114" s="55"/>
      <c r="Y114" s="2"/>
      <c r="Z114" s="36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59" t="e">
        <f t="shared" si="21"/>
        <v>#VALUE!</v>
      </c>
      <c r="AF114" s="60">
        <f t="shared" si="26"/>
        <v>0</v>
      </c>
      <c r="AG114" s="31" t="e">
        <f t="shared" si="22"/>
        <v>#VALUE!</v>
      </c>
      <c r="AH114">
        <f t="shared" si="23"/>
        <v>0</v>
      </c>
      <c r="AI114" s="51">
        <f t="shared" si="24"/>
        <v>0</v>
      </c>
      <c r="AJ114" s="51">
        <f t="shared" si="25"/>
        <v>0</v>
      </c>
      <c r="AK114" s="50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3"/>
      <c r="N115" s="2"/>
      <c r="O115" s="2"/>
      <c r="P115" s="2"/>
      <c r="Q115" s="2"/>
      <c r="R115" s="2"/>
      <c r="S115" s="2"/>
      <c r="T115" s="2"/>
      <c r="U115" s="55"/>
      <c r="V115" s="54"/>
      <c r="W115" s="2"/>
      <c r="X115" s="55"/>
      <c r="Y115" s="2"/>
      <c r="Z115" s="36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59" t="e">
        <f t="shared" si="21"/>
        <v>#VALUE!</v>
      </c>
      <c r="AF115" s="60">
        <f t="shared" si="26"/>
        <v>0</v>
      </c>
      <c r="AG115" s="31" t="e">
        <f t="shared" si="22"/>
        <v>#VALUE!</v>
      </c>
      <c r="AH115">
        <f t="shared" si="23"/>
        <v>0</v>
      </c>
      <c r="AI115" s="51">
        <f t="shared" si="24"/>
        <v>0</v>
      </c>
      <c r="AJ115" s="51">
        <f t="shared" si="25"/>
        <v>0</v>
      </c>
      <c r="AK115" s="50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3"/>
      <c r="N116" s="2"/>
      <c r="O116" s="2"/>
      <c r="P116" s="2"/>
      <c r="Q116" s="2"/>
      <c r="R116" s="2"/>
      <c r="S116" s="2"/>
      <c r="T116" s="2"/>
      <c r="U116" s="55"/>
      <c r="V116" s="54"/>
      <c r="W116" s="2"/>
      <c r="X116" s="55"/>
      <c r="Y116" s="2"/>
      <c r="Z116" s="36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59" t="e">
        <f t="shared" si="21"/>
        <v>#VALUE!</v>
      </c>
      <c r="AF116" s="60">
        <f t="shared" si="26"/>
        <v>0</v>
      </c>
      <c r="AG116" s="31" t="e">
        <f t="shared" si="22"/>
        <v>#VALUE!</v>
      </c>
      <c r="AH116">
        <f t="shared" si="23"/>
        <v>0</v>
      </c>
      <c r="AI116" s="51">
        <f t="shared" si="24"/>
        <v>0</v>
      </c>
      <c r="AJ116" s="51">
        <f t="shared" si="25"/>
        <v>0</v>
      </c>
      <c r="AK116" s="50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3"/>
      <c r="N117" s="2"/>
      <c r="O117" s="2"/>
      <c r="P117" s="2"/>
      <c r="Q117" s="2"/>
      <c r="R117" s="2"/>
      <c r="S117" s="2"/>
      <c r="T117" s="2"/>
      <c r="U117" s="55"/>
      <c r="V117" s="54"/>
      <c r="W117" s="2"/>
      <c r="X117" s="55"/>
      <c r="Y117" s="2"/>
      <c r="Z117" s="36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59" t="e">
        <f t="shared" si="21"/>
        <v>#VALUE!</v>
      </c>
      <c r="AF117" s="60">
        <f t="shared" si="26"/>
        <v>0</v>
      </c>
      <c r="AG117" s="31" t="e">
        <f t="shared" si="22"/>
        <v>#VALUE!</v>
      </c>
      <c r="AH117">
        <f t="shared" si="23"/>
        <v>0</v>
      </c>
      <c r="AI117" s="51">
        <f t="shared" si="24"/>
        <v>0</v>
      </c>
      <c r="AJ117" s="51">
        <f t="shared" si="25"/>
        <v>0</v>
      </c>
      <c r="AK117" s="50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3"/>
      <c r="N118" s="2"/>
      <c r="O118" s="2"/>
      <c r="P118" s="2"/>
      <c r="Q118" s="2"/>
      <c r="R118" s="2"/>
      <c r="S118" s="2"/>
      <c r="T118" s="2"/>
      <c r="U118" s="55"/>
      <c r="V118" s="54"/>
      <c r="W118" s="2"/>
      <c r="X118" s="55"/>
      <c r="Y118" s="2"/>
      <c r="Z118" s="36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59" t="e">
        <f t="shared" si="21"/>
        <v>#VALUE!</v>
      </c>
      <c r="AF118" s="60">
        <f t="shared" si="26"/>
        <v>0</v>
      </c>
      <c r="AG118" s="31" t="e">
        <f t="shared" si="22"/>
        <v>#VALUE!</v>
      </c>
      <c r="AH118">
        <f t="shared" si="23"/>
        <v>0</v>
      </c>
      <c r="AI118" s="51">
        <f t="shared" si="24"/>
        <v>0</v>
      </c>
      <c r="AJ118" s="51">
        <f t="shared" si="25"/>
        <v>0</v>
      </c>
      <c r="AK118" s="50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3"/>
      <c r="N119" s="2"/>
      <c r="O119" s="2"/>
      <c r="P119" s="2"/>
      <c r="Q119" s="2"/>
      <c r="R119" s="2"/>
      <c r="S119" s="2"/>
      <c r="T119" s="2"/>
      <c r="U119" s="55"/>
      <c r="V119" s="54"/>
      <c r="W119" s="2"/>
      <c r="X119" s="55"/>
      <c r="Y119" s="2"/>
      <c r="Z119" s="36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59" t="e">
        <f t="shared" si="21"/>
        <v>#VALUE!</v>
      </c>
      <c r="AF119" s="60">
        <f t="shared" si="26"/>
        <v>0</v>
      </c>
      <c r="AG119" s="31" t="e">
        <f t="shared" si="22"/>
        <v>#VALUE!</v>
      </c>
      <c r="AH119">
        <f t="shared" si="23"/>
        <v>0</v>
      </c>
      <c r="AI119" s="51">
        <f t="shared" si="24"/>
        <v>0</v>
      </c>
      <c r="AJ119" s="51">
        <f t="shared" si="25"/>
        <v>0</v>
      </c>
      <c r="AK119" s="50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3"/>
      <c r="N120" s="2"/>
      <c r="O120" s="2"/>
      <c r="P120" s="2"/>
      <c r="Q120" s="2"/>
      <c r="R120" s="2"/>
      <c r="S120" s="2"/>
      <c r="T120" s="2"/>
      <c r="U120" s="55"/>
      <c r="V120" s="54"/>
      <c r="W120" s="2"/>
      <c r="X120" s="55"/>
      <c r="Y120" s="2"/>
      <c r="Z120" s="36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59" t="e">
        <f t="shared" si="21"/>
        <v>#VALUE!</v>
      </c>
      <c r="AF120" s="60">
        <f t="shared" si="26"/>
        <v>0</v>
      </c>
      <c r="AG120" s="31" t="e">
        <f t="shared" si="22"/>
        <v>#VALUE!</v>
      </c>
      <c r="AH120">
        <f t="shared" si="23"/>
        <v>0</v>
      </c>
      <c r="AI120" s="51">
        <f t="shared" si="24"/>
        <v>0</v>
      </c>
      <c r="AJ120" s="51">
        <f t="shared" si="25"/>
        <v>0</v>
      </c>
      <c r="AK120" s="50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3"/>
      <c r="N121" s="2"/>
      <c r="O121" s="2"/>
      <c r="P121" s="2"/>
      <c r="Q121" s="2"/>
      <c r="R121" s="2"/>
      <c r="S121" s="2"/>
      <c r="T121" s="2"/>
      <c r="U121" s="55"/>
      <c r="V121" s="54"/>
      <c r="W121" s="2"/>
      <c r="X121" s="55"/>
      <c r="Y121" s="2"/>
      <c r="Z121" s="36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59" t="e">
        <f t="shared" si="21"/>
        <v>#VALUE!</v>
      </c>
      <c r="AF121" s="60">
        <f t="shared" si="26"/>
        <v>0</v>
      </c>
      <c r="AG121" s="31" t="e">
        <f t="shared" si="22"/>
        <v>#VALUE!</v>
      </c>
      <c r="AH121">
        <f t="shared" si="23"/>
        <v>0</v>
      </c>
      <c r="AI121" s="51">
        <f t="shared" si="24"/>
        <v>0</v>
      </c>
      <c r="AJ121" s="51">
        <f t="shared" si="25"/>
        <v>0</v>
      </c>
      <c r="AK121" s="50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3"/>
      <c r="N122" s="2"/>
      <c r="O122" s="2"/>
      <c r="P122" s="2"/>
      <c r="Q122" s="2"/>
      <c r="R122" s="2"/>
      <c r="S122" s="2"/>
      <c r="T122" s="2"/>
      <c r="U122" s="55"/>
      <c r="V122" s="54"/>
      <c r="W122" s="2"/>
      <c r="X122" s="55"/>
      <c r="Y122" s="2"/>
      <c r="Z122" s="36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59" t="e">
        <f t="shared" si="21"/>
        <v>#VALUE!</v>
      </c>
      <c r="AF122" s="60">
        <f t="shared" si="26"/>
        <v>0</v>
      </c>
      <c r="AG122" s="31" t="e">
        <f t="shared" si="22"/>
        <v>#VALUE!</v>
      </c>
      <c r="AH122">
        <f t="shared" si="23"/>
        <v>0</v>
      </c>
      <c r="AI122" s="51">
        <f t="shared" si="24"/>
        <v>0</v>
      </c>
      <c r="AJ122" s="51">
        <f t="shared" si="25"/>
        <v>0</v>
      </c>
      <c r="AK122" s="50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3"/>
      <c r="N123" s="2"/>
      <c r="O123" s="2"/>
      <c r="P123" s="2"/>
      <c r="Q123" s="2"/>
      <c r="R123" s="2"/>
      <c r="S123" s="2"/>
      <c r="T123" s="2"/>
      <c r="U123" s="55"/>
      <c r="V123" s="54"/>
      <c r="W123" s="2"/>
      <c r="X123" s="55"/>
      <c r="Y123" s="2"/>
      <c r="Z123" s="36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59" t="e">
        <f t="shared" si="21"/>
        <v>#VALUE!</v>
      </c>
      <c r="AF123" s="60">
        <f t="shared" si="26"/>
        <v>0</v>
      </c>
      <c r="AG123" s="31" t="e">
        <f t="shared" si="22"/>
        <v>#VALUE!</v>
      </c>
      <c r="AH123">
        <f t="shared" si="23"/>
        <v>0</v>
      </c>
      <c r="AI123" s="51">
        <f t="shared" si="24"/>
        <v>0</v>
      </c>
      <c r="AJ123" s="51">
        <f t="shared" si="25"/>
        <v>0</v>
      </c>
      <c r="AK123" s="50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3"/>
      <c r="N124" s="2"/>
      <c r="O124" s="2"/>
      <c r="P124" s="2"/>
      <c r="Q124" s="2"/>
      <c r="R124" s="2"/>
      <c r="S124" s="2"/>
      <c r="T124" s="2"/>
      <c r="U124" s="55"/>
      <c r="V124" s="54"/>
      <c r="W124" s="2"/>
      <c r="X124" s="55"/>
      <c r="Y124" s="2"/>
      <c r="Z124" s="36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59" t="e">
        <f t="shared" si="21"/>
        <v>#VALUE!</v>
      </c>
      <c r="AF124" s="60">
        <f t="shared" si="26"/>
        <v>0</v>
      </c>
      <c r="AG124" s="31" t="e">
        <f t="shared" si="22"/>
        <v>#VALUE!</v>
      </c>
      <c r="AH124">
        <f t="shared" si="23"/>
        <v>0</v>
      </c>
      <c r="AI124" s="51">
        <f t="shared" si="24"/>
        <v>0</v>
      </c>
      <c r="AJ124" s="51">
        <f t="shared" si="25"/>
        <v>0</v>
      </c>
      <c r="AK124" s="50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3"/>
      <c r="N125" s="2"/>
      <c r="O125" s="2"/>
      <c r="P125" s="2"/>
      <c r="Q125" s="2"/>
      <c r="R125" s="2"/>
      <c r="S125" s="2"/>
      <c r="T125" s="2"/>
      <c r="U125" s="55"/>
      <c r="V125" s="54"/>
      <c r="W125" s="2"/>
      <c r="X125" s="55"/>
      <c r="Y125" s="2"/>
      <c r="Z125" s="36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59" t="e">
        <f t="shared" si="21"/>
        <v>#VALUE!</v>
      </c>
      <c r="AF125" s="60">
        <f t="shared" si="26"/>
        <v>0</v>
      </c>
      <c r="AG125" s="31" t="e">
        <f t="shared" si="22"/>
        <v>#VALUE!</v>
      </c>
      <c r="AH125">
        <f t="shared" si="23"/>
        <v>0</v>
      </c>
      <c r="AI125" s="51">
        <f t="shared" si="24"/>
        <v>0</v>
      </c>
      <c r="AJ125" s="51">
        <f t="shared" si="25"/>
        <v>0</v>
      </c>
      <c r="AK125" s="50">
        <f t="shared" si="27"/>
        <v>0</v>
      </c>
    </row>
  </sheetData>
  <dataConsolidate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9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182</v>
      </c>
      <c r="B1">
        <v>74</v>
      </c>
    </row>
    <row r="2" spans="1:2" x14ac:dyDescent="0.25">
      <c r="A2" t="s">
        <v>183</v>
      </c>
      <c r="B2">
        <v>1003</v>
      </c>
    </row>
    <row r="3" spans="1:2" x14ac:dyDescent="0.25">
      <c r="A3" t="s">
        <v>184</v>
      </c>
      <c r="B3">
        <v>45</v>
      </c>
    </row>
    <row r="4" spans="1:2" x14ac:dyDescent="0.25">
      <c r="A4" t="s">
        <v>185</v>
      </c>
      <c r="B4">
        <v>65</v>
      </c>
    </row>
    <row r="5" spans="1:2" x14ac:dyDescent="0.25">
      <c r="A5" t="s">
        <v>188</v>
      </c>
      <c r="B5">
        <v>1E-4</v>
      </c>
    </row>
    <row r="6" spans="1:2" x14ac:dyDescent="0.25">
      <c r="A6" t="s">
        <v>189</v>
      </c>
      <c r="B6">
        <v>37</v>
      </c>
    </row>
    <row r="7" spans="1:2" x14ac:dyDescent="0.25">
      <c r="A7" t="s">
        <v>190</v>
      </c>
      <c r="B7">
        <v>5</v>
      </c>
    </row>
    <row r="8" spans="1:2" x14ac:dyDescent="0.25">
      <c r="A8" t="s">
        <v>198</v>
      </c>
      <c r="B8">
        <v>34</v>
      </c>
    </row>
    <row r="9" spans="1:2" x14ac:dyDescent="0.25">
      <c r="A9" t="s">
        <v>199</v>
      </c>
      <c r="B9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493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9" t="s">
        <v>215</v>
      </c>
    </row>
    <row r="2" spans="1:1" x14ac:dyDescent="0.25">
      <c r="A2" s="124" t="s">
        <v>216</v>
      </c>
    </row>
    <row r="3" spans="1:1" x14ac:dyDescent="0.25">
      <c r="A3" s="123" t="s">
        <v>217</v>
      </c>
    </row>
    <row r="4" spans="1:1" x14ac:dyDescent="0.25">
      <c r="A4" s="29" t="s">
        <v>218</v>
      </c>
    </row>
    <row r="5" spans="1:1" x14ac:dyDescent="0.25">
      <c r="A5" s="29" t="s">
        <v>219</v>
      </c>
    </row>
    <row r="6" spans="1:1" x14ac:dyDescent="0.25">
      <c r="A6" s="29" t="s">
        <v>220</v>
      </c>
    </row>
    <row r="7" spans="1:1" x14ac:dyDescent="0.25">
      <c r="A7" s="29" t="s">
        <v>221</v>
      </c>
    </row>
    <row r="8" spans="1:1" x14ac:dyDescent="0.25">
      <c r="A8" s="29" t="s">
        <v>222</v>
      </c>
    </row>
    <row r="9" spans="1:1" x14ac:dyDescent="0.25">
      <c r="A9" s="29" t="s">
        <v>223</v>
      </c>
    </row>
    <row r="10" spans="1:1" x14ac:dyDescent="0.25">
      <c r="A10" s="124" t="s">
        <v>224</v>
      </c>
    </row>
    <row r="11" spans="1:1" x14ac:dyDescent="0.25">
      <c r="A11" s="29" t="s">
        <v>225</v>
      </c>
    </row>
    <row r="12" spans="1:1" x14ac:dyDescent="0.25">
      <c r="A12" s="29" t="s">
        <v>226</v>
      </c>
    </row>
    <row r="13" spans="1:1" x14ac:dyDescent="0.25">
      <c r="A13" s="29" t="s">
        <v>227</v>
      </c>
    </row>
    <row r="14" spans="1:1" x14ac:dyDescent="0.25">
      <c r="A14" s="29" t="s">
        <v>228</v>
      </c>
    </row>
    <row r="15" spans="1:1" x14ac:dyDescent="0.25">
      <c r="A15" s="29" t="s">
        <v>229</v>
      </c>
    </row>
    <row r="16" spans="1:1" x14ac:dyDescent="0.25">
      <c r="A16" s="29" t="s">
        <v>230</v>
      </c>
    </row>
    <row r="17" spans="1:1" x14ac:dyDescent="0.25">
      <c r="A17" s="29" t="s">
        <v>231</v>
      </c>
    </row>
    <row r="18" spans="1:1" x14ac:dyDescent="0.25">
      <c r="A18" s="29" t="s">
        <v>232</v>
      </c>
    </row>
    <row r="19" spans="1:1" x14ac:dyDescent="0.25">
      <c r="A19" s="29" t="s">
        <v>233</v>
      </c>
    </row>
    <row r="20" spans="1:1" x14ac:dyDescent="0.25">
      <c r="A20" s="29" t="s">
        <v>234</v>
      </c>
    </row>
    <row r="21" spans="1:1" x14ac:dyDescent="0.25">
      <c r="A21" s="29" t="s">
        <v>235</v>
      </c>
    </row>
    <row r="22" spans="1:1" x14ac:dyDescent="0.25">
      <c r="A22" s="29" t="s">
        <v>236</v>
      </c>
    </row>
    <row r="23" spans="1:1" x14ac:dyDescent="0.25">
      <c r="A23" s="29" t="s">
        <v>237</v>
      </c>
    </row>
    <row r="24" spans="1:1" x14ac:dyDescent="0.25">
      <c r="A24" s="29" t="s">
        <v>238</v>
      </c>
    </row>
    <row r="25" spans="1:1" x14ac:dyDescent="0.25">
      <c r="A25" s="29" t="s">
        <v>239</v>
      </c>
    </row>
    <row r="26" spans="1:1" x14ac:dyDescent="0.25">
      <c r="A26" s="29" t="s">
        <v>240</v>
      </c>
    </row>
    <row r="27" spans="1:1" x14ac:dyDescent="0.25">
      <c r="A27" s="29" t="s">
        <v>241</v>
      </c>
    </row>
    <row r="28" spans="1:1" x14ac:dyDescent="0.25">
      <c r="A28" s="29" t="s">
        <v>242</v>
      </c>
    </row>
    <row r="29" spans="1:1" x14ac:dyDescent="0.25">
      <c r="A29" s="29" t="s">
        <v>243</v>
      </c>
    </row>
    <row r="30" spans="1:1" x14ac:dyDescent="0.25">
      <c r="A30" s="29" t="s">
        <v>244</v>
      </c>
    </row>
    <row r="31" spans="1:1" x14ac:dyDescent="0.25">
      <c r="A31" s="29" t="s">
        <v>245</v>
      </c>
    </row>
    <row r="32" spans="1:1" x14ac:dyDescent="0.25">
      <c r="A32" s="29" t="s">
        <v>246</v>
      </c>
    </row>
    <row r="33" spans="1:1" x14ac:dyDescent="0.25">
      <c r="A33" s="29" t="s">
        <v>247</v>
      </c>
    </row>
    <row r="34" spans="1:1" x14ac:dyDescent="0.25">
      <c r="A34" s="29" t="s">
        <v>248</v>
      </c>
    </row>
    <row r="35" spans="1:1" x14ac:dyDescent="0.25">
      <c r="A35" s="29" t="s">
        <v>249</v>
      </c>
    </row>
    <row r="36" spans="1:1" x14ac:dyDescent="0.25">
      <c r="A36" s="123" t="s">
        <v>250</v>
      </c>
    </row>
    <row r="37" spans="1:1" x14ac:dyDescent="0.25">
      <c r="A37" s="123" t="s">
        <v>251</v>
      </c>
    </row>
    <row r="38" spans="1:1" x14ac:dyDescent="0.25">
      <c r="A38" s="124" t="s">
        <v>252</v>
      </c>
    </row>
    <row r="39" spans="1:1" x14ac:dyDescent="0.25">
      <c r="A39" s="29" t="s">
        <v>253</v>
      </c>
    </row>
    <row r="40" spans="1:1" x14ac:dyDescent="0.25">
      <c r="A40" s="29" t="s">
        <v>254</v>
      </c>
    </row>
    <row r="41" spans="1:1" x14ac:dyDescent="0.25">
      <c r="A41" s="29" t="s">
        <v>255</v>
      </c>
    </row>
    <row r="42" spans="1:1" x14ac:dyDescent="0.25">
      <c r="A42" s="29" t="s">
        <v>256</v>
      </c>
    </row>
    <row r="43" spans="1:1" x14ac:dyDescent="0.25">
      <c r="A43" s="29" t="s">
        <v>257</v>
      </c>
    </row>
    <row r="44" spans="1:1" x14ac:dyDescent="0.25">
      <c r="A44" s="29" t="s">
        <v>258</v>
      </c>
    </row>
    <row r="45" spans="1:1" x14ac:dyDescent="0.25">
      <c r="A45" s="29" t="s">
        <v>259</v>
      </c>
    </row>
    <row r="46" spans="1:1" x14ac:dyDescent="0.25">
      <c r="A46" t="s">
        <v>260</v>
      </c>
    </row>
    <row r="47" spans="1:1" x14ac:dyDescent="0.25">
      <c r="A47" t="s">
        <v>261</v>
      </c>
    </row>
    <row r="48" spans="1:1" x14ac:dyDescent="0.25">
      <c r="A48" s="123" t="s">
        <v>262</v>
      </c>
    </row>
    <row r="49" spans="1:1" x14ac:dyDescent="0.25">
      <c r="A49" s="29" t="s">
        <v>263</v>
      </c>
    </row>
    <row r="50" spans="1:1" x14ac:dyDescent="0.25">
      <c r="A50" s="29" t="s">
        <v>264</v>
      </c>
    </row>
    <row r="51" spans="1:1" x14ac:dyDescent="0.25">
      <c r="A51" s="29" t="s">
        <v>265</v>
      </c>
    </row>
    <row r="52" spans="1:1" x14ac:dyDescent="0.25">
      <c r="A52" s="29" t="s">
        <v>266</v>
      </c>
    </row>
    <row r="53" spans="1:1" x14ac:dyDescent="0.25">
      <c r="A53" s="29" t="s">
        <v>267</v>
      </c>
    </row>
    <row r="54" spans="1:1" x14ac:dyDescent="0.25">
      <c r="A54" s="29" t="s">
        <v>268</v>
      </c>
    </row>
    <row r="55" spans="1:1" x14ac:dyDescent="0.25">
      <c r="A55" s="124" t="s">
        <v>269</v>
      </c>
    </row>
    <row r="56" spans="1:1" x14ac:dyDescent="0.25">
      <c r="A56" s="29" t="s">
        <v>270</v>
      </c>
    </row>
    <row r="57" spans="1:1" x14ac:dyDescent="0.25">
      <c r="A57" s="29" t="s">
        <v>271</v>
      </c>
    </row>
    <row r="58" spans="1:1" x14ac:dyDescent="0.25">
      <c r="A58" s="29" t="s">
        <v>272</v>
      </c>
    </row>
    <row r="59" spans="1:1" x14ac:dyDescent="0.25">
      <c r="A59" s="29" t="s">
        <v>273</v>
      </c>
    </row>
    <row r="60" spans="1:1" x14ac:dyDescent="0.25">
      <c r="A60" s="29" t="s">
        <v>274</v>
      </c>
    </row>
    <row r="61" spans="1:1" x14ac:dyDescent="0.25">
      <c r="A61" s="29" t="s">
        <v>275</v>
      </c>
    </row>
    <row r="62" spans="1:1" x14ac:dyDescent="0.25">
      <c r="A62" s="29" t="s">
        <v>276</v>
      </c>
    </row>
    <row r="63" spans="1:1" x14ac:dyDescent="0.25">
      <c r="A63" s="29" t="s">
        <v>277</v>
      </c>
    </row>
    <row r="64" spans="1:1" x14ac:dyDescent="0.25">
      <c r="A64" s="29" t="s">
        <v>278</v>
      </c>
    </row>
    <row r="65" spans="1:1" x14ac:dyDescent="0.25">
      <c r="A65" s="29" t="s">
        <v>279</v>
      </c>
    </row>
    <row r="66" spans="1:1" x14ac:dyDescent="0.25">
      <c r="A66" s="29" t="s">
        <v>280</v>
      </c>
    </row>
    <row r="67" spans="1:1" x14ac:dyDescent="0.25">
      <c r="A67" s="29" t="s">
        <v>281</v>
      </c>
    </row>
    <row r="68" spans="1:1" x14ac:dyDescent="0.25">
      <c r="A68" s="29" t="s">
        <v>282</v>
      </c>
    </row>
    <row r="69" spans="1:1" x14ac:dyDescent="0.25">
      <c r="A69" s="29" t="s">
        <v>283</v>
      </c>
    </row>
    <row r="70" spans="1:1" x14ac:dyDescent="0.25">
      <c r="A70" s="29" t="s">
        <v>284</v>
      </c>
    </row>
    <row r="71" spans="1:1" x14ac:dyDescent="0.25">
      <c r="A71" s="29" t="s">
        <v>285</v>
      </c>
    </row>
    <row r="72" spans="1:1" x14ac:dyDescent="0.25">
      <c r="A72" s="29" t="s">
        <v>286</v>
      </c>
    </row>
    <row r="73" spans="1:1" x14ac:dyDescent="0.25">
      <c r="A73" s="29" t="s">
        <v>287</v>
      </c>
    </row>
    <row r="74" spans="1:1" x14ac:dyDescent="0.25">
      <c r="A74" s="29" t="s">
        <v>288</v>
      </c>
    </row>
    <row r="75" spans="1:1" x14ac:dyDescent="0.25">
      <c r="A75" s="29" t="s">
        <v>289</v>
      </c>
    </row>
    <row r="76" spans="1:1" x14ac:dyDescent="0.25">
      <c r="A76" s="29" t="s">
        <v>290</v>
      </c>
    </row>
    <row r="77" spans="1:1" x14ac:dyDescent="0.25">
      <c r="A77" s="29" t="s">
        <v>291</v>
      </c>
    </row>
    <row r="78" spans="1:1" x14ac:dyDescent="0.25">
      <c r="A78" s="29" t="s">
        <v>292</v>
      </c>
    </row>
    <row r="79" spans="1:1" x14ac:dyDescent="0.25">
      <c r="A79" s="29" t="s">
        <v>293</v>
      </c>
    </row>
    <row r="80" spans="1:1" x14ac:dyDescent="0.25">
      <c r="A80" s="29" t="s">
        <v>294</v>
      </c>
    </row>
    <row r="81" spans="1:1" x14ac:dyDescent="0.25">
      <c r="A81" s="123" t="s">
        <v>295</v>
      </c>
    </row>
    <row r="82" spans="1:1" x14ac:dyDescent="0.25">
      <c r="A82" s="123" t="s">
        <v>296</v>
      </c>
    </row>
    <row r="83" spans="1:1" x14ac:dyDescent="0.25">
      <c r="A83" s="29" t="s">
        <v>297</v>
      </c>
    </row>
    <row r="84" spans="1:1" x14ac:dyDescent="0.25">
      <c r="A84" s="29" t="s">
        <v>298</v>
      </c>
    </row>
    <row r="85" spans="1:1" x14ac:dyDescent="0.25">
      <c r="A85" s="29" t="s">
        <v>299</v>
      </c>
    </row>
    <row r="86" spans="1:1" x14ac:dyDescent="0.25">
      <c r="A86" s="29" t="s">
        <v>300</v>
      </c>
    </row>
    <row r="87" spans="1:1" x14ac:dyDescent="0.25">
      <c r="A87" s="29" t="s">
        <v>301</v>
      </c>
    </row>
    <row r="88" spans="1:1" x14ac:dyDescent="0.25">
      <c r="A88" s="29" t="s">
        <v>302</v>
      </c>
    </row>
    <row r="89" spans="1:1" x14ac:dyDescent="0.25">
      <c r="A89" s="29" t="s">
        <v>303</v>
      </c>
    </row>
    <row r="90" spans="1:1" x14ac:dyDescent="0.25">
      <c r="A90" s="29" t="s">
        <v>304</v>
      </c>
    </row>
    <row r="91" spans="1:1" x14ac:dyDescent="0.25">
      <c r="A91" s="29" t="s">
        <v>305</v>
      </c>
    </row>
    <row r="92" spans="1:1" x14ac:dyDescent="0.25">
      <c r="A92" s="29" t="s">
        <v>306</v>
      </c>
    </row>
    <row r="93" spans="1:1" x14ac:dyDescent="0.25">
      <c r="A93" s="29" t="s">
        <v>307</v>
      </c>
    </row>
    <row r="94" spans="1:1" x14ac:dyDescent="0.25">
      <c r="A94" s="29" t="s">
        <v>308</v>
      </c>
    </row>
    <row r="95" spans="1:1" x14ac:dyDescent="0.25">
      <c r="A95" s="29" t="s">
        <v>309</v>
      </c>
    </row>
    <row r="96" spans="1:1" x14ac:dyDescent="0.25">
      <c r="A96" s="29" t="s">
        <v>310</v>
      </c>
    </row>
    <row r="97" spans="1:1" x14ac:dyDescent="0.25">
      <c r="A97" s="29" t="s">
        <v>311</v>
      </c>
    </row>
    <row r="98" spans="1:1" x14ac:dyDescent="0.25">
      <c r="A98" s="29" t="s">
        <v>312</v>
      </c>
    </row>
    <row r="99" spans="1:1" x14ac:dyDescent="0.25">
      <c r="A99" s="29" t="s">
        <v>313</v>
      </c>
    </row>
    <row r="100" spans="1:1" x14ac:dyDescent="0.25">
      <c r="A100" s="29" t="s">
        <v>314</v>
      </c>
    </row>
    <row r="101" spans="1:1" x14ac:dyDescent="0.25">
      <c r="A101" s="29" t="s">
        <v>315</v>
      </c>
    </row>
    <row r="102" spans="1:1" x14ac:dyDescent="0.25">
      <c r="A102" s="29" t="s">
        <v>316</v>
      </c>
    </row>
    <row r="103" spans="1:1" x14ac:dyDescent="0.25">
      <c r="A103" s="29" t="s">
        <v>317</v>
      </c>
    </row>
    <row r="104" spans="1:1" x14ac:dyDescent="0.25">
      <c r="A104" s="29" t="s">
        <v>318</v>
      </c>
    </row>
    <row r="105" spans="1:1" x14ac:dyDescent="0.25">
      <c r="A105" s="29" t="s">
        <v>319</v>
      </c>
    </row>
    <row r="106" spans="1:1" x14ac:dyDescent="0.25">
      <c r="A106" s="29" t="s">
        <v>320</v>
      </c>
    </row>
    <row r="107" spans="1:1" x14ac:dyDescent="0.25">
      <c r="A107" s="29" t="s">
        <v>321</v>
      </c>
    </row>
    <row r="108" spans="1:1" x14ac:dyDescent="0.25">
      <c r="A108" s="29" t="s">
        <v>322</v>
      </c>
    </row>
    <row r="109" spans="1:1" x14ac:dyDescent="0.25">
      <c r="A109" s="29" t="s">
        <v>323</v>
      </c>
    </row>
    <row r="110" spans="1:1" x14ac:dyDescent="0.25">
      <c r="A110" s="29" t="s">
        <v>324</v>
      </c>
    </row>
    <row r="111" spans="1:1" x14ac:dyDescent="0.25">
      <c r="A111" s="29" t="s">
        <v>325</v>
      </c>
    </row>
    <row r="112" spans="1:1" x14ac:dyDescent="0.25">
      <c r="A112" s="29" t="s">
        <v>326</v>
      </c>
    </row>
    <row r="113" spans="1:1" x14ac:dyDescent="0.25">
      <c r="A113" s="29" t="s">
        <v>327</v>
      </c>
    </row>
    <row r="114" spans="1:1" x14ac:dyDescent="0.25">
      <c r="A114" s="123" t="s">
        <v>328</v>
      </c>
    </row>
    <row r="115" spans="1:1" x14ac:dyDescent="0.25">
      <c r="A115" s="29" t="s">
        <v>329</v>
      </c>
    </row>
    <row r="116" spans="1:1" x14ac:dyDescent="0.25">
      <c r="A116" s="123" t="s">
        <v>330</v>
      </c>
    </row>
    <row r="117" spans="1:1" x14ac:dyDescent="0.25">
      <c r="A117" s="29" t="s">
        <v>331</v>
      </c>
    </row>
    <row r="118" spans="1:1" x14ac:dyDescent="0.25">
      <c r="A118" s="123" t="s">
        <v>332</v>
      </c>
    </row>
    <row r="119" spans="1:1" x14ac:dyDescent="0.25">
      <c r="A119" s="29" t="s">
        <v>333</v>
      </c>
    </row>
    <row r="120" spans="1:1" x14ac:dyDescent="0.25">
      <c r="A120" s="123" t="s">
        <v>334</v>
      </c>
    </row>
    <row r="121" spans="1:1" x14ac:dyDescent="0.25">
      <c r="A121" s="29" t="s">
        <v>335</v>
      </c>
    </row>
    <row r="122" spans="1:1" x14ac:dyDescent="0.25">
      <c r="A122" s="123" t="s">
        <v>336</v>
      </c>
    </row>
    <row r="123" spans="1:1" x14ac:dyDescent="0.25">
      <c r="A123" s="29" t="s">
        <v>337</v>
      </c>
    </row>
    <row r="124" spans="1:1" x14ac:dyDescent="0.25">
      <c r="A124" s="123" t="s">
        <v>338</v>
      </c>
    </row>
    <row r="125" spans="1:1" x14ac:dyDescent="0.25">
      <c r="A125" s="29" t="s">
        <v>339</v>
      </c>
    </row>
    <row r="126" spans="1:1" x14ac:dyDescent="0.25">
      <c r="A126" s="123" t="s">
        <v>340</v>
      </c>
    </row>
    <row r="127" spans="1:1" x14ac:dyDescent="0.25">
      <c r="A127" s="29" t="s">
        <v>341</v>
      </c>
    </row>
    <row r="128" spans="1:1" x14ac:dyDescent="0.25">
      <c r="A128" s="123" t="s">
        <v>342</v>
      </c>
    </row>
    <row r="129" spans="1:1" x14ac:dyDescent="0.25">
      <c r="A129" s="29" t="s">
        <v>343</v>
      </c>
    </row>
    <row r="130" spans="1:1" x14ac:dyDescent="0.25">
      <c r="A130" t="s">
        <v>344</v>
      </c>
    </row>
    <row r="131" spans="1:1" x14ac:dyDescent="0.25">
      <c r="A131" t="s">
        <v>345</v>
      </c>
    </row>
    <row r="132" spans="1:1" x14ac:dyDescent="0.25">
      <c r="A132" t="s">
        <v>346</v>
      </c>
    </row>
    <row r="133" spans="1:1" x14ac:dyDescent="0.25">
      <c r="A133" t="s">
        <v>347</v>
      </c>
    </row>
    <row r="134" spans="1:1" x14ac:dyDescent="0.25">
      <c r="A134" t="s">
        <v>348</v>
      </c>
    </row>
    <row r="135" spans="1:1" x14ac:dyDescent="0.25">
      <c r="A135" t="s">
        <v>349</v>
      </c>
    </row>
    <row r="136" spans="1:1" x14ac:dyDescent="0.25">
      <c r="A136" t="s">
        <v>350</v>
      </c>
    </row>
    <row r="137" spans="1:1" x14ac:dyDescent="0.25">
      <c r="A137" t="s">
        <v>351</v>
      </c>
    </row>
    <row r="138" spans="1:1" x14ac:dyDescent="0.25">
      <c r="A138" t="s">
        <v>352</v>
      </c>
    </row>
    <row r="139" spans="1:1" x14ac:dyDescent="0.25">
      <c r="A139" t="s">
        <v>353</v>
      </c>
    </row>
    <row r="140" spans="1:1" x14ac:dyDescent="0.25">
      <c r="A140" t="s">
        <v>354</v>
      </c>
    </row>
    <row r="141" spans="1:1" x14ac:dyDescent="0.25">
      <c r="A141" t="s">
        <v>355</v>
      </c>
    </row>
    <row r="142" spans="1:1" x14ac:dyDescent="0.25">
      <c r="A142" s="123" t="s">
        <v>356</v>
      </c>
    </row>
    <row r="143" spans="1:1" x14ac:dyDescent="0.25">
      <c r="A143" s="123" t="s">
        <v>357</v>
      </c>
    </row>
    <row r="144" spans="1:1" x14ac:dyDescent="0.25">
      <c r="A144" s="123" t="s">
        <v>358</v>
      </c>
    </row>
    <row r="145" spans="1:1" x14ac:dyDescent="0.25">
      <c r="A145" s="124" t="s">
        <v>359</v>
      </c>
    </row>
    <row r="146" spans="1:1" x14ac:dyDescent="0.25">
      <c r="A146" s="124" t="s">
        <v>360</v>
      </c>
    </row>
    <row r="147" spans="1:1" x14ac:dyDescent="0.25">
      <c r="A147" s="123" t="s">
        <v>361</v>
      </c>
    </row>
    <row r="148" spans="1:1" x14ac:dyDescent="0.25">
      <c r="A148" s="29" t="s">
        <v>362</v>
      </c>
    </row>
    <row r="149" spans="1:1" x14ac:dyDescent="0.25">
      <c r="A149" s="29" t="s">
        <v>363</v>
      </c>
    </row>
    <row r="150" spans="1:1" x14ac:dyDescent="0.25">
      <c r="A150" s="29" t="s">
        <v>364</v>
      </c>
    </row>
    <row r="151" spans="1:1" x14ac:dyDescent="0.25">
      <c r="A151" s="29" t="s">
        <v>365</v>
      </c>
    </row>
    <row r="152" spans="1:1" x14ac:dyDescent="0.25">
      <c r="A152" s="29" t="s">
        <v>366</v>
      </c>
    </row>
    <row r="153" spans="1:1" x14ac:dyDescent="0.25">
      <c r="A153" s="29" t="s">
        <v>367</v>
      </c>
    </row>
    <row r="154" spans="1:1" x14ac:dyDescent="0.25">
      <c r="A154" s="29" t="s">
        <v>368</v>
      </c>
    </row>
    <row r="155" spans="1:1" x14ac:dyDescent="0.25">
      <c r="A155" s="29" t="s">
        <v>369</v>
      </c>
    </row>
    <row r="156" spans="1:1" x14ac:dyDescent="0.25">
      <c r="A156" s="29" t="s">
        <v>370</v>
      </c>
    </row>
    <row r="157" spans="1:1" x14ac:dyDescent="0.25">
      <c r="A157" s="29" t="s">
        <v>371</v>
      </c>
    </row>
    <row r="158" spans="1:1" x14ac:dyDescent="0.25">
      <c r="A158" s="29" t="s">
        <v>371</v>
      </c>
    </row>
    <row r="159" spans="1:1" x14ac:dyDescent="0.25">
      <c r="A159" s="29" t="s">
        <v>372</v>
      </c>
    </row>
    <row r="160" spans="1:1" x14ac:dyDescent="0.25">
      <c r="A160" s="29" t="s">
        <v>373</v>
      </c>
    </row>
    <row r="161" spans="1:1" x14ac:dyDescent="0.25">
      <c r="A161" s="124" t="s">
        <v>374</v>
      </c>
    </row>
    <row r="162" spans="1:1" x14ac:dyDescent="0.25">
      <c r="A162" t="s">
        <v>375</v>
      </c>
    </row>
    <row r="163" spans="1:1" x14ac:dyDescent="0.25">
      <c r="A163" s="124" t="s">
        <v>376</v>
      </c>
    </row>
    <row r="164" spans="1:1" x14ac:dyDescent="0.25">
      <c r="A164" s="124" t="s">
        <v>377</v>
      </c>
    </row>
    <row r="165" spans="1:1" x14ac:dyDescent="0.25">
      <c r="A165" s="29" t="s">
        <v>378</v>
      </c>
    </row>
    <row r="166" spans="1:1" ht="255" x14ac:dyDescent="0.25">
      <c r="A166" s="125" t="s">
        <v>379</v>
      </c>
    </row>
    <row r="167" spans="1:1" ht="270" x14ac:dyDescent="0.25">
      <c r="A167" s="125" t="s">
        <v>380</v>
      </c>
    </row>
    <row r="168" spans="1:1" x14ac:dyDescent="0.25">
      <c r="A168" s="124" t="s">
        <v>381</v>
      </c>
    </row>
    <row r="169" spans="1:1" x14ac:dyDescent="0.25">
      <c r="A169" s="123" t="s">
        <v>382</v>
      </c>
    </row>
    <row r="170" spans="1:1" x14ac:dyDescent="0.25">
      <c r="A170" s="124" t="s">
        <v>383</v>
      </c>
    </row>
    <row r="171" spans="1:1" x14ac:dyDescent="0.25">
      <c r="A171" t="s">
        <v>384</v>
      </c>
    </row>
    <row r="172" spans="1:1" x14ac:dyDescent="0.25">
      <c r="A172" s="123" t="s">
        <v>385</v>
      </c>
    </row>
    <row r="173" spans="1:1" x14ac:dyDescent="0.25">
      <c r="A173" s="123" t="s">
        <v>386</v>
      </c>
    </row>
    <row r="174" spans="1:1" x14ac:dyDescent="0.25">
      <c r="A174" s="124" t="s">
        <v>387</v>
      </c>
    </row>
    <row r="175" spans="1:1" x14ac:dyDescent="0.25">
      <c r="A175" s="123" t="s">
        <v>388</v>
      </c>
    </row>
    <row r="176" spans="1:1" x14ac:dyDescent="0.25">
      <c r="A176" s="124" t="s">
        <v>389</v>
      </c>
    </row>
    <row r="177" spans="1:1" x14ac:dyDescent="0.25">
      <c r="A177" t="s">
        <v>390</v>
      </c>
    </row>
    <row r="178" spans="1:1" x14ac:dyDescent="0.25">
      <c r="A178" s="123" t="s">
        <v>391</v>
      </c>
    </row>
    <row r="179" spans="1:1" x14ac:dyDescent="0.25">
      <c r="A179" s="123" t="s">
        <v>392</v>
      </c>
    </row>
    <row r="180" spans="1:1" x14ac:dyDescent="0.25">
      <c r="A180" s="124" t="s">
        <v>393</v>
      </c>
    </row>
    <row r="181" spans="1:1" x14ac:dyDescent="0.25">
      <c r="A181" t="s">
        <v>394</v>
      </c>
    </row>
    <row r="182" spans="1:1" x14ac:dyDescent="0.25">
      <c r="A182" s="29" t="s">
        <v>395</v>
      </c>
    </row>
    <row r="183" spans="1:1" x14ac:dyDescent="0.25">
      <c r="A183" s="124" t="s">
        <v>396</v>
      </c>
    </row>
    <row r="184" spans="1:1" x14ac:dyDescent="0.25">
      <c r="A184" s="29" t="s">
        <v>397</v>
      </c>
    </row>
    <row r="185" spans="1:1" ht="255" x14ac:dyDescent="0.25">
      <c r="A185" s="125" t="s">
        <v>398</v>
      </c>
    </row>
    <row r="186" spans="1:1" ht="270" x14ac:dyDescent="0.25">
      <c r="A186" s="125" t="s">
        <v>399</v>
      </c>
    </row>
    <row r="187" spans="1:1" x14ac:dyDescent="0.25">
      <c r="A187" s="124" t="s">
        <v>400</v>
      </c>
    </row>
    <row r="188" spans="1:1" x14ac:dyDescent="0.25">
      <c r="A188" s="123" t="s">
        <v>401</v>
      </c>
    </row>
    <row r="189" spans="1:1" x14ac:dyDescent="0.25">
      <c r="A189" s="124" t="s">
        <v>402</v>
      </c>
    </row>
    <row r="190" spans="1:1" x14ac:dyDescent="0.25">
      <c r="A190" t="s">
        <v>403</v>
      </c>
    </row>
    <row r="191" spans="1:1" x14ac:dyDescent="0.25">
      <c r="A191" s="123" t="s">
        <v>404</v>
      </c>
    </row>
    <row r="192" spans="1:1" x14ac:dyDescent="0.25">
      <c r="A192" s="123" t="s">
        <v>405</v>
      </c>
    </row>
    <row r="193" spans="1:1" x14ac:dyDescent="0.25">
      <c r="A193" s="124" t="s">
        <v>406</v>
      </c>
    </row>
    <row r="194" spans="1:1" x14ac:dyDescent="0.25">
      <c r="A194" s="123" t="s">
        <v>407</v>
      </c>
    </row>
    <row r="195" spans="1:1" x14ac:dyDescent="0.25">
      <c r="A195" s="124" t="s">
        <v>408</v>
      </c>
    </row>
    <row r="196" spans="1:1" x14ac:dyDescent="0.25">
      <c r="A196" t="s">
        <v>409</v>
      </c>
    </row>
    <row r="197" spans="1:1" x14ac:dyDescent="0.25">
      <c r="A197" s="123" t="s">
        <v>410</v>
      </c>
    </row>
    <row r="198" spans="1:1" x14ac:dyDescent="0.25">
      <c r="A198" s="123" t="s">
        <v>411</v>
      </c>
    </row>
    <row r="199" spans="1:1" x14ac:dyDescent="0.25">
      <c r="A199" s="29" t="s">
        <v>412</v>
      </c>
    </row>
    <row r="202" spans="1:1" x14ac:dyDescent="0.25">
      <c r="A202" s="123" t="s">
        <v>413</v>
      </c>
    </row>
    <row r="203" spans="1:1" x14ac:dyDescent="0.25">
      <c r="A203" s="123" t="s">
        <v>414</v>
      </c>
    </row>
    <row r="204" spans="1:1" x14ac:dyDescent="0.25">
      <c r="A204" s="123" t="s">
        <v>415</v>
      </c>
    </row>
    <row r="205" spans="1:1" x14ac:dyDescent="0.25">
      <c r="A205" s="124" t="s">
        <v>416</v>
      </c>
    </row>
    <row r="206" spans="1:1" x14ac:dyDescent="0.25">
      <c r="A206" s="124" t="s">
        <v>417</v>
      </c>
    </row>
    <row r="207" spans="1:1" x14ac:dyDescent="0.25">
      <c r="A207" s="123" t="s">
        <v>418</v>
      </c>
    </row>
    <row r="208" spans="1:1" x14ac:dyDescent="0.25">
      <c r="A208" s="29" t="s">
        <v>419</v>
      </c>
    </row>
    <row r="209" spans="1:1" x14ac:dyDescent="0.25">
      <c r="A209" s="123" t="s">
        <v>420</v>
      </c>
    </row>
    <row r="210" spans="1:1" x14ac:dyDescent="0.25">
      <c r="A210" s="123" t="s">
        <v>421</v>
      </c>
    </row>
    <row r="211" spans="1:1" x14ac:dyDescent="0.25">
      <c r="A211" s="123" t="s">
        <v>422</v>
      </c>
    </row>
    <row r="212" spans="1:1" x14ac:dyDescent="0.25">
      <c r="A212" s="124" t="s">
        <v>423</v>
      </c>
    </row>
    <row r="213" spans="1:1" x14ac:dyDescent="0.25">
      <c r="A213" s="124" t="s">
        <v>424</v>
      </c>
    </row>
    <row r="214" spans="1:1" x14ac:dyDescent="0.25">
      <c r="A214" s="123" t="s">
        <v>425</v>
      </c>
    </row>
    <row r="215" spans="1:1" x14ac:dyDescent="0.25">
      <c r="A215" s="29" t="s">
        <v>426</v>
      </c>
    </row>
    <row r="216" spans="1:1" x14ac:dyDescent="0.25">
      <c r="A216" s="123" t="s">
        <v>427</v>
      </c>
    </row>
    <row r="217" spans="1:1" x14ac:dyDescent="0.25">
      <c r="A217" s="123" t="s">
        <v>428</v>
      </c>
    </row>
    <row r="218" spans="1:1" x14ac:dyDescent="0.25">
      <c r="A218" s="123" t="s">
        <v>429</v>
      </c>
    </row>
    <row r="219" spans="1:1" x14ac:dyDescent="0.25">
      <c r="A219" s="124" t="s">
        <v>430</v>
      </c>
    </row>
    <row r="220" spans="1:1" x14ac:dyDescent="0.25">
      <c r="A220" s="124" t="s">
        <v>431</v>
      </c>
    </row>
    <row r="221" spans="1:1" x14ac:dyDescent="0.25">
      <c r="A221" s="123" t="s">
        <v>432</v>
      </c>
    </row>
    <row r="222" spans="1:1" x14ac:dyDescent="0.25">
      <c r="A222" s="29" t="s">
        <v>433</v>
      </c>
    </row>
    <row r="223" spans="1:1" x14ac:dyDescent="0.25">
      <c r="A223" s="123" t="s">
        <v>434</v>
      </c>
    </row>
    <row r="224" spans="1:1" x14ac:dyDescent="0.25">
      <c r="A224" s="123" t="s">
        <v>435</v>
      </c>
    </row>
    <row r="225" spans="1:1" x14ac:dyDescent="0.25">
      <c r="A225" s="123" t="s">
        <v>436</v>
      </c>
    </row>
    <row r="226" spans="1:1" x14ac:dyDescent="0.25">
      <c r="A226" s="124" t="s">
        <v>437</v>
      </c>
    </row>
    <row r="227" spans="1:1" x14ac:dyDescent="0.25">
      <c r="A227" s="124" t="s">
        <v>438</v>
      </c>
    </row>
    <row r="228" spans="1:1" x14ac:dyDescent="0.25">
      <c r="A228" s="123" t="s">
        <v>439</v>
      </c>
    </row>
    <row r="229" spans="1:1" x14ac:dyDescent="0.25">
      <c r="A229" s="29" t="s">
        <v>440</v>
      </c>
    </row>
    <row r="230" spans="1:1" x14ac:dyDescent="0.25">
      <c r="A230" s="123" t="s">
        <v>441</v>
      </c>
    </row>
    <row r="231" spans="1:1" x14ac:dyDescent="0.25">
      <c r="A231" s="123" t="s">
        <v>442</v>
      </c>
    </row>
    <row r="232" spans="1:1" x14ac:dyDescent="0.25">
      <c r="A232" s="123" t="s">
        <v>443</v>
      </c>
    </row>
    <row r="233" spans="1:1" x14ac:dyDescent="0.25">
      <c r="A233" s="124" t="s">
        <v>444</v>
      </c>
    </row>
    <row r="234" spans="1:1" x14ac:dyDescent="0.25">
      <c r="A234" s="124" t="s">
        <v>445</v>
      </c>
    </row>
    <row r="235" spans="1:1" x14ac:dyDescent="0.25">
      <c r="A235" s="123" t="s">
        <v>446</v>
      </c>
    </row>
    <row r="236" spans="1:1" x14ac:dyDescent="0.25">
      <c r="A236" s="29" t="s">
        <v>447</v>
      </c>
    </row>
    <row r="237" spans="1:1" x14ac:dyDescent="0.25">
      <c r="A237" s="123" t="s">
        <v>448</v>
      </c>
    </row>
    <row r="238" spans="1:1" x14ac:dyDescent="0.25">
      <c r="A238" s="123" t="s">
        <v>449</v>
      </c>
    </row>
    <row r="239" spans="1:1" x14ac:dyDescent="0.25">
      <c r="A239" s="123" t="s">
        <v>450</v>
      </c>
    </row>
    <row r="240" spans="1:1" x14ac:dyDescent="0.25">
      <c r="A240" s="124" t="s">
        <v>451</v>
      </c>
    </row>
    <row r="241" spans="1:1" x14ac:dyDescent="0.25">
      <c r="A241" s="124" t="s">
        <v>452</v>
      </c>
    </row>
    <row r="242" spans="1:1" x14ac:dyDescent="0.25">
      <c r="A242" s="123" t="s">
        <v>453</v>
      </c>
    </row>
    <row r="243" spans="1:1" x14ac:dyDescent="0.25">
      <c r="A243" s="29" t="s">
        <v>454</v>
      </c>
    </row>
    <row r="244" spans="1:1" x14ac:dyDescent="0.25">
      <c r="A244" s="123" t="s">
        <v>455</v>
      </c>
    </row>
    <row r="245" spans="1:1" x14ac:dyDescent="0.25">
      <c r="A245" s="123" t="s">
        <v>456</v>
      </c>
    </row>
    <row r="246" spans="1:1" x14ac:dyDescent="0.25">
      <c r="A246" s="123" t="s">
        <v>457</v>
      </c>
    </row>
    <row r="247" spans="1:1" x14ac:dyDescent="0.25">
      <c r="A247" s="124" t="s">
        <v>458</v>
      </c>
    </row>
    <row r="248" spans="1:1" x14ac:dyDescent="0.25">
      <c r="A248" s="124" t="s">
        <v>459</v>
      </c>
    </row>
    <row r="249" spans="1:1" x14ac:dyDescent="0.25">
      <c r="A249" s="123" t="s">
        <v>460</v>
      </c>
    </row>
    <row r="250" spans="1:1" x14ac:dyDescent="0.25">
      <c r="A250" s="29" t="s">
        <v>461</v>
      </c>
    </row>
    <row r="251" spans="1:1" x14ac:dyDescent="0.25">
      <c r="A251" s="123" t="s">
        <v>462</v>
      </c>
    </row>
    <row r="252" spans="1:1" x14ac:dyDescent="0.25">
      <c r="A252" s="123" t="s">
        <v>463</v>
      </c>
    </row>
    <row r="253" spans="1:1" x14ac:dyDescent="0.25">
      <c r="A253" s="123" t="s">
        <v>464</v>
      </c>
    </row>
    <row r="254" spans="1:1" x14ac:dyDescent="0.25">
      <c r="A254" s="124" t="s">
        <v>465</v>
      </c>
    </row>
    <row r="255" spans="1:1" x14ac:dyDescent="0.25">
      <c r="A255" s="124" t="s">
        <v>466</v>
      </c>
    </row>
    <row r="256" spans="1:1" x14ac:dyDescent="0.25">
      <c r="A256" s="123" t="s">
        <v>467</v>
      </c>
    </row>
    <row r="257" spans="1:1" x14ac:dyDescent="0.25">
      <c r="A257" s="29" t="s">
        <v>468</v>
      </c>
    </row>
    <row r="258" spans="1:1" x14ac:dyDescent="0.25">
      <c r="A258" s="124" t="s">
        <v>469</v>
      </c>
    </row>
    <row r="259" spans="1:1" x14ac:dyDescent="0.25">
      <c r="A259" s="124" t="s">
        <v>470</v>
      </c>
    </row>
    <row r="260" spans="1:1" x14ac:dyDescent="0.25">
      <c r="A260" t="s">
        <v>471</v>
      </c>
    </row>
    <row r="261" spans="1:1" x14ac:dyDescent="0.25">
      <c r="A261" s="29" t="s">
        <v>472</v>
      </c>
    </row>
    <row r="262" spans="1:1" x14ac:dyDescent="0.25">
      <c r="A262" s="124" t="s">
        <v>473</v>
      </c>
    </row>
    <row r="263" spans="1:1" x14ac:dyDescent="0.25">
      <c r="A263" s="124" t="s">
        <v>474</v>
      </c>
    </row>
    <row r="264" spans="1:1" x14ac:dyDescent="0.25">
      <c r="A264" s="124" t="s">
        <v>475</v>
      </c>
    </row>
    <row r="265" spans="1:1" x14ac:dyDescent="0.25">
      <c r="A265" s="29" t="s">
        <v>476</v>
      </c>
    </row>
    <row r="266" spans="1:1" x14ac:dyDescent="0.25">
      <c r="A266" s="123" t="s">
        <v>477</v>
      </c>
    </row>
    <row r="267" spans="1:1" x14ac:dyDescent="0.25">
      <c r="A267" s="124" t="s">
        <v>478</v>
      </c>
    </row>
    <row r="268" spans="1:1" x14ac:dyDescent="0.25">
      <c r="A268" t="s">
        <v>479</v>
      </c>
    </row>
    <row r="269" spans="1:1" x14ac:dyDescent="0.25">
      <c r="A269" s="123" t="s">
        <v>480</v>
      </c>
    </row>
    <row r="270" spans="1:1" x14ac:dyDescent="0.25">
      <c r="A270" s="123" t="s">
        <v>481</v>
      </c>
    </row>
    <row r="271" spans="1:1" x14ac:dyDescent="0.25">
      <c r="A271" s="29" t="s">
        <v>482</v>
      </c>
    </row>
    <row r="272" spans="1:1" x14ac:dyDescent="0.25">
      <c r="A272" s="29" t="s">
        <v>483</v>
      </c>
    </row>
    <row r="273" spans="1:1" x14ac:dyDescent="0.25">
      <c r="A273" s="29" t="s">
        <v>484</v>
      </c>
    </row>
    <row r="274" spans="1:1" x14ac:dyDescent="0.25">
      <c r="A274" t="s">
        <v>485</v>
      </c>
    </row>
    <row r="275" spans="1:1" ht="255" x14ac:dyDescent="0.25">
      <c r="A275" s="125" t="s">
        <v>486</v>
      </c>
    </row>
    <row r="276" spans="1:1" ht="270" x14ac:dyDescent="0.25">
      <c r="A276" s="125" t="s">
        <v>487</v>
      </c>
    </row>
    <row r="277" spans="1:1" x14ac:dyDescent="0.25">
      <c r="A277" s="124" t="s">
        <v>488</v>
      </c>
    </row>
    <row r="278" spans="1:1" x14ac:dyDescent="0.25">
      <c r="A278" s="123" t="s">
        <v>489</v>
      </c>
    </row>
    <row r="279" spans="1:1" x14ac:dyDescent="0.25">
      <c r="A279" s="124" t="s">
        <v>490</v>
      </c>
    </row>
    <row r="280" spans="1:1" x14ac:dyDescent="0.25">
      <c r="A280" t="s">
        <v>491</v>
      </c>
    </row>
    <row r="281" spans="1:1" x14ac:dyDescent="0.25">
      <c r="A281" s="123" t="s">
        <v>492</v>
      </c>
    </row>
    <row r="282" spans="1:1" x14ac:dyDescent="0.25">
      <c r="A282" s="123" t="s">
        <v>493</v>
      </c>
    </row>
    <row r="283" spans="1:1" x14ac:dyDescent="0.25">
      <c r="A283" s="123" t="s">
        <v>494</v>
      </c>
    </row>
    <row r="284" spans="1:1" x14ac:dyDescent="0.25">
      <c r="A284" s="124" t="s">
        <v>495</v>
      </c>
    </row>
    <row r="285" spans="1:1" x14ac:dyDescent="0.25">
      <c r="A285" t="s">
        <v>496</v>
      </c>
    </row>
    <row r="286" spans="1:1" x14ac:dyDescent="0.25">
      <c r="A286" s="123" t="s">
        <v>497</v>
      </c>
    </row>
    <row r="287" spans="1:1" x14ac:dyDescent="0.25">
      <c r="A287" s="123" t="s">
        <v>498</v>
      </c>
    </row>
    <row r="288" spans="1:1" x14ac:dyDescent="0.25">
      <c r="A288" s="29" t="s">
        <v>499</v>
      </c>
    </row>
    <row r="289" spans="1:1" x14ac:dyDescent="0.25">
      <c r="A289" s="29" t="s">
        <v>500</v>
      </c>
    </row>
    <row r="290" spans="1:1" x14ac:dyDescent="0.25">
      <c r="A290" s="29" t="s">
        <v>501</v>
      </c>
    </row>
    <row r="291" spans="1:1" x14ac:dyDescent="0.25">
      <c r="A291" t="s">
        <v>502</v>
      </c>
    </row>
    <row r="292" spans="1:1" x14ac:dyDescent="0.25">
      <c r="A292" s="124" t="s">
        <v>503</v>
      </c>
    </row>
    <row r="293" spans="1:1" x14ac:dyDescent="0.25">
      <c r="A293" s="123" t="s">
        <v>504</v>
      </c>
    </row>
    <row r="294" spans="1:1" x14ac:dyDescent="0.25">
      <c r="A294" s="124" t="s">
        <v>505</v>
      </c>
    </row>
    <row r="295" spans="1:1" x14ac:dyDescent="0.25">
      <c r="A295" t="s">
        <v>506</v>
      </c>
    </row>
    <row r="296" spans="1:1" x14ac:dyDescent="0.25">
      <c r="A296" s="123" t="s">
        <v>507</v>
      </c>
    </row>
    <row r="297" spans="1:1" x14ac:dyDescent="0.25">
      <c r="A297" s="123" t="s">
        <v>508</v>
      </c>
    </row>
    <row r="298" spans="1:1" x14ac:dyDescent="0.25">
      <c r="A298" s="124" t="s">
        <v>509</v>
      </c>
    </row>
    <row r="299" spans="1:1" x14ac:dyDescent="0.25">
      <c r="A299" t="s">
        <v>510</v>
      </c>
    </row>
    <row r="300" spans="1:1" x14ac:dyDescent="0.25">
      <c r="A300" s="124" t="s">
        <v>511</v>
      </c>
    </row>
    <row r="301" spans="1:1" x14ac:dyDescent="0.25">
      <c r="A301" s="29" t="s">
        <v>512</v>
      </c>
    </row>
    <row r="302" spans="1:1" ht="255" x14ac:dyDescent="0.25">
      <c r="A302" s="125" t="s">
        <v>513</v>
      </c>
    </row>
    <row r="303" spans="1:1" ht="270" x14ac:dyDescent="0.25">
      <c r="A303" s="125" t="s">
        <v>514</v>
      </c>
    </row>
    <row r="304" spans="1:1" x14ac:dyDescent="0.25">
      <c r="A304" s="124" t="s">
        <v>515</v>
      </c>
    </row>
    <row r="305" spans="1:1" x14ac:dyDescent="0.25">
      <c r="A305" s="123" t="s">
        <v>516</v>
      </c>
    </row>
    <row r="306" spans="1:1" x14ac:dyDescent="0.25">
      <c r="A306" s="124" t="s">
        <v>517</v>
      </c>
    </row>
    <row r="307" spans="1:1" x14ac:dyDescent="0.25">
      <c r="A307" t="s">
        <v>518</v>
      </c>
    </row>
    <row r="308" spans="1:1" x14ac:dyDescent="0.25">
      <c r="A308" s="123" t="s">
        <v>519</v>
      </c>
    </row>
    <row r="309" spans="1:1" x14ac:dyDescent="0.25">
      <c r="A309" s="123" t="s">
        <v>520</v>
      </c>
    </row>
    <row r="310" spans="1:1" x14ac:dyDescent="0.25">
      <c r="A310" s="124" t="s">
        <v>521</v>
      </c>
    </row>
    <row r="311" spans="1:1" x14ac:dyDescent="0.25">
      <c r="A311" s="123" t="s">
        <v>522</v>
      </c>
    </row>
    <row r="312" spans="1:1" x14ac:dyDescent="0.25">
      <c r="A312" s="124" t="s">
        <v>523</v>
      </c>
    </row>
    <row r="313" spans="1:1" x14ac:dyDescent="0.25">
      <c r="A313" t="s">
        <v>524</v>
      </c>
    </row>
    <row r="314" spans="1:1" x14ac:dyDescent="0.25">
      <c r="A314" s="123" t="s">
        <v>525</v>
      </c>
    </row>
    <row r="315" spans="1:1" x14ac:dyDescent="0.25">
      <c r="A315" s="123" t="s">
        <v>526</v>
      </c>
    </row>
    <row r="336" spans="1:1" x14ac:dyDescent="0.25">
      <c r="A336" s="124" t="s">
        <v>527</v>
      </c>
    </row>
    <row r="337" spans="1:1" x14ac:dyDescent="0.25">
      <c r="A337" s="124" t="s">
        <v>528</v>
      </c>
    </row>
    <row r="338" spans="1:1" x14ac:dyDescent="0.25">
      <c r="A338" t="s">
        <v>529</v>
      </c>
    </row>
    <row r="339" spans="1:1" x14ac:dyDescent="0.25">
      <c r="A339" s="124" t="s">
        <v>530</v>
      </c>
    </row>
    <row r="340" spans="1:1" x14ac:dyDescent="0.25">
      <c r="A340" s="124" t="s">
        <v>531</v>
      </c>
    </row>
    <row r="341" spans="1:1" x14ac:dyDescent="0.25">
      <c r="A341" s="124" t="s">
        <v>532</v>
      </c>
    </row>
    <row r="342" spans="1:1" x14ac:dyDescent="0.25">
      <c r="A342" s="29" t="s">
        <v>533</v>
      </c>
    </row>
    <row r="343" spans="1:1" x14ac:dyDescent="0.25">
      <c r="A343" s="123" t="s">
        <v>534</v>
      </c>
    </row>
    <row r="344" spans="1:1" x14ac:dyDescent="0.25">
      <c r="A344" s="124" t="s">
        <v>535</v>
      </c>
    </row>
    <row r="345" spans="1:1" x14ac:dyDescent="0.25">
      <c r="A345" t="s">
        <v>536</v>
      </c>
    </row>
    <row r="346" spans="1:1" x14ac:dyDescent="0.25">
      <c r="A346" s="123" t="s">
        <v>537</v>
      </c>
    </row>
    <row r="347" spans="1:1" x14ac:dyDescent="0.25">
      <c r="A347" s="123" t="s">
        <v>538</v>
      </c>
    </row>
    <row r="348" spans="1:1" x14ac:dyDescent="0.25">
      <c r="A348" s="29" t="s">
        <v>539</v>
      </c>
    </row>
    <row r="349" spans="1:1" x14ac:dyDescent="0.25">
      <c r="A349" s="29" t="s">
        <v>540</v>
      </c>
    </row>
    <row r="350" spans="1:1" x14ac:dyDescent="0.25">
      <c r="A350" s="29" t="s">
        <v>541</v>
      </c>
    </row>
    <row r="351" spans="1:1" x14ac:dyDescent="0.25">
      <c r="A351" t="s">
        <v>542</v>
      </c>
    </row>
    <row r="352" spans="1:1" ht="255" x14ac:dyDescent="0.25">
      <c r="A352" s="125" t="s">
        <v>543</v>
      </c>
    </row>
    <row r="353" spans="1:1" ht="270" x14ac:dyDescent="0.25">
      <c r="A353" s="125" t="s">
        <v>544</v>
      </c>
    </row>
    <row r="354" spans="1:1" x14ac:dyDescent="0.25">
      <c r="A354" s="124" t="s">
        <v>545</v>
      </c>
    </row>
    <row r="355" spans="1:1" x14ac:dyDescent="0.25">
      <c r="A355" s="123" t="s">
        <v>546</v>
      </c>
    </row>
    <row r="356" spans="1:1" x14ac:dyDescent="0.25">
      <c r="A356" s="124" t="s">
        <v>547</v>
      </c>
    </row>
    <row r="357" spans="1:1" x14ac:dyDescent="0.25">
      <c r="A357" t="s">
        <v>548</v>
      </c>
    </row>
    <row r="358" spans="1:1" x14ac:dyDescent="0.25">
      <c r="A358" s="123" t="s">
        <v>549</v>
      </c>
    </row>
    <row r="359" spans="1:1" x14ac:dyDescent="0.25">
      <c r="A359" s="123" t="s">
        <v>550</v>
      </c>
    </row>
    <row r="360" spans="1:1" x14ac:dyDescent="0.25">
      <c r="A360" s="123" t="s">
        <v>551</v>
      </c>
    </row>
    <row r="361" spans="1:1" x14ac:dyDescent="0.25">
      <c r="A361" s="124" t="s">
        <v>552</v>
      </c>
    </row>
    <row r="362" spans="1:1" x14ac:dyDescent="0.25">
      <c r="A362" t="s">
        <v>553</v>
      </c>
    </row>
    <row r="363" spans="1:1" x14ac:dyDescent="0.25">
      <c r="A363" s="123" t="s">
        <v>554</v>
      </c>
    </row>
    <row r="364" spans="1:1" x14ac:dyDescent="0.25">
      <c r="A364" s="123" t="s">
        <v>555</v>
      </c>
    </row>
    <row r="365" spans="1:1" x14ac:dyDescent="0.25">
      <c r="A365" s="29" t="s">
        <v>556</v>
      </c>
    </row>
    <row r="366" spans="1:1" x14ac:dyDescent="0.25">
      <c r="A366" s="29" t="s">
        <v>557</v>
      </c>
    </row>
    <row r="367" spans="1:1" x14ac:dyDescent="0.25">
      <c r="A367" s="29" t="s">
        <v>558</v>
      </c>
    </row>
    <row r="368" spans="1:1" x14ac:dyDescent="0.25">
      <c r="A368" t="s">
        <v>559</v>
      </c>
    </row>
    <row r="369" spans="1:1" x14ac:dyDescent="0.25">
      <c r="A369" s="124" t="s">
        <v>560</v>
      </c>
    </row>
    <row r="370" spans="1:1" x14ac:dyDescent="0.25">
      <c r="A370" s="123" t="s">
        <v>561</v>
      </c>
    </row>
    <row r="371" spans="1:1" x14ac:dyDescent="0.25">
      <c r="A371" s="124" t="s">
        <v>562</v>
      </c>
    </row>
    <row r="372" spans="1:1" x14ac:dyDescent="0.25">
      <c r="A372" t="s">
        <v>563</v>
      </c>
    </row>
    <row r="373" spans="1:1" x14ac:dyDescent="0.25">
      <c r="A373" s="123" t="s">
        <v>564</v>
      </c>
    </row>
    <row r="374" spans="1:1" x14ac:dyDescent="0.25">
      <c r="A374" s="123" t="s">
        <v>565</v>
      </c>
    </row>
    <row r="375" spans="1:1" x14ac:dyDescent="0.25">
      <c r="A375" s="124" t="s">
        <v>566</v>
      </c>
    </row>
    <row r="376" spans="1:1" x14ac:dyDescent="0.25">
      <c r="A376" t="s">
        <v>567</v>
      </c>
    </row>
    <row r="377" spans="1:1" x14ac:dyDescent="0.25">
      <c r="A377" s="124" t="s">
        <v>568</v>
      </c>
    </row>
    <row r="378" spans="1:1" x14ac:dyDescent="0.25">
      <c r="A378" s="29" t="s">
        <v>569</v>
      </c>
    </row>
    <row r="379" spans="1:1" ht="255" x14ac:dyDescent="0.25">
      <c r="A379" s="125" t="s">
        <v>570</v>
      </c>
    </row>
    <row r="380" spans="1:1" ht="270" x14ac:dyDescent="0.25">
      <c r="A380" s="125" t="s">
        <v>571</v>
      </c>
    </row>
    <row r="381" spans="1:1" x14ac:dyDescent="0.25">
      <c r="A381" s="124" t="s">
        <v>572</v>
      </c>
    </row>
    <row r="382" spans="1:1" x14ac:dyDescent="0.25">
      <c r="A382" s="123" t="s">
        <v>573</v>
      </c>
    </row>
    <row r="383" spans="1:1" x14ac:dyDescent="0.25">
      <c r="A383" s="124" t="s">
        <v>574</v>
      </c>
    </row>
    <row r="384" spans="1:1" x14ac:dyDescent="0.25">
      <c r="A384" t="s">
        <v>575</v>
      </c>
    </row>
    <row r="385" spans="1:1" x14ac:dyDescent="0.25">
      <c r="A385" s="123" t="s">
        <v>576</v>
      </c>
    </row>
    <row r="386" spans="1:1" x14ac:dyDescent="0.25">
      <c r="A386" s="123" t="s">
        <v>577</v>
      </c>
    </row>
    <row r="387" spans="1:1" x14ac:dyDescent="0.25">
      <c r="A387" s="124" t="s">
        <v>578</v>
      </c>
    </row>
    <row r="388" spans="1:1" x14ac:dyDescent="0.25">
      <c r="A388" s="123" t="s">
        <v>579</v>
      </c>
    </row>
    <row r="389" spans="1:1" x14ac:dyDescent="0.25">
      <c r="A389" s="124" t="s">
        <v>580</v>
      </c>
    </row>
    <row r="390" spans="1:1" x14ac:dyDescent="0.25">
      <c r="A390" t="s">
        <v>581</v>
      </c>
    </row>
    <row r="391" spans="1:1" x14ac:dyDescent="0.25">
      <c r="A391" s="123" t="s">
        <v>582</v>
      </c>
    </row>
    <row r="392" spans="1:1" x14ac:dyDescent="0.25">
      <c r="A392" s="123" t="s">
        <v>583</v>
      </c>
    </row>
    <row r="393" spans="1:1" x14ac:dyDescent="0.25">
      <c r="A393" s="124" t="s">
        <v>584</v>
      </c>
    </row>
    <row r="394" spans="1:1" x14ac:dyDescent="0.25">
      <c r="A394" s="124" t="s">
        <v>585</v>
      </c>
    </row>
    <row r="395" spans="1:1" x14ac:dyDescent="0.25">
      <c r="A395" t="s">
        <v>586</v>
      </c>
    </row>
    <row r="396" spans="1:1" x14ac:dyDescent="0.25">
      <c r="A396" s="29" t="s">
        <v>587</v>
      </c>
    </row>
    <row r="397" spans="1:1" x14ac:dyDescent="0.25">
      <c r="A397" s="124" t="s">
        <v>588</v>
      </c>
    </row>
    <row r="398" spans="1:1" x14ac:dyDescent="0.25">
      <c r="A398" s="124" t="s">
        <v>589</v>
      </c>
    </row>
    <row r="399" spans="1:1" x14ac:dyDescent="0.25">
      <c r="A399" s="124" t="s">
        <v>590</v>
      </c>
    </row>
    <row r="400" spans="1:1" x14ac:dyDescent="0.25">
      <c r="A400" s="29" t="s">
        <v>591</v>
      </c>
    </row>
    <row r="401" spans="1:1" x14ac:dyDescent="0.25">
      <c r="A401" s="123" t="s">
        <v>592</v>
      </c>
    </row>
    <row r="402" spans="1:1" x14ac:dyDescent="0.25">
      <c r="A402" s="124" t="s">
        <v>593</v>
      </c>
    </row>
    <row r="403" spans="1:1" x14ac:dyDescent="0.25">
      <c r="A403" t="s">
        <v>594</v>
      </c>
    </row>
    <row r="404" spans="1:1" x14ac:dyDescent="0.25">
      <c r="A404" s="123" t="s">
        <v>595</v>
      </c>
    </row>
    <row r="405" spans="1:1" x14ac:dyDescent="0.25">
      <c r="A405" s="123" t="s">
        <v>596</v>
      </c>
    </row>
    <row r="406" spans="1:1" x14ac:dyDescent="0.25">
      <c r="A406" s="29" t="s">
        <v>597</v>
      </c>
    </row>
    <row r="407" spans="1:1" x14ac:dyDescent="0.25">
      <c r="A407" s="29" t="s">
        <v>598</v>
      </c>
    </row>
    <row r="408" spans="1:1" x14ac:dyDescent="0.25">
      <c r="A408" s="29" t="s">
        <v>599</v>
      </c>
    </row>
    <row r="409" spans="1:1" x14ac:dyDescent="0.25">
      <c r="A409" t="s">
        <v>600</v>
      </c>
    </row>
    <row r="410" spans="1:1" ht="255" x14ac:dyDescent="0.25">
      <c r="A410" s="125" t="s">
        <v>601</v>
      </c>
    </row>
    <row r="411" spans="1:1" ht="270" x14ac:dyDescent="0.25">
      <c r="A411" s="125" t="s">
        <v>602</v>
      </c>
    </row>
    <row r="412" spans="1:1" x14ac:dyDescent="0.25">
      <c r="A412" s="124" t="s">
        <v>603</v>
      </c>
    </row>
    <row r="413" spans="1:1" x14ac:dyDescent="0.25">
      <c r="A413" s="123" t="s">
        <v>604</v>
      </c>
    </row>
    <row r="414" spans="1:1" x14ac:dyDescent="0.25">
      <c r="A414" s="124" t="s">
        <v>605</v>
      </c>
    </row>
    <row r="415" spans="1:1" x14ac:dyDescent="0.25">
      <c r="A415" t="s">
        <v>606</v>
      </c>
    </row>
    <row r="416" spans="1:1" x14ac:dyDescent="0.25">
      <c r="A416" s="123" t="s">
        <v>607</v>
      </c>
    </row>
    <row r="417" spans="1:1" x14ac:dyDescent="0.25">
      <c r="A417" s="123" t="s">
        <v>608</v>
      </c>
    </row>
    <row r="418" spans="1:1" x14ac:dyDescent="0.25">
      <c r="A418" s="123" t="s">
        <v>609</v>
      </c>
    </row>
    <row r="419" spans="1:1" x14ac:dyDescent="0.25">
      <c r="A419" s="124" t="s">
        <v>610</v>
      </c>
    </row>
    <row r="420" spans="1:1" x14ac:dyDescent="0.25">
      <c r="A420" t="s">
        <v>611</v>
      </c>
    </row>
    <row r="421" spans="1:1" x14ac:dyDescent="0.25">
      <c r="A421" s="123" t="s">
        <v>612</v>
      </c>
    </row>
    <row r="422" spans="1:1" x14ac:dyDescent="0.25">
      <c r="A422" s="123" t="s">
        <v>613</v>
      </c>
    </row>
    <row r="423" spans="1:1" x14ac:dyDescent="0.25">
      <c r="A423" s="29" t="s">
        <v>614</v>
      </c>
    </row>
    <row r="424" spans="1:1" x14ac:dyDescent="0.25">
      <c r="A424" s="29" t="s">
        <v>615</v>
      </c>
    </row>
    <row r="425" spans="1:1" x14ac:dyDescent="0.25">
      <c r="A425" s="29" t="s">
        <v>616</v>
      </c>
    </row>
    <row r="426" spans="1:1" x14ac:dyDescent="0.25">
      <c r="A426" t="s">
        <v>617</v>
      </c>
    </row>
    <row r="427" spans="1:1" x14ac:dyDescent="0.25">
      <c r="A427" s="124" t="s">
        <v>618</v>
      </c>
    </row>
    <row r="428" spans="1:1" x14ac:dyDescent="0.25">
      <c r="A428" s="123" t="s">
        <v>619</v>
      </c>
    </row>
    <row r="429" spans="1:1" x14ac:dyDescent="0.25">
      <c r="A429" s="124" t="s">
        <v>620</v>
      </c>
    </row>
    <row r="430" spans="1:1" x14ac:dyDescent="0.25">
      <c r="A430" t="s">
        <v>621</v>
      </c>
    </row>
    <row r="431" spans="1:1" x14ac:dyDescent="0.25">
      <c r="A431" s="123" t="s">
        <v>622</v>
      </c>
    </row>
    <row r="432" spans="1:1" x14ac:dyDescent="0.25">
      <c r="A432" s="123" t="s">
        <v>623</v>
      </c>
    </row>
    <row r="433" spans="1:1" x14ac:dyDescent="0.25">
      <c r="A433" s="124" t="s">
        <v>624</v>
      </c>
    </row>
    <row r="434" spans="1:1" x14ac:dyDescent="0.25">
      <c r="A434" t="s">
        <v>625</v>
      </c>
    </row>
    <row r="435" spans="1:1" x14ac:dyDescent="0.25">
      <c r="A435" s="124" t="s">
        <v>626</v>
      </c>
    </row>
    <row r="436" spans="1:1" x14ac:dyDescent="0.25">
      <c r="A436" s="29" t="s">
        <v>627</v>
      </c>
    </row>
    <row r="437" spans="1:1" ht="255" x14ac:dyDescent="0.25">
      <c r="A437" s="125" t="s">
        <v>628</v>
      </c>
    </row>
    <row r="438" spans="1:1" ht="270" x14ac:dyDescent="0.25">
      <c r="A438" s="125" t="s">
        <v>629</v>
      </c>
    </row>
    <row r="439" spans="1:1" x14ac:dyDescent="0.25">
      <c r="A439" s="124" t="s">
        <v>630</v>
      </c>
    </row>
    <row r="440" spans="1:1" x14ac:dyDescent="0.25">
      <c r="A440" s="123" t="s">
        <v>631</v>
      </c>
    </row>
    <row r="441" spans="1:1" x14ac:dyDescent="0.25">
      <c r="A441" s="124" t="s">
        <v>632</v>
      </c>
    </row>
    <row r="442" spans="1:1" x14ac:dyDescent="0.25">
      <c r="A442" t="s">
        <v>633</v>
      </c>
    </row>
    <row r="443" spans="1:1" x14ac:dyDescent="0.25">
      <c r="A443" s="123" t="s">
        <v>634</v>
      </c>
    </row>
    <row r="444" spans="1:1" x14ac:dyDescent="0.25">
      <c r="A444" s="123" t="s">
        <v>635</v>
      </c>
    </row>
    <row r="445" spans="1:1" x14ac:dyDescent="0.25">
      <c r="A445" s="124" t="s">
        <v>636</v>
      </c>
    </row>
    <row r="446" spans="1:1" x14ac:dyDescent="0.25">
      <c r="A446" s="123" t="s">
        <v>637</v>
      </c>
    </row>
    <row r="447" spans="1:1" x14ac:dyDescent="0.25">
      <c r="A447" s="124" t="s">
        <v>638</v>
      </c>
    </row>
    <row r="448" spans="1:1" x14ac:dyDescent="0.25">
      <c r="A448" t="s">
        <v>639</v>
      </c>
    </row>
    <row r="449" spans="1:1" x14ac:dyDescent="0.25">
      <c r="A449" s="123" t="s">
        <v>640</v>
      </c>
    </row>
    <row r="450" spans="1:1" x14ac:dyDescent="0.25">
      <c r="A450" s="123" t="s">
        <v>641</v>
      </c>
    </row>
    <row r="451" spans="1:1" x14ac:dyDescent="0.25">
      <c r="A451" s="124" t="s">
        <v>642</v>
      </c>
    </row>
    <row r="452" spans="1:1" x14ac:dyDescent="0.25">
      <c r="A452" s="124" t="s">
        <v>643</v>
      </c>
    </row>
    <row r="453" spans="1:1" x14ac:dyDescent="0.25">
      <c r="A453" t="s">
        <v>644</v>
      </c>
    </row>
    <row r="454" spans="1:1" x14ac:dyDescent="0.25">
      <c r="A454" s="124" t="s">
        <v>645</v>
      </c>
    </row>
    <row r="455" spans="1:1" x14ac:dyDescent="0.25">
      <c r="A455" s="124" t="s">
        <v>646</v>
      </c>
    </row>
    <row r="456" spans="1:1" x14ac:dyDescent="0.25">
      <c r="A456" s="124" t="s">
        <v>647</v>
      </c>
    </row>
    <row r="457" spans="1:1" x14ac:dyDescent="0.25">
      <c r="A457" s="29" t="s">
        <v>648</v>
      </c>
    </row>
    <row r="458" spans="1:1" x14ac:dyDescent="0.25">
      <c r="A458" s="124" t="s">
        <v>649</v>
      </c>
    </row>
    <row r="459" spans="1:1" x14ac:dyDescent="0.25">
      <c r="A459" t="s">
        <v>650</v>
      </c>
    </row>
    <row r="460" spans="1:1" x14ac:dyDescent="0.25">
      <c r="A460" s="29" t="s">
        <v>651</v>
      </c>
    </row>
    <row r="461" spans="1:1" x14ac:dyDescent="0.25">
      <c r="A461" s="124" t="s">
        <v>652</v>
      </c>
    </row>
    <row r="462" spans="1:1" x14ac:dyDescent="0.25">
      <c r="A462" s="123" t="s">
        <v>653</v>
      </c>
    </row>
    <row r="463" spans="1:1" x14ac:dyDescent="0.25">
      <c r="A463" s="124" t="s">
        <v>654</v>
      </c>
    </row>
    <row r="464" spans="1:1" x14ac:dyDescent="0.25">
      <c r="A464" t="s">
        <v>655</v>
      </c>
    </row>
    <row r="465" spans="1:1" x14ac:dyDescent="0.25">
      <c r="A465" s="123" t="s">
        <v>656</v>
      </c>
    </row>
    <row r="466" spans="1:1" x14ac:dyDescent="0.25">
      <c r="A466" s="123" t="s">
        <v>657</v>
      </c>
    </row>
    <row r="467" spans="1:1" x14ac:dyDescent="0.25">
      <c r="A467" s="29" t="s">
        <v>658</v>
      </c>
    </row>
    <row r="468" spans="1:1" x14ac:dyDescent="0.25">
      <c r="A468" s="29" t="s">
        <v>659</v>
      </c>
    </row>
    <row r="469" spans="1:1" x14ac:dyDescent="0.25">
      <c r="A469" s="29" t="s">
        <v>660</v>
      </c>
    </row>
    <row r="470" spans="1:1" x14ac:dyDescent="0.25">
      <c r="A470" t="s">
        <v>661</v>
      </c>
    </row>
    <row r="471" spans="1:1" ht="255" x14ac:dyDescent="0.25">
      <c r="A471" s="125" t="s">
        <v>662</v>
      </c>
    </row>
    <row r="472" spans="1:1" ht="270" x14ac:dyDescent="0.25">
      <c r="A472" s="125" t="s">
        <v>663</v>
      </c>
    </row>
    <row r="473" spans="1:1" x14ac:dyDescent="0.25">
      <c r="A473" s="124" t="s">
        <v>664</v>
      </c>
    </row>
    <row r="474" spans="1:1" x14ac:dyDescent="0.25">
      <c r="A474" s="123" t="s">
        <v>665</v>
      </c>
    </row>
    <row r="475" spans="1:1" x14ac:dyDescent="0.25">
      <c r="A475" s="124" t="s">
        <v>666</v>
      </c>
    </row>
    <row r="476" spans="1:1" x14ac:dyDescent="0.25">
      <c r="A476" t="s">
        <v>667</v>
      </c>
    </row>
    <row r="477" spans="1:1" x14ac:dyDescent="0.25">
      <c r="A477" s="123" t="s">
        <v>668</v>
      </c>
    </row>
    <row r="478" spans="1:1" x14ac:dyDescent="0.25">
      <c r="A478" s="123" t="s">
        <v>669</v>
      </c>
    </row>
    <row r="479" spans="1:1" x14ac:dyDescent="0.25">
      <c r="A479" s="123" t="s">
        <v>670</v>
      </c>
    </row>
    <row r="480" spans="1:1" x14ac:dyDescent="0.25">
      <c r="A480" s="124" t="s">
        <v>671</v>
      </c>
    </row>
    <row r="481" spans="1:1" x14ac:dyDescent="0.25">
      <c r="A481" t="s">
        <v>672</v>
      </c>
    </row>
    <row r="482" spans="1:1" x14ac:dyDescent="0.25">
      <c r="A482" s="123" t="s">
        <v>673</v>
      </c>
    </row>
    <row r="483" spans="1:1" x14ac:dyDescent="0.25">
      <c r="A483" s="123" t="s">
        <v>674</v>
      </c>
    </row>
    <row r="484" spans="1:1" x14ac:dyDescent="0.25">
      <c r="A484" s="29" t="s">
        <v>675</v>
      </c>
    </row>
    <row r="485" spans="1:1" x14ac:dyDescent="0.25">
      <c r="A485" s="29" t="s">
        <v>676</v>
      </c>
    </row>
    <row r="486" spans="1:1" x14ac:dyDescent="0.25">
      <c r="A486" s="29" t="s">
        <v>677</v>
      </c>
    </row>
    <row r="487" spans="1:1" x14ac:dyDescent="0.25">
      <c r="A487" t="s">
        <v>678</v>
      </c>
    </row>
    <row r="488" spans="1:1" x14ac:dyDescent="0.25">
      <c r="A488" s="124" t="s">
        <v>679</v>
      </c>
    </row>
    <row r="489" spans="1:1" x14ac:dyDescent="0.25">
      <c r="A489" s="123" t="s">
        <v>680</v>
      </c>
    </row>
    <row r="490" spans="1:1" x14ac:dyDescent="0.25">
      <c r="A490" s="124" t="s">
        <v>681</v>
      </c>
    </row>
    <row r="491" spans="1:1" x14ac:dyDescent="0.25">
      <c r="A491" t="s">
        <v>682</v>
      </c>
    </row>
    <row r="492" spans="1:1" x14ac:dyDescent="0.25">
      <c r="A492" s="123" t="s">
        <v>683</v>
      </c>
    </row>
    <row r="493" spans="1:1" x14ac:dyDescent="0.25">
      <c r="A493" s="123" t="s">
        <v>684</v>
      </c>
    </row>
    <row r="494" spans="1:1" x14ac:dyDescent="0.25">
      <c r="A494" s="29" t="s">
        <v>685</v>
      </c>
    </row>
    <row r="495" spans="1:1" ht="255" x14ac:dyDescent="0.25">
      <c r="A495" s="125" t="s">
        <v>686</v>
      </c>
    </row>
    <row r="496" spans="1:1" ht="270" x14ac:dyDescent="0.25">
      <c r="A496" s="125" t="s">
        <v>687</v>
      </c>
    </row>
    <row r="497" spans="1:1" x14ac:dyDescent="0.25">
      <c r="A497" s="124" t="s">
        <v>688</v>
      </c>
    </row>
    <row r="498" spans="1:1" x14ac:dyDescent="0.25">
      <c r="A498" s="123" t="s">
        <v>689</v>
      </c>
    </row>
    <row r="499" spans="1:1" x14ac:dyDescent="0.25">
      <c r="A499" s="124" t="s">
        <v>690</v>
      </c>
    </row>
    <row r="500" spans="1:1" x14ac:dyDescent="0.25">
      <c r="A500" t="s">
        <v>691</v>
      </c>
    </row>
    <row r="501" spans="1:1" x14ac:dyDescent="0.25">
      <c r="A501" s="123" t="s">
        <v>692</v>
      </c>
    </row>
    <row r="502" spans="1:1" x14ac:dyDescent="0.25">
      <c r="A502" s="123" t="s">
        <v>693</v>
      </c>
    </row>
    <row r="503" spans="1:1" x14ac:dyDescent="0.25">
      <c r="A503" s="124" t="s">
        <v>694</v>
      </c>
    </row>
    <row r="504" spans="1:1" x14ac:dyDescent="0.25">
      <c r="A504" s="123" t="s">
        <v>695</v>
      </c>
    </row>
    <row r="505" spans="1:1" x14ac:dyDescent="0.25">
      <c r="A505" s="124" t="s">
        <v>696</v>
      </c>
    </row>
    <row r="506" spans="1:1" x14ac:dyDescent="0.25">
      <c r="A506" t="s">
        <v>697</v>
      </c>
    </row>
    <row r="507" spans="1:1" x14ac:dyDescent="0.25">
      <c r="A507" s="123" t="s">
        <v>698</v>
      </c>
    </row>
    <row r="508" spans="1:1" x14ac:dyDescent="0.25">
      <c r="A508" s="123" t="s">
        <v>699</v>
      </c>
    </row>
    <row r="509" spans="1:1" x14ac:dyDescent="0.25">
      <c r="A509" s="124" t="s">
        <v>700</v>
      </c>
    </row>
    <row r="510" spans="1:1" x14ac:dyDescent="0.25">
      <c r="A510" s="124" t="s">
        <v>701</v>
      </c>
    </row>
    <row r="511" spans="1:1" x14ac:dyDescent="0.25">
      <c r="A511" t="s">
        <v>702</v>
      </c>
    </row>
    <row r="512" spans="1:1" x14ac:dyDescent="0.25">
      <c r="A512" s="29" t="s">
        <v>703</v>
      </c>
    </row>
    <row r="513" spans="1:1" x14ac:dyDescent="0.25">
      <c r="A513" s="124" t="s">
        <v>704</v>
      </c>
    </row>
    <row r="514" spans="1:1" x14ac:dyDescent="0.25">
      <c r="A514" s="124" t="s">
        <v>705</v>
      </c>
    </row>
    <row r="515" spans="1:1" x14ac:dyDescent="0.25">
      <c r="A515" s="124" t="s">
        <v>706</v>
      </c>
    </row>
    <row r="516" spans="1:1" x14ac:dyDescent="0.25">
      <c r="A516" s="29" t="s">
        <v>707</v>
      </c>
    </row>
    <row r="517" spans="1:1" x14ac:dyDescent="0.25">
      <c r="A517" s="123" t="s">
        <v>708</v>
      </c>
    </row>
    <row r="518" spans="1:1" x14ac:dyDescent="0.25">
      <c r="A518" s="124" t="s">
        <v>709</v>
      </c>
    </row>
    <row r="519" spans="1:1" x14ac:dyDescent="0.25">
      <c r="A519" t="s">
        <v>710</v>
      </c>
    </row>
    <row r="520" spans="1:1" x14ac:dyDescent="0.25">
      <c r="A520" s="123" t="s">
        <v>711</v>
      </c>
    </row>
    <row r="521" spans="1:1" x14ac:dyDescent="0.25">
      <c r="A521" s="123" t="s">
        <v>712</v>
      </c>
    </row>
    <row r="522" spans="1:1" x14ac:dyDescent="0.25">
      <c r="A522" s="29" t="s">
        <v>713</v>
      </c>
    </row>
    <row r="523" spans="1:1" x14ac:dyDescent="0.25">
      <c r="A523" s="29" t="s">
        <v>714</v>
      </c>
    </row>
    <row r="524" spans="1:1" x14ac:dyDescent="0.25">
      <c r="A524" s="29" t="s">
        <v>715</v>
      </c>
    </row>
    <row r="525" spans="1:1" x14ac:dyDescent="0.25">
      <c r="A525" t="s">
        <v>716</v>
      </c>
    </row>
    <row r="526" spans="1:1" ht="255" x14ac:dyDescent="0.25">
      <c r="A526" s="125" t="s">
        <v>717</v>
      </c>
    </row>
    <row r="527" spans="1:1" ht="270" x14ac:dyDescent="0.25">
      <c r="A527" s="125" t="s">
        <v>718</v>
      </c>
    </row>
    <row r="528" spans="1:1" x14ac:dyDescent="0.25">
      <c r="A528" s="124" t="s">
        <v>719</v>
      </c>
    </row>
    <row r="529" spans="1:1" x14ac:dyDescent="0.25">
      <c r="A529" s="123" t="s">
        <v>720</v>
      </c>
    </row>
    <row r="530" spans="1:1" x14ac:dyDescent="0.25">
      <c r="A530" s="124" t="s">
        <v>721</v>
      </c>
    </row>
    <row r="531" spans="1:1" x14ac:dyDescent="0.25">
      <c r="A531" t="s">
        <v>722</v>
      </c>
    </row>
    <row r="532" spans="1:1" x14ac:dyDescent="0.25">
      <c r="A532" s="123" t="s">
        <v>723</v>
      </c>
    </row>
    <row r="533" spans="1:1" x14ac:dyDescent="0.25">
      <c r="A533" s="123" t="s">
        <v>724</v>
      </c>
    </row>
    <row r="534" spans="1:1" x14ac:dyDescent="0.25">
      <c r="A534" s="123" t="s">
        <v>725</v>
      </c>
    </row>
    <row r="535" spans="1:1" x14ac:dyDescent="0.25">
      <c r="A535" s="124" t="s">
        <v>726</v>
      </c>
    </row>
    <row r="536" spans="1:1" x14ac:dyDescent="0.25">
      <c r="A536" t="s">
        <v>727</v>
      </c>
    </row>
    <row r="537" spans="1:1" x14ac:dyDescent="0.25">
      <c r="A537" s="123" t="s">
        <v>728</v>
      </c>
    </row>
    <row r="538" spans="1:1" x14ac:dyDescent="0.25">
      <c r="A538" s="123" t="s">
        <v>729</v>
      </c>
    </row>
    <row r="539" spans="1:1" x14ac:dyDescent="0.25">
      <c r="A539" s="29" t="s">
        <v>730</v>
      </c>
    </row>
    <row r="540" spans="1:1" x14ac:dyDescent="0.25">
      <c r="A540" s="29" t="s">
        <v>731</v>
      </c>
    </row>
    <row r="541" spans="1:1" x14ac:dyDescent="0.25">
      <c r="A541" s="29" t="s">
        <v>732</v>
      </c>
    </row>
    <row r="542" spans="1:1" x14ac:dyDescent="0.25">
      <c r="A542" t="s">
        <v>733</v>
      </c>
    </row>
    <row r="543" spans="1:1" x14ac:dyDescent="0.25">
      <c r="A543" s="124" t="s">
        <v>734</v>
      </c>
    </row>
    <row r="544" spans="1:1" x14ac:dyDescent="0.25">
      <c r="A544" s="123" t="s">
        <v>735</v>
      </c>
    </row>
    <row r="545" spans="1:1" x14ac:dyDescent="0.25">
      <c r="A545" s="124" t="s">
        <v>736</v>
      </c>
    </row>
    <row r="546" spans="1:1" x14ac:dyDescent="0.25">
      <c r="A546" t="s">
        <v>737</v>
      </c>
    </row>
    <row r="547" spans="1:1" x14ac:dyDescent="0.25">
      <c r="A547" s="123" t="s">
        <v>738</v>
      </c>
    </row>
    <row r="548" spans="1:1" x14ac:dyDescent="0.25">
      <c r="A548" s="123" t="s">
        <v>739</v>
      </c>
    </row>
    <row r="549" spans="1:1" x14ac:dyDescent="0.25">
      <c r="A549" s="124" t="s">
        <v>740</v>
      </c>
    </row>
    <row r="550" spans="1:1" x14ac:dyDescent="0.25">
      <c r="A550" t="s">
        <v>741</v>
      </c>
    </row>
    <row r="551" spans="1:1" x14ac:dyDescent="0.25">
      <c r="A551" s="124" t="s">
        <v>742</v>
      </c>
    </row>
    <row r="552" spans="1:1" x14ac:dyDescent="0.25">
      <c r="A552" s="29" t="s">
        <v>743</v>
      </c>
    </row>
    <row r="553" spans="1:1" ht="255" x14ac:dyDescent="0.25">
      <c r="A553" s="125" t="s">
        <v>744</v>
      </c>
    </row>
    <row r="554" spans="1:1" ht="270" x14ac:dyDescent="0.25">
      <c r="A554" s="125" t="s">
        <v>745</v>
      </c>
    </row>
    <row r="555" spans="1:1" x14ac:dyDescent="0.25">
      <c r="A555" s="124" t="s">
        <v>746</v>
      </c>
    </row>
    <row r="556" spans="1:1" x14ac:dyDescent="0.25">
      <c r="A556" s="123" t="s">
        <v>747</v>
      </c>
    </row>
    <row r="557" spans="1:1" x14ac:dyDescent="0.25">
      <c r="A557" s="124" t="s">
        <v>748</v>
      </c>
    </row>
    <row r="558" spans="1:1" x14ac:dyDescent="0.25">
      <c r="A558" t="s">
        <v>749</v>
      </c>
    </row>
    <row r="559" spans="1:1" x14ac:dyDescent="0.25">
      <c r="A559" s="123" t="s">
        <v>750</v>
      </c>
    </row>
    <row r="560" spans="1:1" x14ac:dyDescent="0.25">
      <c r="A560" s="123" t="s">
        <v>751</v>
      </c>
    </row>
    <row r="561" spans="1:1" x14ac:dyDescent="0.25">
      <c r="A561" s="124" t="s">
        <v>752</v>
      </c>
    </row>
    <row r="562" spans="1:1" x14ac:dyDescent="0.25">
      <c r="A562" s="123" t="s">
        <v>753</v>
      </c>
    </row>
    <row r="563" spans="1:1" x14ac:dyDescent="0.25">
      <c r="A563" s="124" t="s">
        <v>754</v>
      </c>
    </row>
    <row r="564" spans="1:1" x14ac:dyDescent="0.25">
      <c r="A564" t="s">
        <v>755</v>
      </c>
    </row>
    <row r="565" spans="1:1" x14ac:dyDescent="0.25">
      <c r="A565" s="123" t="s">
        <v>756</v>
      </c>
    </row>
    <row r="566" spans="1:1" x14ac:dyDescent="0.25">
      <c r="A566" s="123" t="s">
        <v>757</v>
      </c>
    </row>
    <row r="567" spans="1:1" x14ac:dyDescent="0.25">
      <c r="A567" s="124" t="s">
        <v>758</v>
      </c>
    </row>
    <row r="568" spans="1:1" x14ac:dyDescent="0.25">
      <c r="A568" s="124" t="s">
        <v>759</v>
      </c>
    </row>
    <row r="569" spans="1:1" x14ac:dyDescent="0.25">
      <c r="A569" t="s">
        <v>760</v>
      </c>
    </row>
    <row r="570" spans="1:1" x14ac:dyDescent="0.25">
      <c r="A570" s="124" t="s">
        <v>761</v>
      </c>
    </row>
    <row r="571" spans="1:1" x14ac:dyDescent="0.25">
      <c r="A571" s="124" t="s">
        <v>762</v>
      </c>
    </row>
    <row r="572" spans="1:1" x14ac:dyDescent="0.25">
      <c r="A572" s="124" t="s">
        <v>763</v>
      </c>
    </row>
    <row r="573" spans="1:1" x14ac:dyDescent="0.25">
      <c r="A573" s="29" t="s">
        <v>764</v>
      </c>
    </row>
    <row r="574" spans="1:1" x14ac:dyDescent="0.25">
      <c r="A574" s="123" t="s">
        <v>765</v>
      </c>
    </row>
    <row r="575" spans="1:1" x14ac:dyDescent="0.25">
      <c r="A575" s="124" t="s">
        <v>766</v>
      </c>
    </row>
    <row r="576" spans="1:1" x14ac:dyDescent="0.25">
      <c r="A576" t="s">
        <v>767</v>
      </c>
    </row>
    <row r="577" spans="1:1" x14ac:dyDescent="0.25">
      <c r="A577" s="123" t="s">
        <v>768</v>
      </c>
    </row>
    <row r="578" spans="1:1" x14ac:dyDescent="0.25">
      <c r="A578" s="123" t="s">
        <v>769</v>
      </c>
    </row>
    <row r="579" spans="1:1" x14ac:dyDescent="0.25">
      <c r="A579" s="29" t="s">
        <v>770</v>
      </c>
    </row>
    <row r="580" spans="1:1" x14ac:dyDescent="0.25">
      <c r="A580" s="29" t="s">
        <v>771</v>
      </c>
    </row>
    <row r="581" spans="1:1" x14ac:dyDescent="0.25">
      <c r="A581" s="29" t="s">
        <v>772</v>
      </c>
    </row>
    <row r="582" spans="1:1" x14ac:dyDescent="0.25">
      <c r="A582" t="s">
        <v>773</v>
      </c>
    </row>
    <row r="583" spans="1:1" ht="255" x14ac:dyDescent="0.25">
      <c r="A583" s="125" t="s">
        <v>774</v>
      </c>
    </row>
    <row r="584" spans="1:1" ht="270" x14ac:dyDescent="0.25">
      <c r="A584" s="125" t="s">
        <v>775</v>
      </c>
    </row>
    <row r="585" spans="1:1" x14ac:dyDescent="0.25">
      <c r="A585" s="124" t="s">
        <v>776</v>
      </c>
    </row>
    <row r="586" spans="1:1" x14ac:dyDescent="0.25">
      <c r="A586" s="123" t="s">
        <v>777</v>
      </c>
    </row>
    <row r="587" spans="1:1" x14ac:dyDescent="0.25">
      <c r="A587" s="124" t="s">
        <v>778</v>
      </c>
    </row>
    <row r="588" spans="1:1" x14ac:dyDescent="0.25">
      <c r="A588" t="s">
        <v>779</v>
      </c>
    </row>
    <row r="589" spans="1:1" x14ac:dyDescent="0.25">
      <c r="A589" s="123" t="s">
        <v>780</v>
      </c>
    </row>
    <row r="590" spans="1:1" x14ac:dyDescent="0.25">
      <c r="A590" s="123" t="s">
        <v>781</v>
      </c>
    </row>
    <row r="591" spans="1:1" x14ac:dyDescent="0.25">
      <c r="A591" s="123" t="s">
        <v>782</v>
      </c>
    </row>
    <row r="592" spans="1:1" x14ac:dyDescent="0.25">
      <c r="A592" s="124" t="s">
        <v>783</v>
      </c>
    </row>
    <row r="593" spans="1:1" x14ac:dyDescent="0.25">
      <c r="A593" t="s">
        <v>784</v>
      </c>
    </row>
    <row r="594" spans="1:1" x14ac:dyDescent="0.25">
      <c r="A594" s="123" t="s">
        <v>785</v>
      </c>
    </row>
    <row r="595" spans="1:1" x14ac:dyDescent="0.25">
      <c r="A595" s="123" t="s">
        <v>786</v>
      </c>
    </row>
    <row r="596" spans="1:1" x14ac:dyDescent="0.25">
      <c r="A596" s="29" t="s">
        <v>787</v>
      </c>
    </row>
    <row r="597" spans="1:1" x14ac:dyDescent="0.25">
      <c r="A597" s="29" t="s">
        <v>788</v>
      </c>
    </row>
    <row r="598" spans="1:1" x14ac:dyDescent="0.25">
      <c r="A598" s="29" t="s">
        <v>789</v>
      </c>
    </row>
    <row r="599" spans="1:1" x14ac:dyDescent="0.25">
      <c r="A599" t="s">
        <v>790</v>
      </c>
    </row>
    <row r="600" spans="1:1" x14ac:dyDescent="0.25">
      <c r="A600" s="124" t="s">
        <v>791</v>
      </c>
    </row>
    <row r="601" spans="1:1" x14ac:dyDescent="0.25">
      <c r="A601" s="123" t="s">
        <v>792</v>
      </c>
    </row>
    <row r="602" spans="1:1" x14ac:dyDescent="0.25">
      <c r="A602" s="124" t="s">
        <v>793</v>
      </c>
    </row>
    <row r="603" spans="1:1" x14ac:dyDescent="0.25">
      <c r="A603" t="s">
        <v>794</v>
      </c>
    </row>
    <row r="604" spans="1:1" x14ac:dyDescent="0.25">
      <c r="A604" s="123" t="s">
        <v>795</v>
      </c>
    </row>
    <row r="605" spans="1:1" x14ac:dyDescent="0.25">
      <c r="A605" s="123" t="s">
        <v>796</v>
      </c>
    </row>
    <row r="606" spans="1:1" x14ac:dyDescent="0.25">
      <c r="A606" s="124" t="s">
        <v>797</v>
      </c>
    </row>
    <row r="607" spans="1:1" x14ac:dyDescent="0.25">
      <c r="A607" t="s">
        <v>798</v>
      </c>
    </row>
    <row r="608" spans="1:1" x14ac:dyDescent="0.25">
      <c r="A608" s="124" t="s">
        <v>799</v>
      </c>
    </row>
    <row r="609" spans="1:1" x14ac:dyDescent="0.25">
      <c r="A609" s="29" t="s">
        <v>800</v>
      </c>
    </row>
    <row r="610" spans="1:1" ht="255" x14ac:dyDescent="0.25">
      <c r="A610" s="125" t="s">
        <v>801</v>
      </c>
    </row>
    <row r="611" spans="1:1" ht="270" x14ac:dyDescent="0.25">
      <c r="A611" s="125" t="s">
        <v>802</v>
      </c>
    </row>
    <row r="612" spans="1:1" x14ac:dyDescent="0.25">
      <c r="A612" s="124" t="s">
        <v>803</v>
      </c>
    </row>
    <row r="613" spans="1:1" x14ac:dyDescent="0.25">
      <c r="A613" s="123" t="s">
        <v>804</v>
      </c>
    </row>
    <row r="614" spans="1:1" x14ac:dyDescent="0.25">
      <c r="A614" s="124" t="s">
        <v>805</v>
      </c>
    </row>
    <row r="615" spans="1:1" x14ac:dyDescent="0.25">
      <c r="A615" t="s">
        <v>806</v>
      </c>
    </row>
    <row r="616" spans="1:1" x14ac:dyDescent="0.25">
      <c r="A616" s="123" t="s">
        <v>807</v>
      </c>
    </row>
    <row r="617" spans="1:1" x14ac:dyDescent="0.25">
      <c r="A617" s="123" t="s">
        <v>808</v>
      </c>
    </row>
    <row r="618" spans="1:1" x14ac:dyDescent="0.25">
      <c r="A618" s="124" t="s">
        <v>809</v>
      </c>
    </row>
    <row r="619" spans="1:1" x14ac:dyDescent="0.25">
      <c r="A619" s="123" t="s">
        <v>810</v>
      </c>
    </row>
    <row r="620" spans="1:1" x14ac:dyDescent="0.25">
      <c r="A620" s="124" t="s">
        <v>811</v>
      </c>
    </row>
    <row r="621" spans="1:1" x14ac:dyDescent="0.25">
      <c r="A621" t="s">
        <v>812</v>
      </c>
    </row>
    <row r="622" spans="1:1" x14ac:dyDescent="0.25">
      <c r="A622" s="123" t="s">
        <v>813</v>
      </c>
    </row>
    <row r="623" spans="1:1" x14ac:dyDescent="0.25">
      <c r="A623" s="123" t="s">
        <v>814</v>
      </c>
    </row>
    <row r="624" spans="1:1" x14ac:dyDescent="0.25">
      <c r="A624" s="123" t="s">
        <v>815</v>
      </c>
    </row>
    <row r="625" spans="1:1" x14ac:dyDescent="0.25">
      <c r="A625" s="123" t="s">
        <v>816</v>
      </c>
    </row>
    <row r="626" spans="1:1" x14ac:dyDescent="0.25">
      <c r="A626" s="123" t="s">
        <v>817</v>
      </c>
    </row>
    <row r="627" spans="1:1" x14ac:dyDescent="0.25">
      <c r="A627" s="124" t="s">
        <v>818</v>
      </c>
    </row>
    <row r="628" spans="1:1" x14ac:dyDescent="0.25">
      <c r="A628" s="124" t="s">
        <v>819</v>
      </c>
    </row>
    <row r="629" spans="1:1" x14ac:dyDescent="0.25">
      <c r="A629" s="123" t="s">
        <v>820</v>
      </c>
    </row>
    <row r="630" spans="1:1" x14ac:dyDescent="0.25">
      <c r="A630" s="29" t="s">
        <v>821</v>
      </c>
    </row>
    <row r="631" spans="1:1" x14ac:dyDescent="0.25">
      <c r="A631" s="123" t="s">
        <v>822</v>
      </c>
    </row>
    <row r="632" spans="1:1" x14ac:dyDescent="0.25">
      <c r="A632" s="123" t="s">
        <v>823</v>
      </c>
    </row>
    <row r="633" spans="1:1" x14ac:dyDescent="0.25">
      <c r="A633" s="123" t="s">
        <v>824</v>
      </c>
    </row>
    <row r="634" spans="1:1" x14ac:dyDescent="0.25">
      <c r="A634" s="124" t="s">
        <v>825</v>
      </c>
    </row>
    <row r="635" spans="1:1" x14ac:dyDescent="0.25">
      <c r="A635" s="124" t="s">
        <v>826</v>
      </c>
    </row>
    <row r="636" spans="1:1" x14ac:dyDescent="0.25">
      <c r="A636" s="123" t="s">
        <v>827</v>
      </c>
    </row>
    <row r="637" spans="1:1" x14ac:dyDescent="0.25">
      <c r="A637" s="29" t="s">
        <v>828</v>
      </c>
    </row>
    <row r="638" spans="1:1" x14ac:dyDescent="0.25">
      <c r="A638" s="123" t="s">
        <v>829</v>
      </c>
    </row>
    <row r="639" spans="1:1" x14ac:dyDescent="0.25">
      <c r="A639" s="123" t="s">
        <v>830</v>
      </c>
    </row>
    <row r="640" spans="1:1" x14ac:dyDescent="0.25">
      <c r="A640" s="123" t="s">
        <v>831</v>
      </c>
    </row>
    <row r="641" spans="1:1" x14ac:dyDescent="0.25">
      <c r="A641" s="124" t="s">
        <v>832</v>
      </c>
    </row>
    <row r="642" spans="1:1" x14ac:dyDescent="0.25">
      <c r="A642" s="124" t="s">
        <v>833</v>
      </c>
    </row>
    <row r="643" spans="1:1" x14ac:dyDescent="0.25">
      <c r="A643" s="123" t="s">
        <v>834</v>
      </c>
    </row>
    <row r="644" spans="1:1" x14ac:dyDescent="0.25">
      <c r="A644" s="29" t="s">
        <v>835</v>
      </c>
    </row>
    <row r="645" spans="1:1" x14ac:dyDescent="0.25">
      <c r="A645" s="123" t="s">
        <v>836</v>
      </c>
    </row>
    <row r="646" spans="1:1" x14ac:dyDescent="0.25">
      <c r="A646" s="123" t="s">
        <v>837</v>
      </c>
    </row>
    <row r="647" spans="1:1" x14ac:dyDescent="0.25">
      <c r="A647" s="123" t="s">
        <v>838</v>
      </c>
    </row>
    <row r="648" spans="1:1" x14ac:dyDescent="0.25">
      <c r="A648" s="124" t="s">
        <v>839</v>
      </c>
    </row>
    <row r="649" spans="1:1" x14ac:dyDescent="0.25">
      <c r="A649" s="124" t="s">
        <v>840</v>
      </c>
    </row>
    <row r="650" spans="1:1" x14ac:dyDescent="0.25">
      <c r="A650" s="123" t="s">
        <v>841</v>
      </c>
    </row>
    <row r="651" spans="1:1" x14ac:dyDescent="0.25">
      <c r="A651" s="29" t="s">
        <v>842</v>
      </c>
    </row>
    <row r="652" spans="1:1" x14ac:dyDescent="0.25">
      <c r="A652" s="123" t="s">
        <v>843</v>
      </c>
    </row>
    <row r="653" spans="1:1" x14ac:dyDescent="0.25">
      <c r="A653" s="123" t="s">
        <v>844</v>
      </c>
    </row>
    <row r="654" spans="1:1" x14ac:dyDescent="0.25">
      <c r="A654" s="123" t="s">
        <v>845</v>
      </c>
    </row>
    <row r="655" spans="1:1" x14ac:dyDescent="0.25">
      <c r="A655" s="124" t="s">
        <v>846</v>
      </c>
    </row>
    <row r="656" spans="1:1" x14ac:dyDescent="0.25">
      <c r="A656" s="124" t="s">
        <v>847</v>
      </c>
    </row>
    <row r="657" spans="1:1" x14ac:dyDescent="0.25">
      <c r="A657" s="123" t="s">
        <v>848</v>
      </c>
    </row>
    <row r="658" spans="1:1" x14ac:dyDescent="0.25">
      <c r="A658" s="29" t="s">
        <v>849</v>
      </c>
    </row>
    <row r="659" spans="1:1" x14ac:dyDescent="0.25">
      <c r="A659" s="123" t="s">
        <v>850</v>
      </c>
    </row>
    <row r="660" spans="1:1" x14ac:dyDescent="0.25">
      <c r="A660" s="123" t="s">
        <v>851</v>
      </c>
    </row>
    <row r="661" spans="1:1" x14ac:dyDescent="0.25">
      <c r="A661" s="123" t="s">
        <v>852</v>
      </c>
    </row>
    <row r="662" spans="1:1" x14ac:dyDescent="0.25">
      <c r="A662" s="124" t="s">
        <v>853</v>
      </c>
    </row>
    <row r="663" spans="1:1" x14ac:dyDescent="0.25">
      <c r="A663" s="124" t="s">
        <v>854</v>
      </c>
    </row>
    <row r="664" spans="1:1" x14ac:dyDescent="0.25">
      <c r="A664" s="123" t="s">
        <v>855</v>
      </c>
    </row>
    <row r="665" spans="1:1" x14ac:dyDescent="0.25">
      <c r="A665" s="29" t="s">
        <v>856</v>
      </c>
    </row>
    <row r="666" spans="1:1" x14ac:dyDescent="0.25">
      <c r="A666" s="123" t="s">
        <v>857</v>
      </c>
    </row>
    <row r="667" spans="1:1" x14ac:dyDescent="0.25">
      <c r="A667" s="123" t="s">
        <v>858</v>
      </c>
    </row>
    <row r="668" spans="1:1" x14ac:dyDescent="0.25">
      <c r="A668" s="123" t="s">
        <v>859</v>
      </c>
    </row>
    <row r="669" spans="1:1" x14ac:dyDescent="0.25">
      <c r="A669" s="124" t="s">
        <v>860</v>
      </c>
    </row>
    <row r="670" spans="1:1" x14ac:dyDescent="0.25">
      <c r="A670" s="124" t="s">
        <v>861</v>
      </c>
    </row>
    <row r="671" spans="1:1" x14ac:dyDescent="0.25">
      <c r="A671" s="123" t="s">
        <v>862</v>
      </c>
    </row>
    <row r="672" spans="1:1" x14ac:dyDescent="0.25">
      <c r="A672" s="29" t="s">
        <v>863</v>
      </c>
    </row>
    <row r="673" spans="1:1" x14ac:dyDescent="0.25">
      <c r="A673" s="123" t="s">
        <v>864</v>
      </c>
    </row>
    <row r="674" spans="1:1" x14ac:dyDescent="0.25">
      <c r="A674" s="123" t="s">
        <v>865</v>
      </c>
    </row>
    <row r="675" spans="1:1" x14ac:dyDescent="0.25">
      <c r="A675" s="123" t="s">
        <v>866</v>
      </c>
    </row>
    <row r="676" spans="1:1" x14ac:dyDescent="0.25">
      <c r="A676" s="124" t="s">
        <v>867</v>
      </c>
    </row>
    <row r="677" spans="1:1" x14ac:dyDescent="0.25">
      <c r="A677" s="124" t="s">
        <v>868</v>
      </c>
    </row>
    <row r="678" spans="1:1" x14ac:dyDescent="0.25">
      <c r="A678" s="123" t="s">
        <v>869</v>
      </c>
    </row>
    <row r="679" spans="1:1" x14ac:dyDescent="0.25">
      <c r="A679" s="29" t="s">
        <v>870</v>
      </c>
    </row>
    <row r="680" spans="1:1" x14ac:dyDescent="0.25">
      <c r="A680" s="124" t="s">
        <v>871</v>
      </c>
    </row>
    <row r="681" spans="1:1" x14ac:dyDescent="0.25">
      <c r="A681" s="124" t="s">
        <v>872</v>
      </c>
    </row>
    <row r="682" spans="1:1" x14ac:dyDescent="0.25">
      <c r="A682" t="s">
        <v>873</v>
      </c>
    </row>
    <row r="683" spans="1:1" x14ac:dyDescent="0.25">
      <c r="A683" s="29" t="s">
        <v>874</v>
      </c>
    </row>
    <row r="684" spans="1:1" x14ac:dyDescent="0.25">
      <c r="A684" s="124" t="s">
        <v>875</v>
      </c>
    </row>
    <row r="685" spans="1:1" x14ac:dyDescent="0.25">
      <c r="A685" s="124" t="s">
        <v>876</v>
      </c>
    </row>
    <row r="686" spans="1:1" x14ac:dyDescent="0.25">
      <c r="A686" s="124" t="s">
        <v>877</v>
      </c>
    </row>
    <row r="687" spans="1:1" x14ac:dyDescent="0.25">
      <c r="A687" s="29" t="s">
        <v>878</v>
      </c>
    </row>
    <row r="688" spans="1:1" x14ac:dyDescent="0.25">
      <c r="A688" s="123" t="s">
        <v>879</v>
      </c>
    </row>
    <row r="689" spans="1:1" x14ac:dyDescent="0.25">
      <c r="A689" s="124" t="s">
        <v>880</v>
      </c>
    </row>
    <row r="690" spans="1:1" x14ac:dyDescent="0.25">
      <c r="A690" t="s">
        <v>881</v>
      </c>
    </row>
    <row r="691" spans="1:1" x14ac:dyDescent="0.25">
      <c r="A691" s="123" t="s">
        <v>882</v>
      </c>
    </row>
    <row r="692" spans="1:1" x14ac:dyDescent="0.25">
      <c r="A692" s="123" t="s">
        <v>883</v>
      </c>
    </row>
    <row r="693" spans="1:1" x14ac:dyDescent="0.25">
      <c r="A693" s="29" t="s">
        <v>884</v>
      </c>
    </row>
    <row r="694" spans="1:1" x14ac:dyDescent="0.25">
      <c r="A694" s="29" t="s">
        <v>885</v>
      </c>
    </row>
    <row r="695" spans="1:1" x14ac:dyDescent="0.25">
      <c r="A695" s="29" t="s">
        <v>886</v>
      </c>
    </row>
    <row r="696" spans="1:1" x14ac:dyDescent="0.25">
      <c r="A696" t="s">
        <v>887</v>
      </c>
    </row>
    <row r="697" spans="1:1" ht="255" x14ac:dyDescent="0.25">
      <c r="A697" s="125" t="s">
        <v>888</v>
      </c>
    </row>
    <row r="698" spans="1:1" ht="270" x14ac:dyDescent="0.25">
      <c r="A698" s="125" t="s">
        <v>889</v>
      </c>
    </row>
    <row r="699" spans="1:1" x14ac:dyDescent="0.25">
      <c r="A699" s="124" t="s">
        <v>890</v>
      </c>
    </row>
    <row r="700" spans="1:1" x14ac:dyDescent="0.25">
      <c r="A700" s="123" t="s">
        <v>891</v>
      </c>
    </row>
    <row r="701" spans="1:1" x14ac:dyDescent="0.25">
      <c r="A701" s="124" t="s">
        <v>892</v>
      </c>
    </row>
    <row r="702" spans="1:1" x14ac:dyDescent="0.25">
      <c r="A702" t="s">
        <v>893</v>
      </c>
    </row>
    <row r="703" spans="1:1" x14ac:dyDescent="0.25">
      <c r="A703" s="123" t="s">
        <v>894</v>
      </c>
    </row>
    <row r="704" spans="1:1" x14ac:dyDescent="0.25">
      <c r="A704" s="123" t="s">
        <v>895</v>
      </c>
    </row>
    <row r="705" spans="1:1" x14ac:dyDescent="0.25">
      <c r="A705" s="123" t="s">
        <v>896</v>
      </c>
    </row>
    <row r="706" spans="1:1" x14ac:dyDescent="0.25">
      <c r="A706" s="124" t="s">
        <v>897</v>
      </c>
    </row>
    <row r="707" spans="1:1" x14ac:dyDescent="0.25">
      <c r="A707" t="s">
        <v>898</v>
      </c>
    </row>
    <row r="708" spans="1:1" x14ac:dyDescent="0.25">
      <c r="A708" s="123" t="s">
        <v>899</v>
      </c>
    </row>
    <row r="709" spans="1:1" x14ac:dyDescent="0.25">
      <c r="A709" s="123" t="s">
        <v>900</v>
      </c>
    </row>
    <row r="710" spans="1:1" x14ac:dyDescent="0.25">
      <c r="A710" s="29" t="s">
        <v>901</v>
      </c>
    </row>
    <row r="711" spans="1:1" x14ac:dyDescent="0.25">
      <c r="A711" s="29" t="s">
        <v>902</v>
      </c>
    </row>
    <row r="712" spans="1:1" x14ac:dyDescent="0.25">
      <c r="A712" s="29" t="s">
        <v>903</v>
      </c>
    </row>
    <row r="713" spans="1:1" x14ac:dyDescent="0.25">
      <c r="A713" t="s">
        <v>904</v>
      </c>
    </row>
    <row r="714" spans="1:1" x14ac:dyDescent="0.25">
      <c r="A714" s="124" t="s">
        <v>905</v>
      </c>
    </row>
    <row r="715" spans="1:1" x14ac:dyDescent="0.25">
      <c r="A715" s="123" t="s">
        <v>906</v>
      </c>
    </row>
    <row r="716" spans="1:1" x14ac:dyDescent="0.25">
      <c r="A716" s="124" t="s">
        <v>907</v>
      </c>
    </row>
    <row r="717" spans="1:1" x14ac:dyDescent="0.25">
      <c r="A717" t="s">
        <v>908</v>
      </c>
    </row>
    <row r="718" spans="1:1" x14ac:dyDescent="0.25">
      <c r="A718" s="123" t="s">
        <v>909</v>
      </c>
    </row>
    <row r="719" spans="1:1" x14ac:dyDescent="0.25">
      <c r="A719" s="123" t="s">
        <v>910</v>
      </c>
    </row>
    <row r="720" spans="1:1" x14ac:dyDescent="0.25">
      <c r="A720" s="124" t="s">
        <v>911</v>
      </c>
    </row>
    <row r="721" spans="1:1" x14ac:dyDescent="0.25">
      <c r="A721" t="s">
        <v>912</v>
      </c>
    </row>
    <row r="722" spans="1:1" x14ac:dyDescent="0.25">
      <c r="A722" s="124" t="s">
        <v>913</v>
      </c>
    </row>
    <row r="723" spans="1:1" x14ac:dyDescent="0.25">
      <c r="A723" s="29" t="s">
        <v>914</v>
      </c>
    </row>
    <row r="724" spans="1:1" ht="255" x14ac:dyDescent="0.25">
      <c r="A724" s="125" t="s">
        <v>915</v>
      </c>
    </row>
    <row r="725" spans="1:1" ht="270" x14ac:dyDescent="0.25">
      <c r="A725" s="125" t="s">
        <v>916</v>
      </c>
    </row>
    <row r="726" spans="1:1" x14ac:dyDescent="0.25">
      <c r="A726" s="124" t="s">
        <v>917</v>
      </c>
    </row>
    <row r="727" spans="1:1" x14ac:dyDescent="0.25">
      <c r="A727" s="123" t="s">
        <v>918</v>
      </c>
    </row>
    <row r="728" spans="1:1" x14ac:dyDescent="0.25">
      <c r="A728" s="124" t="s">
        <v>919</v>
      </c>
    </row>
    <row r="729" spans="1:1" x14ac:dyDescent="0.25">
      <c r="A729" t="s">
        <v>920</v>
      </c>
    </row>
    <row r="730" spans="1:1" x14ac:dyDescent="0.25">
      <c r="A730" s="123" t="s">
        <v>921</v>
      </c>
    </row>
    <row r="731" spans="1:1" x14ac:dyDescent="0.25">
      <c r="A731" s="123" t="s">
        <v>922</v>
      </c>
    </row>
    <row r="732" spans="1:1" x14ac:dyDescent="0.25">
      <c r="A732" s="124" t="s">
        <v>923</v>
      </c>
    </row>
    <row r="733" spans="1:1" x14ac:dyDescent="0.25">
      <c r="A733" s="123" t="s">
        <v>924</v>
      </c>
    </row>
    <row r="734" spans="1:1" x14ac:dyDescent="0.25">
      <c r="A734" s="124" t="s">
        <v>925</v>
      </c>
    </row>
    <row r="735" spans="1:1" x14ac:dyDescent="0.25">
      <c r="A735" t="s">
        <v>926</v>
      </c>
    </row>
    <row r="736" spans="1:1" x14ac:dyDescent="0.25">
      <c r="A736" s="123" t="s">
        <v>927</v>
      </c>
    </row>
    <row r="737" spans="1:1" x14ac:dyDescent="0.25">
      <c r="A737" s="123" t="s">
        <v>928</v>
      </c>
    </row>
    <row r="738" spans="1:1" x14ac:dyDescent="0.25">
      <c r="A738" s="124" t="s">
        <v>929</v>
      </c>
    </row>
    <row r="739" spans="1:1" x14ac:dyDescent="0.25">
      <c r="A739" s="124" t="s">
        <v>930</v>
      </c>
    </row>
    <row r="740" spans="1:1" x14ac:dyDescent="0.25">
      <c r="A740" t="s">
        <v>931</v>
      </c>
    </row>
    <row r="741" spans="1:1" x14ac:dyDescent="0.25">
      <c r="A741" s="124" t="s">
        <v>932</v>
      </c>
    </row>
    <row r="742" spans="1:1" x14ac:dyDescent="0.25">
      <c r="A742" s="29" t="s">
        <v>933</v>
      </c>
    </row>
    <row r="743" spans="1:1" x14ac:dyDescent="0.25">
      <c r="A743" s="123" t="s">
        <v>934</v>
      </c>
    </row>
    <row r="744" spans="1:1" x14ac:dyDescent="0.25">
      <c r="A744" s="124" t="s">
        <v>935</v>
      </c>
    </row>
    <row r="745" spans="1:1" x14ac:dyDescent="0.25">
      <c r="A745" t="s">
        <v>936</v>
      </c>
    </row>
    <row r="746" spans="1:1" x14ac:dyDescent="0.25">
      <c r="A746" s="123" t="s">
        <v>937</v>
      </c>
    </row>
    <row r="747" spans="1:1" x14ac:dyDescent="0.25">
      <c r="A747" s="123" t="s">
        <v>938</v>
      </c>
    </row>
    <row r="748" spans="1:1" x14ac:dyDescent="0.25">
      <c r="A748" s="29" t="s">
        <v>939</v>
      </c>
    </row>
    <row r="749" spans="1:1" x14ac:dyDescent="0.25">
      <c r="A749" s="29" t="s">
        <v>940</v>
      </c>
    </row>
    <row r="750" spans="1:1" x14ac:dyDescent="0.25">
      <c r="A750" s="29" t="s">
        <v>941</v>
      </c>
    </row>
    <row r="751" spans="1:1" x14ac:dyDescent="0.25">
      <c r="A751" t="s">
        <v>942</v>
      </c>
    </row>
    <row r="752" spans="1:1" ht="255" x14ac:dyDescent="0.25">
      <c r="A752" s="125" t="s">
        <v>943</v>
      </c>
    </row>
    <row r="753" spans="1:1" ht="270" x14ac:dyDescent="0.25">
      <c r="A753" s="125" t="s">
        <v>944</v>
      </c>
    </row>
    <row r="754" spans="1:1" x14ac:dyDescent="0.25">
      <c r="A754" s="124" t="s">
        <v>945</v>
      </c>
    </row>
    <row r="755" spans="1:1" x14ac:dyDescent="0.25">
      <c r="A755" s="123" t="s">
        <v>946</v>
      </c>
    </row>
    <row r="756" spans="1:1" x14ac:dyDescent="0.25">
      <c r="A756" s="124" t="s">
        <v>947</v>
      </c>
    </row>
    <row r="757" spans="1:1" x14ac:dyDescent="0.25">
      <c r="A757" t="s">
        <v>948</v>
      </c>
    </row>
    <row r="758" spans="1:1" x14ac:dyDescent="0.25">
      <c r="A758" s="123" t="s">
        <v>949</v>
      </c>
    </row>
    <row r="759" spans="1:1" x14ac:dyDescent="0.25">
      <c r="A759" s="123" t="s">
        <v>950</v>
      </c>
    </row>
    <row r="760" spans="1:1" x14ac:dyDescent="0.25">
      <c r="A760" s="124" t="s">
        <v>951</v>
      </c>
    </row>
    <row r="761" spans="1:1" x14ac:dyDescent="0.25">
      <c r="A761" s="123" t="s">
        <v>952</v>
      </c>
    </row>
    <row r="762" spans="1:1" x14ac:dyDescent="0.25">
      <c r="A762" s="124" t="s">
        <v>953</v>
      </c>
    </row>
    <row r="763" spans="1:1" x14ac:dyDescent="0.25">
      <c r="A763" t="s">
        <v>954</v>
      </c>
    </row>
    <row r="764" spans="1:1" x14ac:dyDescent="0.25">
      <c r="A764" s="123" t="s">
        <v>955</v>
      </c>
    </row>
    <row r="765" spans="1:1" x14ac:dyDescent="0.25">
      <c r="A765" s="123" t="s">
        <v>956</v>
      </c>
    </row>
    <row r="766" spans="1:1" x14ac:dyDescent="0.25">
      <c r="A766" s="29" t="s">
        <v>957</v>
      </c>
    </row>
    <row r="767" spans="1:1" x14ac:dyDescent="0.25">
      <c r="A767" s="124" t="s">
        <v>958</v>
      </c>
    </row>
    <row r="768" spans="1:1" x14ac:dyDescent="0.25">
      <c r="A768" s="124" t="s">
        <v>959</v>
      </c>
    </row>
    <row r="769" spans="1:1" x14ac:dyDescent="0.25">
      <c r="A769" t="s">
        <v>960</v>
      </c>
    </row>
    <row r="770" spans="1:1" x14ac:dyDescent="0.25">
      <c r="A770" s="124" t="s">
        <v>961</v>
      </c>
    </row>
    <row r="771" spans="1:1" x14ac:dyDescent="0.25">
      <c r="A771" s="29" t="s">
        <v>962</v>
      </c>
    </row>
    <row r="772" spans="1:1" x14ac:dyDescent="0.25">
      <c r="A772" s="123" t="s">
        <v>963</v>
      </c>
    </row>
    <row r="773" spans="1:1" x14ac:dyDescent="0.25">
      <c r="A773" s="124" t="s">
        <v>964</v>
      </c>
    </row>
    <row r="774" spans="1:1" x14ac:dyDescent="0.25">
      <c r="A774" t="s">
        <v>965</v>
      </c>
    </row>
    <row r="775" spans="1:1" x14ac:dyDescent="0.25">
      <c r="A775" s="123" t="s">
        <v>966</v>
      </c>
    </row>
    <row r="776" spans="1:1" x14ac:dyDescent="0.25">
      <c r="A776" s="123" t="s">
        <v>967</v>
      </c>
    </row>
    <row r="777" spans="1:1" x14ac:dyDescent="0.25">
      <c r="A777" s="29" t="s">
        <v>968</v>
      </c>
    </row>
    <row r="778" spans="1:1" x14ac:dyDescent="0.25">
      <c r="A778" s="29" t="s">
        <v>969</v>
      </c>
    </row>
    <row r="779" spans="1:1" x14ac:dyDescent="0.25">
      <c r="A779" s="29" t="s">
        <v>970</v>
      </c>
    </row>
    <row r="780" spans="1:1" x14ac:dyDescent="0.25">
      <c r="A780" t="s">
        <v>971</v>
      </c>
    </row>
    <row r="781" spans="1:1" ht="255" x14ac:dyDescent="0.25">
      <c r="A781" s="125" t="s">
        <v>972</v>
      </c>
    </row>
    <row r="782" spans="1:1" ht="270" x14ac:dyDescent="0.25">
      <c r="A782" s="125" t="s">
        <v>973</v>
      </c>
    </row>
    <row r="783" spans="1:1" x14ac:dyDescent="0.25">
      <c r="A783" s="124" t="s">
        <v>974</v>
      </c>
    </row>
    <row r="784" spans="1:1" x14ac:dyDescent="0.25">
      <c r="A784" s="123" t="s">
        <v>975</v>
      </c>
    </row>
    <row r="785" spans="1:1" x14ac:dyDescent="0.25">
      <c r="A785" s="124" t="s">
        <v>976</v>
      </c>
    </row>
    <row r="786" spans="1:1" x14ac:dyDescent="0.25">
      <c r="A786" t="s">
        <v>977</v>
      </c>
    </row>
    <row r="787" spans="1:1" x14ac:dyDescent="0.25">
      <c r="A787" s="123" t="s">
        <v>978</v>
      </c>
    </row>
    <row r="788" spans="1:1" x14ac:dyDescent="0.25">
      <c r="A788" s="123" t="s">
        <v>979</v>
      </c>
    </row>
    <row r="789" spans="1:1" x14ac:dyDescent="0.25">
      <c r="A789" s="124" t="s">
        <v>980</v>
      </c>
    </row>
    <row r="790" spans="1:1" x14ac:dyDescent="0.25">
      <c r="A790" s="123" t="s">
        <v>981</v>
      </c>
    </row>
    <row r="791" spans="1:1" x14ac:dyDescent="0.25">
      <c r="A791" s="124" t="s">
        <v>982</v>
      </c>
    </row>
    <row r="792" spans="1:1" x14ac:dyDescent="0.25">
      <c r="A792" t="s">
        <v>983</v>
      </c>
    </row>
    <row r="793" spans="1:1" x14ac:dyDescent="0.25">
      <c r="A793" s="123" t="s">
        <v>984</v>
      </c>
    </row>
    <row r="794" spans="1:1" x14ac:dyDescent="0.25">
      <c r="A794" s="123" t="s">
        <v>985</v>
      </c>
    </row>
    <row r="795" spans="1:1" x14ac:dyDescent="0.25">
      <c r="A795" s="124" t="s">
        <v>986</v>
      </c>
    </row>
    <row r="796" spans="1:1" x14ac:dyDescent="0.25">
      <c r="A796" s="124" t="s">
        <v>987</v>
      </c>
    </row>
    <row r="797" spans="1:1" x14ac:dyDescent="0.25">
      <c r="A797" t="s">
        <v>988</v>
      </c>
    </row>
    <row r="798" spans="1:1" x14ac:dyDescent="0.25">
      <c r="A798" s="124" t="s">
        <v>989</v>
      </c>
    </row>
    <row r="799" spans="1:1" x14ac:dyDescent="0.25">
      <c r="A799" s="29" t="s">
        <v>990</v>
      </c>
    </row>
    <row r="800" spans="1:1" x14ac:dyDescent="0.25">
      <c r="A800" s="123" t="s">
        <v>991</v>
      </c>
    </row>
    <row r="801" spans="1:1" x14ac:dyDescent="0.25">
      <c r="A801" s="124" t="s">
        <v>992</v>
      </c>
    </row>
    <row r="802" spans="1:1" x14ac:dyDescent="0.25">
      <c r="A802" t="s">
        <v>993</v>
      </c>
    </row>
    <row r="803" spans="1:1" x14ac:dyDescent="0.25">
      <c r="A803" s="123" t="s">
        <v>994</v>
      </c>
    </row>
    <row r="804" spans="1:1" x14ac:dyDescent="0.25">
      <c r="A804" s="123" t="s">
        <v>995</v>
      </c>
    </row>
    <row r="805" spans="1:1" x14ac:dyDescent="0.25">
      <c r="A805" s="29" t="s">
        <v>996</v>
      </c>
    </row>
    <row r="806" spans="1:1" x14ac:dyDescent="0.25">
      <c r="A806" s="29" t="s">
        <v>997</v>
      </c>
    </row>
    <row r="807" spans="1:1" x14ac:dyDescent="0.25">
      <c r="A807" s="29" t="s">
        <v>998</v>
      </c>
    </row>
    <row r="808" spans="1:1" x14ac:dyDescent="0.25">
      <c r="A808" t="s">
        <v>999</v>
      </c>
    </row>
    <row r="809" spans="1:1" ht="255" x14ac:dyDescent="0.25">
      <c r="A809" s="125" t="s">
        <v>1000</v>
      </c>
    </row>
    <row r="810" spans="1:1" ht="270" x14ac:dyDescent="0.25">
      <c r="A810" s="125" t="s">
        <v>1001</v>
      </c>
    </row>
    <row r="811" spans="1:1" x14ac:dyDescent="0.25">
      <c r="A811" s="124" t="s">
        <v>1002</v>
      </c>
    </row>
    <row r="812" spans="1:1" x14ac:dyDescent="0.25">
      <c r="A812" s="123" t="s">
        <v>1003</v>
      </c>
    </row>
    <row r="813" spans="1:1" x14ac:dyDescent="0.25">
      <c r="A813" s="124" t="s">
        <v>1004</v>
      </c>
    </row>
    <row r="814" spans="1:1" x14ac:dyDescent="0.25">
      <c r="A814" t="s">
        <v>1005</v>
      </c>
    </row>
    <row r="815" spans="1:1" x14ac:dyDescent="0.25">
      <c r="A815" s="123" t="s">
        <v>1006</v>
      </c>
    </row>
    <row r="816" spans="1:1" x14ac:dyDescent="0.25">
      <c r="A816" s="123" t="s">
        <v>1007</v>
      </c>
    </row>
    <row r="817" spans="1:1" x14ac:dyDescent="0.25">
      <c r="A817" s="124" t="s">
        <v>1008</v>
      </c>
    </row>
    <row r="818" spans="1:1" x14ac:dyDescent="0.25">
      <c r="A818" s="123" t="s">
        <v>1009</v>
      </c>
    </row>
    <row r="819" spans="1:1" x14ac:dyDescent="0.25">
      <c r="A819" s="124" t="s">
        <v>1010</v>
      </c>
    </row>
    <row r="820" spans="1:1" x14ac:dyDescent="0.25">
      <c r="A820" t="s">
        <v>1011</v>
      </c>
    </row>
    <row r="821" spans="1:1" x14ac:dyDescent="0.25">
      <c r="A821" s="123" t="s">
        <v>1012</v>
      </c>
    </row>
    <row r="822" spans="1:1" x14ac:dyDescent="0.25">
      <c r="A822" s="123" t="s">
        <v>1013</v>
      </c>
    </row>
    <row r="823" spans="1:1" x14ac:dyDescent="0.25">
      <c r="A823" s="123" t="s">
        <v>1014</v>
      </c>
    </row>
    <row r="824" spans="1:1" x14ac:dyDescent="0.25">
      <c r="A824" s="123" t="s">
        <v>1015</v>
      </c>
    </row>
    <row r="825" spans="1:1" x14ac:dyDescent="0.25">
      <c r="A825" s="123" t="s">
        <v>1016</v>
      </c>
    </row>
    <row r="826" spans="1:1" x14ac:dyDescent="0.25">
      <c r="A826" s="124" t="s">
        <v>1017</v>
      </c>
    </row>
    <row r="827" spans="1:1" x14ac:dyDescent="0.25">
      <c r="A827" s="124" t="s">
        <v>1018</v>
      </c>
    </row>
    <row r="828" spans="1:1" x14ac:dyDescent="0.25">
      <c r="A828" s="123" t="s">
        <v>1019</v>
      </c>
    </row>
    <row r="829" spans="1:1" x14ac:dyDescent="0.25">
      <c r="A829" s="29" t="s">
        <v>1020</v>
      </c>
    </row>
    <row r="830" spans="1:1" x14ac:dyDescent="0.25">
      <c r="A830" s="123" t="s">
        <v>1021</v>
      </c>
    </row>
    <row r="831" spans="1:1" x14ac:dyDescent="0.25">
      <c r="A831" s="123" t="s">
        <v>1022</v>
      </c>
    </row>
    <row r="832" spans="1:1" x14ac:dyDescent="0.25">
      <c r="A832" s="123" t="s">
        <v>1023</v>
      </c>
    </row>
    <row r="833" spans="1:1" x14ac:dyDescent="0.25">
      <c r="A833" s="124" t="s">
        <v>1024</v>
      </c>
    </row>
    <row r="834" spans="1:1" x14ac:dyDescent="0.25">
      <c r="A834" s="124" t="s">
        <v>1025</v>
      </c>
    </row>
    <row r="835" spans="1:1" x14ac:dyDescent="0.25">
      <c r="A835" s="123" t="s">
        <v>1026</v>
      </c>
    </row>
    <row r="836" spans="1:1" x14ac:dyDescent="0.25">
      <c r="A836" s="29" t="s">
        <v>1027</v>
      </c>
    </row>
    <row r="837" spans="1:1" x14ac:dyDescent="0.25">
      <c r="A837" s="123" t="s">
        <v>1028</v>
      </c>
    </row>
    <row r="838" spans="1:1" x14ac:dyDescent="0.25">
      <c r="A838" s="123" t="s">
        <v>1029</v>
      </c>
    </row>
    <row r="839" spans="1:1" x14ac:dyDescent="0.25">
      <c r="A839" s="123" t="s">
        <v>1030</v>
      </c>
    </row>
    <row r="840" spans="1:1" x14ac:dyDescent="0.25">
      <c r="A840" s="124" t="s">
        <v>1031</v>
      </c>
    </row>
    <row r="841" spans="1:1" x14ac:dyDescent="0.25">
      <c r="A841" s="124" t="s">
        <v>1032</v>
      </c>
    </row>
    <row r="842" spans="1:1" x14ac:dyDescent="0.25">
      <c r="A842" s="123" t="s">
        <v>1033</v>
      </c>
    </row>
    <row r="843" spans="1:1" x14ac:dyDescent="0.25">
      <c r="A843" s="29" t="s">
        <v>1034</v>
      </c>
    </row>
    <row r="844" spans="1:1" x14ac:dyDescent="0.25">
      <c r="A844" s="123" t="s">
        <v>1035</v>
      </c>
    </row>
    <row r="845" spans="1:1" x14ac:dyDescent="0.25">
      <c r="A845" s="123" t="s">
        <v>1036</v>
      </c>
    </row>
    <row r="846" spans="1:1" x14ac:dyDescent="0.25">
      <c r="A846" s="123" t="s">
        <v>1037</v>
      </c>
    </row>
    <row r="847" spans="1:1" x14ac:dyDescent="0.25">
      <c r="A847" s="124" t="s">
        <v>1038</v>
      </c>
    </row>
    <row r="848" spans="1:1" x14ac:dyDescent="0.25">
      <c r="A848" s="124" t="s">
        <v>1039</v>
      </c>
    </row>
    <row r="849" spans="1:1" x14ac:dyDescent="0.25">
      <c r="A849" s="123" t="s">
        <v>1040</v>
      </c>
    </row>
    <row r="850" spans="1:1" x14ac:dyDescent="0.25">
      <c r="A850" s="29" t="s">
        <v>1041</v>
      </c>
    </row>
    <row r="851" spans="1:1" x14ac:dyDescent="0.25">
      <c r="A851" s="123" t="s">
        <v>1042</v>
      </c>
    </row>
    <row r="852" spans="1:1" x14ac:dyDescent="0.25">
      <c r="A852" s="123" t="s">
        <v>1043</v>
      </c>
    </row>
    <row r="853" spans="1:1" x14ac:dyDescent="0.25">
      <c r="A853" s="123" t="s">
        <v>1044</v>
      </c>
    </row>
    <row r="854" spans="1:1" x14ac:dyDescent="0.25">
      <c r="A854" s="124" t="s">
        <v>1045</v>
      </c>
    </row>
    <row r="855" spans="1:1" x14ac:dyDescent="0.25">
      <c r="A855" s="124" t="s">
        <v>1046</v>
      </c>
    </row>
    <row r="856" spans="1:1" x14ac:dyDescent="0.25">
      <c r="A856" s="123" t="s">
        <v>1047</v>
      </c>
    </row>
    <row r="857" spans="1:1" x14ac:dyDescent="0.25">
      <c r="A857" s="29" t="s">
        <v>1048</v>
      </c>
    </row>
    <row r="858" spans="1:1" x14ac:dyDescent="0.25">
      <c r="A858" s="123" t="s">
        <v>1049</v>
      </c>
    </row>
    <row r="859" spans="1:1" x14ac:dyDescent="0.25">
      <c r="A859" s="123" t="s">
        <v>1050</v>
      </c>
    </row>
    <row r="860" spans="1:1" x14ac:dyDescent="0.25">
      <c r="A860" s="123" t="s">
        <v>1051</v>
      </c>
    </row>
    <row r="861" spans="1:1" x14ac:dyDescent="0.25">
      <c r="A861" s="124" t="s">
        <v>1052</v>
      </c>
    </row>
    <row r="862" spans="1:1" x14ac:dyDescent="0.25">
      <c r="A862" s="124" t="s">
        <v>1053</v>
      </c>
    </row>
    <row r="863" spans="1:1" x14ac:dyDescent="0.25">
      <c r="A863" s="123" t="s">
        <v>1054</v>
      </c>
    </row>
    <row r="864" spans="1:1" x14ac:dyDescent="0.25">
      <c r="A864" s="29" t="s">
        <v>1055</v>
      </c>
    </row>
    <row r="865" spans="1:1" x14ac:dyDescent="0.25">
      <c r="A865" s="123" t="s">
        <v>1056</v>
      </c>
    </row>
    <row r="866" spans="1:1" x14ac:dyDescent="0.25">
      <c r="A866" s="123" t="s">
        <v>1057</v>
      </c>
    </row>
    <row r="867" spans="1:1" x14ac:dyDescent="0.25">
      <c r="A867" s="123" t="s">
        <v>1058</v>
      </c>
    </row>
    <row r="868" spans="1:1" x14ac:dyDescent="0.25">
      <c r="A868" s="124" t="s">
        <v>1059</v>
      </c>
    </row>
    <row r="869" spans="1:1" x14ac:dyDescent="0.25">
      <c r="A869" s="124" t="s">
        <v>1060</v>
      </c>
    </row>
    <row r="870" spans="1:1" x14ac:dyDescent="0.25">
      <c r="A870" s="123" t="s">
        <v>1061</v>
      </c>
    </row>
    <row r="871" spans="1:1" x14ac:dyDescent="0.25">
      <c r="A871" s="29" t="s">
        <v>1062</v>
      </c>
    </row>
    <row r="872" spans="1:1" x14ac:dyDescent="0.25">
      <c r="A872" s="124" t="s">
        <v>1063</v>
      </c>
    </row>
    <row r="873" spans="1:1" x14ac:dyDescent="0.25">
      <c r="A873" s="124" t="s">
        <v>1064</v>
      </c>
    </row>
    <row r="874" spans="1:1" x14ac:dyDescent="0.25">
      <c r="A874" t="s">
        <v>1065</v>
      </c>
    </row>
    <row r="875" spans="1:1" x14ac:dyDescent="0.25">
      <c r="A875" s="124" t="s">
        <v>1066</v>
      </c>
    </row>
    <row r="876" spans="1:1" x14ac:dyDescent="0.25">
      <c r="A876" s="29" t="s">
        <v>1067</v>
      </c>
    </row>
    <row r="877" spans="1:1" x14ac:dyDescent="0.25">
      <c r="A877" s="123" t="s">
        <v>1068</v>
      </c>
    </row>
    <row r="878" spans="1:1" x14ac:dyDescent="0.25">
      <c r="A878" s="124" t="s">
        <v>1069</v>
      </c>
    </row>
    <row r="879" spans="1:1" x14ac:dyDescent="0.25">
      <c r="A879" t="s">
        <v>1070</v>
      </c>
    </row>
    <row r="880" spans="1:1" x14ac:dyDescent="0.25">
      <c r="A880" s="123" t="s">
        <v>1071</v>
      </c>
    </row>
    <row r="881" spans="1:1" x14ac:dyDescent="0.25">
      <c r="A881" s="123" t="s">
        <v>1072</v>
      </c>
    </row>
    <row r="882" spans="1:1" x14ac:dyDescent="0.25">
      <c r="A882" s="29" t="s">
        <v>1073</v>
      </c>
    </row>
    <row r="883" spans="1:1" x14ac:dyDescent="0.25">
      <c r="A883" s="29" t="s">
        <v>1074</v>
      </c>
    </row>
    <row r="884" spans="1:1" x14ac:dyDescent="0.25">
      <c r="A884" s="29" t="s">
        <v>1075</v>
      </c>
    </row>
    <row r="885" spans="1:1" x14ac:dyDescent="0.25">
      <c r="A885" t="s">
        <v>1076</v>
      </c>
    </row>
    <row r="886" spans="1:1" ht="255" x14ac:dyDescent="0.25">
      <c r="A886" s="125" t="s">
        <v>1077</v>
      </c>
    </row>
    <row r="887" spans="1:1" ht="270" x14ac:dyDescent="0.25">
      <c r="A887" s="125" t="s">
        <v>1078</v>
      </c>
    </row>
    <row r="888" spans="1:1" x14ac:dyDescent="0.25">
      <c r="A888" s="124" t="s">
        <v>1079</v>
      </c>
    </row>
    <row r="889" spans="1:1" x14ac:dyDescent="0.25">
      <c r="A889" s="123" t="s">
        <v>1080</v>
      </c>
    </row>
    <row r="890" spans="1:1" x14ac:dyDescent="0.25">
      <c r="A890" s="124" t="s">
        <v>1081</v>
      </c>
    </row>
    <row r="891" spans="1:1" x14ac:dyDescent="0.25">
      <c r="A891" t="s">
        <v>1082</v>
      </c>
    </row>
    <row r="892" spans="1:1" x14ac:dyDescent="0.25">
      <c r="A892" s="123" t="s">
        <v>1083</v>
      </c>
    </row>
    <row r="893" spans="1:1" x14ac:dyDescent="0.25">
      <c r="A893" s="123" t="s">
        <v>1084</v>
      </c>
    </row>
    <row r="894" spans="1:1" x14ac:dyDescent="0.25">
      <c r="A894" s="124" t="s">
        <v>1085</v>
      </c>
    </row>
    <row r="895" spans="1:1" x14ac:dyDescent="0.25">
      <c r="A895" s="123" t="s">
        <v>1086</v>
      </c>
    </row>
    <row r="896" spans="1:1" x14ac:dyDescent="0.25">
      <c r="A896" s="124" t="s">
        <v>1087</v>
      </c>
    </row>
    <row r="897" spans="1:1" x14ac:dyDescent="0.25">
      <c r="A897" t="s">
        <v>1088</v>
      </c>
    </row>
    <row r="898" spans="1:1" x14ac:dyDescent="0.25">
      <c r="A898" s="123" t="s">
        <v>1089</v>
      </c>
    </row>
    <row r="899" spans="1:1" x14ac:dyDescent="0.25">
      <c r="A899" s="123" t="s">
        <v>1090</v>
      </c>
    </row>
    <row r="900" spans="1:1" x14ac:dyDescent="0.25">
      <c r="A900" s="124" t="s">
        <v>1091</v>
      </c>
    </row>
    <row r="901" spans="1:1" x14ac:dyDescent="0.25">
      <c r="A901" s="124" t="s">
        <v>1092</v>
      </c>
    </row>
    <row r="902" spans="1:1" x14ac:dyDescent="0.25">
      <c r="A902" t="s">
        <v>1093</v>
      </c>
    </row>
    <row r="903" spans="1:1" x14ac:dyDescent="0.25">
      <c r="A903" s="124" t="s">
        <v>1094</v>
      </c>
    </row>
    <row r="904" spans="1:1" x14ac:dyDescent="0.25">
      <c r="A904" s="29" t="s">
        <v>1095</v>
      </c>
    </row>
    <row r="905" spans="1:1" x14ac:dyDescent="0.25">
      <c r="A905" s="123" t="s">
        <v>1096</v>
      </c>
    </row>
    <row r="906" spans="1:1" x14ac:dyDescent="0.25">
      <c r="A906" s="124" t="s">
        <v>1097</v>
      </c>
    </row>
    <row r="907" spans="1:1" x14ac:dyDescent="0.25">
      <c r="A907" t="s">
        <v>1098</v>
      </c>
    </row>
    <row r="908" spans="1:1" x14ac:dyDescent="0.25">
      <c r="A908" s="123" t="s">
        <v>1099</v>
      </c>
    </row>
    <row r="909" spans="1:1" x14ac:dyDescent="0.25">
      <c r="A909" s="123" t="s">
        <v>1100</v>
      </c>
    </row>
    <row r="910" spans="1:1" x14ac:dyDescent="0.25">
      <c r="A910" s="29" t="s">
        <v>1101</v>
      </c>
    </row>
    <row r="911" spans="1:1" x14ac:dyDescent="0.25">
      <c r="A911" s="29" t="s">
        <v>1102</v>
      </c>
    </row>
    <row r="912" spans="1:1" x14ac:dyDescent="0.25">
      <c r="A912" s="29" t="s">
        <v>1103</v>
      </c>
    </row>
    <row r="913" spans="1:1" x14ac:dyDescent="0.25">
      <c r="A913" t="s">
        <v>1104</v>
      </c>
    </row>
    <row r="914" spans="1:1" ht="255" x14ac:dyDescent="0.25">
      <c r="A914" s="125" t="s">
        <v>1105</v>
      </c>
    </row>
    <row r="915" spans="1:1" ht="270" x14ac:dyDescent="0.25">
      <c r="A915" s="125" t="s">
        <v>1106</v>
      </c>
    </row>
    <row r="916" spans="1:1" x14ac:dyDescent="0.25">
      <c r="A916" s="124" t="s">
        <v>1107</v>
      </c>
    </row>
    <row r="917" spans="1:1" x14ac:dyDescent="0.25">
      <c r="A917" s="123" t="s">
        <v>1108</v>
      </c>
    </row>
    <row r="918" spans="1:1" x14ac:dyDescent="0.25">
      <c r="A918" s="124" t="s">
        <v>1109</v>
      </c>
    </row>
    <row r="919" spans="1:1" x14ac:dyDescent="0.25">
      <c r="A919" t="s">
        <v>1110</v>
      </c>
    </row>
    <row r="920" spans="1:1" x14ac:dyDescent="0.25">
      <c r="A920" s="123" t="s">
        <v>1111</v>
      </c>
    </row>
    <row r="921" spans="1:1" x14ac:dyDescent="0.25">
      <c r="A921" s="123" t="s">
        <v>1112</v>
      </c>
    </row>
    <row r="922" spans="1:1" x14ac:dyDescent="0.25">
      <c r="A922" s="124" t="s">
        <v>1113</v>
      </c>
    </row>
    <row r="923" spans="1:1" x14ac:dyDescent="0.25">
      <c r="A923" s="123" t="s">
        <v>1114</v>
      </c>
    </row>
    <row r="924" spans="1:1" x14ac:dyDescent="0.25">
      <c r="A924" s="124" t="s">
        <v>1115</v>
      </c>
    </row>
    <row r="925" spans="1:1" x14ac:dyDescent="0.25">
      <c r="A925" t="s">
        <v>1116</v>
      </c>
    </row>
    <row r="926" spans="1:1" x14ac:dyDescent="0.25">
      <c r="A926" s="123" t="s">
        <v>1117</v>
      </c>
    </row>
    <row r="927" spans="1:1" x14ac:dyDescent="0.25">
      <c r="A927" s="123" t="s">
        <v>1118</v>
      </c>
    </row>
    <row r="928" spans="1:1" x14ac:dyDescent="0.25">
      <c r="A928" s="124" t="s">
        <v>1119</v>
      </c>
    </row>
    <row r="929" spans="1:1" x14ac:dyDescent="0.25">
      <c r="A929" s="124" t="s">
        <v>1120</v>
      </c>
    </row>
    <row r="930" spans="1:1" x14ac:dyDescent="0.25">
      <c r="A930" t="s">
        <v>1121</v>
      </c>
    </row>
    <row r="931" spans="1:1" x14ac:dyDescent="0.25">
      <c r="A931" s="124" t="s">
        <v>1122</v>
      </c>
    </row>
    <row r="932" spans="1:1" x14ac:dyDescent="0.25">
      <c r="A932" s="29" t="s">
        <v>1123</v>
      </c>
    </row>
    <row r="933" spans="1:1" x14ac:dyDescent="0.25">
      <c r="A933" s="123" t="s">
        <v>1124</v>
      </c>
    </row>
    <row r="934" spans="1:1" x14ac:dyDescent="0.25">
      <c r="A934" s="124" t="s">
        <v>1125</v>
      </c>
    </row>
    <row r="935" spans="1:1" x14ac:dyDescent="0.25">
      <c r="A935" t="s">
        <v>1126</v>
      </c>
    </row>
    <row r="936" spans="1:1" x14ac:dyDescent="0.25">
      <c r="A936" s="123" t="s">
        <v>1127</v>
      </c>
    </row>
    <row r="937" spans="1:1" x14ac:dyDescent="0.25">
      <c r="A937" s="123" t="s">
        <v>1128</v>
      </c>
    </row>
    <row r="938" spans="1:1" x14ac:dyDescent="0.25">
      <c r="A938" s="29" t="s">
        <v>1129</v>
      </c>
    </row>
    <row r="939" spans="1:1" x14ac:dyDescent="0.25">
      <c r="A939" s="29" t="s">
        <v>1130</v>
      </c>
    </row>
    <row r="940" spans="1:1" x14ac:dyDescent="0.25">
      <c r="A940" s="29" t="s">
        <v>1131</v>
      </c>
    </row>
    <row r="941" spans="1:1" x14ac:dyDescent="0.25">
      <c r="A941" t="s">
        <v>1132</v>
      </c>
    </row>
    <row r="942" spans="1:1" ht="255" x14ac:dyDescent="0.25">
      <c r="A942" s="125" t="s">
        <v>1133</v>
      </c>
    </row>
    <row r="943" spans="1:1" ht="270" x14ac:dyDescent="0.25">
      <c r="A943" s="125" t="s">
        <v>1134</v>
      </c>
    </row>
    <row r="944" spans="1:1" x14ac:dyDescent="0.25">
      <c r="A944" s="124" t="s">
        <v>1135</v>
      </c>
    </row>
    <row r="945" spans="1:1" x14ac:dyDescent="0.25">
      <c r="A945" s="123" t="s">
        <v>1136</v>
      </c>
    </row>
    <row r="946" spans="1:1" x14ac:dyDescent="0.25">
      <c r="A946" s="124" t="s">
        <v>1137</v>
      </c>
    </row>
    <row r="947" spans="1:1" x14ac:dyDescent="0.25">
      <c r="A947" t="s">
        <v>1138</v>
      </c>
    </row>
    <row r="948" spans="1:1" x14ac:dyDescent="0.25">
      <c r="A948" s="123" t="s">
        <v>1139</v>
      </c>
    </row>
    <row r="949" spans="1:1" x14ac:dyDescent="0.25">
      <c r="A949" s="123" t="s">
        <v>1140</v>
      </c>
    </row>
    <row r="950" spans="1:1" x14ac:dyDescent="0.25">
      <c r="A950" s="124" t="s">
        <v>1141</v>
      </c>
    </row>
    <row r="951" spans="1:1" x14ac:dyDescent="0.25">
      <c r="A951" s="123" t="s">
        <v>1142</v>
      </c>
    </row>
    <row r="952" spans="1:1" x14ac:dyDescent="0.25">
      <c r="A952" s="124" t="s">
        <v>1143</v>
      </c>
    </row>
    <row r="953" spans="1:1" x14ac:dyDescent="0.25">
      <c r="A953" t="s">
        <v>1144</v>
      </c>
    </row>
    <row r="954" spans="1:1" x14ac:dyDescent="0.25">
      <c r="A954" s="123" t="s">
        <v>1145</v>
      </c>
    </row>
    <row r="955" spans="1:1" x14ac:dyDescent="0.25">
      <c r="A955" s="123" t="s">
        <v>1146</v>
      </c>
    </row>
    <row r="956" spans="1:1" x14ac:dyDescent="0.25">
      <c r="A956" s="124" t="s">
        <v>1147</v>
      </c>
    </row>
    <row r="957" spans="1:1" x14ac:dyDescent="0.25">
      <c r="A957" s="124" t="s">
        <v>1148</v>
      </c>
    </row>
    <row r="958" spans="1:1" x14ac:dyDescent="0.25">
      <c r="A958" t="s">
        <v>1149</v>
      </c>
    </row>
    <row r="959" spans="1:1" x14ac:dyDescent="0.25">
      <c r="A959" s="124" t="s">
        <v>1150</v>
      </c>
    </row>
    <row r="960" spans="1:1" x14ac:dyDescent="0.25">
      <c r="A960" s="29" t="s">
        <v>1151</v>
      </c>
    </row>
    <row r="961" spans="1:1" x14ac:dyDescent="0.25">
      <c r="A961" s="123" t="s">
        <v>1152</v>
      </c>
    </row>
    <row r="962" spans="1:1" x14ac:dyDescent="0.25">
      <c r="A962" s="124" t="s">
        <v>1153</v>
      </c>
    </row>
    <row r="963" spans="1:1" x14ac:dyDescent="0.25">
      <c r="A963" t="s">
        <v>1154</v>
      </c>
    </row>
    <row r="964" spans="1:1" x14ac:dyDescent="0.25">
      <c r="A964" s="123" t="s">
        <v>1155</v>
      </c>
    </row>
    <row r="965" spans="1:1" x14ac:dyDescent="0.25">
      <c r="A965" s="123" t="s">
        <v>1156</v>
      </c>
    </row>
    <row r="966" spans="1:1" x14ac:dyDescent="0.25">
      <c r="A966" s="29" t="s">
        <v>1157</v>
      </c>
    </row>
    <row r="967" spans="1:1" x14ac:dyDescent="0.25">
      <c r="A967" s="29" t="s">
        <v>1158</v>
      </c>
    </row>
    <row r="968" spans="1:1" x14ac:dyDescent="0.25">
      <c r="A968" s="29" t="s">
        <v>1159</v>
      </c>
    </row>
    <row r="969" spans="1:1" x14ac:dyDescent="0.25">
      <c r="A969" t="s">
        <v>1160</v>
      </c>
    </row>
    <row r="970" spans="1:1" ht="255" x14ac:dyDescent="0.25">
      <c r="A970" s="125" t="s">
        <v>1161</v>
      </c>
    </row>
    <row r="971" spans="1:1" ht="270" x14ac:dyDescent="0.25">
      <c r="A971" s="125" t="s">
        <v>1162</v>
      </c>
    </row>
    <row r="972" spans="1:1" x14ac:dyDescent="0.25">
      <c r="A972" s="124" t="s">
        <v>1163</v>
      </c>
    </row>
    <row r="973" spans="1:1" x14ac:dyDescent="0.25">
      <c r="A973" s="123" t="s">
        <v>1164</v>
      </c>
    </row>
    <row r="974" spans="1:1" x14ac:dyDescent="0.25">
      <c r="A974" s="124" t="s">
        <v>1165</v>
      </c>
    </row>
    <row r="975" spans="1:1" x14ac:dyDescent="0.25">
      <c r="A975" t="s">
        <v>1166</v>
      </c>
    </row>
    <row r="976" spans="1:1" x14ac:dyDescent="0.25">
      <c r="A976" s="123" t="s">
        <v>1167</v>
      </c>
    </row>
    <row r="977" spans="1:1" x14ac:dyDescent="0.25">
      <c r="A977" s="123" t="s">
        <v>1168</v>
      </c>
    </row>
    <row r="978" spans="1:1" x14ac:dyDescent="0.25">
      <c r="A978" s="124" t="s">
        <v>1169</v>
      </c>
    </row>
    <row r="979" spans="1:1" x14ac:dyDescent="0.25">
      <c r="A979" s="123" t="s">
        <v>1170</v>
      </c>
    </row>
    <row r="980" spans="1:1" x14ac:dyDescent="0.25">
      <c r="A980" s="124" t="s">
        <v>1171</v>
      </c>
    </row>
    <row r="981" spans="1:1" x14ac:dyDescent="0.25">
      <c r="A981" t="s">
        <v>1172</v>
      </c>
    </row>
    <row r="982" spans="1:1" x14ac:dyDescent="0.25">
      <c r="A982" s="123" t="s">
        <v>1173</v>
      </c>
    </row>
    <row r="983" spans="1:1" x14ac:dyDescent="0.25">
      <c r="A983" s="123" t="s">
        <v>1174</v>
      </c>
    </row>
    <row r="984" spans="1:1" x14ac:dyDescent="0.25">
      <c r="A984" s="124" t="s">
        <v>1175</v>
      </c>
    </row>
    <row r="985" spans="1:1" x14ac:dyDescent="0.25">
      <c r="A985" s="124" t="s">
        <v>1176</v>
      </c>
    </row>
    <row r="986" spans="1:1" x14ac:dyDescent="0.25">
      <c r="A986" t="s">
        <v>1177</v>
      </c>
    </row>
    <row r="987" spans="1:1" x14ac:dyDescent="0.25">
      <c r="A987" s="124" t="s">
        <v>1178</v>
      </c>
    </row>
    <row r="988" spans="1:1" x14ac:dyDescent="0.25">
      <c r="A988" s="29" t="s">
        <v>1179</v>
      </c>
    </row>
    <row r="989" spans="1:1" x14ac:dyDescent="0.25">
      <c r="A989" s="123" t="s">
        <v>1180</v>
      </c>
    </row>
    <row r="990" spans="1:1" x14ac:dyDescent="0.25">
      <c r="A990" s="124" t="s">
        <v>1181</v>
      </c>
    </row>
    <row r="991" spans="1:1" x14ac:dyDescent="0.25">
      <c r="A991" t="s">
        <v>1182</v>
      </c>
    </row>
    <row r="992" spans="1:1" x14ac:dyDescent="0.25">
      <c r="A992" s="123" t="s">
        <v>1183</v>
      </c>
    </row>
    <row r="993" spans="1:1" x14ac:dyDescent="0.25">
      <c r="A993" s="123" t="s">
        <v>1184</v>
      </c>
    </row>
    <row r="994" spans="1:1" x14ac:dyDescent="0.25">
      <c r="A994" s="29" t="s">
        <v>1185</v>
      </c>
    </row>
    <row r="995" spans="1:1" x14ac:dyDescent="0.25">
      <c r="A995" s="29" t="s">
        <v>1186</v>
      </c>
    </row>
    <row r="996" spans="1:1" x14ac:dyDescent="0.25">
      <c r="A996" s="29" t="s">
        <v>1187</v>
      </c>
    </row>
    <row r="997" spans="1:1" x14ac:dyDescent="0.25">
      <c r="A997" t="s">
        <v>1188</v>
      </c>
    </row>
    <row r="998" spans="1:1" ht="255" x14ac:dyDescent="0.25">
      <c r="A998" s="125" t="s">
        <v>1189</v>
      </c>
    </row>
    <row r="999" spans="1:1" ht="270" x14ac:dyDescent="0.25">
      <c r="A999" s="125" t="s">
        <v>1190</v>
      </c>
    </row>
    <row r="1000" spans="1:1" x14ac:dyDescent="0.25">
      <c r="A1000" s="124" t="s">
        <v>1191</v>
      </c>
    </row>
    <row r="1001" spans="1:1" x14ac:dyDescent="0.25">
      <c r="A1001" s="123" t="s">
        <v>1192</v>
      </c>
    </row>
    <row r="1002" spans="1:1" x14ac:dyDescent="0.25">
      <c r="A1002" s="124" t="s">
        <v>1193</v>
      </c>
    </row>
    <row r="1003" spans="1:1" x14ac:dyDescent="0.25">
      <c r="A1003" t="s">
        <v>1194</v>
      </c>
    </row>
    <row r="1004" spans="1:1" x14ac:dyDescent="0.25">
      <c r="A1004" s="123" t="s">
        <v>1195</v>
      </c>
    </row>
    <row r="1005" spans="1:1" x14ac:dyDescent="0.25">
      <c r="A1005" s="123" t="s">
        <v>1196</v>
      </c>
    </row>
    <row r="1006" spans="1:1" x14ac:dyDescent="0.25">
      <c r="A1006" s="124" t="s">
        <v>1197</v>
      </c>
    </row>
    <row r="1007" spans="1:1" x14ac:dyDescent="0.25">
      <c r="A1007" s="123" t="s">
        <v>1198</v>
      </c>
    </row>
    <row r="1008" spans="1:1" x14ac:dyDescent="0.25">
      <c r="A1008" s="124" t="s">
        <v>1199</v>
      </c>
    </row>
    <row r="1009" spans="1:1" x14ac:dyDescent="0.25">
      <c r="A1009" t="s">
        <v>1200</v>
      </c>
    </row>
    <row r="1010" spans="1:1" x14ac:dyDescent="0.25">
      <c r="A1010" s="123" t="s">
        <v>1201</v>
      </c>
    </row>
    <row r="1011" spans="1:1" x14ac:dyDescent="0.25">
      <c r="A1011" s="123" t="s">
        <v>1202</v>
      </c>
    </row>
    <row r="1012" spans="1:1" x14ac:dyDescent="0.25">
      <c r="A1012" s="124" t="s">
        <v>1203</v>
      </c>
    </row>
    <row r="1013" spans="1:1" x14ac:dyDescent="0.25">
      <c r="A1013" s="124" t="s">
        <v>1204</v>
      </c>
    </row>
    <row r="1014" spans="1:1" x14ac:dyDescent="0.25">
      <c r="A1014" t="s">
        <v>1205</v>
      </c>
    </row>
    <row r="1015" spans="1:1" x14ac:dyDescent="0.25">
      <c r="A1015" s="124" t="s">
        <v>1206</v>
      </c>
    </row>
    <row r="1016" spans="1:1" x14ac:dyDescent="0.25">
      <c r="A1016" s="29" t="s">
        <v>1207</v>
      </c>
    </row>
    <row r="1017" spans="1:1" x14ac:dyDescent="0.25">
      <c r="A1017" s="123" t="s">
        <v>1208</v>
      </c>
    </row>
    <row r="1018" spans="1:1" x14ac:dyDescent="0.25">
      <c r="A1018" s="124" t="s">
        <v>1209</v>
      </c>
    </row>
    <row r="1019" spans="1:1" x14ac:dyDescent="0.25">
      <c r="A1019" t="s">
        <v>1210</v>
      </c>
    </row>
    <row r="1020" spans="1:1" x14ac:dyDescent="0.25">
      <c r="A1020" s="123" t="s">
        <v>1211</v>
      </c>
    </row>
    <row r="1021" spans="1:1" x14ac:dyDescent="0.25">
      <c r="A1021" s="123" t="s">
        <v>1212</v>
      </c>
    </row>
    <row r="1022" spans="1:1" x14ac:dyDescent="0.25">
      <c r="A1022" s="29" t="s">
        <v>1213</v>
      </c>
    </row>
    <row r="1023" spans="1:1" x14ac:dyDescent="0.25">
      <c r="A1023" s="29" t="s">
        <v>1214</v>
      </c>
    </row>
    <row r="1024" spans="1:1" x14ac:dyDescent="0.25">
      <c r="A1024" s="29" t="s">
        <v>1215</v>
      </c>
    </row>
    <row r="1025" spans="1:1" x14ac:dyDescent="0.25">
      <c r="A1025" t="s">
        <v>1216</v>
      </c>
    </row>
    <row r="1026" spans="1:1" ht="255" x14ac:dyDescent="0.25">
      <c r="A1026" s="125" t="s">
        <v>1217</v>
      </c>
    </row>
    <row r="1027" spans="1:1" ht="270" x14ac:dyDescent="0.25">
      <c r="A1027" s="125" t="s">
        <v>1218</v>
      </c>
    </row>
    <row r="1028" spans="1:1" x14ac:dyDescent="0.25">
      <c r="A1028" s="124" t="s">
        <v>1219</v>
      </c>
    </row>
    <row r="1029" spans="1:1" x14ac:dyDescent="0.25">
      <c r="A1029" s="123" t="s">
        <v>1220</v>
      </c>
    </row>
    <row r="1030" spans="1:1" x14ac:dyDescent="0.25">
      <c r="A1030" s="124" t="s">
        <v>1221</v>
      </c>
    </row>
    <row r="1031" spans="1:1" x14ac:dyDescent="0.25">
      <c r="A1031" t="s">
        <v>1222</v>
      </c>
    </row>
    <row r="1032" spans="1:1" x14ac:dyDescent="0.25">
      <c r="A1032" s="123" t="s">
        <v>1223</v>
      </c>
    </row>
    <row r="1033" spans="1:1" x14ac:dyDescent="0.25">
      <c r="A1033" s="123" t="s">
        <v>1224</v>
      </c>
    </row>
    <row r="1034" spans="1:1" x14ac:dyDescent="0.25">
      <c r="A1034" s="124" t="s">
        <v>1225</v>
      </c>
    </row>
    <row r="1035" spans="1:1" x14ac:dyDescent="0.25">
      <c r="A1035" s="123" t="s">
        <v>1226</v>
      </c>
    </row>
    <row r="1036" spans="1:1" x14ac:dyDescent="0.25">
      <c r="A1036" s="124" t="s">
        <v>1227</v>
      </c>
    </row>
    <row r="1037" spans="1:1" x14ac:dyDescent="0.25">
      <c r="A1037" t="s">
        <v>1228</v>
      </c>
    </row>
    <row r="1038" spans="1:1" x14ac:dyDescent="0.25">
      <c r="A1038" s="123" t="s">
        <v>1229</v>
      </c>
    </row>
    <row r="1039" spans="1:1" x14ac:dyDescent="0.25">
      <c r="A1039" s="123" t="s">
        <v>1230</v>
      </c>
    </row>
    <row r="1040" spans="1:1" x14ac:dyDescent="0.25">
      <c r="A1040" s="124" t="s">
        <v>1231</v>
      </c>
    </row>
    <row r="1041" spans="1:1" x14ac:dyDescent="0.25">
      <c r="A1041" s="124" t="s">
        <v>1232</v>
      </c>
    </row>
    <row r="1042" spans="1:1" x14ac:dyDescent="0.25">
      <c r="A1042" t="s">
        <v>1233</v>
      </c>
    </row>
    <row r="1043" spans="1:1" x14ac:dyDescent="0.25">
      <c r="A1043" s="124" t="s">
        <v>1234</v>
      </c>
    </row>
    <row r="1044" spans="1:1" x14ac:dyDescent="0.25">
      <c r="A1044" s="29" t="s">
        <v>1235</v>
      </c>
    </row>
    <row r="1045" spans="1:1" x14ac:dyDescent="0.25">
      <c r="A1045" s="123" t="s">
        <v>1236</v>
      </c>
    </row>
    <row r="1046" spans="1:1" x14ac:dyDescent="0.25">
      <c r="A1046" s="124" t="s">
        <v>1237</v>
      </c>
    </row>
    <row r="1047" spans="1:1" x14ac:dyDescent="0.25">
      <c r="A1047" t="s">
        <v>1238</v>
      </c>
    </row>
    <row r="1048" spans="1:1" x14ac:dyDescent="0.25">
      <c r="A1048" s="123" t="s">
        <v>1239</v>
      </c>
    </row>
    <row r="1049" spans="1:1" x14ac:dyDescent="0.25">
      <c r="A1049" s="123" t="s">
        <v>1240</v>
      </c>
    </row>
    <row r="1050" spans="1:1" x14ac:dyDescent="0.25">
      <c r="A1050" s="29" t="s">
        <v>1241</v>
      </c>
    </row>
    <row r="1051" spans="1:1" x14ac:dyDescent="0.25">
      <c r="A1051" s="29" t="s">
        <v>1242</v>
      </c>
    </row>
    <row r="1052" spans="1:1" x14ac:dyDescent="0.25">
      <c r="A1052" s="29" t="s">
        <v>1243</v>
      </c>
    </row>
    <row r="1053" spans="1:1" x14ac:dyDescent="0.25">
      <c r="A1053" t="s">
        <v>1244</v>
      </c>
    </row>
    <row r="1054" spans="1:1" ht="255" x14ac:dyDescent="0.25">
      <c r="A1054" s="125" t="s">
        <v>1245</v>
      </c>
    </row>
    <row r="1055" spans="1:1" ht="270" x14ac:dyDescent="0.25">
      <c r="A1055" s="125" t="s">
        <v>1246</v>
      </c>
    </row>
    <row r="1056" spans="1:1" x14ac:dyDescent="0.25">
      <c r="A1056" s="124" t="s">
        <v>1247</v>
      </c>
    </row>
    <row r="1057" spans="1:1" x14ac:dyDescent="0.25">
      <c r="A1057" s="123" t="s">
        <v>1248</v>
      </c>
    </row>
    <row r="1058" spans="1:1" x14ac:dyDescent="0.25">
      <c r="A1058" s="124" t="s">
        <v>1249</v>
      </c>
    </row>
    <row r="1059" spans="1:1" x14ac:dyDescent="0.25">
      <c r="A1059" t="s">
        <v>1250</v>
      </c>
    </row>
    <row r="1060" spans="1:1" x14ac:dyDescent="0.25">
      <c r="A1060" s="123" t="s">
        <v>1251</v>
      </c>
    </row>
    <row r="1061" spans="1:1" x14ac:dyDescent="0.25">
      <c r="A1061" s="123" t="s">
        <v>1252</v>
      </c>
    </row>
    <row r="1062" spans="1:1" x14ac:dyDescent="0.25">
      <c r="A1062" s="124" t="s">
        <v>1253</v>
      </c>
    </row>
    <row r="1063" spans="1:1" x14ac:dyDescent="0.25">
      <c r="A1063" s="123" t="s">
        <v>1254</v>
      </c>
    </row>
    <row r="1064" spans="1:1" x14ac:dyDescent="0.25">
      <c r="A1064" s="124" t="s">
        <v>1255</v>
      </c>
    </row>
    <row r="1065" spans="1:1" x14ac:dyDescent="0.25">
      <c r="A1065" t="s">
        <v>1256</v>
      </c>
    </row>
    <row r="1066" spans="1:1" x14ac:dyDescent="0.25">
      <c r="A1066" s="123" t="s">
        <v>1257</v>
      </c>
    </row>
    <row r="1067" spans="1:1" x14ac:dyDescent="0.25">
      <c r="A1067" s="123" t="s">
        <v>1258</v>
      </c>
    </row>
    <row r="1068" spans="1:1" x14ac:dyDescent="0.25">
      <c r="A1068" s="124" t="s">
        <v>1259</v>
      </c>
    </row>
    <row r="1069" spans="1:1" x14ac:dyDescent="0.25">
      <c r="A1069" s="124" t="s">
        <v>1260</v>
      </c>
    </row>
    <row r="1070" spans="1:1" x14ac:dyDescent="0.25">
      <c r="A1070" t="s">
        <v>1261</v>
      </c>
    </row>
    <row r="1071" spans="1:1" x14ac:dyDescent="0.25">
      <c r="A1071" s="124" t="s">
        <v>1262</v>
      </c>
    </row>
    <row r="1072" spans="1:1" x14ac:dyDescent="0.25">
      <c r="A1072" s="29" t="s">
        <v>1263</v>
      </c>
    </row>
    <row r="1073" spans="1:1" x14ac:dyDescent="0.25">
      <c r="A1073" s="123" t="s">
        <v>1264</v>
      </c>
    </row>
    <row r="1074" spans="1:1" x14ac:dyDescent="0.25">
      <c r="A1074" s="124" t="s">
        <v>1265</v>
      </c>
    </row>
    <row r="1075" spans="1:1" x14ac:dyDescent="0.25">
      <c r="A1075" t="s">
        <v>1266</v>
      </c>
    </row>
    <row r="1076" spans="1:1" x14ac:dyDescent="0.25">
      <c r="A1076" s="123" t="s">
        <v>1267</v>
      </c>
    </row>
    <row r="1077" spans="1:1" x14ac:dyDescent="0.25">
      <c r="A1077" s="123" t="s">
        <v>1268</v>
      </c>
    </row>
    <row r="1078" spans="1:1" x14ac:dyDescent="0.25">
      <c r="A1078" s="29" t="s">
        <v>1269</v>
      </c>
    </row>
    <row r="1079" spans="1:1" x14ac:dyDescent="0.25">
      <c r="A1079" s="29" t="s">
        <v>1270</v>
      </c>
    </row>
    <row r="1080" spans="1:1" x14ac:dyDescent="0.25">
      <c r="A1080" s="29" t="s">
        <v>1271</v>
      </c>
    </row>
    <row r="1081" spans="1:1" x14ac:dyDescent="0.25">
      <c r="A1081" t="s">
        <v>1272</v>
      </c>
    </row>
    <row r="1082" spans="1:1" ht="255" x14ac:dyDescent="0.25">
      <c r="A1082" s="125" t="s">
        <v>1273</v>
      </c>
    </row>
    <row r="1083" spans="1:1" ht="270" x14ac:dyDescent="0.25">
      <c r="A1083" s="125" t="s">
        <v>1274</v>
      </c>
    </row>
    <row r="1084" spans="1:1" x14ac:dyDescent="0.25">
      <c r="A1084" s="124" t="s">
        <v>1275</v>
      </c>
    </row>
    <row r="1085" spans="1:1" x14ac:dyDescent="0.25">
      <c r="A1085" s="123" t="s">
        <v>1276</v>
      </c>
    </row>
    <row r="1086" spans="1:1" x14ac:dyDescent="0.25">
      <c r="A1086" s="124" t="s">
        <v>1277</v>
      </c>
    </row>
    <row r="1087" spans="1:1" x14ac:dyDescent="0.25">
      <c r="A1087" t="s">
        <v>1278</v>
      </c>
    </row>
    <row r="1088" spans="1:1" x14ac:dyDescent="0.25">
      <c r="A1088" s="123" t="s">
        <v>1279</v>
      </c>
    </row>
    <row r="1089" spans="1:1" x14ac:dyDescent="0.25">
      <c r="A1089" s="123" t="s">
        <v>1280</v>
      </c>
    </row>
    <row r="1090" spans="1:1" x14ac:dyDescent="0.25">
      <c r="A1090" s="124" t="s">
        <v>1281</v>
      </c>
    </row>
    <row r="1091" spans="1:1" x14ac:dyDescent="0.25">
      <c r="A1091" s="123" t="s">
        <v>1282</v>
      </c>
    </row>
    <row r="1092" spans="1:1" x14ac:dyDescent="0.25">
      <c r="A1092" s="124" t="s">
        <v>1283</v>
      </c>
    </row>
    <row r="1093" spans="1:1" x14ac:dyDescent="0.25">
      <c r="A1093" t="s">
        <v>1284</v>
      </c>
    </row>
    <row r="1094" spans="1:1" x14ac:dyDescent="0.25">
      <c r="A1094" s="123" t="s">
        <v>1285</v>
      </c>
    </row>
    <row r="1095" spans="1:1" x14ac:dyDescent="0.25">
      <c r="A1095" s="123" t="s">
        <v>1286</v>
      </c>
    </row>
    <row r="1096" spans="1:1" x14ac:dyDescent="0.25">
      <c r="A1096" s="123" t="s">
        <v>1287</v>
      </c>
    </row>
    <row r="1097" spans="1:1" x14ac:dyDescent="0.25">
      <c r="A1097" s="123" t="s">
        <v>1288</v>
      </c>
    </row>
    <row r="1098" spans="1:1" x14ac:dyDescent="0.25">
      <c r="A1098" s="123" t="s">
        <v>1289</v>
      </c>
    </row>
    <row r="1099" spans="1:1" x14ac:dyDescent="0.25">
      <c r="A1099" s="124" t="s">
        <v>1290</v>
      </c>
    </row>
    <row r="1100" spans="1:1" x14ac:dyDescent="0.25">
      <c r="A1100" s="124" t="s">
        <v>1291</v>
      </c>
    </row>
    <row r="1101" spans="1:1" x14ac:dyDescent="0.25">
      <c r="A1101" s="123" t="s">
        <v>1292</v>
      </c>
    </row>
    <row r="1102" spans="1:1" x14ac:dyDescent="0.25">
      <c r="A1102" s="29" t="s">
        <v>1293</v>
      </c>
    </row>
    <row r="1103" spans="1:1" x14ac:dyDescent="0.25">
      <c r="A1103" s="123" t="s">
        <v>1294</v>
      </c>
    </row>
    <row r="1104" spans="1:1" x14ac:dyDescent="0.25">
      <c r="A1104" s="123" t="s">
        <v>1295</v>
      </c>
    </row>
    <row r="1105" spans="1:1" x14ac:dyDescent="0.25">
      <c r="A1105" s="123" t="s">
        <v>1296</v>
      </c>
    </row>
    <row r="1106" spans="1:1" x14ac:dyDescent="0.25">
      <c r="A1106" s="124" t="s">
        <v>1297</v>
      </c>
    </row>
    <row r="1107" spans="1:1" x14ac:dyDescent="0.25">
      <c r="A1107" s="124" t="s">
        <v>1298</v>
      </c>
    </row>
    <row r="1108" spans="1:1" x14ac:dyDescent="0.25">
      <c r="A1108" s="123" t="s">
        <v>1299</v>
      </c>
    </row>
    <row r="1109" spans="1:1" x14ac:dyDescent="0.25">
      <c r="A1109" s="29" t="s">
        <v>1300</v>
      </c>
    </row>
    <row r="1110" spans="1:1" x14ac:dyDescent="0.25">
      <c r="A1110" s="123" t="s">
        <v>1301</v>
      </c>
    </row>
    <row r="1111" spans="1:1" x14ac:dyDescent="0.25">
      <c r="A1111" s="123" t="s">
        <v>1302</v>
      </c>
    </row>
    <row r="1112" spans="1:1" x14ac:dyDescent="0.25">
      <c r="A1112" s="123" t="s">
        <v>1303</v>
      </c>
    </row>
    <row r="1113" spans="1:1" x14ac:dyDescent="0.25">
      <c r="A1113" s="124" t="s">
        <v>1304</v>
      </c>
    </row>
    <row r="1114" spans="1:1" x14ac:dyDescent="0.25">
      <c r="A1114" s="124" t="s">
        <v>1305</v>
      </c>
    </row>
    <row r="1115" spans="1:1" x14ac:dyDescent="0.25">
      <c r="A1115" s="123" t="s">
        <v>1306</v>
      </c>
    </row>
    <row r="1116" spans="1:1" x14ac:dyDescent="0.25">
      <c r="A1116" s="29" t="s">
        <v>1307</v>
      </c>
    </row>
    <row r="1117" spans="1:1" x14ac:dyDescent="0.25">
      <c r="A1117" s="123" t="s">
        <v>1308</v>
      </c>
    </row>
    <row r="1118" spans="1:1" x14ac:dyDescent="0.25">
      <c r="A1118" s="123" t="s">
        <v>1309</v>
      </c>
    </row>
    <row r="1119" spans="1:1" x14ac:dyDescent="0.25">
      <c r="A1119" s="123" t="s">
        <v>1310</v>
      </c>
    </row>
    <row r="1120" spans="1:1" x14ac:dyDescent="0.25">
      <c r="A1120" s="124" t="s">
        <v>1311</v>
      </c>
    </row>
    <row r="1121" spans="1:1" x14ac:dyDescent="0.25">
      <c r="A1121" s="124" t="s">
        <v>1312</v>
      </c>
    </row>
    <row r="1122" spans="1:1" x14ac:dyDescent="0.25">
      <c r="A1122" s="123" t="s">
        <v>1313</v>
      </c>
    </row>
    <row r="1123" spans="1:1" x14ac:dyDescent="0.25">
      <c r="A1123" s="29" t="s">
        <v>1314</v>
      </c>
    </row>
    <row r="1124" spans="1:1" x14ac:dyDescent="0.25">
      <c r="A1124" s="123" t="s">
        <v>1315</v>
      </c>
    </row>
    <row r="1125" spans="1:1" x14ac:dyDescent="0.25">
      <c r="A1125" s="123" t="s">
        <v>1316</v>
      </c>
    </row>
    <row r="1126" spans="1:1" x14ac:dyDescent="0.25">
      <c r="A1126" s="123" t="s">
        <v>1317</v>
      </c>
    </row>
    <row r="1127" spans="1:1" x14ac:dyDescent="0.25">
      <c r="A1127" s="124" t="s">
        <v>1318</v>
      </c>
    </row>
    <row r="1128" spans="1:1" x14ac:dyDescent="0.25">
      <c r="A1128" s="124" t="s">
        <v>1319</v>
      </c>
    </row>
    <row r="1129" spans="1:1" x14ac:dyDescent="0.25">
      <c r="A1129" s="123" t="s">
        <v>1320</v>
      </c>
    </row>
    <row r="1130" spans="1:1" x14ac:dyDescent="0.25">
      <c r="A1130" s="29" t="s">
        <v>1321</v>
      </c>
    </row>
    <row r="1131" spans="1:1" x14ac:dyDescent="0.25">
      <c r="A1131" s="123" t="s">
        <v>1322</v>
      </c>
    </row>
    <row r="1132" spans="1:1" x14ac:dyDescent="0.25">
      <c r="A1132" s="123" t="s">
        <v>1323</v>
      </c>
    </row>
    <row r="1133" spans="1:1" x14ac:dyDescent="0.25">
      <c r="A1133" s="123" t="s">
        <v>1324</v>
      </c>
    </row>
    <row r="1134" spans="1:1" x14ac:dyDescent="0.25">
      <c r="A1134" s="124" t="s">
        <v>1325</v>
      </c>
    </row>
    <row r="1135" spans="1:1" x14ac:dyDescent="0.25">
      <c r="A1135" s="124" t="s">
        <v>1326</v>
      </c>
    </row>
    <row r="1136" spans="1:1" x14ac:dyDescent="0.25">
      <c r="A1136" s="123" t="s">
        <v>1327</v>
      </c>
    </row>
    <row r="1137" spans="1:1" x14ac:dyDescent="0.25">
      <c r="A1137" s="29" t="s">
        <v>1328</v>
      </c>
    </row>
    <row r="1138" spans="1:1" x14ac:dyDescent="0.25">
      <c r="A1138" s="123" t="s">
        <v>1329</v>
      </c>
    </row>
    <row r="1139" spans="1:1" x14ac:dyDescent="0.25">
      <c r="A1139" s="123" t="s">
        <v>1330</v>
      </c>
    </row>
    <row r="1140" spans="1:1" x14ac:dyDescent="0.25">
      <c r="A1140" s="123" t="s">
        <v>1331</v>
      </c>
    </row>
    <row r="1141" spans="1:1" x14ac:dyDescent="0.25">
      <c r="A1141" s="124" t="s">
        <v>1332</v>
      </c>
    </row>
    <row r="1142" spans="1:1" x14ac:dyDescent="0.25">
      <c r="A1142" s="124" t="s">
        <v>1333</v>
      </c>
    </row>
    <row r="1143" spans="1:1" x14ac:dyDescent="0.25">
      <c r="A1143" s="123" t="s">
        <v>1334</v>
      </c>
    </row>
    <row r="1144" spans="1:1" x14ac:dyDescent="0.25">
      <c r="A1144" s="29" t="s">
        <v>1335</v>
      </c>
    </row>
    <row r="1145" spans="1:1" x14ac:dyDescent="0.25">
      <c r="A1145" s="123" t="s">
        <v>1336</v>
      </c>
    </row>
    <row r="1146" spans="1:1" x14ac:dyDescent="0.25">
      <c r="A1146" s="123" t="s">
        <v>1337</v>
      </c>
    </row>
    <row r="1147" spans="1:1" x14ac:dyDescent="0.25">
      <c r="A1147" s="123" t="s">
        <v>1338</v>
      </c>
    </row>
    <row r="1148" spans="1:1" x14ac:dyDescent="0.25">
      <c r="A1148" s="124" t="s">
        <v>1339</v>
      </c>
    </row>
    <row r="1149" spans="1:1" x14ac:dyDescent="0.25">
      <c r="A1149" s="124" t="s">
        <v>1340</v>
      </c>
    </row>
    <row r="1150" spans="1:1" x14ac:dyDescent="0.25">
      <c r="A1150" s="123" t="s">
        <v>1341</v>
      </c>
    </row>
    <row r="1151" spans="1:1" x14ac:dyDescent="0.25">
      <c r="A1151" s="29" t="s">
        <v>1342</v>
      </c>
    </row>
    <row r="1152" spans="1:1" x14ac:dyDescent="0.25">
      <c r="A1152" s="124" t="s">
        <v>1343</v>
      </c>
    </row>
    <row r="1153" spans="1:1" x14ac:dyDescent="0.25">
      <c r="A1153" s="124" t="s">
        <v>1344</v>
      </c>
    </row>
    <row r="1154" spans="1:1" x14ac:dyDescent="0.25">
      <c r="A1154" t="s">
        <v>1345</v>
      </c>
    </row>
    <row r="1155" spans="1:1" x14ac:dyDescent="0.25">
      <c r="A1155" s="124" t="s">
        <v>1346</v>
      </c>
    </row>
    <row r="1156" spans="1:1" x14ac:dyDescent="0.25">
      <c r="A1156" s="29" t="s">
        <v>1347</v>
      </c>
    </row>
    <row r="1157" spans="1:1" x14ac:dyDescent="0.25">
      <c r="A1157" s="123" t="s">
        <v>1348</v>
      </c>
    </row>
    <row r="1158" spans="1:1" x14ac:dyDescent="0.25">
      <c r="A1158" s="124" t="s">
        <v>1349</v>
      </c>
    </row>
    <row r="1159" spans="1:1" x14ac:dyDescent="0.25">
      <c r="A1159" t="s">
        <v>1350</v>
      </c>
    </row>
    <row r="1160" spans="1:1" x14ac:dyDescent="0.25">
      <c r="A1160" s="123" t="s">
        <v>1351</v>
      </c>
    </row>
    <row r="1161" spans="1:1" x14ac:dyDescent="0.25">
      <c r="A1161" s="123" t="s">
        <v>1352</v>
      </c>
    </row>
    <row r="1162" spans="1:1" x14ac:dyDescent="0.25">
      <c r="A1162" s="29" t="s">
        <v>1353</v>
      </c>
    </row>
    <row r="1163" spans="1:1" x14ac:dyDescent="0.25">
      <c r="A1163" s="29" t="s">
        <v>1354</v>
      </c>
    </row>
    <row r="1164" spans="1:1" x14ac:dyDescent="0.25">
      <c r="A1164" s="29" t="s">
        <v>1355</v>
      </c>
    </row>
    <row r="1165" spans="1:1" x14ac:dyDescent="0.25">
      <c r="A1165" t="s">
        <v>1356</v>
      </c>
    </row>
    <row r="1166" spans="1:1" ht="255" x14ac:dyDescent="0.25">
      <c r="A1166" s="125" t="s">
        <v>1357</v>
      </c>
    </row>
    <row r="1167" spans="1:1" ht="270" x14ac:dyDescent="0.25">
      <c r="A1167" s="125" t="s">
        <v>1358</v>
      </c>
    </row>
    <row r="1168" spans="1:1" x14ac:dyDescent="0.25">
      <c r="A1168" s="124" t="s">
        <v>1359</v>
      </c>
    </row>
    <row r="1169" spans="1:1" x14ac:dyDescent="0.25">
      <c r="A1169" s="123" t="s">
        <v>1360</v>
      </c>
    </row>
    <row r="1170" spans="1:1" x14ac:dyDescent="0.25">
      <c r="A1170" s="124" t="s">
        <v>1361</v>
      </c>
    </row>
    <row r="1171" spans="1:1" x14ac:dyDescent="0.25">
      <c r="A1171" t="s">
        <v>1362</v>
      </c>
    </row>
    <row r="1172" spans="1:1" x14ac:dyDescent="0.25">
      <c r="A1172" s="123" t="s">
        <v>1363</v>
      </c>
    </row>
    <row r="1173" spans="1:1" x14ac:dyDescent="0.25">
      <c r="A1173" s="123" t="s">
        <v>1364</v>
      </c>
    </row>
    <row r="1174" spans="1:1" x14ac:dyDescent="0.25">
      <c r="A1174" s="124" t="s">
        <v>1365</v>
      </c>
    </row>
    <row r="1175" spans="1:1" x14ac:dyDescent="0.25">
      <c r="A1175" s="123" t="s">
        <v>1366</v>
      </c>
    </row>
    <row r="1176" spans="1:1" x14ac:dyDescent="0.25">
      <c r="A1176" s="124" t="s">
        <v>1367</v>
      </c>
    </row>
    <row r="1177" spans="1:1" x14ac:dyDescent="0.25">
      <c r="A1177" t="s">
        <v>1368</v>
      </c>
    </row>
    <row r="1178" spans="1:1" x14ac:dyDescent="0.25">
      <c r="A1178" s="123" t="s">
        <v>1369</v>
      </c>
    </row>
    <row r="1179" spans="1:1" x14ac:dyDescent="0.25">
      <c r="A1179" s="123" t="s">
        <v>1370</v>
      </c>
    </row>
    <row r="1180" spans="1:1" x14ac:dyDescent="0.25">
      <c r="A1180" s="124" t="s">
        <v>1371</v>
      </c>
    </row>
    <row r="1181" spans="1:1" x14ac:dyDescent="0.25">
      <c r="A1181" s="124" t="s">
        <v>1372</v>
      </c>
    </row>
    <row r="1182" spans="1:1" x14ac:dyDescent="0.25">
      <c r="A1182" t="s">
        <v>1373</v>
      </c>
    </row>
    <row r="1183" spans="1:1" x14ac:dyDescent="0.25">
      <c r="A1183" s="124" t="s">
        <v>1374</v>
      </c>
    </row>
    <row r="1184" spans="1:1" x14ac:dyDescent="0.25">
      <c r="A1184" s="29" t="s">
        <v>1375</v>
      </c>
    </row>
    <row r="1185" spans="1:1" x14ac:dyDescent="0.25">
      <c r="A1185" s="123" t="s">
        <v>1376</v>
      </c>
    </row>
    <row r="1186" spans="1:1" x14ac:dyDescent="0.25">
      <c r="A1186" s="124" t="s">
        <v>1377</v>
      </c>
    </row>
    <row r="1187" spans="1:1" x14ac:dyDescent="0.25">
      <c r="A1187" t="s">
        <v>1378</v>
      </c>
    </row>
    <row r="1188" spans="1:1" x14ac:dyDescent="0.25">
      <c r="A1188" s="123" t="s">
        <v>1379</v>
      </c>
    </row>
    <row r="1189" spans="1:1" x14ac:dyDescent="0.25">
      <c r="A1189" s="123" t="s">
        <v>1380</v>
      </c>
    </row>
    <row r="1190" spans="1:1" x14ac:dyDescent="0.25">
      <c r="A1190" s="29" t="s">
        <v>1381</v>
      </c>
    </row>
    <row r="1191" spans="1:1" x14ac:dyDescent="0.25">
      <c r="A1191" s="29" t="s">
        <v>1382</v>
      </c>
    </row>
    <row r="1192" spans="1:1" x14ac:dyDescent="0.25">
      <c r="A1192" s="29" t="s">
        <v>1383</v>
      </c>
    </row>
    <row r="1193" spans="1:1" x14ac:dyDescent="0.25">
      <c r="A1193" t="s">
        <v>1384</v>
      </c>
    </row>
    <row r="1194" spans="1:1" ht="255" x14ac:dyDescent="0.25">
      <c r="A1194" s="125" t="s">
        <v>1385</v>
      </c>
    </row>
    <row r="1195" spans="1:1" ht="270" x14ac:dyDescent="0.25">
      <c r="A1195" s="125" t="s">
        <v>1386</v>
      </c>
    </row>
    <row r="1196" spans="1:1" x14ac:dyDescent="0.25">
      <c r="A1196" s="124" t="s">
        <v>1387</v>
      </c>
    </row>
    <row r="1197" spans="1:1" x14ac:dyDescent="0.25">
      <c r="A1197" s="123" t="s">
        <v>1388</v>
      </c>
    </row>
    <row r="1198" spans="1:1" x14ac:dyDescent="0.25">
      <c r="A1198" s="124" t="s">
        <v>1389</v>
      </c>
    </row>
    <row r="1199" spans="1:1" x14ac:dyDescent="0.25">
      <c r="A1199" t="s">
        <v>1390</v>
      </c>
    </row>
    <row r="1200" spans="1:1" x14ac:dyDescent="0.25">
      <c r="A1200" s="123" t="s">
        <v>1391</v>
      </c>
    </row>
    <row r="1201" spans="1:1" x14ac:dyDescent="0.25">
      <c r="A1201" s="123" t="s">
        <v>1392</v>
      </c>
    </row>
    <row r="1202" spans="1:1" x14ac:dyDescent="0.25">
      <c r="A1202" s="124" t="s">
        <v>1393</v>
      </c>
    </row>
    <row r="1203" spans="1:1" x14ac:dyDescent="0.25">
      <c r="A1203" s="123" t="s">
        <v>1394</v>
      </c>
    </row>
    <row r="1204" spans="1:1" x14ac:dyDescent="0.25">
      <c r="A1204" s="124" t="s">
        <v>1395</v>
      </c>
    </row>
    <row r="1205" spans="1:1" x14ac:dyDescent="0.25">
      <c r="A1205" t="s">
        <v>1396</v>
      </c>
    </row>
    <row r="1206" spans="1:1" x14ac:dyDescent="0.25">
      <c r="A1206" s="123" t="s">
        <v>1397</v>
      </c>
    </row>
    <row r="1207" spans="1:1" x14ac:dyDescent="0.25">
      <c r="A1207" s="123" t="s">
        <v>1398</v>
      </c>
    </row>
    <row r="1208" spans="1:1" x14ac:dyDescent="0.25">
      <c r="A1208" s="124" t="s">
        <v>1399</v>
      </c>
    </row>
    <row r="1209" spans="1:1" x14ac:dyDescent="0.25">
      <c r="A1209" s="124" t="s">
        <v>1400</v>
      </c>
    </row>
    <row r="1210" spans="1:1" x14ac:dyDescent="0.25">
      <c r="A1210" t="s">
        <v>1401</v>
      </c>
    </row>
    <row r="1211" spans="1:1" x14ac:dyDescent="0.25">
      <c r="A1211" s="124" t="s">
        <v>1402</v>
      </c>
    </row>
    <row r="1212" spans="1:1" x14ac:dyDescent="0.25">
      <c r="A1212" s="29" t="s">
        <v>1403</v>
      </c>
    </row>
    <row r="1213" spans="1:1" x14ac:dyDescent="0.25">
      <c r="A1213" s="123" t="s">
        <v>1404</v>
      </c>
    </row>
    <row r="1214" spans="1:1" x14ac:dyDescent="0.25">
      <c r="A1214" s="124" t="s">
        <v>1405</v>
      </c>
    </row>
    <row r="1215" spans="1:1" x14ac:dyDescent="0.25">
      <c r="A1215" t="s">
        <v>1406</v>
      </c>
    </row>
    <row r="1216" spans="1:1" x14ac:dyDescent="0.25">
      <c r="A1216" s="123" t="s">
        <v>1407</v>
      </c>
    </row>
    <row r="1217" spans="1:1" x14ac:dyDescent="0.25">
      <c r="A1217" s="123" t="s">
        <v>1408</v>
      </c>
    </row>
    <row r="1218" spans="1:1" x14ac:dyDescent="0.25">
      <c r="A1218" s="29" t="s">
        <v>1409</v>
      </c>
    </row>
    <row r="1219" spans="1:1" x14ac:dyDescent="0.25">
      <c r="A1219" s="29" t="s">
        <v>1410</v>
      </c>
    </row>
    <row r="1220" spans="1:1" x14ac:dyDescent="0.25">
      <c r="A1220" s="29" t="s">
        <v>1411</v>
      </c>
    </row>
    <row r="1221" spans="1:1" x14ac:dyDescent="0.25">
      <c r="A1221" t="s">
        <v>1412</v>
      </c>
    </row>
    <row r="1222" spans="1:1" ht="255" x14ac:dyDescent="0.25">
      <c r="A1222" s="125" t="s">
        <v>1413</v>
      </c>
    </row>
    <row r="1223" spans="1:1" ht="270" x14ac:dyDescent="0.25">
      <c r="A1223" s="125" t="s">
        <v>1414</v>
      </c>
    </row>
    <row r="1224" spans="1:1" x14ac:dyDescent="0.25">
      <c r="A1224" s="124" t="s">
        <v>1415</v>
      </c>
    </row>
    <row r="1225" spans="1:1" x14ac:dyDescent="0.25">
      <c r="A1225" s="123" t="s">
        <v>1416</v>
      </c>
    </row>
    <row r="1226" spans="1:1" x14ac:dyDescent="0.25">
      <c r="A1226" s="124" t="s">
        <v>1417</v>
      </c>
    </row>
    <row r="1227" spans="1:1" x14ac:dyDescent="0.25">
      <c r="A1227" t="s">
        <v>1418</v>
      </c>
    </row>
    <row r="1228" spans="1:1" x14ac:dyDescent="0.25">
      <c r="A1228" s="123" t="s">
        <v>1419</v>
      </c>
    </row>
    <row r="1229" spans="1:1" x14ac:dyDescent="0.25">
      <c r="A1229" s="123" t="s">
        <v>1420</v>
      </c>
    </row>
    <row r="1230" spans="1:1" x14ac:dyDescent="0.25">
      <c r="A1230" s="124" t="s">
        <v>1421</v>
      </c>
    </row>
    <row r="1231" spans="1:1" x14ac:dyDescent="0.25">
      <c r="A1231" s="123" t="s">
        <v>1422</v>
      </c>
    </row>
    <row r="1232" spans="1:1" x14ac:dyDescent="0.25">
      <c r="A1232" s="124" t="s">
        <v>1423</v>
      </c>
    </row>
    <row r="1233" spans="1:1" x14ac:dyDescent="0.25">
      <c r="A1233" t="s">
        <v>1424</v>
      </c>
    </row>
    <row r="1234" spans="1:1" x14ac:dyDescent="0.25">
      <c r="A1234" s="123" t="s">
        <v>1425</v>
      </c>
    </row>
    <row r="1235" spans="1:1" x14ac:dyDescent="0.25">
      <c r="A1235" s="123" t="s">
        <v>1426</v>
      </c>
    </row>
    <row r="1236" spans="1:1" x14ac:dyDescent="0.25">
      <c r="A1236" s="124" t="s">
        <v>1427</v>
      </c>
    </row>
    <row r="1237" spans="1:1" x14ac:dyDescent="0.25">
      <c r="A1237" s="124" t="s">
        <v>1428</v>
      </c>
    </row>
    <row r="1238" spans="1:1" x14ac:dyDescent="0.25">
      <c r="A1238" t="s">
        <v>1429</v>
      </c>
    </row>
    <row r="1239" spans="1:1" x14ac:dyDescent="0.25">
      <c r="A1239" s="124" t="s">
        <v>1430</v>
      </c>
    </row>
    <row r="1240" spans="1:1" x14ac:dyDescent="0.25">
      <c r="A1240" s="29" t="s">
        <v>1431</v>
      </c>
    </row>
    <row r="1241" spans="1:1" x14ac:dyDescent="0.25">
      <c r="A1241" s="123" t="s">
        <v>1432</v>
      </c>
    </row>
    <row r="1242" spans="1:1" x14ac:dyDescent="0.25">
      <c r="A1242" s="124" t="s">
        <v>1433</v>
      </c>
    </row>
    <row r="1243" spans="1:1" x14ac:dyDescent="0.25">
      <c r="A1243" t="s">
        <v>1434</v>
      </c>
    </row>
    <row r="1244" spans="1:1" x14ac:dyDescent="0.25">
      <c r="A1244" s="123" t="s">
        <v>1435</v>
      </c>
    </row>
    <row r="1245" spans="1:1" x14ac:dyDescent="0.25">
      <c r="A1245" s="123" t="s">
        <v>1436</v>
      </c>
    </row>
    <row r="1246" spans="1:1" x14ac:dyDescent="0.25">
      <c r="A1246" s="29" t="s">
        <v>1437</v>
      </c>
    </row>
    <row r="1247" spans="1:1" x14ac:dyDescent="0.25">
      <c r="A1247" s="29" t="s">
        <v>1438</v>
      </c>
    </row>
    <row r="1248" spans="1:1" x14ac:dyDescent="0.25">
      <c r="A1248" s="29" t="s">
        <v>1439</v>
      </c>
    </row>
    <row r="1249" spans="1:1" x14ac:dyDescent="0.25">
      <c r="A1249" t="s">
        <v>1440</v>
      </c>
    </row>
    <row r="1250" spans="1:1" ht="255" x14ac:dyDescent="0.25">
      <c r="A1250" s="125" t="s">
        <v>1441</v>
      </c>
    </row>
    <row r="1251" spans="1:1" ht="270" x14ac:dyDescent="0.25">
      <c r="A1251" s="125" t="s">
        <v>1442</v>
      </c>
    </row>
    <row r="1252" spans="1:1" x14ac:dyDescent="0.25">
      <c r="A1252" s="124" t="s">
        <v>1443</v>
      </c>
    </row>
    <row r="1253" spans="1:1" x14ac:dyDescent="0.25">
      <c r="A1253" s="123" t="s">
        <v>1444</v>
      </c>
    </row>
    <row r="1254" spans="1:1" x14ac:dyDescent="0.25">
      <c r="A1254" s="124" t="s">
        <v>1445</v>
      </c>
    </row>
    <row r="1255" spans="1:1" x14ac:dyDescent="0.25">
      <c r="A1255" t="s">
        <v>1446</v>
      </c>
    </row>
    <row r="1256" spans="1:1" x14ac:dyDescent="0.25">
      <c r="A1256" s="123" t="s">
        <v>1447</v>
      </c>
    </row>
    <row r="1257" spans="1:1" x14ac:dyDescent="0.25">
      <c r="A1257" s="123" t="s">
        <v>1448</v>
      </c>
    </row>
    <row r="1258" spans="1:1" x14ac:dyDescent="0.25">
      <c r="A1258" s="124" t="s">
        <v>1449</v>
      </c>
    </row>
    <row r="1259" spans="1:1" x14ac:dyDescent="0.25">
      <c r="A1259" s="123" t="s">
        <v>1450</v>
      </c>
    </row>
    <row r="1260" spans="1:1" x14ac:dyDescent="0.25">
      <c r="A1260" s="124" t="s">
        <v>1451</v>
      </c>
    </row>
    <row r="1261" spans="1:1" x14ac:dyDescent="0.25">
      <c r="A1261" t="s">
        <v>1452</v>
      </c>
    </row>
    <row r="1262" spans="1:1" x14ac:dyDescent="0.25">
      <c r="A1262" s="123" t="s">
        <v>1453</v>
      </c>
    </row>
    <row r="1263" spans="1:1" x14ac:dyDescent="0.25">
      <c r="A1263" s="123" t="s">
        <v>1454</v>
      </c>
    </row>
    <row r="1264" spans="1:1" x14ac:dyDescent="0.25">
      <c r="A1264" s="124" t="s">
        <v>1455</v>
      </c>
    </row>
    <row r="1265" spans="1:1" x14ac:dyDescent="0.25">
      <c r="A1265" s="124" t="s">
        <v>1456</v>
      </c>
    </row>
    <row r="1266" spans="1:1" x14ac:dyDescent="0.25">
      <c r="A1266" t="s">
        <v>1457</v>
      </c>
    </row>
    <row r="1267" spans="1:1" x14ac:dyDescent="0.25">
      <c r="A1267" s="124" t="s">
        <v>1458</v>
      </c>
    </row>
    <row r="1268" spans="1:1" x14ac:dyDescent="0.25">
      <c r="A1268" s="29" t="s">
        <v>1459</v>
      </c>
    </row>
    <row r="1269" spans="1:1" x14ac:dyDescent="0.25">
      <c r="A1269" s="123" t="s">
        <v>1460</v>
      </c>
    </row>
    <row r="1270" spans="1:1" x14ac:dyDescent="0.25">
      <c r="A1270" s="124" t="s">
        <v>1461</v>
      </c>
    </row>
    <row r="1271" spans="1:1" x14ac:dyDescent="0.25">
      <c r="A1271" t="s">
        <v>1462</v>
      </c>
    </row>
    <row r="1272" spans="1:1" x14ac:dyDescent="0.25">
      <c r="A1272" s="123" t="s">
        <v>1463</v>
      </c>
    </row>
    <row r="1273" spans="1:1" x14ac:dyDescent="0.25">
      <c r="A1273" s="123" t="s">
        <v>1464</v>
      </c>
    </row>
    <row r="1274" spans="1:1" x14ac:dyDescent="0.25">
      <c r="A1274" s="29" t="s">
        <v>1465</v>
      </c>
    </row>
    <row r="1275" spans="1:1" x14ac:dyDescent="0.25">
      <c r="A1275" s="29" t="s">
        <v>1466</v>
      </c>
    </row>
    <row r="1276" spans="1:1" x14ac:dyDescent="0.25">
      <c r="A1276" s="29" t="s">
        <v>1467</v>
      </c>
    </row>
    <row r="1277" spans="1:1" x14ac:dyDescent="0.25">
      <c r="A1277" t="s">
        <v>1468</v>
      </c>
    </row>
    <row r="1278" spans="1:1" ht="255" x14ac:dyDescent="0.25">
      <c r="A1278" s="125" t="s">
        <v>1469</v>
      </c>
    </row>
    <row r="1279" spans="1:1" ht="270" x14ac:dyDescent="0.25">
      <c r="A1279" s="125" t="s">
        <v>1470</v>
      </c>
    </row>
    <row r="1280" spans="1:1" x14ac:dyDescent="0.25">
      <c r="A1280" s="124" t="s">
        <v>1471</v>
      </c>
    </row>
    <row r="1281" spans="1:1" x14ac:dyDescent="0.25">
      <c r="A1281" s="123" t="s">
        <v>1472</v>
      </c>
    </row>
    <row r="1282" spans="1:1" x14ac:dyDescent="0.25">
      <c r="A1282" s="124" t="s">
        <v>1473</v>
      </c>
    </row>
    <row r="1283" spans="1:1" x14ac:dyDescent="0.25">
      <c r="A1283" t="s">
        <v>1474</v>
      </c>
    </row>
    <row r="1284" spans="1:1" x14ac:dyDescent="0.25">
      <c r="A1284" s="123" t="s">
        <v>1475</v>
      </c>
    </row>
    <row r="1285" spans="1:1" x14ac:dyDescent="0.25">
      <c r="A1285" s="123" t="s">
        <v>1476</v>
      </c>
    </row>
    <row r="1286" spans="1:1" x14ac:dyDescent="0.25">
      <c r="A1286" s="124" t="s">
        <v>1477</v>
      </c>
    </row>
    <row r="1287" spans="1:1" x14ac:dyDescent="0.25">
      <c r="A1287" s="123" t="s">
        <v>1478</v>
      </c>
    </row>
    <row r="1288" spans="1:1" x14ac:dyDescent="0.25">
      <c r="A1288" s="124" t="s">
        <v>1479</v>
      </c>
    </row>
    <row r="1289" spans="1:1" x14ac:dyDescent="0.25">
      <c r="A1289" t="s">
        <v>1480</v>
      </c>
    </row>
    <row r="1290" spans="1:1" x14ac:dyDescent="0.25">
      <c r="A1290" s="123" t="s">
        <v>1481</v>
      </c>
    </row>
    <row r="1291" spans="1:1" x14ac:dyDescent="0.25">
      <c r="A1291" s="123" t="s">
        <v>1482</v>
      </c>
    </row>
    <row r="1292" spans="1:1" x14ac:dyDescent="0.25">
      <c r="A1292" s="124" t="s">
        <v>1483</v>
      </c>
    </row>
    <row r="1293" spans="1:1" x14ac:dyDescent="0.25">
      <c r="A1293" s="124" t="s">
        <v>1484</v>
      </c>
    </row>
    <row r="1294" spans="1:1" x14ac:dyDescent="0.25">
      <c r="A1294" t="s">
        <v>1485</v>
      </c>
    </row>
    <row r="1295" spans="1:1" x14ac:dyDescent="0.25">
      <c r="A1295" s="124" t="s">
        <v>1486</v>
      </c>
    </row>
    <row r="1296" spans="1:1" x14ac:dyDescent="0.25">
      <c r="A1296" s="29" t="s">
        <v>1487</v>
      </c>
    </row>
    <row r="1297" spans="1:1" x14ac:dyDescent="0.25">
      <c r="A1297" s="123" t="s">
        <v>1488</v>
      </c>
    </row>
    <row r="1298" spans="1:1" x14ac:dyDescent="0.25">
      <c r="A1298" s="124" t="s">
        <v>1489</v>
      </c>
    </row>
    <row r="1299" spans="1:1" x14ac:dyDescent="0.25">
      <c r="A1299" t="s">
        <v>1490</v>
      </c>
    </row>
    <row r="1300" spans="1:1" x14ac:dyDescent="0.25">
      <c r="A1300" s="123" t="s">
        <v>1491</v>
      </c>
    </row>
    <row r="1301" spans="1:1" x14ac:dyDescent="0.25">
      <c r="A1301" s="123" t="s">
        <v>1492</v>
      </c>
    </row>
    <row r="1302" spans="1:1" x14ac:dyDescent="0.25">
      <c r="A1302" s="29" t="s">
        <v>1493</v>
      </c>
    </row>
    <row r="1303" spans="1:1" x14ac:dyDescent="0.25">
      <c r="A1303" s="29" t="s">
        <v>1494</v>
      </c>
    </row>
    <row r="1304" spans="1:1" x14ac:dyDescent="0.25">
      <c r="A1304" s="29" t="s">
        <v>1495</v>
      </c>
    </row>
    <row r="1305" spans="1:1" x14ac:dyDescent="0.25">
      <c r="A1305" t="s">
        <v>1496</v>
      </c>
    </row>
    <row r="1306" spans="1:1" ht="255" x14ac:dyDescent="0.25">
      <c r="A1306" s="125" t="s">
        <v>1497</v>
      </c>
    </row>
    <row r="1307" spans="1:1" ht="270" x14ac:dyDescent="0.25">
      <c r="A1307" s="125" t="s">
        <v>1498</v>
      </c>
    </row>
    <row r="1308" spans="1:1" x14ac:dyDescent="0.25">
      <c r="A1308" s="124" t="s">
        <v>1499</v>
      </c>
    </row>
    <row r="1309" spans="1:1" x14ac:dyDescent="0.25">
      <c r="A1309" s="123" t="s">
        <v>1500</v>
      </c>
    </row>
    <row r="1310" spans="1:1" x14ac:dyDescent="0.25">
      <c r="A1310" s="124" t="s">
        <v>1501</v>
      </c>
    </row>
    <row r="1311" spans="1:1" x14ac:dyDescent="0.25">
      <c r="A1311" t="s">
        <v>1502</v>
      </c>
    </row>
    <row r="1312" spans="1:1" x14ac:dyDescent="0.25">
      <c r="A1312" s="123" t="s">
        <v>1503</v>
      </c>
    </row>
    <row r="1313" spans="1:1" x14ac:dyDescent="0.25">
      <c r="A1313" s="123" t="s">
        <v>1504</v>
      </c>
    </row>
    <row r="1314" spans="1:1" x14ac:dyDescent="0.25">
      <c r="A1314" s="124" t="s">
        <v>1505</v>
      </c>
    </row>
    <row r="1315" spans="1:1" x14ac:dyDescent="0.25">
      <c r="A1315" s="123" t="s">
        <v>1506</v>
      </c>
    </row>
    <row r="1316" spans="1:1" x14ac:dyDescent="0.25">
      <c r="A1316" s="124" t="s">
        <v>1507</v>
      </c>
    </row>
    <row r="1317" spans="1:1" x14ac:dyDescent="0.25">
      <c r="A1317" t="s">
        <v>1508</v>
      </c>
    </row>
    <row r="1318" spans="1:1" x14ac:dyDescent="0.25">
      <c r="A1318" s="123" t="s">
        <v>1509</v>
      </c>
    </row>
    <row r="1319" spans="1:1" x14ac:dyDescent="0.25">
      <c r="A1319" s="123" t="s">
        <v>1510</v>
      </c>
    </row>
    <row r="1320" spans="1:1" x14ac:dyDescent="0.25">
      <c r="A1320" s="124" t="s">
        <v>1511</v>
      </c>
    </row>
    <row r="1321" spans="1:1" x14ac:dyDescent="0.25">
      <c r="A1321" s="124" t="s">
        <v>1512</v>
      </c>
    </row>
    <row r="1322" spans="1:1" x14ac:dyDescent="0.25">
      <c r="A1322" t="s">
        <v>1513</v>
      </c>
    </row>
    <row r="1323" spans="1:1" x14ac:dyDescent="0.25">
      <c r="A1323" s="29" t="s">
        <v>1514</v>
      </c>
    </row>
    <row r="1324" spans="1:1" x14ac:dyDescent="0.25">
      <c r="A1324" s="124" t="s">
        <v>1515</v>
      </c>
    </row>
    <row r="1325" spans="1:1" x14ac:dyDescent="0.25">
      <c r="A1325" s="29" t="s">
        <v>1516</v>
      </c>
    </row>
    <row r="1326" spans="1:1" x14ac:dyDescent="0.25">
      <c r="A1326" s="123" t="s">
        <v>1517</v>
      </c>
    </row>
    <row r="1327" spans="1:1" x14ac:dyDescent="0.25">
      <c r="A1327" s="124" t="s">
        <v>1518</v>
      </c>
    </row>
    <row r="1328" spans="1:1" x14ac:dyDescent="0.25">
      <c r="A1328" t="s">
        <v>1519</v>
      </c>
    </row>
    <row r="1329" spans="1:1" x14ac:dyDescent="0.25">
      <c r="A1329" s="123" t="s">
        <v>1520</v>
      </c>
    </row>
    <row r="1330" spans="1:1" x14ac:dyDescent="0.25">
      <c r="A1330" s="123" t="s">
        <v>1521</v>
      </c>
    </row>
    <row r="1331" spans="1:1" x14ac:dyDescent="0.25">
      <c r="A1331" s="29" t="s">
        <v>1522</v>
      </c>
    </row>
    <row r="1332" spans="1:1" x14ac:dyDescent="0.25">
      <c r="A1332" s="29" t="s">
        <v>1523</v>
      </c>
    </row>
    <row r="1333" spans="1:1" x14ac:dyDescent="0.25">
      <c r="A1333" s="29" t="s">
        <v>1524</v>
      </c>
    </row>
    <row r="1334" spans="1:1" x14ac:dyDescent="0.25">
      <c r="A1334" t="s">
        <v>1525</v>
      </c>
    </row>
    <row r="1335" spans="1:1" ht="255" x14ac:dyDescent="0.25">
      <c r="A1335" s="125" t="s">
        <v>1526</v>
      </c>
    </row>
    <row r="1336" spans="1:1" ht="270" x14ac:dyDescent="0.25">
      <c r="A1336" s="125" t="s">
        <v>1527</v>
      </c>
    </row>
    <row r="1337" spans="1:1" x14ac:dyDescent="0.25">
      <c r="A1337" s="124" t="s">
        <v>1528</v>
      </c>
    </row>
    <row r="1338" spans="1:1" x14ac:dyDescent="0.25">
      <c r="A1338" s="123" t="s">
        <v>1529</v>
      </c>
    </row>
    <row r="1339" spans="1:1" x14ac:dyDescent="0.25">
      <c r="A1339" s="124" t="s">
        <v>1530</v>
      </c>
    </row>
    <row r="1340" spans="1:1" x14ac:dyDescent="0.25">
      <c r="A1340" t="s">
        <v>1531</v>
      </c>
    </row>
    <row r="1341" spans="1:1" x14ac:dyDescent="0.25">
      <c r="A1341" s="123" t="s">
        <v>1532</v>
      </c>
    </row>
    <row r="1342" spans="1:1" x14ac:dyDescent="0.25">
      <c r="A1342" s="123" t="s">
        <v>1533</v>
      </c>
    </row>
    <row r="1343" spans="1:1" x14ac:dyDescent="0.25">
      <c r="A1343" s="124" t="s">
        <v>1534</v>
      </c>
    </row>
    <row r="1344" spans="1:1" x14ac:dyDescent="0.25">
      <c r="A1344" s="123" t="s">
        <v>1535</v>
      </c>
    </row>
    <row r="1345" spans="1:1" x14ac:dyDescent="0.25">
      <c r="A1345" s="124" t="s">
        <v>1536</v>
      </c>
    </row>
    <row r="1346" spans="1:1" x14ac:dyDescent="0.25">
      <c r="A1346" t="s">
        <v>1537</v>
      </c>
    </row>
    <row r="1347" spans="1:1" x14ac:dyDescent="0.25">
      <c r="A1347" s="123" t="s">
        <v>1538</v>
      </c>
    </row>
    <row r="1348" spans="1:1" x14ac:dyDescent="0.25">
      <c r="A1348" s="123" t="s">
        <v>1539</v>
      </c>
    </row>
    <row r="1349" spans="1:1" x14ac:dyDescent="0.25">
      <c r="A1349" s="124" t="s">
        <v>1540</v>
      </c>
    </row>
    <row r="1350" spans="1:1" x14ac:dyDescent="0.25">
      <c r="A1350" s="124" t="s">
        <v>1541</v>
      </c>
    </row>
    <row r="1351" spans="1:1" x14ac:dyDescent="0.25">
      <c r="A1351" t="s">
        <v>1542</v>
      </c>
    </row>
    <row r="1352" spans="1:1" x14ac:dyDescent="0.25">
      <c r="A1352" s="124" t="s">
        <v>1543</v>
      </c>
    </row>
    <row r="1353" spans="1:1" x14ac:dyDescent="0.25">
      <c r="A1353" s="29" t="s">
        <v>1544</v>
      </c>
    </row>
    <row r="1354" spans="1:1" x14ac:dyDescent="0.25">
      <c r="A1354" s="123" t="s">
        <v>1545</v>
      </c>
    </row>
    <row r="1355" spans="1:1" x14ac:dyDescent="0.25">
      <c r="A1355" s="124" t="s">
        <v>1546</v>
      </c>
    </row>
    <row r="1356" spans="1:1" x14ac:dyDescent="0.25">
      <c r="A1356" t="s">
        <v>1547</v>
      </c>
    </row>
    <row r="1357" spans="1:1" x14ac:dyDescent="0.25">
      <c r="A1357" s="123" t="s">
        <v>1548</v>
      </c>
    </row>
    <row r="1358" spans="1:1" x14ac:dyDescent="0.25">
      <c r="A1358" s="123" t="s">
        <v>1549</v>
      </c>
    </row>
    <row r="1359" spans="1:1" x14ac:dyDescent="0.25">
      <c r="A1359" s="29" t="s">
        <v>1550</v>
      </c>
    </row>
    <row r="1360" spans="1:1" x14ac:dyDescent="0.25">
      <c r="A1360" s="29" t="s">
        <v>1551</v>
      </c>
    </row>
    <row r="1361" spans="1:1" x14ac:dyDescent="0.25">
      <c r="A1361" s="29" t="s">
        <v>1552</v>
      </c>
    </row>
    <row r="1362" spans="1:1" x14ac:dyDescent="0.25">
      <c r="A1362" t="s">
        <v>1553</v>
      </c>
    </row>
    <row r="1363" spans="1:1" ht="255" x14ac:dyDescent="0.25">
      <c r="A1363" s="125" t="s">
        <v>1554</v>
      </c>
    </row>
    <row r="1364" spans="1:1" ht="270" x14ac:dyDescent="0.25">
      <c r="A1364" s="125" t="s">
        <v>1555</v>
      </c>
    </row>
    <row r="1365" spans="1:1" x14ac:dyDescent="0.25">
      <c r="A1365" s="124" t="s">
        <v>1556</v>
      </c>
    </row>
    <row r="1366" spans="1:1" x14ac:dyDescent="0.25">
      <c r="A1366" s="123" t="s">
        <v>1557</v>
      </c>
    </row>
    <row r="1367" spans="1:1" x14ac:dyDescent="0.25">
      <c r="A1367" s="124" t="s">
        <v>1558</v>
      </c>
    </row>
    <row r="1368" spans="1:1" x14ac:dyDescent="0.25">
      <c r="A1368" t="s">
        <v>1559</v>
      </c>
    </row>
    <row r="1369" spans="1:1" x14ac:dyDescent="0.25">
      <c r="A1369" s="123" t="s">
        <v>1560</v>
      </c>
    </row>
    <row r="1370" spans="1:1" x14ac:dyDescent="0.25">
      <c r="A1370" s="123" t="s">
        <v>1561</v>
      </c>
    </row>
    <row r="1371" spans="1:1" x14ac:dyDescent="0.25">
      <c r="A1371" s="124" t="s">
        <v>1562</v>
      </c>
    </row>
    <row r="1372" spans="1:1" x14ac:dyDescent="0.25">
      <c r="A1372" s="123" t="s">
        <v>1563</v>
      </c>
    </row>
    <row r="1373" spans="1:1" x14ac:dyDescent="0.25">
      <c r="A1373" s="124" t="s">
        <v>1564</v>
      </c>
    </row>
    <row r="1374" spans="1:1" x14ac:dyDescent="0.25">
      <c r="A1374" t="s">
        <v>1565</v>
      </c>
    </row>
    <row r="1375" spans="1:1" x14ac:dyDescent="0.25">
      <c r="A1375" s="123" t="s">
        <v>1566</v>
      </c>
    </row>
    <row r="1376" spans="1:1" x14ac:dyDescent="0.25">
      <c r="A1376" s="123" t="s">
        <v>1567</v>
      </c>
    </row>
    <row r="1377" spans="1:1" x14ac:dyDescent="0.25">
      <c r="A1377" s="124" t="s">
        <v>1568</v>
      </c>
    </row>
    <row r="1378" spans="1:1" x14ac:dyDescent="0.25">
      <c r="A1378" s="124" t="s">
        <v>1569</v>
      </c>
    </row>
    <row r="1379" spans="1:1" x14ac:dyDescent="0.25">
      <c r="A1379" t="s">
        <v>1570</v>
      </c>
    </row>
    <row r="1380" spans="1:1" x14ac:dyDescent="0.25">
      <c r="A1380" s="124" t="s">
        <v>1571</v>
      </c>
    </row>
    <row r="1381" spans="1:1" x14ac:dyDescent="0.25">
      <c r="A1381" s="29" t="s">
        <v>1572</v>
      </c>
    </row>
    <row r="1382" spans="1:1" x14ac:dyDescent="0.25">
      <c r="A1382" s="123" t="s">
        <v>1573</v>
      </c>
    </row>
    <row r="1383" spans="1:1" x14ac:dyDescent="0.25">
      <c r="A1383" s="124" t="s">
        <v>1574</v>
      </c>
    </row>
    <row r="1384" spans="1:1" x14ac:dyDescent="0.25">
      <c r="A1384" t="s">
        <v>1575</v>
      </c>
    </row>
    <row r="1385" spans="1:1" x14ac:dyDescent="0.25">
      <c r="A1385" s="123" t="s">
        <v>1576</v>
      </c>
    </row>
    <row r="1386" spans="1:1" x14ac:dyDescent="0.25">
      <c r="A1386" s="123" t="s">
        <v>1577</v>
      </c>
    </row>
    <row r="1387" spans="1:1" x14ac:dyDescent="0.25">
      <c r="A1387" s="29" t="s">
        <v>1578</v>
      </c>
    </row>
    <row r="1388" spans="1:1" x14ac:dyDescent="0.25">
      <c r="A1388" s="29" t="s">
        <v>1579</v>
      </c>
    </row>
    <row r="1389" spans="1:1" x14ac:dyDescent="0.25">
      <c r="A1389" s="29" t="s">
        <v>1580</v>
      </c>
    </row>
    <row r="1390" spans="1:1" x14ac:dyDescent="0.25">
      <c r="A1390" t="s">
        <v>1581</v>
      </c>
    </row>
    <row r="1391" spans="1:1" ht="255" x14ac:dyDescent="0.25">
      <c r="A1391" s="125" t="s">
        <v>1582</v>
      </c>
    </row>
    <row r="1392" spans="1:1" ht="270" x14ac:dyDescent="0.25">
      <c r="A1392" s="125" t="s">
        <v>1583</v>
      </c>
    </row>
    <row r="1393" spans="1:1" x14ac:dyDescent="0.25">
      <c r="A1393" s="124" t="s">
        <v>1584</v>
      </c>
    </row>
    <row r="1394" spans="1:1" x14ac:dyDescent="0.25">
      <c r="A1394" s="123" t="s">
        <v>1585</v>
      </c>
    </row>
    <row r="1395" spans="1:1" x14ac:dyDescent="0.25">
      <c r="A1395" s="124" t="s">
        <v>1586</v>
      </c>
    </row>
    <row r="1396" spans="1:1" x14ac:dyDescent="0.25">
      <c r="A1396" t="s">
        <v>1587</v>
      </c>
    </row>
    <row r="1397" spans="1:1" x14ac:dyDescent="0.25">
      <c r="A1397" s="123" t="s">
        <v>1588</v>
      </c>
    </row>
    <row r="1398" spans="1:1" x14ac:dyDescent="0.25">
      <c r="A1398" s="123" t="s">
        <v>1589</v>
      </c>
    </row>
    <row r="1399" spans="1:1" x14ac:dyDescent="0.25">
      <c r="A1399" s="124" t="s">
        <v>1590</v>
      </c>
    </row>
    <row r="1400" spans="1:1" x14ac:dyDescent="0.25">
      <c r="A1400" s="123" t="s">
        <v>1591</v>
      </c>
    </row>
    <row r="1401" spans="1:1" x14ac:dyDescent="0.25">
      <c r="A1401" s="124" t="s">
        <v>1592</v>
      </c>
    </row>
    <row r="1402" spans="1:1" x14ac:dyDescent="0.25">
      <c r="A1402" t="s">
        <v>1593</v>
      </c>
    </row>
    <row r="1403" spans="1:1" x14ac:dyDescent="0.25">
      <c r="A1403" s="123" t="s">
        <v>1594</v>
      </c>
    </row>
    <row r="1404" spans="1:1" x14ac:dyDescent="0.25">
      <c r="A1404" s="123" t="s">
        <v>1595</v>
      </c>
    </row>
    <row r="1405" spans="1:1" x14ac:dyDescent="0.25">
      <c r="A1405" s="124" t="s">
        <v>1596</v>
      </c>
    </row>
    <row r="1406" spans="1:1" x14ac:dyDescent="0.25">
      <c r="A1406" s="124" t="s">
        <v>1597</v>
      </c>
    </row>
    <row r="1407" spans="1:1" x14ac:dyDescent="0.25">
      <c r="A1407" t="s">
        <v>1598</v>
      </c>
    </row>
    <row r="1408" spans="1:1" x14ac:dyDescent="0.25">
      <c r="A1408" s="29" t="s">
        <v>1599</v>
      </c>
    </row>
    <row r="1409" spans="1:1" x14ac:dyDescent="0.25">
      <c r="A1409" s="124" t="s">
        <v>1600</v>
      </c>
    </row>
    <row r="1410" spans="1:1" x14ac:dyDescent="0.25">
      <c r="A1410" s="29" t="s">
        <v>1601</v>
      </c>
    </row>
    <row r="1411" spans="1:1" x14ac:dyDescent="0.25">
      <c r="A1411" s="123" t="s">
        <v>1602</v>
      </c>
    </row>
    <row r="1412" spans="1:1" x14ac:dyDescent="0.25">
      <c r="A1412" s="124" t="s">
        <v>1603</v>
      </c>
    </row>
    <row r="1413" spans="1:1" x14ac:dyDescent="0.25">
      <c r="A1413" t="s">
        <v>1604</v>
      </c>
    </row>
    <row r="1414" spans="1:1" x14ac:dyDescent="0.25">
      <c r="A1414" s="123" t="s">
        <v>1605</v>
      </c>
    </row>
    <row r="1415" spans="1:1" x14ac:dyDescent="0.25">
      <c r="A1415" s="123" t="s">
        <v>1606</v>
      </c>
    </row>
    <row r="1416" spans="1:1" x14ac:dyDescent="0.25">
      <c r="A1416" s="29" t="s">
        <v>1607</v>
      </c>
    </row>
    <row r="1417" spans="1:1" x14ac:dyDescent="0.25">
      <c r="A1417" s="29" t="s">
        <v>1608</v>
      </c>
    </row>
    <row r="1418" spans="1:1" x14ac:dyDescent="0.25">
      <c r="A1418" s="29" t="s">
        <v>1609</v>
      </c>
    </row>
    <row r="1419" spans="1:1" x14ac:dyDescent="0.25">
      <c r="A1419" t="s">
        <v>1610</v>
      </c>
    </row>
    <row r="1420" spans="1:1" ht="255" x14ac:dyDescent="0.25">
      <c r="A1420" s="125" t="s">
        <v>1611</v>
      </c>
    </row>
    <row r="1421" spans="1:1" ht="270" x14ac:dyDescent="0.25">
      <c r="A1421" s="125" t="s">
        <v>1612</v>
      </c>
    </row>
    <row r="1422" spans="1:1" x14ac:dyDescent="0.25">
      <c r="A1422" s="124" t="s">
        <v>1613</v>
      </c>
    </row>
    <row r="1423" spans="1:1" x14ac:dyDescent="0.25">
      <c r="A1423" s="123" t="s">
        <v>1614</v>
      </c>
    </row>
    <row r="1424" spans="1:1" x14ac:dyDescent="0.25">
      <c r="A1424" s="124" t="s">
        <v>1615</v>
      </c>
    </row>
    <row r="1425" spans="1:1" x14ac:dyDescent="0.25">
      <c r="A1425" t="s">
        <v>1616</v>
      </c>
    </row>
    <row r="1426" spans="1:1" x14ac:dyDescent="0.25">
      <c r="A1426" s="123" t="s">
        <v>1617</v>
      </c>
    </row>
    <row r="1427" spans="1:1" x14ac:dyDescent="0.25">
      <c r="A1427" s="123" t="s">
        <v>1618</v>
      </c>
    </row>
    <row r="1428" spans="1:1" x14ac:dyDescent="0.25">
      <c r="A1428" s="124" t="s">
        <v>1619</v>
      </c>
    </row>
    <row r="1429" spans="1:1" x14ac:dyDescent="0.25">
      <c r="A1429" s="123" t="s">
        <v>1620</v>
      </c>
    </row>
    <row r="1430" spans="1:1" x14ac:dyDescent="0.25">
      <c r="A1430" s="124" t="s">
        <v>1621</v>
      </c>
    </row>
    <row r="1431" spans="1:1" x14ac:dyDescent="0.25">
      <c r="A1431" t="s">
        <v>1622</v>
      </c>
    </row>
    <row r="1432" spans="1:1" x14ac:dyDescent="0.25">
      <c r="A1432" s="123" t="s">
        <v>1623</v>
      </c>
    </row>
    <row r="1433" spans="1:1" x14ac:dyDescent="0.25">
      <c r="A1433" s="123" t="s">
        <v>1624</v>
      </c>
    </row>
    <row r="1434" spans="1:1" x14ac:dyDescent="0.25">
      <c r="A1434" s="124" t="s">
        <v>1625</v>
      </c>
    </row>
    <row r="1435" spans="1:1" x14ac:dyDescent="0.25">
      <c r="A1435" s="124" t="s">
        <v>1626</v>
      </c>
    </row>
    <row r="1436" spans="1:1" x14ac:dyDescent="0.25">
      <c r="A1436" t="s">
        <v>1627</v>
      </c>
    </row>
    <row r="1437" spans="1:1" x14ac:dyDescent="0.25">
      <c r="A1437" s="124" t="s">
        <v>1628</v>
      </c>
    </row>
    <row r="1438" spans="1:1" x14ac:dyDescent="0.25">
      <c r="A1438" s="29" t="s">
        <v>1629</v>
      </c>
    </row>
    <row r="1439" spans="1:1" x14ac:dyDescent="0.25">
      <c r="A1439" s="123" t="s">
        <v>1630</v>
      </c>
    </row>
    <row r="1440" spans="1:1" x14ac:dyDescent="0.25">
      <c r="A1440" s="124" t="s">
        <v>1631</v>
      </c>
    </row>
    <row r="1441" spans="1:1" x14ac:dyDescent="0.25">
      <c r="A1441" t="s">
        <v>1632</v>
      </c>
    </row>
    <row r="1442" spans="1:1" x14ac:dyDescent="0.25">
      <c r="A1442" s="123" t="s">
        <v>1633</v>
      </c>
    </row>
    <row r="1443" spans="1:1" x14ac:dyDescent="0.25">
      <c r="A1443" s="123" t="s">
        <v>1634</v>
      </c>
    </row>
    <row r="1444" spans="1:1" x14ac:dyDescent="0.25">
      <c r="A1444" s="29" t="s">
        <v>1635</v>
      </c>
    </row>
    <row r="1445" spans="1:1" x14ac:dyDescent="0.25">
      <c r="A1445" s="29" t="s">
        <v>1636</v>
      </c>
    </row>
    <row r="1446" spans="1:1" x14ac:dyDescent="0.25">
      <c r="A1446" s="29" t="s">
        <v>1637</v>
      </c>
    </row>
    <row r="1447" spans="1:1" x14ac:dyDescent="0.25">
      <c r="A1447" t="s">
        <v>1638</v>
      </c>
    </row>
    <row r="1448" spans="1:1" ht="255" x14ac:dyDescent="0.25">
      <c r="A1448" s="125" t="s">
        <v>1639</v>
      </c>
    </row>
    <row r="1449" spans="1:1" ht="270" x14ac:dyDescent="0.25">
      <c r="A1449" s="125" t="s">
        <v>1640</v>
      </c>
    </row>
    <row r="1450" spans="1:1" x14ac:dyDescent="0.25">
      <c r="A1450" s="124" t="s">
        <v>1641</v>
      </c>
    </row>
    <row r="1451" spans="1:1" x14ac:dyDescent="0.25">
      <c r="A1451" s="123" t="s">
        <v>1642</v>
      </c>
    </row>
    <row r="1452" spans="1:1" x14ac:dyDescent="0.25">
      <c r="A1452" s="124" t="s">
        <v>1643</v>
      </c>
    </row>
    <row r="1453" spans="1:1" x14ac:dyDescent="0.25">
      <c r="A1453" t="s">
        <v>1644</v>
      </c>
    </row>
    <row r="1454" spans="1:1" x14ac:dyDescent="0.25">
      <c r="A1454" s="123" t="s">
        <v>1645</v>
      </c>
    </row>
    <row r="1455" spans="1:1" x14ac:dyDescent="0.25">
      <c r="A1455" s="123" t="s">
        <v>1646</v>
      </c>
    </row>
    <row r="1456" spans="1:1" x14ac:dyDescent="0.25">
      <c r="A1456" s="124" t="s">
        <v>1647</v>
      </c>
    </row>
    <row r="1457" spans="1:1" x14ac:dyDescent="0.25">
      <c r="A1457" s="123" t="s">
        <v>1648</v>
      </c>
    </row>
    <row r="1458" spans="1:1" x14ac:dyDescent="0.25">
      <c r="A1458" s="124" t="s">
        <v>1649</v>
      </c>
    </row>
    <row r="1459" spans="1:1" x14ac:dyDescent="0.25">
      <c r="A1459" t="s">
        <v>1650</v>
      </c>
    </row>
    <row r="1460" spans="1:1" x14ac:dyDescent="0.25">
      <c r="A1460" s="123" t="s">
        <v>1651</v>
      </c>
    </row>
    <row r="1461" spans="1:1" x14ac:dyDescent="0.25">
      <c r="A1461" s="123" t="s">
        <v>1652</v>
      </c>
    </row>
    <row r="1462" spans="1:1" x14ac:dyDescent="0.25">
      <c r="A1462" s="124" t="s">
        <v>1653</v>
      </c>
    </row>
    <row r="1463" spans="1:1" x14ac:dyDescent="0.25">
      <c r="A1463" s="124" t="s">
        <v>1654</v>
      </c>
    </row>
    <row r="1464" spans="1:1" x14ac:dyDescent="0.25">
      <c r="A1464" t="s">
        <v>1655</v>
      </c>
    </row>
    <row r="1465" spans="1:1" x14ac:dyDescent="0.25">
      <c r="A1465" s="124" t="s">
        <v>1656</v>
      </c>
    </row>
    <row r="1466" spans="1:1" x14ac:dyDescent="0.25">
      <c r="A1466" s="29" t="s">
        <v>1657</v>
      </c>
    </row>
    <row r="1467" spans="1:1" x14ac:dyDescent="0.25">
      <c r="A1467" s="123" t="s">
        <v>1658</v>
      </c>
    </row>
    <row r="1468" spans="1:1" x14ac:dyDescent="0.25">
      <c r="A1468" s="124" t="s">
        <v>1659</v>
      </c>
    </row>
    <row r="1469" spans="1:1" x14ac:dyDescent="0.25">
      <c r="A1469" t="s">
        <v>1660</v>
      </c>
    </row>
    <row r="1470" spans="1:1" x14ac:dyDescent="0.25">
      <c r="A1470" s="123" t="s">
        <v>1661</v>
      </c>
    </row>
    <row r="1471" spans="1:1" x14ac:dyDescent="0.25">
      <c r="A1471" s="123" t="s">
        <v>1662</v>
      </c>
    </row>
    <row r="1472" spans="1:1" x14ac:dyDescent="0.25">
      <c r="A1472" s="29" t="s">
        <v>1663</v>
      </c>
    </row>
    <row r="1473" spans="1:1" x14ac:dyDescent="0.25">
      <c r="A1473" s="29" t="s">
        <v>1664</v>
      </c>
    </row>
    <row r="1474" spans="1:1" x14ac:dyDescent="0.25">
      <c r="A1474" s="29" t="s">
        <v>1665</v>
      </c>
    </row>
    <row r="1475" spans="1:1" x14ac:dyDescent="0.25">
      <c r="A1475" t="s">
        <v>1666</v>
      </c>
    </row>
    <row r="1476" spans="1:1" ht="255" x14ac:dyDescent="0.25">
      <c r="A1476" s="125" t="s">
        <v>1667</v>
      </c>
    </row>
    <row r="1477" spans="1:1" ht="270" x14ac:dyDescent="0.25">
      <c r="A1477" s="125" t="s">
        <v>1668</v>
      </c>
    </row>
    <row r="1478" spans="1:1" x14ac:dyDescent="0.25">
      <c r="A1478" s="124" t="s">
        <v>1669</v>
      </c>
    </row>
    <row r="1479" spans="1:1" x14ac:dyDescent="0.25">
      <c r="A1479" s="123" t="s">
        <v>1670</v>
      </c>
    </row>
    <row r="1480" spans="1:1" x14ac:dyDescent="0.25">
      <c r="A1480" s="124" t="s">
        <v>1671</v>
      </c>
    </row>
    <row r="1481" spans="1:1" x14ac:dyDescent="0.25">
      <c r="A1481" t="s">
        <v>1672</v>
      </c>
    </row>
    <row r="1482" spans="1:1" x14ac:dyDescent="0.25">
      <c r="A1482" s="123" t="s">
        <v>1673</v>
      </c>
    </row>
    <row r="1483" spans="1:1" x14ac:dyDescent="0.25">
      <c r="A1483" s="123" t="s">
        <v>1674</v>
      </c>
    </row>
    <row r="1484" spans="1:1" x14ac:dyDescent="0.25">
      <c r="A1484" s="124" t="s">
        <v>1675</v>
      </c>
    </row>
    <row r="1485" spans="1:1" x14ac:dyDescent="0.25">
      <c r="A1485" s="123" t="s">
        <v>1676</v>
      </c>
    </row>
    <row r="1486" spans="1:1" x14ac:dyDescent="0.25">
      <c r="A1486" s="124" t="s">
        <v>1677</v>
      </c>
    </row>
    <row r="1487" spans="1:1" x14ac:dyDescent="0.25">
      <c r="A1487" t="s">
        <v>1678</v>
      </c>
    </row>
    <row r="1488" spans="1:1" x14ac:dyDescent="0.25">
      <c r="A1488" s="123" t="s">
        <v>1679</v>
      </c>
    </row>
    <row r="1489" spans="1:1" x14ac:dyDescent="0.25">
      <c r="A1489" s="123" t="s">
        <v>1680</v>
      </c>
    </row>
    <row r="1490" spans="1:1" x14ac:dyDescent="0.25">
      <c r="A1490" s="124" t="s">
        <v>1681</v>
      </c>
    </row>
    <row r="1491" spans="1:1" x14ac:dyDescent="0.25">
      <c r="A1491" s="124" t="s">
        <v>1682</v>
      </c>
    </row>
    <row r="1492" spans="1:1" x14ac:dyDescent="0.25">
      <c r="A1492" t="s">
        <v>1683</v>
      </c>
    </row>
    <row r="1493" spans="1:1" x14ac:dyDescent="0.25">
      <c r="A1493" s="124" t="s">
        <v>1684</v>
      </c>
    </row>
    <row r="1494" spans="1:1" x14ac:dyDescent="0.25">
      <c r="A1494" s="29" t="s">
        <v>1685</v>
      </c>
    </row>
    <row r="1495" spans="1:1" x14ac:dyDescent="0.25">
      <c r="A1495" s="123" t="s">
        <v>1686</v>
      </c>
    </row>
    <row r="1496" spans="1:1" x14ac:dyDescent="0.25">
      <c r="A1496" s="124" t="s">
        <v>1687</v>
      </c>
    </row>
    <row r="1497" spans="1:1" x14ac:dyDescent="0.25">
      <c r="A1497" t="s">
        <v>1688</v>
      </c>
    </row>
    <row r="1498" spans="1:1" x14ac:dyDescent="0.25">
      <c r="A1498" s="123" t="s">
        <v>1689</v>
      </c>
    </row>
    <row r="1499" spans="1:1" x14ac:dyDescent="0.25">
      <c r="A1499" s="123" t="s">
        <v>1690</v>
      </c>
    </row>
    <row r="1500" spans="1:1" x14ac:dyDescent="0.25">
      <c r="A1500" s="29" t="s">
        <v>1691</v>
      </c>
    </row>
    <row r="1501" spans="1:1" x14ac:dyDescent="0.25">
      <c r="A1501" s="29" t="s">
        <v>1692</v>
      </c>
    </row>
    <row r="1502" spans="1:1" x14ac:dyDescent="0.25">
      <c r="A1502" s="29" t="s">
        <v>1693</v>
      </c>
    </row>
    <row r="1503" spans="1:1" x14ac:dyDescent="0.25">
      <c r="A1503" t="s">
        <v>1694</v>
      </c>
    </row>
    <row r="1504" spans="1:1" ht="255" x14ac:dyDescent="0.25">
      <c r="A1504" s="125" t="s">
        <v>1695</v>
      </c>
    </row>
    <row r="1505" spans="1:1" ht="270" x14ac:dyDescent="0.25">
      <c r="A1505" s="125" t="s">
        <v>1696</v>
      </c>
    </row>
    <row r="1506" spans="1:1" x14ac:dyDescent="0.25">
      <c r="A1506" s="124" t="s">
        <v>1697</v>
      </c>
    </row>
    <row r="1507" spans="1:1" x14ac:dyDescent="0.25">
      <c r="A1507" s="123" t="s">
        <v>1698</v>
      </c>
    </row>
    <row r="1508" spans="1:1" x14ac:dyDescent="0.25">
      <c r="A1508" s="124" t="s">
        <v>1699</v>
      </c>
    </row>
    <row r="1509" spans="1:1" x14ac:dyDescent="0.25">
      <c r="A1509" t="s">
        <v>1700</v>
      </c>
    </row>
    <row r="1510" spans="1:1" x14ac:dyDescent="0.25">
      <c r="A1510" s="123" t="s">
        <v>1701</v>
      </c>
    </row>
    <row r="1511" spans="1:1" x14ac:dyDescent="0.25">
      <c r="A1511" s="123" t="s">
        <v>1702</v>
      </c>
    </row>
    <row r="1512" spans="1:1" x14ac:dyDescent="0.25">
      <c r="A1512" s="124" t="s">
        <v>1703</v>
      </c>
    </row>
    <row r="1513" spans="1:1" x14ac:dyDescent="0.25">
      <c r="A1513" s="123" t="s">
        <v>1704</v>
      </c>
    </row>
    <row r="1514" spans="1:1" x14ac:dyDescent="0.25">
      <c r="A1514" s="124" t="s">
        <v>1705</v>
      </c>
    </row>
    <row r="1515" spans="1:1" x14ac:dyDescent="0.25">
      <c r="A1515" t="s">
        <v>1706</v>
      </c>
    </row>
    <row r="1516" spans="1:1" x14ac:dyDescent="0.25">
      <c r="A1516" s="123" t="s">
        <v>1707</v>
      </c>
    </row>
    <row r="1517" spans="1:1" x14ac:dyDescent="0.25">
      <c r="A1517" s="123" t="s">
        <v>1708</v>
      </c>
    </row>
    <row r="1518" spans="1:1" x14ac:dyDescent="0.25">
      <c r="A1518" s="124" t="s">
        <v>1709</v>
      </c>
    </row>
    <row r="1519" spans="1:1" x14ac:dyDescent="0.25">
      <c r="A1519" s="124" t="s">
        <v>1710</v>
      </c>
    </row>
    <row r="1520" spans="1:1" x14ac:dyDescent="0.25">
      <c r="A1520" t="s">
        <v>1711</v>
      </c>
    </row>
    <row r="1521" spans="1:1" x14ac:dyDescent="0.25">
      <c r="A1521" s="124" t="s">
        <v>1712</v>
      </c>
    </row>
    <row r="1522" spans="1:1" x14ac:dyDescent="0.25">
      <c r="A1522" s="29" t="s">
        <v>1713</v>
      </c>
    </row>
    <row r="1523" spans="1:1" x14ac:dyDescent="0.25">
      <c r="A1523" s="123" t="s">
        <v>1714</v>
      </c>
    </row>
    <row r="1524" spans="1:1" x14ac:dyDescent="0.25">
      <c r="A1524" s="124" t="s">
        <v>1715</v>
      </c>
    </row>
    <row r="1525" spans="1:1" x14ac:dyDescent="0.25">
      <c r="A1525" t="s">
        <v>1716</v>
      </c>
    </row>
    <row r="1526" spans="1:1" x14ac:dyDescent="0.25">
      <c r="A1526" s="123" t="s">
        <v>1717</v>
      </c>
    </row>
    <row r="1527" spans="1:1" x14ac:dyDescent="0.25">
      <c r="A1527" s="123" t="s">
        <v>1718</v>
      </c>
    </row>
    <row r="1528" spans="1:1" x14ac:dyDescent="0.25">
      <c r="A1528" s="29" t="s">
        <v>1719</v>
      </c>
    </row>
    <row r="1529" spans="1:1" x14ac:dyDescent="0.25">
      <c r="A1529" s="29" t="s">
        <v>1720</v>
      </c>
    </row>
    <row r="1530" spans="1:1" x14ac:dyDescent="0.25">
      <c r="A1530" s="29" t="s">
        <v>1721</v>
      </c>
    </row>
    <row r="1531" spans="1:1" x14ac:dyDescent="0.25">
      <c r="A1531" t="s">
        <v>1722</v>
      </c>
    </row>
    <row r="1532" spans="1:1" ht="255" x14ac:dyDescent="0.25">
      <c r="A1532" s="125" t="s">
        <v>1723</v>
      </c>
    </row>
    <row r="1533" spans="1:1" ht="270" x14ac:dyDescent="0.25">
      <c r="A1533" s="125" t="s">
        <v>1724</v>
      </c>
    </row>
    <row r="1534" spans="1:1" x14ac:dyDescent="0.25">
      <c r="A1534" s="124" t="s">
        <v>1725</v>
      </c>
    </row>
    <row r="1535" spans="1:1" x14ac:dyDescent="0.25">
      <c r="A1535" s="123" t="s">
        <v>1726</v>
      </c>
    </row>
    <row r="1536" spans="1:1" x14ac:dyDescent="0.25">
      <c r="A1536" s="124" t="s">
        <v>1727</v>
      </c>
    </row>
    <row r="1537" spans="1:1" x14ac:dyDescent="0.25">
      <c r="A1537" t="s">
        <v>1728</v>
      </c>
    </row>
    <row r="1538" spans="1:1" x14ac:dyDescent="0.25">
      <c r="A1538" s="123" t="s">
        <v>1729</v>
      </c>
    </row>
    <row r="1539" spans="1:1" x14ac:dyDescent="0.25">
      <c r="A1539" s="123" t="s">
        <v>1730</v>
      </c>
    </row>
    <row r="1540" spans="1:1" x14ac:dyDescent="0.25">
      <c r="A1540" s="124" t="s">
        <v>1731</v>
      </c>
    </row>
    <row r="1541" spans="1:1" x14ac:dyDescent="0.25">
      <c r="A1541" s="123" t="s">
        <v>1732</v>
      </c>
    </row>
    <row r="1542" spans="1:1" x14ac:dyDescent="0.25">
      <c r="A1542" s="124" t="s">
        <v>1733</v>
      </c>
    </row>
    <row r="1543" spans="1:1" x14ac:dyDescent="0.25">
      <c r="A1543" t="s">
        <v>1734</v>
      </c>
    </row>
    <row r="1544" spans="1:1" x14ac:dyDescent="0.25">
      <c r="A1544" s="123" t="s">
        <v>1735</v>
      </c>
    </row>
    <row r="1545" spans="1:1" x14ac:dyDescent="0.25">
      <c r="A1545" s="123" t="s">
        <v>1736</v>
      </c>
    </row>
    <row r="1546" spans="1:1" x14ac:dyDescent="0.25">
      <c r="A1546" s="124" t="s">
        <v>1737</v>
      </c>
    </row>
    <row r="1547" spans="1:1" x14ac:dyDescent="0.25">
      <c r="A1547" s="124" t="s">
        <v>1738</v>
      </c>
    </row>
    <row r="1548" spans="1:1" x14ac:dyDescent="0.25">
      <c r="A1548" t="s">
        <v>1739</v>
      </c>
    </row>
    <row r="1549" spans="1:1" x14ac:dyDescent="0.25">
      <c r="A1549" s="124" t="s">
        <v>1740</v>
      </c>
    </row>
    <row r="1550" spans="1:1" x14ac:dyDescent="0.25">
      <c r="A1550" s="29" t="s">
        <v>1741</v>
      </c>
    </row>
    <row r="1551" spans="1:1" x14ac:dyDescent="0.25">
      <c r="A1551" s="123" t="s">
        <v>1742</v>
      </c>
    </row>
    <row r="1552" spans="1:1" x14ac:dyDescent="0.25">
      <c r="A1552" s="124" t="s">
        <v>1743</v>
      </c>
    </row>
    <row r="1553" spans="1:1" x14ac:dyDescent="0.25">
      <c r="A1553" t="s">
        <v>1744</v>
      </c>
    </row>
    <row r="1554" spans="1:1" x14ac:dyDescent="0.25">
      <c r="A1554" s="123" t="s">
        <v>1745</v>
      </c>
    </row>
    <row r="1555" spans="1:1" x14ac:dyDescent="0.25">
      <c r="A1555" s="123" t="s">
        <v>1746</v>
      </c>
    </row>
    <row r="1556" spans="1:1" x14ac:dyDescent="0.25">
      <c r="A1556" s="29" t="s">
        <v>1747</v>
      </c>
    </row>
    <row r="1557" spans="1:1" x14ac:dyDescent="0.25">
      <c r="A1557" s="29" t="s">
        <v>1748</v>
      </c>
    </row>
    <row r="1558" spans="1:1" x14ac:dyDescent="0.25">
      <c r="A1558" s="29" t="s">
        <v>1749</v>
      </c>
    </row>
    <row r="1559" spans="1:1" x14ac:dyDescent="0.25">
      <c r="A1559" t="s">
        <v>1750</v>
      </c>
    </row>
    <row r="1560" spans="1:1" ht="255" x14ac:dyDescent="0.25">
      <c r="A1560" s="125" t="s">
        <v>1751</v>
      </c>
    </row>
    <row r="1561" spans="1:1" ht="270" x14ac:dyDescent="0.25">
      <c r="A1561" s="125" t="s">
        <v>1752</v>
      </c>
    </row>
    <row r="1562" spans="1:1" x14ac:dyDescent="0.25">
      <c r="A1562" s="124" t="s">
        <v>1753</v>
      </c>
    </row>
    <row r="1563" spans="1:1" x14ac:dyDescent="0.25">
      <c r="A1563" s="123" t="s">
        <v>1754</v>
      </c>
    </row>
    <row r="1564" spans="1:1" x14ac:dyDescent="0.25">
      <c r="A1564" s="124" t="s">
        <v>1755</v>
      </c>
    </row>
    <row r="1565" spans="1:1" x14ac:dyDescent="0.25">
      <c r="A1565" t="s">
        <v>1756</v>
      </c>
    </row>
    <row r="1566" spans="1:1" x14ac:dyDescent="0.25">
      <c r="A1566" s="123" t="s">
        <v>1757</v>
      </c>
    </row>
    <row r="1567" spans="1:1" x14ac:dyDescent="0.25">
      <c r="A1567" s="123" t="s">
        <v>1758</v>
      </c>
    </row>
    <row r="1568" spans="1:1" x14ac:dyDescent="0.25">
      <c r="A1568" s="124" t="s">
        <v>1759</v>
      </c>
    </row>
    <row r="1569" spans="1:1" x14ac:dyDescent="0.25">
      <c r="A1569" s="123" t="s">
        <v>1760</v>
      </c>
    </row>
    <row r="1570" spans="1:1" x14ac:dyDescent="0.25">
      <c r="A1570" s="124" t="s">
        <v>1761</v>
      </c>
    </row>
    <row r="1571" spans="1:1" x14ac:dyDescent="0.25">
      <c r="A1571" t="s">
        <v>1762</v>
      </c>
    </row>
    <row r="1572" spans="1:1" x14ac:dyDescent="0.25">
      <c r="A1572" s="123" t="s">
        <v>1763</v>
      </c>
    </row>
    <row r="1573" spans="1:1" x14ac:dyDescent="0.25">
      <c r="A1573" s="123" t="s">
        <v>1764</v>
      </c>
    </row>
    <row r="1574" spans="1:1" x14ac:dyDescent="0.25">
      <c r="A1574" s="123" t="s">
        <v>1765</v>
      </c>
    </row>
    <row r="1575" spans="1:1" x14ac:dyDescent="0.25">
      <c r="A1575" s="123" t="s">
        <v>1766</v>
      </c>
    </row>
    <row r="1576" spans="1:1" x14ac:dyDescent="0.25">
      <c r="A1576" s="123" t="s">
        <v>1767</v>
      </c>
    </row>
    <row r="1577" spans="1:1" x14ac:dyDescent="0.25">
      <c r="A1577" s="124" t="s">
        <v>1768</v>
      </c>
    </row>
    <row r="1578" spans="1:1" x14ac:dyDescent="0.25">
      <c r="A1578" s="124" t="s">
        <v>1769</v>
      </c>
    </row>
    <row r="1579" spans="1:1" x14ac:dyDescent="0.25">
      <c r="A1579" s="123" t="s">
        <v>1770</v>
      </c>
    </row>
    <row r="1580" spans="1:1" x14ac:dyDescent="0.25">
      <c r="A1580" s="29" t="s">
        <v>1771</v>
      </c>
    </row>
    <row r="1581" spans="1:1" x14ac:dyDescent="0.25">
      <c r="A1581" s="123" t="s">
        <v>1772</v>
      </c>
    </row>
    <row r="1582" spans="1:1" x14ac:dyDescent="0.25">
      <c r="A1582" s="123" t="s">
        <v>1773</v>
      </c>
    </row>
    <row r="1583" spans="1:1" x14ac:dyDescent="0.25">
      <c r="A1583" s="123" t="s">
        <v>1774</v>
      </c>
    </row>
    <row r="1584" spans="1:1" x14ac:dyDescent="0.25">
      <c r="A1584" s="124" t="s">
        <v>1775</v>
      </c>
    </row>
    <row r="1585" spans="1:1" x14ac:dyDescent="0.25">
      <c r="A1585" s="124" t="s">
        <v>1776</v>
      </c>
    </row>
    <row r="1586" spans="1:1" x14ac:dyDescent="0.25">
      <c r="A1586" s="123" t="s">
        <v>1777</v>
      </c>
    </row>
    <row r="1587" spans="1:1" x14ac:dyDescent="0.25">
      <c r="A1587" s="29" t="s">
        <v>1778</v>
      </c>
    </row>
    <row r="1588" spans="1:1" x14ac:dyDescent="0.25">
      <c r="A1588" s="123" t="s">
        <v>1779</v>
      </c>
    </row>
    <row r="1589" spans="1:1" x14ac:dyDescent="0.25">
      <c r="A1589" s="123" t="s">
        <v>1780</v>
      </c>
    </row>
    <row r="1590" spans="1:1" x14ac:dyDescent="0.25">
      <c r="A1590" s="123" t="s">
        <v>1781</v>
      </c>
    </row>
    <row r="1591" spans="1:1" x14ac:dyDescent="0.25">
      <c r="A1591" s="124" t="s">
        <v>1782</v>
      </c>
    </row>
    <row r="1592" spans="1:1" x14ac:dyDescent="0.25">
      <c r="A1592" s="124" t="s">
        <v>1783</v>
      </c>
    </row>
    <row r="1593" spans="1:1" x14ac:dyDescent="0.25">
      <c r="A1593" s="123" t="s">
        <v>1784</v>
      </c>
    </row>
    <row r="1594" spans="1:1" x14ac:dyDescent="0.25">
      <c r="A1594" s="29" t="s">
        <v>1785</v>
      </c>
    </row>
    <row r="1595" spans="1:1" x14ac:dyDescent="0.25">
      <c r="A1595" s="123" t="s">
        <v>1786</v>
      </c>
    </row>
    <row r="1596" spans="1:1" x14ac:dyDescent="0.25">
      <c r="A1596" s="123" t="s">
        <v>1787</v>
      </c>
    </row>
    <row r="1597" spans="1:1" x14ac:dyDescent="0.25">
      <c r="A1597" s="123" t="s">
        <v>1788</v>
      </c>
    </row>
    <row r="1598" spans="1:1" x14ac:dyDescent="0.25">
      <c r="A1598" s="124" t="s">
        <v>1789</v>
      </c>
    </row>
    <row r="1599" spans="1:1" x14ac:dyDescent="0.25">
      <c r="A1599" s="124" t="s">
        <v>1790</v>
      </c>
    </row>
    <row r="1600" spans="1:1" x14ac:dyDescent="0.25">
      <c r="A1600" s="123" t="s">
        <v>1791</v>
      </c>
    </row>
    <row r="1601" spans="1:1" x14ac:dyDescent="0.25">
      <c r="A1601" s="29" t="s">
        <v>1792</v>
      </c>
    </row>
    <row r="1602" spans="1:1" x14ac:dyDescent="0.25">
      <c r="A1602" s="123" t="s">
        <v>1793</v>
      </c>
    </row>
    <row r="1603" spans="1:1" x14ac:dyDescent="0.25">
      <c r="A1603" s="123" t="s">
        <v>1794</v>
      </c>
    </row>
    <row r="1604" spans="1:1" x14ac:dyDescent="0.25">
      <c r="A1604" s="123" t="s">
        <v>1795</v>
      </c>
    </row>
    <row r="1605" spans="1:1" x14ac:dyDescent="0.25">
      <c r="A1605" s="124" t="s">
        <v>1796</v>
      </c>
    </row>
    <row r="1606" spans="1:1" x14ac:dyDescent="0.25">
      <c r="A1606" s="124" t="s">
        <v>1797</v>
      </c>
    </row>
    <row r="1607" spans="1:1" x14ac:dyDescent="0.25">
      <c r="A1607" s="123" t="s">
        <v>1798</v>
      </c>
    </row>
    <row r="1608" spans="1:1" x14ac:dyDescent="0.25">
      <c r="A1608" s="29" t="s">
        <v>1799</v>
      </c>
    </row>
    <row r="1609" spans="1:1" x14ac:dyDescent="0.25">
      <c r="A1609" s="123" t="s">
        <v>1800</v>
      </c>
    </row>
    <row r="1610" spans="1:1" x14ac:dyDescent="0.25">
      <c r="A1610" s="123" t="s">
        <v>1801</v>
      </c>
    </row>
    <row r="1611" spans="1:1" x14ac:dyDescent="0.25">
      <c r="A1611" s="123" t="s">
        <v>1802</v>
      </c>
    </row>
    <row r="1612" spans="1:1" x14ac:dyDescent="0.25">
      <c r="A1612" s="124" t="s">
        <v>1803</v>
      </c>
    </row>
    <row r="1613" spans="1:1" x14ac:dyDescent="0.25">
      <c r="A1613" s="124" t="s">
        <v>1804</v>
      </c>
    </row>
    <row r="1614" spans="1:1" x14ac:dyDescent="0.25">
      <c r="A1614" s="123" t="s">
        <v>1805</v>
      </c>
    </row>
    <row r="1615" spans="1:1" x14ac:dyDescent="0.25">
      <c r="A1615" s="29" t="s">
        <v>1806</v>
      </c>
    </row>
    <row r="1616" spans="1:1" x14ac:dyDescent="0.25">
      <c r="A1616" s="123" t="s">
        <v>1807</v>
      </c>
    </row>
    <row r="1617" spans="1:1" x14ac:dyDescent="0.25">
      <c r="A1617" s="123" t="s">
        <v>1808</v>
      </c>
    </row>
    <row r="1618" spans="1:1" x14ac:dyDescent="0.25">
      <c r="A1618" s="123" t="s">
        <v>1809</v>
      </c>
    </row>
    <row r="1619" spans="1:1" x14ac:dyDescent="0.25">
      <c r="A1619" s="124" t="s">
        <v>1810</v>
      </c>
    </row>
    <row r="1620" spans="1:1" x14ac:dyDescent="0.25">
      <c r="A1620" s="124" t="s">
        <v>1811</v>
      </c>
    </row>
    <row r="1621" spans="1:1" x14ac:dyDescent="0.25">
      <c r="A1621" s="123" t="s">
        <v>1812</v>
      </c>
    </row>
    <row r="1622" spans="1:1" x14ac:dyDescent="0.25">
      <c r="A1622" s="29" t="s">
        <v>1813</v>
      </c>
    </row>
    <row r="1623" spans="1:1" x14ac:dyDescent="0.25">
      <c r="A1623" s="123" t="s">
        <v>1814</v>
      </c>
    </row>
    <row r="1624" spans="1:1" x14ac:dyDescent="0.25">
      <c r="A1624" s="123" t="s">
        <v>1815</v>
      </c>
    </row>
    <row r="1625" spans="1:1" x14ac:dyDescent="0.25">
      <c r="A1625" s="123" t="s">
        <v>1816</v>
      </c>
    </row>
    <row r="1626" spans="1:1" x14ac:dyDescent="0.25">
      <c r="A1626" s="124" t="s">
        <v>1817</v>
      </c>
    </row>
    <row r="1627" spans="1:1" x14ac:dyDescent="0.25">
      <c r="A1627" s="124" t="s">
        <v>1818</v>
      </c>
    </row>
    <row r="1628" spans="1:1" x14ac:dyDescent="0.25">
      <c r="A1628" s="123" t="s">
        <v>1819</v>
      </c>
    </row>
    <row r="1629" spans="1:1" x14ac:dyDescent="0.25">
      <c r="A1629" s="29" t="s">
        <v>1820</v>
      </c>
    </row>
    <row r="1630" spans="1:1" x14ac:dyDescent="0.25">
      <c r="A1630" s="124" t="s">
        <v>1821</v>
      </c>
    </row>
    <row r="1631" spans="1:1" x14ac:dyDescent="0.25">
      <c r="A1631" s="124" t="s">
        <v>1822</v>
      </c>
    </row>
    <row r="1632" spans="1:1" x14ac:dyDescent="0.25">
      <c r="A1632" t="s">
        <v>1823</v>
      </c>
    </row>
    <row r="1633" spans="1:1" x14ac:dyDescent="0.25">
      <c r="A1633" s="124" t="s">
        <v>1824</v>
      </c>
    </row>
    <row r="1634" spans="1:1" x14ac:dyDescent="0.25">
      <c r="A1634" s="29" t="s">
        <v>1825</v>
      </c>
    </row>
    <row r="1635" spans="1:1" x14ac:dyDescent="0.25">
      <c r="A1635" s="123" t="s">
        <v>1826</v>
      </c>
    </row>
    <row r="1636" spans="1:1" x14ac:dyDescent="0.25">
      <c r="A1636" s="124" t="s">
        <v>1827</v>
      </c>
    </row>
    <row r="1637" spans="1:1" x14ac:dyDescent="0.25">
      <c r="A1637" t="s">
        <v>1828</v>
      </c>
    </row>
    <row r="1638" spans="1:1" x14ac:dyDescent="0.25">
      <c r="A1638" s="123" t="s">
        <v>1829</v>
      </c>
    </row>
    <row r="1639" spans="1:1" x14ac:dyDescent="0.25">
      <c r="A1639" s="123" t="s">
        <v>1830</v>
      </c>
    </row>
    <row r="1640" spans="1:1" x14ac:dyDescent="0.25">
      <c r="A1640" s="29" t="s">
        <v>1831</v>
      </c>
    </row>
    <row r="1641" spans="1:1" x14ac:dyDescent="0.25">
      <c r="A1641" s="29" t="s">
        <v>1832</v>
      </c>
    </row>
    <row r="1642" spans="1:1" x14ac:dyDescent="0.25">
      <c r="A1642" s="29" t="s">
        <v>1833</v>
      </c>
    </row>
    <row r="1643" spans="1:1" x14ac:dyDescent="0.25">
      <c r="A1643" t="s">
        <v>1834</v>
      </c>
    </row>
    <row r="1644" spans="1:1" ht="255" x14ac:dyDescent="0.25">
      <c r="A1644" s="125" t="s">
        <v>1835</v>
      </c>
    </row>
    <row r="1645" spans="1:1" ht="270" x14ac:dyDescent="0.25">
      <c r="A1645" s="125" t="s">
        <v>1836</v>
      </c>
    </row>
    <row r="1646" spans="1:1" x14ac:dyDescent="0.25">
      <c r="A1646" s="124" t="s">
        <v>1837</v>
      </c>
    </row>
    <row r="1647" spans="1:1" x14ac:dyDescent="0.25">
      <c r="A1647" s="123" t="s">
        <v>1838</v>
      </c>
    </row>
    <row r="1648" spans="1:1" x14ac:dyDescent="0.25">
      <c r="A1648" s="124" t="s">
        <v>1839</v>
      </c>
    </row>
    <row r="1649" spans="1:1" x14ac:dyDescent="0.25">
      <c r="A1649" t="s">
        <v>1840</v>
      </c>
    </row>
    <row r="1650" spans="1:1" x14ac:dyDescent="0.25">
      <c r="A1650" s="123" t="s">
        <v>1841</v>
      </c>
    </row>
    <row r="1651" spans="1:1" x14ac:dyDescent="0.25">
      <c r="A1651" s="123" t="s">
        <v>1842</v>
      </c>
    </row>
    <row r="1652" spans="1:1" x14ac:dyDescent="0.25">
      <c r="A1652" s="124" t="s">
        <v>1843</v>
      </c>
    </row>
    <row r="1653" spans="1:1" x14ac:dyDescent="0.25">
      <c r="A1653" s="123" t="s">
        <v>1844</v>
      </c>
    </row>
    <row r="1654" spans="1:1" x14ac:dyDescent="0.25">
      <c r="A1654" s="124" t="s">
        <v>1845</v>
      </c>
    </row>
    <row r="1655" spans="1:1" x14ac:dyDescent="0.25">
      <c r="A1655" t="s">
        <v>1846</v>
      </c>
    </row>
    <row r="1656" spans="1:1" x14ac:dyDescent="0.25">
      <c r="A1656" s="123" t="s">
        <v>1847</v>
      </c>
    </row>
    <row r="1657" spans="1:1" x14ac:dyDescent="0.25">
      <c r="A1657" s="123" t="s">
        <v>1848</v>
      </c>
    </row>
    <row r="1658" spans="1:1" x14ac:dyDescent="0.25">
      <c r="A1658" s="124" t="s">
        <v>1849</v>
      </c>
    </row>
    <row r="1659" spans="1:1" x14ac:dyDescent="0.25">
      <c r="A1659" s="124" t="s">
        <v>1850</v>
      </c>
    </row>
    <row r="1660" spans="1:1" x14ac:dyDescent="0.25">
      <c r="A1660" t="s">
        <v>1851</v>
      </c>
    </row>
    <row r="1661" spans="1:1" x14ac:dyDescent="0.25">
      <c r="A1661" s="124" t="s">
        <v>1852</v>
      </c>
    </row>
    <row r="1662" spans="1:1" x14ac:dyDescent="0.25">
      <c r="A1662" s="124" t="s">
        <v>1853</v>
      </c>
    </row>
    <row r="1663" spans="1:1" x14ac:dyDescent="0.25">
      <c r="A1663" s="124" t="s">
        <v>1854</v>
      </c>
    </row>
    <row r="1664" spans="1:1" x14ac:dyDescent="0.25">
      <c r="A1664" s="29" t="s">
        <v>1855</v>
      </c>
    </row>
    <row r="1665" spans="1:1" x14ac:dyDescent="0.25">
      <c r="A1665" s="123" t="s">
        <v>1856</v>
      </c>
    </row>
    <row r="1666" spans="1:1" x14ac:dyDescent="0.25">
      <c r="A1666" s="124" t="s">
        <v>1857</v>
      </c>
    </row>
    <row r="1667" spans="1:1" x14ac:dyDescent="0.25">
      <c r="A1667" t="s">
        <v>1858</v>
      </c>
    </row>
    <row r="1668" spans="1:1" x14ac:dyDescent="0.25">
      <c r="A1668" s="123" t="s">
        <v>1859</v>
      </c>
    </row>
    <row r="1669" spans="1:1" x14ac:dyDescent="0.25">
      <c r="A1669" s="123" t="s">
        <v>1860</v>
      </c>
    </row>
    <row r="1670" spans="1:1" x14ac:dyDescent="0.25">
      <c r="A1670" s="29" t="s">
        <v>1861</v>
      </c>
    </row>
    <row r="1671" spans="1:1" x14ac:dyDescent="0.25">
      <c r="A1671" s="29" t="s">
        <v>1862</v>
      </c>
    </row>
    <row r="1672" spans="1:1" x14ac:dyDescent="0.25">
      <c r="A1672" s="29" t="s">
        <v>1863</v>
      </c>
    </row>
    <row r="1673" spans="1:1" x14ac:dyDescent="0.25">
      <c r="A1673" t="s">
        <v>1864</v>
      </c>
    </row>
    <row r="1674" spans="1:1" ht="255" x14ac:dyDescent="0.25">
      <c r="A1674" s="125" t="s">
        <v>1865</v>
      </c>
    </row>
    <row r="1675" spans="1:1" ht="270" x14ac:dyDescent="0.25">
      <c r="A1675" s="125" t="s">
        <v>1866</v>
      </c>
    </row>
    <row r="1676" spans="1:1" x14ac:dyDescent="0.25">
      <c r="A1676" s="124" t="s">
        <v>1867</v>
      </c>
    </row>
    <row r="1677" spans="1:1" x14ac:dyDescent="0.25">
      <c r="A1677" s="123" t="s">
        <v>1868</v>
      </c>
    </row>
    <row r="1678" spans="1:1" x14ac:dyDescent="0.25">
      <c r="A1678" s="124" t="s">
        <v>1869</v>
      </c>
    </row>
    <row r="1679" spans="1:1" x14ac:dyDescent="0.25">
      <c r="A1679" t="s">
        <v>1870</v>
      </c>
    </row>
    <row r="1680" spans="1:1" x14ac:dyDescent="0.25">
      <c r="A1680" s="123" t="s">
        <v>1871</v>
      </c>
    </row>
    <row r="1681" spans="1:1" x14ac:dyDescent="0.25">
      <c r="A1681" s="123" t="s">
        <v>1872</v>
      </c>
    </row>
    <row r="1682" spans="1:1" x14ac:dyDescent="0.25">
      <c r="A1682" s="123" t="s">
        <v>1873</v>
      </c>
    </row>
    <row r="1683" spans="1:1" x14ac:dyDescent="0.25">
      <c r="A1683" s="124" t="s">
        <v>1874</v>
      </c>
    </row>
    <row r="1684" spans="1:1" x14ac:dyDescent="0.25">
      <c r="A1684" t="s">
        <v>1875</v>
      </c>
    </row>
    <row r="1685" spans="1:1" x14ac:dyDescent="0.25">
      <c r="A1685" s="123" t="s">
        <v>1876</v>
      </c>
    </row>
    <row r="1686" spans="1:1" x14ac:dyDescent="0.25">
      <c r="A1686" s="123" t="s">
        <v>1877</v>
      </c>
    </row>
    <row r="1687" spans="1:1" x14ac:dyDescent="0.25">
      <c r="A1687" s="29" t="s">
        <v>1878</v>
      </c>
    </row>
    <row r="1688" spans="1:1" x14ac:dyDescent="0.25">
      <c r="A1688" s="29" t="s">
        <v>1879</v>
      </c>
    </row>
    <row r="1689" spans="1:1" x14ac:dyDescent="0.25">
      <c r="A1689" s="29" t="s">
        <v>1880</v>
      </c>
    </row>
    <row r="1690" spans="1:1" x14ac:dyDescent="0.25">
      <c r="A1690" t="s">
        <v>1881</v>
      </c>
    </row>
    <row r="1691" spans="1:1" x14ac:dyDescent="0.25">
      <c r="A1691" s="124" t="s">
        <v>1882</v>
      </c>
    </row>
    <row r="1692" spans="1:1" x14ac:dyDescent="0.25">
      <c r="A1692" s="123" t="s">
        <v>1883</v>
      </c>
    </row>
    <row r="1693" spans="1:1" x14ac:dyDescent="0.25">
      <c r="A1693" s="124" t="s">
        <v>1884</v>
      </c>
    </row>
    <row r="1694" spans="1:1" x14ac:dyDescent="0.25">
      <c r="A1694" t="s">
        <v>1885</v>
      </c>
    </row>
    <row r="1695" spans="1:1" x14ac:dyDescent="0.25">
      <c r="A1695" s="123" t="s">
        <v>1886</v>
      </c>
    </row>
    <row r="1696" spans="1:1" x14ac:dyDescent="0.25">
      <c r="A1696" s="123" t="s">
        <v>1887</v>
      </c>
    </row>
    <row r="1697" spans="1:1" x14ac:dyDescent="0.25">
      <c r="A1697" s="124" t="s">
        <v>1888</v>
      </c>
    </row>
    <row r="1698" spans="1:1" x14ac:dyDescent="0.25">
      <c r="A1698" t="s">
        <v>1889</v>
      </c>
    </row>
    <row r="1699" spans="1:1" x14ac:dyDescent="0.25">
      <c r="A1699" s="124" t="s">
        <v>1890</v>
      </c>
    </row>
    <row r="1700" spans="1:1" x14ac:dyDescent="0.25">
      <c r="A1700" s="29" t="s">
        <v>1891</v>
      </c>
    </row>
    <row r="1701" spans="1:1" ht="255" x14ac:dyDescent="0.25">
      <c r="A1701" s="125" t="s">
        <v>1892</v>
      </c>
    </row>
    <row r="1702" spans="1:1" ht="270" x14ac:dyDescent="0.25">
      <c r="A1702" s="125" t="s">
        <v>1893</v>
      </c>
    </row>
    <row r="1703" spans="1:1" x14ac:dyDescent="0.25">
      <c r="A1703" s="124" t="s">
        <v>1894</v>
      </c>
    </row>
    <row r="1704" spans="1:1" x14ac:dyDescent="0.25">
      <c r="A1704" s="123" t="s">
        <v>1895</v>
      </c>
    </row>
    <row r="1705" spans="1:1" x14ac:dyDescent="0.25">
      <c r="A1705" s="124" t="s">
        <v>1896</v>
      </c>
    </row>
    <row r="1706" spans="1:1" x14ac:dyDescent="0.25">
      <c r="A1706" t="s">
        <v>1897</v>
      </c>
    </row>
    <row r="1707" spans="1:1" x14ac:dyDescent="0.25">
      <c r="A1707" s="123" t="s">
        <v>1898</v>
      </c>
    </row>
    <row r="1708" spans="1:1" x14ac:dyDescent="0.25">
      <c r="A1708" s="123" t="s">
        <v>1899</v>
      </c>
    </row>
    <row r="1709" spans="1:1" x14ac:dyDescent="0.25">
      <c r="A1709" s="124" t="s">
        <v>1900</v>
      </c>
    </row>
    <row r="1710" spans="1:1" x14ac:dyDescent="0.25">
      <c r="A1710" s="123" t="s">
        <v>1901</v>
      </c>
    </row>
    <row r="1711" spans="1:1" x14ac:dyDescent="0.25">
      <c r="A1711" s="124" t="s">
        <v>1902</v>
      </c>
    </row>
    <row r="1712" spans="1:1" x14ac:dyDescent="0.25">
      <c r="A1712" t="s">
        <v>1903</v>
      </c>
    </row>
    <row r="1713" spans="1:1" x14ac:dyDescent="0.25">
      <c r="A1713" s="123" t="s">
        <v>1904</v>
      </c>
    </row>
    <row r="1714" spans="1:1" x14ac:dyDescent="0.25">
      <c r="A1714" s="123" t="s">
        <v>1905</v>
      </c>
    </row>
    <row r="1715" spans="1:1" x14ac:dyDescent="0.25">
      <c r="A1715" s="124" t="s">
        <v>1906</v>
      </c>
    </row>
    <row r="1716" spans="1:1" x14ac:dyDescent="0.25">
      <c r="A1716" s="124" t="s">
        <v>1907</v>
      </c>
    </row>
    <row r="1717" spans="1:1" x14ac:dyDescent="0.25">
      <c r="A1717" t="s">
        <v>1908</v>
      </c>
    </row>
    <row r="1718" spans="1:1" x14ac:dyDescent="0.25">
      <c r="A1718" s="124" t="s">
        <v>1909</v>
      </c>
    </row>
    <row r="1719" spans="1:1" x14ac:dyDescent="0.25">
      <c r="A1719" s="29" t="s">
        <v>1910</v>
      </c>
    </row>
    <row r="1720" spans="1:1" x14ac:dyDescent="0.25">
      <c r="A1720" s="123" t="s">
        <v>1911</v>
      </c>
    </row>
    <row r="1721" spans="1:1" x14ac:dyDescent="0.25">
      <c r="A1721" s="124" t="s">
        <v>1912</v>
      </c>
    </row>
    <row r="1722" spans="1:1" x14ac:dyDescent="0.25">
      <c r="A1722" t="s">
        <v>1913</v>
      </c>
    </row>
    <row r="1723" spans="1:1" x14ac:dyDescent="0.25">
      <c r="A1723" s="123" t="s">
        <v>1914</v>
      </c>
    </row>
    <row r="1724" spans="1:1" x14ac:dyDescent="0.25">
      <c r="A1724" s="123" t="s">
        <v>1915</v>
      </c>
    </row>
    <row r="1725" spans="1:1" x14ac:dyDescent="0.25">
      <c r="A1725" s="29" t="s">
        <v>1916</v>
      </c>
    </row>
    <row r="1726" spans="1:1" x14ac:dyDescent="0.25">
      <c r="A1726" s="29" t="s">
        <v>1917</v>
      </c>
    </row>
    <row r="1727" spans="1:1" x14ac:dyDescent="0.25">
      <c r="A1727" s="29" t="s">
        <v>1918</v>
      </c>
    </row>
    <row r="1728" spans="1:1" x14ac:dyDescent="0.25">
      <c r="A1728" t="s">
        <v>1919</v>
      </c>
    </row>
    <row r="1729" spans="1:1" ht="255" x14ac:dyDescent="0.25">
      <c r="A1729" s="125" t="s">
        <v>1920</v>
      </c>
    </row>
    <row r="1730" spans="1:1" ht="270" x14ac:dyDescent="0.25">
      <c r="A1730" s="125" t="s">
        <v>1921</v>
      </c>
    </row>
    <row r="1731" spans="1:1" x14ac:dyDescent="0.25">
      <c r="A1731" s="124" t="s">
        <v>1922</v>
      </c>
    </row>
    <row r="1732" spans="1:1" x14ac:dyDescent="0.25">
      <c r="A1732" s="123" t="s">
        <v>1923</v>
      </c>
    </row>
    <row r="1733" spans="1:1" x14ac:dyDescent="0.25">
      <c r="A1733" s="124" t="s">
        <v>1924</v>
      </c>
    </row>
    <row r="1734" spans="1:1" x14ac:dyDescent="0.25">
      <c r="A1734" t="s">
        <v>1925</v>
      </c>
    </row>
    <row r="1735" spans="1:1" x14ac:dyDescent="0.25">
      <c r="A1735" s="123" t="s">
        <v>1926</v>
      </c>
    </row>
    <row r="1736" spans="1:1" x14ac:dyDescent="0.25">
      <c r="A1736" s="123" t="s">
        <v>1927</v>
      </c>
    </row>
    <row r="1737" spans="1:1" x14ac:dyDescent="0.25">
      <c r="A1737" s="124" t="s">
        <v>1928</v>
      </c>
    </row>
    <row r="1738" spans="1:1" x14ac:dyDescent="0.25">
      <c r="A1738" s="123" t="s">
        <v>1929</v>
      </c>
    </row>
    <row r="1739" spans="1:1" x14ac:dyDescent="0.25">
      <c r="A1739" s="124" t="s">
        <v>1930</v>
      </c>
    </row>
    <row r="1740" spans="1:1" x14ac:dyDescent="0.25">
      <c r="A1740" t="s">
        <v>1931</v>
      </c>
    </row>
    <row r="1741" spans="1:1" x14ac:dyDescent="0.25">
      <c r="A1741" s="123" t="s">
        <v>1932</v>
      </c>
    </row>
    <row r="1742" spans="1:1" x14ac:dyDescent="0.25">
      <c r="A1742" s="123" t="s">
        <v>1933</v>
      </c>
    </row>
    <row r="1743" spans="1:1" x14ac:dyDescent="0.25">
      <c r="A1743" s="124" t="s">
        <v>1934</v>
      </c>
    </row>
    <row r="1744" spans="1:1" x14ac:dyDescent="0.25">
      <c r="A1744" s="124" t="s">
        <v>1935</v>
      </c>
    </row>
    <row r="1745" spans="1:1" x14ac:dyDescent="0.25">
      <c r="A1745" t="s">
        <v>1936</v>
      </c>
    </row>
    <row r="1746" spans="1:1" x14ac:dyDescent="0.25">
      <c r="A1746" s="29" t="s">
        <v>1937</v>
      </c>
    </row>
    <row r="1747" spans="1:1" x14ac:dyDescent="0.25">
      <c r="A1747" s="124" t="s">
        <v>1938</v>
      </c>
    </row>
    <row r="1748" spans="1:1" x14ac:dyDescent="0.25">
      <c r="A1748" s="29" t="s">
        <v>1939</v>
      </c>
    </row>
    <row r="1749" spans="1:1" x14ac:dyDescent="0.25">
      <c r="A1749" s="123" t="s">
        <v>1940</v>
      </c>
    </row>
    <row r="1750" spans="1:1" x14ac:dyDescent="0.25">
      <c r="A1750" s="124" t="s">
        <v>1941</v>
      </c>
    </row>
    <row r="1751" spans="1:1" x14ac:dyDescent="0.25">
      <c r="A1751" t="s">
        <v>1942</v>
      </c>
    </row>
    <row r="1752" spans="1:1" x14ac:dyDescent="0.25">
      <c r="A1752" s="123" t="s">
        <v>1943</v>
      </c>
    </row>
    <row r="1753" spans="1:1" x14ac:dyDescent="0.25">
      <c r="A1753" s="123" t="s">
        <v>1944</v>
      </c>
    </row>
    <row r="1754" spans="1:1" x14ac:dyDescent="0.25">
      <c r="A1754" s="29" t="s">
        <v>1945</v>
      </c>
    </row>
    <row r="1755" spans="1:1" x14ac:dyDescent="0.25">
      <c r="A1755" s="29" t="s">
        <v>1946</v>
      </c>
    </row>
    <row r="1756" spans="1:1" x14ac:dyDescent="0.25">
      <c r="A1756" s="29" t="s">
        <v>1947</v>
      </c>
    </row>
    <row r="1757" spans="1:1" x14ac:dyDescent="0.25">
      <c r="A1757" t="s">
        <v>1948</v>
      </c>
    </row>
    <row r="1758" spans="1:1" ht="255" x14ac:dyDescent="0.25">
      <c r="A1758" s="125" t="s">
        <v>1949</v>
      </c>
    </row>
    <row r="1759" spans="1:1" ht="270" x14ac:dyDescent="0.25">
      <c r="A1759" s="125" t="s">
        <v>1950</v>
      </c>
    </row>
    <row r="1760" spans="1:1" x14ac:dyDescent="0.25">
      <c r="A1760" s="124" t="s">
        <v>1951</v>
      </c>
    </row>
    <row r="1761" spans="1:1" x14ac:dyDescent="0.25">
      <c r="A1761" s="123" t="s">
        <v>1952</v>
      </c>
    </row>
    <row r="1762" spans="1:1" x14ac:dyDescent="0.25">
      <c r="A1762" s="124" t="s">
        <v>1953</v>
      </c>
    </row>
    <row r="1763" spans="1:1" x14ac:dyDescent="0.25">
      <c r="A1763" t="s">
        <v>1954</v>
      </c>
    </row>
    <row r="1764" spans="1:1" x14ac:dyDescent="0.25">
      <c r="A1764" s="123" t="s">
        <v>1955</v>
      </c>
    </row>
    <row r="1765" spans="1:1" x14ac:dyDescent="0.25">
      <c r="A1765" s="123" t="s">
        <v>1956</v>
      </c>
    </row>
    <row r="1766" spans="1:1" x14ac:dyDescent="0.25">
      <c r="A1766" s="124" t="s">
        <v>1957</v>
      </c>
    </row>
    <row r="1767" spans="1:1" x14ac:dyDescent="0.25">
      <c r="A1767" s="123" t="s">
        <v>1958</v>
      </c>
    </row>
    <row r="1768" spans="1:1" x14ac:dyDescent="0.25">
      <c r="A1768" s="124" t="s">
        <v>1959</v>
      </c>
    </row>
    <row r="1769" spans="1:1" x14ac:dyDescent="0.25">
      <c r="A1769" t="s">
        <v>1960</v>
      </c>
    </row>
    <row r="1770" spans="1:1" x14ac:dyDescent="0.25">
      <c r="A1770" s="123" t="s">
        <v>1961</v>
      </c>
    </row>
    <row r="1771" spans="1:1" x14ac:dyDescent="0.25">
      <c r="A1771" s="123" t="s">
        <v>1962</v>
      </c>
    </row>
    <row r="1772" spans="1:1" x14ac:dyDescent="0.25">
      <c r="A1772" s="124" t="s">
        <v>1963</v>
      </c>
    </row>
    <row r="1773" spans="1:1" x14ac:dyDescent="0.25">
      <c r="A1773" s="124" t="s">
        <v>1964</v>
      </c>
    </row>
    <row r="1774" spans="1:1" x14ac:dyDescent="0.25">
      <c r="A1774" t="s">
        <v>1965</v>
      </c>
    </row>
    <row r="1775" spans="1:1" x14ac:dyDescent="0.25">
      <c r="A1775" s="124" t="s">
        <v>1966</v>
      </c>
    </row>
    <row r="1776" spans="1:1" x14ac:dyDescent="0.25">
      <c r="A1776" s="29" t="s">
        <v>1967</v>
      </c>
    </row>
    <row r="1777" spans="1:1" x14ac:dyDescent="0.25">
      <c r="A1777" s="123" t="s">
        <v>1968</v>
      </c>
    </row>
    <row r="1778" spans="1:1" x14ac:dyDescent="0.25">
      <c r="A1778" s="124" t="s">
        <v>1969</v>
      </c>
    </row>
    <row r="1779" spans="1:1" x14ac:dyDescent="0.25">
      <c r="A1779" t="s">
        <v>1970</v>
      </c>
    </row>
    <row r="1780" spans="1:1" x14ac:dyDescent="0.25">
      <c r="A1780" s="123" t="s">
        <v>1971</v>
      </c>
    </row>
    <row r="1781" spans="1:1" x14ac:dyDescent="0.25">
      <c r="A1781" s="123" t="s">
        <v>1972</v>
      </c>
    </row>
    <row r="1782" spans="1:1" x14ac:dyDescent="0.25">
      <c r="A1782" s="29" t="s">
        <v>1973</v>
      </c>
    </row>
    <row r="1783" spans="1:1" x14ac:dyDescent="0.25">
      <c r="A1783" s="29" t="s">
        <v>1974</v>
      </c>
    </row>
    <row r="1784" spans="1:1" x14ac:dyDescent="0.25">
      <c r="A1784" s="29" t="s">
        <v>1975</v>
      </c>
    </row>
    <row r="1785" spans="1:1" x14ac:dyDescent="0.25">
      <c r="A1785" t="s">
        <v>1976</v>
      </c>
    </row>
    <row r="1786" spans="1:1" ht="255" x14ac:dyDescent="0.25">
      <c r="A1786" s="125" t="s">
        <v>1977</v>
      </c>
    </row>
    <row r="1787" spans="1:1" ht="270" x14ac:dyDescent="0.25">
      <c r="A1787" s="125" t="s">
        <v>1978</v>
      </c>
    </row>
    <row r="1788" spans="1:1" x14ac:dyDescent="0.25">
      <c r="A1788" s="124" t="s">
        <v>1979</v>
      </c>
    </row>
    <row r="1789" spans="1:1" x14ac:dyDescent="0.25">
      <c r="A1789" s="123" t="s">
        <v>1980</v>
      </c>
    </row>
    <row r="1790" spans="1:1" x14ac:dyDescent="0.25">
      <c r="A1790" s="124" t="s">
        <v>1981</v>
      </c>
    </row>
    <row r="1791" spans="1:1" x14ac:dyDescent="0.25">
      <c r="A1791" t="s">
        <v>1982</v>
      </c>
    </row>
    <row r="1792" spans="1:1" x14ac:dyDescent="0.25">
      <c r="A1792" s="123" t="s">
        <v>1983</v>
      </c>
    </row>
    <row r="1793" spans="1:1" x14ac:dyDescent="0.25">
      <c r="A1793" s="123" t="s">
        <v>1984</v>
      </c>
    </row>
    <row r="1794" spans="1:1" x14ac:dyDescent="0.25">
      <c r="A1794" s="124" t="s">
        <v>1985</v>
      </c>
    </row>
    <row r="1795" spans="1:1" x14ac:dyDescent="0.25">
      <c r="A1795" s="123" t="s">
        <v>1986</v>
      </c>
    </row>
    <row r="1796" spans="1:1" x14ac:dyDescent="0.25">
      <c r="A1796" s="124" t="s">
        <v>1987</v>
      </c>
    </row>
    <row r="1797" spans="1:1" x14ac:dyDescent="0.25">
      <c r="A1797" t="s">
        <v>1988</v>
      </c>
    </row>
    <row r="1798" spans="1:1" x14ac:dyDescent="0.25">
      <c r="A1798" s="123" t="s">
        <v>1989</v>
      </c>
    </row>
    <row r="1799" spans="1:1" x14ac:dyDescent="0.25">
      <c r="A1799" s="123" t="s">
        <v>1990</v>
      </c>
    </row>
    <row r="1800" spans="1:1" x14ac:dyDescent="0.25">
      <c r="A1800" s="124" t="s">
        <v>1991</v>
      </c>
    </row>
    <row r="1801" spans="1:1" x14ac:dyDescent="0.25">
      <c r="A1801" s="124" t="s">
        <v>1992</v>
      </c>
    </row>
    <row r="1802" spans="1:1" x14ac:dyDescent="0.25">
      <c r="A1802" t="s">
        <v>1993</v>
      </c>
    </row>
    <row r="1803" spans="1:1" x14ac:dyDescent="0.25">
      <c r="A1803" s="124" t="s">
        <v>1994</v>
      </c>
    </row>
    <row r="1804" spans="1:1" x14ac:dyDescent="0.25">
      <c r="A1804" s="29" t="s">
        <v>1995</v>
      </c>
    </row>
    <row r="1805" spans="1:1" x14ac:dyDescent="0.25">
      <c r="A1805" s="123" t="s">
        <v>1996</v>
      </c>
    </row>
    <row r="1806" spans="1:1" x14ac:dyDescent="0.25">
      <c r="A1806" s="124" t="s">
        <v>1997</v>
      </c>
    </row>
    <row r="1807" spans="1:1" x14ac:dyDescent="0.25">
      <c r="A1807" t="s">
        <v>1998</v>
      </c>
    </row>
    <row r="1808" spans="1:1" x14ac:dyDescent="0.25">
      <c r="A1808" s="123" t="s">
        <v>1999</v>
      </c>
    </row>
    <row r="1809" spans="1:1" x14ac:dyDescent="0.25">
      <c r="A1809" s="123" t="s">
        <v>2000</v>
      </c>
    </row>
    <row r="1810" spans="1:1" x14ac:dyDescent="0.25">
      <c r="A1810" s="29" t="s">
        <v>2001</v>
      </c>
    </row>
    <row r="1811" spans="1:1" x14ac:dyDescent="0.25">
      <c r="A1811" s="29" t="s">
        <v>2002</v>
      </c>
    </row>
    <row r="1812" spans="1:1" x14ac:dyDescent="0.25">
      <c r="A1812" s="29" t="s">
        <v>2003</v>
      </c>
    </row>
    <row r="1813" spans="1:1" x14ac:dyDescent="0.25">
      <c r="A1813" t="s">
        <v>2004</v>
      </c>
    </row>
    <row r="1814" spans="1:1" ht="255" x14ac:dyDescent="0.25">
      <c r="A1814" s="125" t="s">
        <v>2005</v>
      </c>
    </row>
    <row r="1815" spans="1:1" ht="270" x14ac:dyDescent="0.25">
      <c r="A1815" s="125" t="s">
        <v>2006</v>
      </c>
    </row>
    <row r="1816" spans="1:1" x14ac:dyDescent="0.25">
      <c r="A1816" s="124" t="s">
        <v>2007</v>
      </c>
    </row>
    <row r="1817" spans="1:1" x14ac:dyDescent="0.25">
      <c r="A1817" s="123" t="s">
        <v>2008</v>
      </c>
    </row>
    <row r="1818" spans="1:1" x14ac:dyDescent="0.25">
      <c r="A1818" s="124" t="s">
        <v>2009</v>
      </c>
    </row>
    <row r="1819" spans="1:1" x14ac:dyDescent="0.25">
      <c r="A1819" t="s">
        <v>2010</v>
      </c>
    </row>
    <row r="1820" spans="1:1" x14ac:dyDescent="0.25">
      <c r="A1820" s="123" t="s">
        <v>2011</v>
      </c>
    </row>
    <row r="1821" spans="1:1" x14ac:dyDescent="0.25">
      <c r="A1821" s="123" t="s">
        <v>2012</v>
      </c>
    </row>
    <row r="1822" spans="1:1" x14ac:dyDescent="0.25">
      <c r="A1822" s="124" t="s">
        <v>2013</v>
      </c>
    </row>
    <row r="1823" spans="1:1" x14ac:dyDescent="0.25">
      <c r="A1823" s="123" t="s">
        <v>2014</v>
      </c>
    </row>
    <row r="1824" spans="1:1" x14ac:dyDescent="0.25">
      <c r="A1824" s="124" t="s">
        <v>2015</v>
      </c>
    </row>
    <row r="1825" spans="1:1" x14ac:dyDescent="0.25">
      <c r="A1825" t="s">
        <v>2016</v>
      </c>
    </row>
    <row r="1826" spans="1:1" x14ac:dyDescent="0.25">
      <c r="A1826" s="123" t="s">
        <v>2017</v>
      </c>
    </row>
    <row r="1827" spans="1:1" x14ac:dyDescent="0.25">
      <c r="A1827" s="123" t="s">
        <v>2018</v>
      </c>
    </row>
    <row r="1828" spans="1:1" x14ac:dyDescent="0.25">
      <c r="A1828" s="123" t="s">
        <v>2019</v>
      </c>
    </row>
    <row r="1829" spans="1:1" x14ac:dyDescent="0.25">
      <c r="A1829" s="123" t="s">
        <v>2020</v>
      </c>
    </row>
    <row r="1830" spans="1:1" x14ac:dyDescent="0.25">
      <c r="A1830" s="123" t="s">
        <v>2021</v>
      </c>
    </row>
    <row r="1831" spans="1:1" x14ac:dyDescent="0.25">
      <c r="A1831" s="124" t="s">
        <v>2022</v>
      </c>
    </row>
    <row r="1832" spans="1:1" x14ac:dyDescent="0.25">
      <c r="A1832" s="124" t="s">
        <v>2023</v>
      </c>
    </row>
    <row r="1833" spans="1:1" x14ac:dyDescent="0.25">
      <c r="A1833" s="123" t="s">
        <v>2024</v>
      </c>
    </row>
    <row r="1834" spans="1:1" x14ac:dyDescent="0.25">
      <c r="A1834" s="29" t="s">
        <v>2025</v>
      </c>
    </row>
    <row r="1835" spans="1:1" x14ac:dyDescent="0.25">
      <c r="A1835" s="123" t="s">
        <v>2026</v>
      </c>
    </row>
    <row r="1836" spans="1:1" x14ac:dyDescent="0.25">
      <c r="A1836" s="123" t="s">
        <v>2027</v>
      </c>
    </row>
    <row r="1837" spans="1:1" x14ac:dyDescent="0.25">
      <c r="A1837" s="123" t="s">
        <v>2028</v>
      </c>
    </row>
    <row r="1838" spans="1:1" x14ac:dyDescent="0.25">
      <c r="A1838" s="124" t="s">
        <v>2029</v>
      </c>
    </row>
    <row r="1839" spans="1:1" x14ac:dyDescent="0.25">
      <c r="A1839" s="124" t="s">
        <v>2030</v>
      </c>
    </row>
    <row r="1840" spans="1:1" x14ac:dyDescent="0.25">
      <c r="A1840" s="123" t="s">
        <v>2031</v>
      </c>
    </row>
    <row r="1841" spans="1:1" x14ac:dyDescent="0.25">
      <c r="A1841" s="29" t="s">
        <v>2032</v>
      </c>
    </row>
    <row r="1842" spans="1:1" x14ac:dyDescent="0.25">
      <c r="A1842" s="123" t="s">
        <v>2033</v>
      </c>
    </row>
    <row r="1843" spans="1:1" x14ac:dyDescent="0.25">
      <c r="A1843" s="123" t="s">
        <v>2034</v>
      </c>
    </row>
    <row r="1844" spans="1:1" x14ac:dyDescent="0.25">
      <c r="A1844" s="123" t="s">
        <v>2035</v>
      </c>
    </row>
    <row r="1845" spans="1:1" x14ac:dyDescent="0.25">
      <c r="A1845" s="124" t="s">
        <v>2036</v>
      </c>
    </row>
    <row r="1846" spans="1:1" x14ac:dyDescent="0.25">
      <c r="A1846" s="124" t="s">
        <v>2037</v>
      </c>
    </row>
    <row r="1847" spans="1:1" x14ac:dyDescent="0.25">
      <c r="A1847" s="123" t="s">
        <v>2038</v>
      </c>
    </row>
    <row r="1848" spans="1:1" x14ac:dyDescent="0.25">
      <c r="A1848" s="29" t="s">
        <v>2039</v>
      </c>
    </row>
    <row r="1849" spans="1:1" x14ac:dyDescent="0.25">
      <c r="A1849" s="123" t="s">
        <v>2040</v>
      </c>
    </row>
    <row r="1850" spans="1:1" x14ac:dyDescent="0.25">
      <c r="A1850" s="123" t="s">
        <v>2041</v>
      </c>
    </row>
    <row r="1851" spans="1:1" x14ac:dyDescent="0.25">
      <c r="A1851" s="123" t="s">
        <v>2042</v>
      </c>
    </row>
    <row r="1852" spans="1:1" x14ac:dyDescent="0.25">
      <c r="A1852" s="124" t="s">
        <v>2043</v>
      </c>
    </row>
    <row r="1853" spans="1:1" x14ac:dyDescent="0.25">
      <c r="A1853" s="124" t="s">
        <v>2044</v>
      </c>
    </row>
    <row r="1854" spans="1:1" x14ac:dyDescent="0.25">
      <c r="A1854" s="123" t="s">
        <v>2045</v>
      </c>
    </row>
    <row r="1855" spans="1:1" x14ac:dyDescent="0.25">
      <c r="A1855" s="29" t="s">
        <v>2046</v>
      </c>
    </row>
    <row r="1856" spans="1:1" x14ac:dyDescent="0.25">
      <c r="A1856" s="123" t="s">
        <v>2047</v>
      </c>
    </row>
    <row r="1857" spans="1:1" x14ac:dyDescent="0.25">
      <c r="A1857" s="123" t="s">
        <v>2048</v>
      </c>
    </row>
    <row r="1858" spans="1:1" x14ac:dyDescent="0.25">
      <c r="A1858" s="123" t="s">
        <v>2049</v>
      </c>
    </row>
    <row r="1859" spans="1:1" x14ac:dyDescent="0.25">
      <c r="A1859" s="124" t="s">
        <v>2050</v>
      </c>
    </row>
    <row r="1860" spans="1:1" x14ac:dyDescent="0.25">
      <c r="A1860" s="124" t="s">
        <v>2051</v>
      </c>
    </row>
    <row r="1861" spans="1:1" x14ac:dyDescent="0.25">
      <c r="A1861" s="123" t="s">
        <v>2052</v>
      </c>
    </row>
    <row r="1862" spans="1:1" x14ac:dyDescent="0.25">
      <c r="A1862" s="29" t="s">
        <v>2053</v>
      </c>
    </row>
    <row r="1863" spans="1:1" x14ac:dyDescent="0.25">
      <c r="A1863" s="123" t="s">
        <v>2054</v>
      </c>
    </row>
    <row r="1864" spans="1:1" x14ac:dyDescent="0.25">
      <c r="A1864" s="123" t="s">
        <v>2055</v>
      </c>
    </row>
    <row r="1865" spans="1:1" x14ac:dyDescent="0.25">
      <c r="A1865" s="123" t="s">
        <v>2056</v>
      </c>
    </row>
    <row r="1866" spans="1:1" x14ac:dyDescent="0.25">
      <c r="A1866" s="124" t="s">
        <v>2057</v>
      </c>
    </row>
    <row r="1867" spans="1:1" x14ac:dyDescent="0.25">
      <c r="A1867" s="124" t="s">
        <v>2058</v>
      </c>
    </row>
    <row r="1868" spans="1:1" x14ac:dyDescent="0.25">
      <c r="A1868" s="123" t="s">
        <v>2059</v>
      </c>
    </row>
    <row r="1869" spans="1:1" x14ac:dyDescent="0.25">
      <c r="A1869" s="29" t="s">
        <v>2060</v>
      </c>
    </row>
    <row r="1870" spans="1:1" x14ac:dyDescent="0.25">
      <c r="A1870" s="123" t="s">
        <v>2061</v>
      </c>
    </row>
    <row r="1871" spans="1:1" x14ac:dyDescent="0.25">
      <c r="A1871" s="123" t="s">
        <v>2062</v>
      </c>
    </row>
    <row r="1872" spans="1:1" x14ac:dyDescent="0.25">
      <c r="A1872" s="123" t="s">
        <v>2063</v>
      </c>
    </row>
    <row r="1873" spans="1:1" x14ac:dyDescent="0.25">
      <c r="A1873" s="124" t="s">
        <v>2064</v>
      </c>
    </row>
    <row r="1874" spans="1:1" x14ac:dyDescent="0.25">
      <c r="A1874" s="124" t="s">
        <v>2065</v>
      </c>
    </row>
    <row r="1875" spans="1:1" x14ac:dyDescent="0.25">
      <c r="A1875" s="123" t="s">
        <v>2066</v>
      </c>
    </row>
    <row r="1876" spans="1:1" x14ac:dyDescent="0.25">
      <c r="A1876" s="29" t="s">
        <v>2067</v>
      </c>
    </row>
    <row r="1877" spans="1:1" x14ac:dyDescent="0.25">
      <c r="A1877" s="123" t="s">
        <v>2068</v>
      </c>
    </row>
    <row r="1878" spans="1:1" x14ac:dyDescent="0.25">
      <c r="A1878" s="123" t="s">
        <v>2069</v>
      </c>
    </row>
    <row r="1879" spans="1:1" x14ac:dyDescent="0.25">
      <c r="A1879" s="123" t="s">
        <v>2070</v>
      </c>
    </row>
    <row r="1880" spans="1:1" x14ac:dyDescent="0.25">
      <c r="A1880" s="124" t="s">
        <v>2071</v>
      </c>
    </row>
    <row r="1881" spans="1:1" x14ac:dyDescent="0.25">
      <c r="A1881" s="124" t="s">
        <v>2072</v>
      </c>
    </row>
    <row r="1882" spans="1:1" x14ac:dyDescent="0.25">
      <c r="A1882" s="123" t="s">
        <v>2073</v>
      </c>
    </row>
    <row r="1883" spans="1:1" x14ac:dyDescent="0.25">
      <c r="A1883" s="29" t="s">
        <v>2074</v>
      </c>
    </row>
    <row r="1884" spans="1:1" x14ac:dyDescent="0.25">
      <c r="A1884" s="124" t="s">
        <v>2075</v>
      </c>
    </row>
    <row r="1885" spans="1:1" x14ac:dyDescent="0.25">
      <c r="A1885" s="124" t="s">
        <v>2076</v>
      </c>
    </row>
    <row r="1886" spans="1:1" x14ac:dyDescent="0.25">
      <c r="A1886" t="s">
        <v>2077</v>
      </c>
    </row>
    <row r="1887" spans="1:1" x14ac:dyDescent="0.25">
      <c r="A1887" s="124" t="s">
        <v>2078</v>
      </c>
    </row>
    <row r="1888" spans="1:1" x14ac:dyDescent="0.25">
      <c r="A1888" s="29" t="s">
        <v>2079</v>
      </c>
    </row>
    <row r="1889" spans="1:1" x14ac:dyDescent="0.25">
      <c r="A1889" s="123" t="s">
        <v>2080</v>
      </c>
    </row>
    <row r="1890" spans="1:1" x14ac:dyDescent="0.25">
      <c r="A1890" s="124" t="s">
        <v>2081</v>
      </c>
    </row>
    <row r="1891" spans="1:1" x14ac:dyDescent="0.25">
      <c r="A1891" t="s">
        <v>2082</v>
      </c>
    </row>
    <row r="1892" spans="1:1" x14ac:dyDescent="0.25">
      <c r="A1892" s="123" t="s">
        <v>2083</v>
      </c>
    </row>
    <row r="1893" spans="1:1" x14ac:dyDescent="0.25">
      <c r="A1893" s="123" t="s">
        <v>2084</v>
      </c>
    </row>
    <row r="1894" spans="1:1" x14ac:dyDescent="0.25">
      <c r="A1894" s="29" t="s">
        <v>2085</v>
      </c>
    </row>
    <row r="1895" spans="1:1" x14ac:dyDescent="0.25">
      <c r="A1895" s="29" t="s">
        <v>2086</v>
      </c>
    </row>
    <row r="1896" spans="1:1" x14ac:dyDescent="0.25">
      <c r="A1896" s="29" t="s">
        <v>2087</v>
      </c>
    </row>
    <row r="1897" spans="1:1" x14ac:dyDescent="0.25">
      <c r="A1897" t="s">
        <v>2088</v>
      </c>
    </row>
    <row r="1898" spans="1:1" ht="255" x14ac:dyDescent="0.25">
      <c r="A1898" s="125" t="s">
        <v>2089</v>
      </c>
    </row>
    <row r="1899" spans="1:1" ht="270" x14ac:dyDescent="0.25">
      <c r="A1899" s="125" t="s">
        <v>2090</v>
      </c>
    </row>
    <row r="1900" spans="1:1" x14ac:dyDescent="0.25">
      <c r="A1900" s="124" t="s">
        <v>2091</v>
      </c>
    </row>
    <row r="1901" spans="1:1" x14ac:dyDescent="0.25">
      <c r="A1901" s="123" t="s">
        <v>2092</v>
      </c>
    </row>
    <row r="1902" spans="1:1" x14ac:dyDescent="0.25">
      <c r="A1902" s="124" t="s">
        <v>2093</v>
      </c>
    </row>
    <row r="1903" spans="1:1" x14ac:dyDescent="0.25">
      <c r="A1903" t="s">
        <v>2094</v>
      </c>
    </row>
    <row r="1904" spans="1:1" x14ac:dyDescent="0.25">
      <c r="A1904" s="123" t="s">
        <v>2095</v>
      </c>
    </row>
    <row r="1905" spans="1:1" x14ac:dyDescent="0.25">
      <c r="A1905" s="123" t="s">
        <v>2096</v>
      </c>
    </row>
    <row r="1906" spans="1:1" x14ac:dyDescent="0.25">
      <c r="A1906" s="124" t="s">
        <v>2097</v>
      </c>
    </row>
    <row r="1907" spans="1:1" x14ac:dyDescent="0.25">
      <c r="A1907" s="123" t="s">
        <v>2098</v>
      </c>
    </row>
    <row r="1908" spans="1:1" x14ac:dyDescent="0.25">
      <c r="A1908" s="124" t="s">
        <v>2099</v>
      </c>
    </row>
    <row r="1909" spans="1:1" x14ac:dyDescent="0.25">
      <c r="A1909" t="s">
        <v>2100</v>
      </c>
    </row>
    <row r="1910" spans="1:1" x14ac:dyDescent="0.25">
      <c r="A1910" s="123" t="s">
        <v>2101</v>
      </c>
    </row>
    <row r="1911" spans="1:1" x14ac:dyDescent="0.25">
      <c r="A1911" s="123" t="s">
        <v>2102</v>
      </c>
    </row>
    <row r="1912" spans="1:1" x14ac:dyDescent="0.25">
      <c r="A1912" s="124" t="s">
        <v>2103</v>
      </c>
    </row>
    <row r="1913" spans="1:1" x14ac:dyDescent="0.25">
      <c r="A1913" s="124" t="s">
        <v>2104</v>
      </c>
    </row>
    <row r="1914" spans="1:1" x14ac:dyDescent="0.25">
      <c r="A1914" t="s">
        <v>2105</v>
      </c>
    </row>
    <row r="1915" spans="1:1" x14ac:dyDescent="0.25">
      <c r="A1915" s="124" t="s">
        <v>2106</v>
      </c>
    </row>
    <row r="1916" spans="1:1" x14ac:dyDescent="0.25">
      <c r="A1916" s="29" t="s">
        <v>2107</v>
      </c>
    </row>
    <row r="1917" spans="1:1" x14ac:dyDescent="0.25">
      <c r="A1917" s="123" t="s">
        <v>2108</v>
      </c>
    </row>
    <row r="1918" spans="1:1" x14ac:dyDescent="0.25">
      <c r="A1918" s="124" t="s">
        <v>2109</v>
      </c>
    </row>
    <row r="1919" spans="1:1" x14ac:dyDescent="0.25">
      <c r="A1919" t="s">
        <v>2110</v>
      </c>
    </row>
    <row r="1920" spans="1:1" x14ac:dyDescent="0.25">
      <c r="A1920" s="123" t="s">
        <v>2111</v>
      </c>
    </row>
    <row r="1921" spans="1:1" x14ac:dyDescent="0.25">
      <c r="A1921" s="123" t="s">
        <v>2112</v>
      </c>
    </row>
    <row r="1922" spans="1:1" x14ac:dyDescent="0.25">
      <c r="A1922" s="29" t="s">
        <v>2113</v>
      </c>
    </row>
    <row r="1923" spans="1:1" x14ac:dyDescent="0.25">
      <c r="A1923" s="29" t="s">
        <v>2114</v>
      </c>
    </row>
    <row r="1924" spans="1:1" x14ac:dyDescent="0.25">
      <c r="A1924" s="29" t="s">
        <v>2115</v>
      </c>
    </row>
    <row r="1925" spans="1:1" x14ac:dyDescent="0.25">
      <c r="A1925" t="s">
        <v>2116</v>
      </c>
    </row>
    <row r="1926" spans="1:1" ht="255" x14ac:dyDescent="0.25">
      <c r="A1926" s="125" t="s">
        <v>2117</v>
      </c>
    </row>
    <row r="1927" spans="1:1" ht="270" x14ac:dyDescent="0.25">
      <c r="A1927" s="125" t="s">
        <v>2118</v>
      </c>
    </row>
    <row r="1928" spans="1:1" x14ac:dyDescent="0.25">
      <c r="A1928" s="124" t="s">
        <v>2119</v>
      </c>
    </row>
    <row r="1929" spans="1:1" x14ac:dyDescent="0.25">
      <c r="A1929" s="123" t="s">
        <v>2120</v>
      </c>
    </row>
    <row r="1930" spans="1:1" x14ac:dyDescent="0.25">
      <c r="A1930" s="124" t="s">
        <v>2121</v>
      </c>
    </row>
    <row r="1931" spans="1:1" x14ac:dyDescent="0.25">
      <c r="A1931" t="s">
        <v>2122</v>
      </c>
    </row>
    <row r="1932" spans="1:1" x14ac:dyDescent="0.25">
      <c r="A1932" s="123" t="s">
        <v>2123</v>
      </c>
    </row>
    <row r="1933" spans="1:1" x14ac:dyDescent="0.25">
      <c r="A1933" s="123" t="s">
        <v>2124</v>
      </c>
    </row>
    <row r="1934" spans="1:1" x14ac:dyDescent="0.25">
      <c r="A1934" s="124" t="s">
        <v>2125</v>
      </c>
    </row>
    <row r="1935" spans="1:1" x14ac:dyDescent="0.25">
      <c r="A1935" s="123" t="s">
        <v>2126</v>
      </c>
    </row>
    <row r="1936" spans="1:1" x14ac:dyDescent="0.25">
      <c r="A1936" s="124" t="s">
        <v>2127</v>
      </c>
    </row>
    <row r="1937" spans="1:1" x14ac:dyDescent="0.25">
      <c r="A1937" t="s">
        <v>2128</v>
      </c>
    </row>
    <row r="1938" spans="1:1" x14ac:dyDescent="0.25">
      <c r="A1938" s="123" t="s">
        <v>2129</v>
      </c>
    </row>
    <row r="1939" spans="1:1" x14ac:dyDescent="0.25">
      <c r="A1939" s="123" t="s">
        <v>2130</v>
      </c>
    </row>
    <row r="1940" spans="1:1" x14ac:dyDescent="0.25">
      <c r="A1940" s="124" t="s">
        <v>2131</v>
      </c>
    </row>
    <row r="1941" spans="1:1" x14ac:dyDescent="0.25">
      <c r="A1941" s="124" t="s">
        <v>2132</v>
      </c>
    </row>
    <row r="1942" spans="1:1" x14ac:dyDescent="0.25">
      <c r="A1942" t="s">
        <v>2133</v>
      </c>
    </row>
    <row r="1943" spans="1:1" x14ac:dyDescent="0.25">
      <c r="A1943" s="124" t="s">
        <v>2134</v>
      </c>
    </row>
    <row r="1944" spans="1:1" x14ac:dyDescent="0.25">
      <c r="A1944" s="29" t="s">
        <v>2135</v>
      </c>
    </row>
    <row r="1945" spans="1:1" x14ac:dyDescent="0.25">
      <c r="A1945" s="123" t="s">
        <v>2136</v>
      </c>
    </row>
    <row r="1946" spans="1:1" x14ac:dyDescent="0.25">
      <c r="A1946" s="124" t="s">
        <v>2137</v>
      </c>
    </row>
    <row r="1947" spans="1:1" x14ac:dyDescent="0.25">
      <c r="A1947" t="s">
        <v>2138</v>
      </c>
    </row>
    <row r="1948" spans="1:1" x14ac:dyDescent="0.25">
      <c r="A1948" s="123" t="s">
        <v>2139</v>
      </c>
    </row>
    <row r="1949" spans="1:1" x14ac:dyDescent="0.25">
      <c r="A1949" s="123" t="s">
        <v>2140</v>
      </c>
    </row>
    <row r="1950" spans="1:1" x14ac:dyDescent="0.25">
      <c r="A1950" s="29" t="s">
        <v>2141</v>
      </c>
    </row>
    <row r="1951" spans="1:1" x14ac:dyDescent="0.25">
      <c r="A1951" s="29" t="s">
        <v>2142</v>
      </c>
    </row>
    <row r="1952" spans="1:1" x14ac:dyDescent="0.25">
      <c r="A1952" s="29" t="s">
        <v>2143</v>
      </c>
    </row>
    <row r="1953" spans="1:1" x14ac:dyDescent="0.25">
      <c r="A1953" t="s">
        <v>2144</v>
      </c>
    </row>
    <row r="1954" spans="1:1" ht="255" x14ac:dyDescent="0.25">
      <c r="A1954" s="125" t="s">
        <v>2145</v>
      </c>
    </row>
    <row r="1955" spans="1:1" ht="270" x14ac:dyDescent="0.25">
      <c r="A1955" s="125" t="s">
        <v>2146</v>
      </c>
    </row>
    <row r="1956" spans="1:1" x14ac:dyDescent="0.25">
      <c r="A1956" s="124" t="s">
        <v>2147</v>
      </c>
    </row>
    <row r="1957" spans="1:1" x14ac:dyDescent="0.25">
      <c r="A1957" s="123" t="s">
        <v>2148</v>
      </c>
    </row>
    <row r="1958" spans="1:1" x14ac:dyDescent="0.25">
      <c r="A1958" s="124" t="s">
        <v>2149</v>
      </c>
    </row>
    <row r="1959" spans="1:1" x14ac:dyDescent="0.25">
      <c r="A1959" t="s">
        <v>2150</v>
      </c>
    </row>
    <row r="1960" spans="1:1" x14ac:dyDescent="0.25">
      <c r="A1960" s="123" t="s">
        <v>2151</v>
      </c>
    </row>
    <row r="1961" spans="1:1" x14ac:dyDescent="0.25">
      <c r="A1961" s="123" t="s">
        <v>2152</v>
      </c>
    </row>
    <row r="1962" spans="1:1" x14ac:dyDescent="0.25">
      <c r="A1962" s="124" t="s">
        <v>2153</v>
      </c>
    </row>
    <row r="1963" spans="1:1" x14ac:dyDescent="0.25">
      <c r="A1963" s="123" t="s">
        <v>2154</v>
      </c>
    </row>
    <row r="1964" spans="1:1" x14ac:dyDescent="0.25">
      <c r="A1964" s="124" t="s">
        <v>2155</v>
      </c>
    </row>
    <row r="1965" spans="1:1" x14ac:dyDescent="0.25">
      <c r="A1965" t="s">
        <v>2156</v>
      </c>
    </row>
    <row r="1966" spans="1:1" x14ac:dyDescent="0.25">
      <c r="A1966" s="123" t="s">
        <v>2157</v>
      </c>
    </row>
    <row r="1967" spans="1:1" x14ac:dyDescent="0.25">
      <c r="A1967" s="123" t="s">
        <v>2158</v>
      </c>
    </row>
    <row r="1968" spans="1:1" x14ac:dyDescent="0.25">
      <c r="A1968" s="124" t="s">
        <v>2159</v>
      </c>
    </row>
    <row r="1969" spans="1:1" x14ac:dyDescent="0.25">
      <c r="A1969" s="124" t="s">
        <v>2160</v>
      </c>
    </row>
    <row r="1970" spans="1:1" x14ac:dyDescent="0.25">
      <c r="A1970" t="s">
        <v>2161</v>
      </c>
    </row>
    <row r="1971" spans="1:1" x14ac:dyDescent="0.25">
      <c r="A1971" s="124" t="s">
        <v>2162</v>
      </c>
    </row>
    <row r="1972" spans="1:1" x14ac:dyDescent="0.25">
      <c r="A1972" s="29" t="s">
        <v>2163</v>
      </c>
    </row>
    <row r="1973" spans="1:1" x14ac:dyDescent="0.25">
      <c r="A1973" s="123" t="s">
        <v>2164</v>
      </c>
    </row>
    <row r="1974" spans="1:1" x14ac:dyDescent="0.25">
      <c r="A1974" s="124" t="s">
        <v>2165</v>
      </c>
    </row>
    <row r="1975" spans="1:1" x14ac:dyDescent="0.25">
      <c r="A1975" t="s">
        <v>2166</v>
      </c>
    </row>
    <row r="1976" spans="1:1" x14ac:dyDescent="0.25">
      <c r="A1976" s="123" t="s">
        <v>2167</v>
      </c>
    </row>
    <row r="1977" spans="1:1" x14ac:dyDescent="0.25">
      <c r="A1977" s="123" t="s">
        <v>2168</v>
      </c>
    </row>
    <row r="1978" spans="1:1" x14ac:dyDescent="0.25">
      <c r="A1978" s="29" t="s">
        <v>2169</v>
      </c>
    </row>
    <row r="1979" spans="1:1" x14ac:dyDescent="0.25">
      <c r="A1979" s="29" t="s">
        <v>2170</v>
      </c>
    </row>
    <row r="1980" spans="1:1" x14ac:dyDescent="0.25">
      <c r="A1980" s="29" t="s">
        <v>2171</v>
      </c>
    </row>
    <row r="1981" spans="1:1" x14ac:dyDescent="0.25">
      <c r="A1981" t="s">
        <v>2172</v>
      </c>
    </row>
    <row r="1982" spans="1:1" ht="255" x14ac:dyDescent="0.25">
      <c r="A1982" s="125" t="s">
        <v>2173</v>
      </c>
    </row>
    <row r="1983" spans="1:1" ht="270" x14ac:dyDescent="0.25">
      <c r="A1983" s="125" t="s">
        <v>2174</v>
      </c>
    </row>
    <row r="1984" spans="1:1" x14ac:dyDescent="0.25">
      <c r="A1984" s="124" t="s">
        <v>2175</v>
      </c>
    </row>
    <row r="1985" spans="1:1" x14ac:dyDescent="0.25">
      <c r="A1985" s="123" t="s">
        <v>2176</v>
      </c>
    </row>
    <row r="1986" spans="1:1" x14ac:dyDescent="0.25">
      <c r="A1986" s="124" t="s">
        <v>2177</v>
      </c>
    </row>
    <row r="1987" spans="1:1" x14ac:dyDescent="0.25">
      <c r="A1987" t="s">
        <v>2178</v>
      </c>
    </row>
    <row r="1988" spans="1:1" x14ac:dyDescent="0.25">
      <c r="A1988" s="123" t="s">
        <v>2179</v>
      </c>
    </row>
    <row r="1989" spans="1:1" x14ac:dyDescent="0.25">
      <c r="A1989" s="123" t="s">
        <v>2180</v>
      </c>
    </row>
    <row r="1990" spans="1:1" x14ac:dyDescent="0.25">
      <c r="A1990" s="124" t="s">
        <v>2181</v>
      </c>
    </row>
    <row r="1991" spans="1:1" x14ac:dyDescent="0.25">
      <c r="A1991" s="123" t="s">
        <v>2182</v>
      </c>
    </row>
    <row r="1992" spans="1:1" x14ac:dyDescent="0.25">
      <c r="A1992" s="124" t="s">
        <v>2183</v>
      </c>
    </row>
    <row r="1993" spans="1:1" x14ac:dyDescent="0.25">
      <c r="A1993" t="s">
        <v>2184</v>
      </c>
    </row>
    <row r="1994" spans="1:1" x14ac:dyDescent="0.25">
      <c r="A1994" s="123" t="s">
        <v>2185</v>
      </c>
    </row>
    <row r="1995" spans="1:1" x14ac:dyDescent="0.25">
      <c r="A1995" s="123" t="s">
        <v>2186</v>
      </c>
    </row>
    <row r="1996" spans="1:1" x14ac:dyDescent="0.25">
      <c r="A1996" s="124" t="s">
        <v>2187</v>
      </c>
    </row>
    <row r="1997" spans="1:1" x14ac:dyDescent="0.25">
      <c r="A1997" s="124" t="s">
        <v>2188</v>
      </c>
    </row>
    <row r="1998" spans="1:1" x14ac:dyDescent="0.25">
      <c r="A1998" t="s">
        <v>2189</v>
      </c>
    </row>
    <row r="1999" spans="1:1" x14ac:dyDescent="0.25">
      <c r="A1999" s="29" t="s">
        <v>2190</v>
      </c>
    </row>
    <row r="2000" spans="1:1" x14ac:dyDescent="0.25">
      <c r="A2000" s="124" t="s">
        <v>2191</v>
      </c>
    </row>
    <row r="2001" spans="1:1" x14ac:dyDescent="0.25">
      <c r="A2001" s="29" t="s">
        <v>2192</v>
      </c>
    </row>
    <row r="2002" spans="1:1" x14ac:dyDescent="0.25">
      <c r="A2002" s="123" t="s">
        <v>2193</v>
      </c>
    </row>
    <row r="2003" spans="1:1" x14ac:dyDescent="0.25">
      <c r="A2003" s="124" t="s">
        <v>2194</v>
      </c>
    </row>
    <row r="2004" spans="1:1" x14ac:dyDescent="0.25">
      <c r="A2004" t="s">
        <v>2195</v>
      </c>
    </row>
    <row r="2005" spans="1:1" x14ac:dyDescent="0.25">
      <c r="A2005" s="123" t="s">
        <v>2196</v>
      </c>
    </row>
    <row r="2006" spans="1:1" x14ac:dyDescent="0.25">
      <c r="A2006" s="123" t="s">
        <v>2197</v>
      </c>
    </row>
    <row r="2007" spans="1:1" x14ac:dyDescent="0.25">
      <c r="A2007" s="29" t="s">
        <v>2198</v>
      </c>
    </row>
    <row r="2008" spans="1:1" x14ac:dyDescent="0.25">
      <c r="A2008" s="29" t="s">
        <v>2199</v>
      </c>
    </row>
    <row r="2009" spans="1:1" x14ac:dyDescent="0.25">
      <c r="A2009" s="29" t="s">
        <v>2200</v>
      </c>
    </row>
    <row r="2010" spans="1:1" x14ac:dyDescent="0.25">
      <c r="A2010" t="s">
        <v>2201</v>
      </c>
    </row>
    <row r="2011" spans="1:1" ht="255" x14ac:dyDescent="0.25">
      <c r="A2011" s="125" t="s">
        <v>2202</v>
      </c>
    </row>
    <row r="2012" spans="1:1" ht="270" x14ac:dyDescent="0.25">
      <c r="A2012" s="125" t="s">
        <v>2203</v>
      </c>
    </row>
    <row r="2013" spans="1:1" x14ac:dyDescent="0.25">
      <c r="A2013" s="124" t="s">
        <v>2204</v>
      </c>
    </row>
    <row r="2014" spans="1:1" x14ac:dyDescent="0.25">
      <c r="A2014" s="123" t="s">
        <v>2205</v>
      </c>
    </row>
    <row r="2015" spans="1:1" x14ac:dyDescent="0.25">
      <c r="A2015" s="124" t="s">
        <v>2206</v>
      </c>
    </row>
    <row r="2016" spans="1:1" x14ac:dyDescent="0.25">
      <c r="A2016" t="s">
        <v>2207</v>
      </c>
    </row>
    <row r="2017" spans="1:1" x14ac:dyDescent="0.25">
      <c r="A2017" s="123" t="s">
        <v>2208</v>
      </c>
    </row>
    <row r="2018" spans="1:1" x14ac:dyDescent="0.25">
      <c r="A2018" s="123" t="s">
        <v>2209</v>
      </c>
    </row>
    <row r="2019" spans="1:1" x14ac:dyDescent="0.25">
      <c r="A2019" s="124" t="s">
        <v>2210</v>
      </c>
    </row>
    <row r="2020" spans="1:1" x14ac:dyDescent="0.25">
      <c r="A2020" s="123" t="s">
        <v>2211</v>
      </c>
    </row>
    <row r="2021" spans="1:1" x14ac:dyDescent="0.25">
      <c r="A2021" s="124" t="s">
        <v>2212</v>
      </c>
    </row>
    <row r="2022" spans="1:1" x14ac:dyDescent="0.25">
      <c r="A2022" t="s">
        <v>2213</v>
      </c>
    </row>
    <row r="2023" spans="1:1" x14ac:dyDescent="0.25">
      <c r="A2023" s="123" t="s">
        <v>2214</v>
      </c>
    </row>
    <row r="2024" spans="1:1" x14ac:dyDescent="0.25">
      <c r="A2024" s="123" t="s">
        <v>2215</v>
      </c>
    </row>
    <row r="2025" spans="1:1" x14ac:dyDescent="0.25">
      <c r="A2025" s="124" t="s">
        <v>2216</v>
      </c>
    </row>
    <row r="2026" spans="1:1" x14ac:dyDescent="0.25">
      <c r="A2026" s="124" t="s">
        <v>2217</v>
      </c>
    </row>
    <row r="2027" spans="1:1" x14ac:dyDescent="0.25">
      <c r="A2027" t="s">
        <v>2218</v>
      </c>
    </row>
    <row r="2028" spans="1:1" x14ac:dyDescent="0.25">
      <c r="A2028" s="124" t="s">
        <v>2219</v>
      </c>
    </row>
    <row r="2029" spans="1:1" x14ac:dyDescent="0.25">
      <c r="A2029" s="124" t="s">
        <v>2220</v>
      </c>
    </row>
    <row r="2030" spans="1:1" x14ac:dyDescent="0.25">
      <c r="A2030" s="124" t="s">
        <v>2221</v>
      </c>
    </row>
    <row r="2031" spans="1:1" x14ac:dyDescent="0.25">
      <c r="A2031" s="29" t="s">
        <v>2222</v>
      </c>
    </row>
    <row r="2032" spans="1:1" x14ac:dyDescent="0.25">
      <c r="A2032" s="123" t="s">
        <v>2223</v>
      </c>
    </row>
    <row r="2033" spans="1:1" x14ac:dyDescent="0.25">
      <c r="A2033" s="124" t="s">
        <v>2224</v>
      </c>
    </row>
    <row r="2034" spans="1:1" x14ac:dyDescent="0.25">
      <c r="A2034" t="s">
        <v>2225</v>
      </c>
    </row>
    <row r="2035" spans="1:1" x14ac:dyDescent="0.25">
      <c r="A2035" s="123" t="s">
        <v>2226</v>
      </c>
    </row>
    <row r="2036" spans="1:1" x14ac:dyDescent="0.25">
      <c r="A2036" s="123" t="s">
        <v>2227</v>
      </c>
    </row>
    <row r="2037" spans="1:1" x14ac:dyDescent="0.25">
      <c r="A2037" s="29" t="s">
        <v>2228</v>
      </c>
    </row>
    <row r="2038" spans="1:1" x14ac:dyDescent="0.25">
      <c r="A2038" s="29" t="s">
        <v>2229</v>
      </c>
    </row>
    <row r="2039" spans="1:1" x14ac:dyDescent="0.25">
      <c r="A2039" s="29" t="s">
        <v>2230</v>
      </c>
    </row>
    <row r="2040" spans="1:1" x14ac:dyDescent="0.25">
      <c r="A2040" t="s">
        <v>2231</v>
      </c>
    </row>
    <row r="2041" spans="1:1" ht="255" x14ac:dyDescent="0.25">
      <c r="A2041" s="125" t="s">
        <v>2232</v>
      </c>
    </row>
    <row r="2042" spans="1:1" ht="270" x14ac:dyDescent="0.25">
      <c r="A2042" s="125" t="s">
        <v>2233</v>
      </c>
    </row>
    <row r="2043" spans="1:1" x14ac:dyDescent="0.25">
      <c r="A2043" s="124" t="s">
        <v>2234</v>
      </c>
    </row>
    <row r="2044" spans="1:1" x14ac:dyDescent="0.25">
      <c r="A2044" s="123" t="s">
        <v>2235</v>
      </c>
    </row>
    <row r="2045" spans="1:1" x14ac:dyDescent="0.25">
      <c r="A2045" s="124" t="s">
        <v>2236</v>
      </c>
    </row>
    <row r="2046" spans="1:1" x14ac:dyDescent="0.25">
      <c r="A2046" t="s">
        <v>2237</v>
      </c>
    </row>
    <row r="2047" spans="1:1" x14ac:dyDescent="0.25">
      <c r="A2047" s="123" t="s">
        <v>2238</v>
      </c>
    </row>
    <row r="2048" spans="1:1" x14ac:dyDescent="0.25">
      <c r="A2048" s="123" t="s">
        <v>2239</v>
      </c>
    </row>
    <row r="2049" spans="1:1" x14ac:dyDescent="0.25">
      <c r="A2049" s="123" t="s">
        <v>2240</v>
      </c>
    </row>
    <row r="2050" spans="1:1" x14ac:dyDescent="0.25">
      <c r="A2050" s="124" t="s">
        <v>2241</v>
      </c>
    </row>
    <row r="2051" spans="1:1" x14ac:dyDescent="0.25">
      <c r="A2051" t="s">
        <v>2242</v>
      </c>
    </row>
    <row r="2052" spans="1:1" x14ac:dyDescent="0.25">
      <c r="A2052" s="123" t="s">
        <v>2243</v>
      </c>
    </row>
    <row r="2053" spans="1:1" x14ac:dyDescent="0.25">
      <c r="A2053" s="123" t="s">
        <v>2244</v>
      </c>
    </row>
    <row r="2054" spans="1:1" x14ac:dyDescent="0.25">
      <c r="A2054" s="29" t="s">
        <v>2245</v>
      </c>
    </row>
    <row r="2055" spans="1:1" x14ac:dyDescent="0.25">
      <c r="A2055" s="29" t="s">
        <v>2246</v>
      </c>
    </row>
    <row r="2056" spans="1:1" x14ac:dyDescent="0.25">
      <c r="A2056" s="29" t="s">
        <v>2247</v>
      </c>
    </row>
    <row r="2057" spans="1:1" x14ac:dyDescent="0.25">
      <c r="A2057" t="s">
        <v>2248</v>
      </c>
    </row>
    <row r="2058" spans="1:1" x14ac:dyDescent="0.25">
      <c r="A2058" s="124" t="s">
        <v>2249</v>
      </c>
    </row>
    <row r="2059" spans="1:1" x14ac:dyDescent="0.25">
      <c r="A2059" s="123" t="s">
        <v>2250</v>
      </c>
    </row>
    <row r="2060" spans="1:1" x14ac:dyDescent="0.25">
      <c r="A2060" s="124" t="s">
        <v>2251</v>
      </c>
    </row>
    <row r="2061" spans="1:1" x14ac:dyDescent="0.25">
      <c r="A2061" t="s">
        <v>2252</v>
      </c>
    </row>
    <row r="2062" spans="1:1" x14ac:dyDescent="0.25">
      <c r="A2062" s="123" t="s">
        <v>2253</v>
      </c>
    </row>
    <row r="2063" spans="1:1" x14ac:dyDescent="0.25">
      <c r="A2063" s="123" t="s">
        <v>2254</v>
      </c>
    </row>
    <row r="2064" spans="1:1" x14ac:dyDescent="0.25">
      <c r="A2064" s="124" t="s">
        <v>2255</v>
      </c>
    </row>
    <row r="2065" spans="1:1" x14ac:dyDescent="0.25">
      <c r="A2065" t="s">
        <v>2256</v>
      </c>
    </row>
    <row r="2066" spans="1:1" x14ac:dyDescent="0.25">
      <c r="A2066" s="124" t="s">
        <v>2257</v>
      </c>
    </row>
    <row r="2067" spans="1:1" x14ac:dyDescent="0.25">
      <c r="A2067" s="29" t="s">
        <v>2258</v>
      </c>
    </row>
    <row r="2068" spans="1:1" ht="255" x14ac:dyDescent="0.25">
      <c r="A2068" s="125" t="s">
        <v>2259</v>
      </c>
    </row>
    <row r="2069" spans="1:1" ht="270" x14ac:dyDescent="0.25">
      <c r="A2069" s="125" t="s">
        <v>2260</v>
      </c>
    </row>
    <row r="2070" spans="1:1" x14ac:dyDescent="0.25">
      <c r="A2070" s="124" t="s">
        <v>2261</v>
      </c>
    </row>
    <row r="2071" spans="1:1" x14ac:dyDescent="0.25">
      <c r="A2071" s="123" t="s">
        <v>2262</v>
      </c>
    </row>
    <row r="2072" spans="1:1" x14ac:dyDescent="0.25">
      <c r="A2072" s="124" t="s">
        <v>2263</v>
      </c>
    </row>
    <row r="2073" spans="1:1" x14ac:dyDescent="0.25">
      <c r="A2073" t="s">
        <v>2264</v>
      </c>
    </row>
    <row r="2074" spans="1:1" x14ac:dyDescent="0.25">
      <c r="A2074" s="123" t="s">
        <v>2265</v>
      </c>
    </row>
    <row r="2075" spans="1:1" x14ac:dyDescent="0.25">
      <c r="A2075" s="123" t="s">
        <v>2266</v>
      </c>
    </row>
    <row r="2076" spans="1:1" x14ac:dyDescent="0.25">
      <c r="A2076" s="124" t="s">
        <v>2267</v>
      </c>
    </row>
    <row r="2077" spans="1:1" x14ac:dyDescent="0.25">
      <c r="A2077" s="123" t="s">
        <v>2268</v>
      </c>
    </row>
    <row r="2078" spans="1:1" x14ac:dyDescent="0.25">
      <c r="A2078" s="124" t="s">
        <v>2269</v>
      </c>
    </row>
    <row r="2079" spans="1:1" x14ac:dyDescent="0.25">
      <c r="A2079" t="s">
        <v>2270</v>
      </c>
    </row>
    <row r="2080" spans="1:1" x14ac:dyDescent="0.25">
      <c r="A2080" s="123" t="s">
        <v>2271</v>
      </c>
    </row>
    <row r="2081" spans="1:1" x14ac:dyDescent="0.25">
      <c r="A2081" s="123" t="s">
        <v>2272</v>
      </c>
    </row>
    <row r="2082" spans="1:1" x14ac:dyDescent="0.25">
      <c r="A2082" s="124" t="s">
        <v>2273</v>
      </c>
    </row>
    <row r="2083" spans="1:1" x14ac:dyDescent="0.25">
      <c r="A2083" s="124" t="s">
        <v>2274</v>
      </c>
    </row>
    <row r="2084" spans="1:1" x14ac:dyDescent="0.25">
      <c r="A2084" t="s">
        <v>2275</v>
      </c>
    </row>
    <row r="2085" spans="1:1" x14ac:dyDescent="0.25">
      <c r="A2085" s="124" t="s">
        <v>2276</v>
      </c>
    </row>
    <row r="2086" spans="1:1" x14ac:dyDescent="0.25">
      <c r="A2086" s="29" t="s">
        <v>2277</v>
      </c>
    </row>
    <row r="2087" spans="1:1" x14ac:dyDescent="0.25">
      <c r="A2087" s="124" t="s">
        <v>2278</v>
      </c>
    </row>
    <row r="2088" spans="1:1" x14ac:dyDescent="0.25">
      <c r="A2088" s="124" t="s">
        <v>2279</v>
      </c>
    </row>
    <row r="2089" spans="1:1" x14ac:dyDescent="0.25">
      <c r="A2089" t="s">
        <v>2280</v>
      </c>
    </row>
    <row r="2090" spans="1:1" x14ac:dyDescent="0.25">
      <c r="A2090" s="29" t="s">
        <v>2281</v>
      </c>
    </row>
    <row r="2091" spans="1:1" x14ac:dyDescent="0.25">
      <c r="A2091" s="124" t="s">
        <v>2282</v>
      </c>
    </row>
    <row r="2092" spans="1:1" x14ac:dyDescent="0.25">
      <c r="A2092" s="123" t="s">
        <v>2283</v>
      </c>
    </row>
    <row r="2093" spans="1:1" x14ac:dyDescent="0.25">
      <c r="A2093" s="124" t="s">
        <v>2284</v>
      </c>
    </row>
    <row r="2094" spans="1:1" x14ac:dyDescent="0.25">
      <c r="A2094" t="s">
        <v>2285</v>
      </c>
    </row>
    <row r="2095" spans="1:1" x14ac:dyDescent="0.25">
      <c r="A2095" s="123" t="s">
        <v>2286</v>
      </c>
    </row>
    <row r="2096" spans="1:1" x14ac:dyDescent="0.25">
      <c r="A2096" s="123" t="s">
        <v>2287</v>
      </c>
    </row>
    <row r="2097" spans="1:1" x14ac:dyDescent="0.25">
      <c r="A2097" s="29" t="s">
        <v>2288</v>
      </c>
    </row>
    <row r="2098" spans="1:1" x14ac:dyDescent="0.25">
      <c r="A2098" s="29" t="s">
        <v>2289</v>
      </c>
    </row>
    <row r="2099" spans="1:1" x14ac:dyDescent="0.25">
      <c r="A2099" s="29" t="s">
        <v>2290</v>
      </c>
    </row>
    <row r="2100" spans="1:1" x14ac:dyDescent="0.25">
      <c r="A2100" t="s">
        <v>2291</v>
      </c>
    </row>
    <row r="2101" spans="1:1" ht="255" x14ac:dyDescent="0.25">
      <c r="A2101" s="125" t="s">
        <v>2292</v>
      </c>
    </row>
    <row r="2102" spans="1:1" ht="270" x14ac:dyDescent="0.25">
      <c r="A2102" s="125" t="s">
        <v>2293</v>
      </c>
    </row>
    <row r="2103" spans="1:1" x14ac:dyDescent="0.25">
      <c r="A2103" s="124" t="s">
        <v>2294</v>
      </c>
    </row>
    <row r="2104" spans="1:1" x14ac:dyDescent="0.25">
      <c r="A2104" s="123" t="s">
        <v>2295</v>
      </c>
    </row>
    <row r="2105" spans="1:1" x14ac:dyDescent="0.25">
      <c r="A2105" s="124" t="s">
        <v>2296</v>
      </c>
    </row>
    <row r="2106" spans="1:1" x14ac:dyDescent="0.25">
      <c r="A2106" t="s">
        <v>2297</v>
      </c>
    </row>
    <row r="2107" spans="1:1" x14ac:dyDescent="0.25">
      <c r="A2107" s="123" t="s">
        <v>2298</v>
      </c>
    </row>
    <row r="2108" spans="1:1" x14ac:dyDescent="0.25">
      <c r="A2108" s="123" t="s">
        <v>2299</v>
      </c>
    </row>
    <row r="2109" spans="1:1" x14ac:dyDescent="0.25">
      <c r="A2109" s="124" t="s">
        <v>2300</v>
      </c>
    </row>
    <row r="2110" spans="1:1" x14ac:dyDescent="0.25">
      <c r="A2110" s="123" t="s">
        <v>2301</v>
      </c>
    </row>
    <row r="2111" spans="1:1" x14ac:dyDescent="0.25">
      <c r="A2111" s="124" t="s">
        <v>2302</v>
      </c>
    </row>
    <row r="2112" spans="1:1" x14ac:dyDescent="0.25">
      <c r="A2112" t="s">
        <v>2303</v>
      </c>
    </row>
    <row r="2113" spans="1:1" x14ac:dyDescent="0.25">
      <c r="A2113" s="123" t="s">
        <v>2304</v>
      </c>
    </row>
    <row r="2114" spans="1:1" x14ac:dyDescent="0.25">
      <c r="A2114" s="123" t="s">
        <v>2305</v>
      </c>
    </row>
    <row r="2115" spans="1:1" x14ac:dyDescent="0.25">
      <c r="A2115" s="29" t="s">
        <v>2306</v>
      </c>
    </row>
    <row r="2116" spans="1:1" x14ac:dyDescent="0.25">
      <c r="A2116" s="123" t="s">
        <v>2307</v>
      </c>
    </row>
    <row r="2117" spans="1:1" x14ac:dyDescent="0.25">
      <c r="A2117" s="124" t="s">
        <v>2308</v>
      </c>
    </row>
    <row r="2118" spans="1:1" x14ac:dyDescent="0.25">
      <c r="A2118" t="s">
        <v>2309</v>
      </c>
    </row>
    <row r="2119" spans="1:1" x14ac:dyDescent="0.25">
      <c r="A2119" s="123" t="s">
        <v>2310</v>
      </c>
    </row>
    <row r="2120" spans="1:1" x14ac:dyDescent="0.25">
      <c r="A2120" s="123" t="s">
        <v>2311</v>
      </c>
    </row>
    <row r="2121" spans="1:1" x14ac:dyDescent="0.25">
      <c r="A2121" s="29" t="s">
        <v>2312</v>
      </c>
    </row>
    <row r="2122" spans="1:1" x14ac:dyDescent="0.25">
      <c r="A2122" s="29" t="s">
        <v>2313</v>
      </c>
    </row>
    <row r="2123" spans="1:1" x14ac:dyDescent="0.25">
      <c r="A2123" s="29" t="s">
        <v>2314</v>
      </c>
    </row>
    <row r="2124" spans="1:1" x14ac:dyDescent="0.25">
      <c r="A2124" t="s">
        <v>2315</v>
      </c>
    </row>
    <row r="2125" spans="1:1" ht="255" x14ac:dyDescent="0.25">
      <c r="A2125" s="125" t="s">
        <v>2316</v>
      </c>
    </row>
    <row r="2126" spans="1:1" ht="270" x14ac:dyDescent="0.25">
      <c r="A2126" s="125" t="s">
        <v>2317</v>
      </c>
    </row>
    <row r="2127" spans="1:1" x14ac:dyDescent="0.25">
      <c r="A2127" s="124" t="s">
        <v>2318</v>
      </c>
    </row>
    <row r="2128" spans="1:1" x14ac:dyDescent="0.25">
      <c r="A2128" s="123" t="s">
        <v>2319</v>
      </c>
    </row>
    <row r="2129" spans="1:1" x14ac:dyDescent="0.25">
      <c r="A2129" s="124" t="s">
        <v>2320</v>
      </c>
    </row>
    <row r="2130" spans="1:1" x14ac:dyDescent="0.25">
      <c r="A2130" t="s">
        <v>2321</v>
      </c>
    </row>
    <row r="2131" spans="1:1" x14ac:dyDescent="0.25">
      <c r="A2131" s="123" t="s">
        <v>2322</v>
      </c>
    </row>
    <row r="2132" spans="1:1" x14ac:dyDescent="0.25">
      <c r="A2132" s="123" t="s">
        <v>2323</v>
      </c>
    </row>
    <row r="2133" spans="1:1" x14ac:dyDescent="0.25">
      <c r="A2133" s="124" t="s">
        <v>2324</v>
      </c>
    </row>
    <row r="2134" spans="1:1" x14ac:dyDescent="0.25">
      <c r="A2134" s="123" t="s">
        <v>2325</v>
      </c>
    </row>
    <row r="2135" spans="1:1" x14ac:dyDescent="0.25">
      <c r="A2135" s="124" t="s">
        <v>2326</v>
      </c>
    </row>
    <row r="2136" spans="1:1" x14ac:dyDescent="0.25">
      <c r="A2136" t="s">
        <v>2327</v>
      </c>
    </row>
    <row r="2137" spans="1:1" x14ac:dyDescent="0.25">
      <c r="A2137" s="123" t="s">
        <v>2328</v>
      </c>
    </row>
    <row r="2138" spans="1:1" x14ac:dyDescent="0.25">
      <c r="A2138" s="123" t="s">
        <v>2329</v>
      </c>
    </row>
    <row r="2139" spans="1:1" x14ac:dyDescent="0.25">
      <c r="A2139" s="124" t="s">
        <v>2330</v>
      </c>
    </row>
    <row r="2140" spans="1:1" x14ac:dyDescent="0.25">
      <c r="A2140" s="124" t="s">
        <v>2331</v>
      </c>
    </row>
    <row r="2141" spans="1:1" x14ac:dyDescent="0.25">
      <c r="A2141" t="s">
        <v>2332</v>
      </c>
    </row>
    <row r="2142" spans="1:1" x14ac:dyDescent="0.25">
      <c r="A2142" s="29" t="s">
        <v>2333</v>
      </c>
    </row>
    <row r="2143" spans="1:1" x14ac:dyDescent="0.25">
      <c r="A2143" s="124" t="s">
        <v>2334</v>
      </c>
    </row>
    <row r="2144" spans="1:1" x14ac:dyDescent="0.25">
      <c r="A2144" s="29" t="s">
        <v>2335</v>
      </c>
    </row>
    <row r="2145" spans="1:1" x14ac:dyDescent="0.25">
      <c r="A2145" s="123" t="s">
        <v>2336</v>
      </c>
    </row>
    <row r="2146" spans="1:1" x14ac:dyDescent="0.25">
      <c r="A2146" s="124" t="s">
        <v>2337</v>
      </c>
    </row>
    <row r="2147" spans="1:1" x14ac:dyDescent="0.25">
      <c r="A2147" t="s">
        <v>2338</v>
      </c>
    </row>
    <row r="2148" spans="1:1" x14ac:dyDescent="0.25">
      <c r="A2148" s="123" t="s">
        <v>2339</v>
      </c>
    </row>
    <row r="2149" spans="1:1" x14ac:dyDescent="0.25">
      <c r="A2149" s="123" t="s">
        <v>2340</v>
      </c>
    </row>
    <row r="2150" spans="1:1" x14ac:dyDescent="0.25">
      <c r="A2150" s="29" t="s">
        <v>2341</v>
      </c>
    </row>
    <row r="2151" spans="1:1" x14ac:dyDescent="0.25">
      <c r="A2151" s="29" t="s">
        <v>2342</v>
      </c>
    </row>
    <row r="2152" spans="1:1" x14ac:dyDescent="0.25">
      <c r="A2152" s="29" t="s">
        <v>2343</v>
      </c>
    </row>
    <row r="2153" spans="1:1" x14ac:dyDescent="0.25">
      <c r="A2153" t="s">
        <v>2344</v>
      </c>
    </row>
    <row r="2154" spans="1:1" ht="255" x14ac:dyDescent="0.25">
      <c r="A2154" s="125" t="s">
        <v>2345</v>
      </c>
    </row>
    <row r="2155" spans="1:1" ht="270" x14ac:dyDescent="0.25">
      <c r="A2155" s="125" t="s">
        <v>2346</v>
      </c>
    </row>
    <row r="2156" spans="1:1" x14ac:dyDescent="0.25">
      <c r="A2156" s="124" t="s">
        <v>2347</v>
      </c>
    </row>
    <row r="2157" spans="1:1" x14ac:dyDescent="0.25">
      <c r="A2157" s="123" t="s">
        <v>2348</v>
      </c>
    </row>
    <row r="2158" spans="1:1" x14ac:dyDescent="0.25">
      <c r="A2158" s="124" t="s">
        <v>2349</v>
      </c>
    </row>
    <row r="2159" spans="1:1" x14ac:dyDescent="0.25">
      <c r="A2159" t="s">
        <v>2350</v>
      </c>
    </row>
    <row r="2160" spans="1:1" x14ac:dyDescent="0.25">
      <c r="A2160" s="123" t="s">
        <v>2351</v>
      </c>
    </row>
    <row r="2161" spans="1:1" x14ac:dyDescent="0.25">
      <c r="A2161" s="123" t="s">
        <v>2352</v>
      </c>
    </row>
    <row r="2162" spans="1:1" x14ac:dyDescent="0.25">
      <c r="A2162" s="124" t="s">
        <v>2353</v>
      </c>
    </row>
    <row r="2163" spans="1:1" x14ac:dyDescent="0.25">
      <c r="A2163" s="123" t="s">
        <v>2354</v>
      </c>
    </row>
    <row r="2164" spans="1:1" x14ac:dyDescent="0.25">
      <c r="A2164" s="124" t="s">
        <v>2355</v>
      </c>
    </row>
    <row r="2165" spans="1:1" x14ac:dyDescent="0.25">
      <c r="A2165" t="s">
        <v>2356</v>
      </c>
    </row>
    <row r="2166" spans="1:1" x14ac:dyDescent="0.25">
      <c r="A2166" s="123" t="s">
        <v>2357</v>
      </c>
    </row>
    <row r="2167" spans="1:1" x14ac:dyDescent="0.25">
      <c r="A2167" s="123" t="s">
        <v>2358</v>
      </c>
    </row>
    <row r="2168" spans="1:1" x14ac:dyDescent="0.25">
      <c r="A2168" s="124" t="s">
        <v>2359</v>
      </c>
    </row>
    <row r="2169" spans="1:1" x14ac:dyDescent="0.25">
      <c r="A2169" s="124" t="s">
        <v>2360</v>
      </c>
    </row>
    <row r="2170" spans="1:1" x14ac:dyDescent="0.25">
      <c r="A2170" t="s">
        <v>2361</v>
      </c>
    </row>
    <row r="2171" spans="1:1" x14ac:dyDescent="0.25">
      <c r="A2171" s="124" t="s">
        <v>2362</v>
      </c>
    </row>
    <row r="2172" spans="1:1" x14ac:dyDescent="0.25">
      <c r="A2172" s="124" t="s">
        <v>2363</v>
      </c>
    </row>
    <row r="2173" spans="1:1" x14ac:dyDescent="0.25">
      <c r="A2173" s="124" t="s">
        <v>2364</v>
      </c>
    </row>
    <row r="2174" spans="1:1" x14ac:dyDescent="0.25">
      <c r="A2174" s="29" t="s">
        <v>2365</v>
      </c>
    </row>
    <row r="2175" spans="1:1" x14ac:dyDescent="0.25">
      <c r="A2175" s="123" t="s">
        <v>2366</v>
      </c>
    </row>
    <row r="2176" spans="1:1" x14ac:dyDescent="0.25">
      <c r="A2176" s="124" t="s">
        <v>2367</v>
      </c>
    </row>
    <row r="2177" spans="1:1" x14ac:dyDescent="0.25">
      <c r="A2177" t="s">
        <v>2368</v>
      </c>
    </row>
    <row r="2178" spans="1:1" x14ac:dyDescent="0.25">
      <c r="A2178" s="123" t="s">
        <v>2369</v>
      </c>
    </row>
    <row r="2179" spans="1:1" x14ac:dyDescent="0.25">
      <c r="A2179" s="123" t="s">
        <v>2370</v>
      </c>
    </row>
    <row r="2180" spans="1:1" x14ac:dyDescent="0.25">
      <c r="A2180" s="29" t="s">
        <v>2371</v>
      </c>
    </row>
    <row r="2181" spans="1:1" x14ac:dyDescent="0.25">
      <c r="A2181" s="29" t="s">
        <v>2372</v>
      </c>
    </row>
    <row r="2182" spans="1:1" x14ac:dyDescent="0.25">
      <c r="A2182" s="29" t="s">
        <v>2373</v>
      </c>
    </row>
    <row r="2183" spans="1:1" x14ac:dyDescent="0.25">
      <c r="A2183" t="s">
        <v>2374</v>
      </c>
    </row>
    <row r="2184" spans="1:1" ht="255" x14ac:dyDescent="0.25">
      <c r="A2184" s="125" t="s">
        <v>2375</v>
      </c>
    </row>
    <row r="2185" spans="1:1" ht="270" x14ac:dyDescent="0.25">
      <c r="A2185" s="125" t="s">
        <v>2376</v>
      </c>
    </row>
    <row r="2186" spans="1:1" x14ac:dyDescent="0.25">
      <c r="A2186" s="124" t="s">
        <v>2377</v>
      </c>
    </row>
    <row r="2187" spans="1:1" x14ac:dyDescent="0.25">
      <c r="A2187" s="123" t="s">
        <v>2378</v>
      </c>
    </row>
    <row r="2188" spans="1:1" x14ac:dyDescent="0.25">
      <c r="A2188" s="124" t="s">
        <v>2379</v>
      </c>
    </row>
    <row r="2189" spans="1:1" x14ac:dyDescent="0.25">
      <c r="A2189" t="s">
        <v>2380</v>
      </c>
    </row>
    <row r="2190" spans="1:1" x14ac:dyDescent="0.25">
      <c r="A2190" s="123" t="s">
        <v>2381</v>
      </c>
    </row>
    <row r="2191" spans="1:1" x14ac:dyDescent="0.25">
      <c r="A2191" s="123" t="s">
        <v>2382</v>
      </c>
    </row>
    <row r="2192" spans="1:1" x14ac:dyDescent="0.25">
      <c r="A2192" s="124" t="s">
        <v>2383</v>
      </c>
    </row>
    <row r="2193" spans="1:1" x14ac:dyDescent="0.25">
      <c r="A2193" s="123" t="s">
        <v>2384</v>
      </c>
    </row>
    <row r="2194" spans="1:1" x14ac:dyDescent="0.25">
      <c r="A2194" s="124" t="s">
        <v>2385</v>
      </c>
    </row>
    <row r="2195" spans="1:1" x14ac:dyDescent="0.25">
      <c r="A2195" t="s">
        <v>2386</v>
      </c>
    </row>
    <row r="2196" spans="1:1" x14ac:dyDescent="0.25">
      <c r="A2196" s="123" t="s">
        <v>2387</v>
      </c>
    </row>
    <row r="2197" spans="1:1" x14ac:dyDescent="0.25">
      <c r="A2197" s="123" t="s">
        <v>2388</v>
      </c>
    </row>
    <row r="2198" spans="1:1" x14ac:dyDescent="0.25">
      <c r="A2198" s="123" t="s">
        <v>2389</v>
      </c>
    </row>
    <row r="2199" spans="1:1" x14ac:dyDescent="0.25">
      <c r="A2199" s="124" t="s">
        <v>2390</v>
      </c>
    </row>
    <row r="2200" spans="1:1" x14ac:dyDescent="0.25">
      <c r="A2200" t="s">
        <v>2391</v>
      </c>
    </row>
    <row r="2201" spans="1:1" x14ac:dyDescent="0.25">
      <c r="A2201" s="123" t="s">
        <v>2392</v>
      </c>
    </row>
    <row r="2202" spans="1:1" x14ac:dyDescent="0.25">
      <c r="A2202" s="123" t="s">
        <v>2393</v>
      </c>
    </row>
    <row r="2203" spans="1:1" x14ac:dyDescent="0.25">
      <c r="A2203" s="29" t="s">
        <v>2394</v>
      </c>
    </row>
    <row r="2204" spans="1:1" x14ac:dyDescent="0.25">
      <c r="A2204" s="29" t="s">
        <v>2395</v>
      </c>
    </row>
    <row r="2205" spans="1:1" x14ac:dyDescent="0.25">
      <c r="A2205" s="29" t="s">
        <v>2396</v>
      </c>
    </row>
    <row r="2206" spans="1:1" x14ac:dyDescent="0.25">
      <c r="A2206" t="s">
        <v>2397</v>
      </c>
    </row>
    <row r="2207" spans="1:1" x14ac:dyDescent="0.25">
      <c r="A2207" s="124" t="s">
        <v>2398</v>
      </c>
    </row>
    <row r="2208" spans="1:1" x14ac:dyDescent="0.25">
      <c r="A2208" t="s">
        <v>2399</v>
      </c>
    </row>
    <row r="2209" spans="1:1" x14ac:dyDescent="0.25">
      <c r="A2209" s="124" t="s">
        <v>2400</v>
      </c>
    </row>
    <row r="2210" spans="1:1" x14ac:dyDescent="0.25">
      <c r="A2210" s="29" t="s">
        <v>2401</v>
      </c>
    </row>
    <row r="2211" spans="1:1" ht="255" x14ac:dyDescent="0.25">
      <c r="A2211" s="125" t="s">
        <v>2402</v>
      </c>
    </row>
    <row r="2212" spans="1:1" ht="270" x14ac:dyDescent="0.25">
      <c r="A2212" s="125" t="s">
        <v>2403</v>
      </c>
    </row>
    <row r="2213" spans="1:1" x14ac:dyDescent="0.25">
      <c r="A2213" s="124" t="s">
        <v>2404</v>
      </c>
    </row>
    <row r="2214" spans="1:1" x14ac:dyDescent="0.25">
      <c r="A2214" s="123" t="s">
        <v>2405</v>
      </c>
    </row>
    <row r="2215" spans="1:1" x14ac:dyDescent="0.25">
      <c r="A2215" s="124" t="s">
        <v>2406</v>
      </c>
    </row>
    <row r="2216" spans="1:1" x14ac:dyDescent="0.25">
      <c r="A2216" t="s">
        <v>2407</v>
      </c>
    </row>
    <row r="2217" spans="1:1" x14ac:dyDescent="0.25">
      <c r="A2217" s="123" t="s">
        <v>2408</v>
      </c>
    </row>
    <row r="2218" spans="1:1" x14ac:dyDescent="0.25">
      <c r="A2218" s="123" t="s">
        <v>2409</v>
      </c>
    </row>
    <row r="2219" spans="1:1" x14ac:dyDescent="0.25">
      <c r="A2219" s="124" t="s">
        <v>2410</v>
      </c>
    </row>
    <row r="2220" spans="1:1" x14ac:dyDescent="0.25">
      <c r="A2220" s="123" t="s">
        <v>2411</v>
      </c>
    </row>
    <row r="2221" spans="1:1" x14ac:dyDescent="0.25">
      <c r="A2221" s="124" t="s">
        <v>2412</v>
      </c>
    </row>
    <row r="2222" spans="1:1" x14ac:dyDescent="0.25">
      <c r="A2222" t="s">
        <v>2413</v>
      </c>
    </row>
    <row r="2223" spans="1:1" x14ac:dyDescent="0.25">
      <c r="A2223" s="123" t="s">
        <v>2414</v>
      </c>
    </row>
    <row r="2224" spans="1:1" x14ac:dyDescent="0.25">
      <c r="A2224" s="123" t="s">
        <v>2415</v>
      </c>
    </row>
    <row r="2225" spans="1:1" x14ac:dyDescent="0.25">
      <c r="A2225" s="124" t="s">
        <v>2416</v>
      </c>
    </row>
    <row r="2226" spans="1:1" x14ac:dyDescent="0.25">
      <c r="A2226" s="124" t="s">
        <v>2417</v>
      </c>
    </row>
    <row r="2227" spans="1:1" x14ac:dyDescent="0.25">
      <c r="A2227" t="s">
        <v>2418</v>
      </c>
    </row>
    <row r="2228" spans="1:1" x14ac:dyDescent="0.25">
      <c r="A2228" s="29" t="s">
        <v>2419</v>
      </c>
    </row>
    <row r="2229" spans="1:1" x14ac:dyDescent="0.25">
      <c r="A2229" s="124" t="s">
        <v>2420</v>
      </c>
    </row>
    <row r="2230" spans="1:1" x14ac:dyDescent="0.25">
      <c r="A2230" s="29" t="s">
        <v>2421</v>
      </c>
    </row>
    <row r="2231" spans="1:1" x14ac:dyDescent="0.25">
      <c r="A2231" s="123" t="s">
        <v>2422</v>
      </c>
    </row>
    <row r="2232" spans="1:1" x14ac:dyDescent="0.25">
      <c r="A2232" s="124" t="s">
        <v>2423</v>
      </c>
    </row>
    <row r="2233" spans="1:1" x14ac:dyDescent="0.25">
      <c r="A2233" t="s">
        <v>2424</v>
      </c>
    </row>
    <row r="2234" spans="1:1" x14ac:dyDescent="0.25">
      <c r="A2234" s="123" t="s">
        <v>2425</v>
      </c>
    </row>
    <row r="2235" spans="1:1" x14ac:dyDescent="0.25">
      <c r="A2235" s="123" t="s">
        <v>2426</v>
      </c>
    </row>
    <row r="2236" spans="1:1" x14ac:dyDescent="0.25">
      <c r="A2236" s="29" t="s">
        <v>2427</v>
      </c>
    </row>
    <row r="2237" spans="1:1" x14ac:dyDescent="0.25">
      <c r="A2237" s="29" t="s">
        <v>2428</v>
      </c>
    </row>
    <row r="2238" spans="1:1" x14ac:dyDescent="0.25">
      <c r="A2238" s="29" t="s">
        <v>2429</v>
      </c>
    </row>
    <row r="2239" spans="1:1" x14ac:dyDescent="0.25">
      <c r="A2239" t="s">
        <v>2430</v>
      </c>
    </row>
    <row r="2240" spans="1:1" x14ac:dyDescent="0.25">
      <c r="A2240" s="124" t="s">
        <v>2431</v>
      </c>
    </row>
    <row r="2241" spans="1:1" x14ac:dyDescent="0.25">
      <c r="A2241" s="124" t="s">
        <v>2432</v>
      </c>
    </row>
    <row r="2242" spans="1:1" x14ac:dyDescent="0.25">
      <c r="A2242" t="s">
        <v>2433</v>
      </c>
    </row>
    <row r="2243" spans="1:1" x14ac:dyDescent="0.25">
      <c r="A2243" s="124" t="s">
        <v>2434</v>
      </c>
    </row>
    <row r="2244" spans="1:1" ht="255" x14ac:dyDescent="0.25">
      <c r="A2244" s="125" t="s">
        <v>2435</v>
      </c>
    </row>
    <row r="2245" spans="1:1" ht="270" x14ac:dyDescent="0.25">
      <c r="A2245" s="125" t="s">
        <v>2436</v>
      </c>
    </row>
    <row r="2246" spans="1:1" x14ac:dyDescent="0.25">
      <c r="A2246" s="124" t="s">
        <v>2437</v>
      </c>
    </row>
    <row r="2247" spans="1:1" x14ac:dyDescent="0.25">
      <c r="A2247" s="123" t="s">
        <v>2438</v>
      </c>
    </row>
    <row r="2248" spans="1:1" x14ac:dyDescent="0.25">
      <c r="A2248" s="124" t="s">
        <v>2439</v>
      </c>
    </row>
    <row r="2249" spans="1:1" x14ac:dyDescent="0.25">
      <c r="A2249" t="s">
        <v>2440</v>
      </c>
    </row>
    <row r="2250" spans="1:1" x14ac:dyDescent="0.25">
      <c r="A2250" s="123" t="s">
        <v>2441</v>
      </c>
    </row>
    <row r="2251" spans="1:1" x14ac:dyDescent="0.25">
      <c r="A2251" s="123" t="s">
        <v>2442</v>
      </c>
    </row>
    <row r="2252" spans="1:1" x14ac:dyDescent="0.25">
      <c r="A2252" s="124" t="s">
        <v>2443</v>
      </c>
    </row>
    <row r="2253" spans="1:1" x14ac:dyDescent="0.25">
      <c r="A2253" s="123" t="s">
        <v>2444</v>
      </c>
    </row>
    <row r="2254" spans="1:1" x14ac:dyDescent="0.25">
      <c r="A2254" s="124" t="s">
        <v>2445</v>
      </c>
    </row>
    <row r="2255" spans="1:1" x14ac:dyDescent="0.25">
      <c r="A2255" t="s">
        <v>2446</v>
      </c>
    </row>
    <row r="2256" spans="1:1" x14ac:dyDescent="0.25">
      <c r="A2256" s="123" t="s">
        <v>2447</v>
      </c>
    </row>
    <row r="2257" spans="1:1" x14ac:dyDescent="0.25">
      <c r="A2257" s="123" t="s">
        <v>2448</v>
      </c>
    </row>
    <row r="2258" spans="1:1" x14ac:dyDescent="0.25">
      <c r="A2258" s="29" t="s">
        <v>2449</v>
      </c>
    </row>
    <row r="2259" spans="1:1" x14ac:dyDescent="0.25">
      <c r="A2259" s="123" t="s">
        <v>2450</v>
      </c>
    </row>
    <row r="2260" spans="1:1" x14ac:dyDescent="0.25">
      <c r="A2260" s="124" t="s">
        <v>2451</v>
      </c>
    </row>
    <row r="2261" spans="1:1" x14ac:dyDescent="0.25">
      <c r="A2261" t="s">
        <v>2452</v>
      </c>
    </row>
    <row r="2262" spans="1:1" x14ac:dyDescent="0.25">
      <c r="A2262" s="123" t="s">
        <v>2453</v>
      </c>
    </row>
    <row r="2263" spans="1:1" x14ac:dyDescent="0.25">
      <c r="A2263" s="123" t="s">
        <v>2454</v>
      </c>
    </row>
    <row r="2264" spans="1:1" x14ac:dyDescent="0.25">
      <c r="A2264" s="29" t="s">
        <v>2455</v>
      </c>
    </row>
    <row r="2265" spans="1:1" x14ac:dyDescent="0.25">
      <c r="A2265" s="29" t="s">
        <v>2456</v>
      </c>
    </row>
    <row r="2266" spans="1:1" x14ac:dyDescent="0.25">
      <c r="A2266" s="29" t="s">
        <v>2457</v>
      </c>
    </row>
    <row r="2267" spans="1:1" x14ac:dyDescent="0.25">
      <c r="A2267" t="s">
        <v>2458</v>
      </c>
    </row>
    <row r="2268" spans="1:1" ht="255" x14ac:dyDescent="0.25">
      <c r="A2268" s="125" t="s">
        <v>2459</v>
      </c>
    </row>
    <row r="2269" spans="1:1" ht="270" x14ac:dyDescent="0.25">
      <c r="A2269" s="125" t="s">
        <v>2460</v>
      </c>
    </row>
    <row r="2270" spans="1:1" x14ac:dyDescent="0.25">
      <c r="A2270" s="124" t="s">
        <v>2461</v>
      </c>
    </row>
    <row r="2271" spans="1:1" x14ac:dyDescent="0.25">
      <c r="A2271" s="123" t="s">
        <v>2462</v>
      </c>
    </row>
    <row r="2272" spans="1:1" x14ac:dyDescent="0.25">
      <c r="A2272" s="124" t="s">
        <v>2463</v>
      </c>
    </row>
    <row r="2273" spans="1:1" x14ac:dyDescent="0.25">
      <c r="A2273" t="s">
        <v>2464</v>
      </c>
    </row>
    <row r="2274" spans="1:1" x14ac:dyDescent="0.25">
      <c r="A2274" s="123" t="s">
        <v>2465</v>
      </c>
    </row>
    <row r="2275" spans="1:1" x14ac:dyDescent="0.25">
      <c r="A2275" s="123" t="s">
        <v>2466</v>
      </c>
    </row>
    <row r="2276" spans="1:1" x14ac:dyDescent="0.25">
      <c r="A2276" s="124" t="s">
        <v>2467</v>
      </c>
    </row>
    <row r="2277" spans="1:1" x14ac:dyDescent="0.25">
      <c r="A2277" s="123" t="s">
        <v>2468</v>
      </c>
    </row>
    <row r="2278" spans="1:1" x14ac:dyDescent="0.25">
      <c r="A2278" s="124" t="s">
        <v>2469</v>
      </c>
    </row>
    <row r="2279" spans="1:1" x14ac:dyDescent="0.25">
      <c r="A2279" t="s">
        <v>2470</v>
      </c>
    </row>
    <row r="2280" spans="1:1" x14ac:dyDescent="0.25">
      <c r="A2280" s="123" t="s">
        <v>2471</v>
      </c>
    </row>
    <row r="2281" spans="1:1" x14ac:dyDescent="0.25">
      <c r="A2281" s="123" t="s">
        <v>2472</v>
      </c>
    </row>
    <row r="2282" spans="1:1" x14ac:dyDescent="0.25">
      <c r="A2282" s="124" t="s">
        <v>2473</v>
      </c>
    </row>
    <row r="2283" spans="1:1" x14ac:dyDescent="0.25">
      <c r="A2283" s="124" t="s">
        <v>2474</v>
      </c>
    </row>
    <row r="2284" spans="1:1" x14ac:dyDescent="0.25">
      <c r="A2284" t="s">
        <v>2475</v>
      </c>
    </row>
    <row r="2285" spans="1:1" x14ac:dyDescent="0.25">
      <c r="A2285" s="124" t="s">
        <v>2476</v>
      </c>
    </row>
    <row r="2286" spans="1:1" x14ac:dyDescent="0.25">
      <c r="A2286" s="29" t="s">
        <v>2477</v>
      </c>
    </row>
    <row r="2287" spans="1:1" x14ac:dyDescent="0.25">
      <c r="A2287" s="123" t="s">
        <v>2478</v>
      </c>
    </row>
    <row r="2288" spans="1:1" x14ac:dyDescent="0.25">
      <c r="A2288" s="124" t="s">
        <v>2479</v>
      </c>
    </row>
    <row r="2289" spans="1:1" x14ac:dyDescent="0.25">
      <c r="A2289" t="s">
        <v>2480</v>
      </c>
    </row>
    <row r="2290" spans="1:1" x14ac:dyDescent="0.25">
      <c r="A2290" s="123" t="s">
        <v>2481</v>
      </c>
    </row>
    <row r="2291" spans="1:1" x14ac:dyDescent="0.25">
      <c r="A2291" s="123" t="s">
        <v>2482</v>
      </c>
    </row>
    <row r="2292" spans="1:1" x14ac:dyDescent="0.25">
      <c r="A2292" s="29" t="s">
        <v>2483</v>
      </c>
    </row>
    <row r="2293" spans="1:1" x14ac:dyDescent="0.25">
      <c r="A2293" s="29" t="s">
        <v>2484</v>
      </c>
    </row>
    <row r="2294" spans="1:1" x14ac:dyDescent="0.25">
      <c r="A2294" s="29" t="s">
        <v>2485</v>
      </c>
    </row>
    <row r="2295" spans="1:1" x14ac:dyDescent="0.25">
      <c r="A2295" t="s">
        <v>2486</v>
      </c>
    </row>
    <row r="2296" spans="1:1" x14ac:dyDescent="0.25">
      <c r="A2296" s="123" t="s">
        <v>2487</v>
      </c>
    </row>
    <row r="2297" spans="1:1" x14ac:dyDescent="0.25">
      <c r="A2297" s="123" t="s">
        <v>2488</v>
      </c>
    </row>
    <row r="2298" spans="1:1" x14ac:dyDescent="0.25">
      <c r="A2298" s="123" t="s">
        <v>2489</v>
      </c>
    </row>
    <row r="2299" spans="1:1" x14ac:dyDescent="0.25">
      <c r="A2299" s="124" t="s">
        <v>2490</v>
      </c>
    </row>
    <row r="2300" spans="1:1" x14ac:dyDescent="0.25">
      <c r="A2300" s="124" t="s">
        <v>2491</v>
      </c>
    </row>
    <row r="2301" spans="1:1" x14ac:dyDescent="0.25">
      <c r="A2301" s="123" t="s">
        <v>2492</v>
      </c>
    </row>
    <row r="2302" spans="1:1" x14ac:dyDescent="0.25">
      <c r="A2302" s="29" t="s">
        <v>2493</v>
      </c>
    </row>
    <row r="2303" spans="1:1" x14ac:dyDescent="0.25">
      <c r="A2303" s="123" t="s">
        <v>2494</v>
      </c>
    </row>
    <row r="2304" spans="1:1" x14ac:dyDescent="0.25">
      <c r="A2304" s="123" t="s">
        <v>2495</v>
      </c>
    </row>
    <row r="2305" spans="1:1" x14ac:dyDescent="0.25">
      <c r="A2305" s="123" t="s">
        <v>2496</v>
      </c>
    </row>
    <row r="2306" spans="1:1" x14ac:dyDescent="0.25">
      <c r="A2306" s="124" t="s">
        <v>2497</v>
      </c>
    </row>
    <row r="2307" spans="1:1" x14ac:dyDescent="0.25">
      <c r="A2307" s="124" t="s">
        <v>2498</v>
      </c>
    </row>
    <row r="2308" spans="1:1" x14ac:dyDescent="0.25">
      <c r="A2308" s="123" t="s">
        <v>2499</v>
      </c>
    </row>
    <row r="2309" spans="1:1" x14ac:dyDescent="0.25">
      <c r="A2309" s="29" t="s">
        <v>2500</v>
      </c>
    </row>
    <row r="2310" spans="1:1" x14ac:dyDescent="0.25">
      <c r="A2310" s="123" t="s">
        <v>2501</v>
      </c>
    </row>
    <row r="2311" spans="1:1" x14ac:dyDescent="0.25">
      <c r="A2311" s="123" t="s">
        <v>2502</v>
      </c>
    </row>
    <row r="2312" spans="1:1" x14ac:dyDescent="0.25">
      <c r="A2312" s="123" t="s">
        <v>2503</v>
      </c>
    </row>
    <row r="2313" spans="1:1" x14ac:dyDescent="0.25">
      <c r="A2313" s="124" t="s">
        <v>2504</v>
      </c>
    </row>
    <row r="2314" spans="1:1" x14ac:dyDescent="0.25">
      <c r="A2314" s="124" t="s">
        <v>2505</v>
      </c>
    </row>
    <row r="2315" spans="1:1" x14ac:dyDescent="0.25">
      <c r="A2315" s="123" t="s">
        <v>2506</v>
      </c>
    </row>
    <row r="2316" spans="1:1" x14ac:dyDescent="0.25">
      <c r="A2316" s="29" t="s">
        <v>2507</v>
      </c>
    </row>
    <row r="2317" spans="1:1" x14ac:dyDescent="0.25">
      <c r="A2317" s="123" t="s">
        <v>2508</v>
      </c>
    </row>
    <row r="2318" spans="1:1" x14ac:dyDescent="0.25">
      <c r="A2318" s="123" t="s">
        <v>2509</v>
      </c>
    </row>
    <row r="2319" spans="1:1" x14ac:dyDescent="0.25">
      <c r="A2319" s="123" t="s">
        <v>2510</v>
      </c>
    </row>
    <row r="2320" spans="1:1" x14ac:dyDescent="0.25">
      <c r="A2320" s="124" t="s">
        <v>2511</v>
      </c>
    </row>
    <row r="2321" spans="1:1" x14ac:dyDescent="0.25">
      <c r="A2321" s="124" t="s">
        <v>2512</v>
      </c>
    </row>
    <row r="2322" spans="1:1" x14ac:dyDescent="0.25">
      <c r="A2322" s="123" t="s">
        <v>2513</v>
      </c>
    </row>
    <row r="2323" spans="1:1" x14ac:dyDescent="0.25">
      <c r="A2323" s="29" t="s">
        <v>2514</v>
      </c>
    </row>
    <row r="2324" spans="1:1" x14ac:dyDescent="0.25">
      <c r="A2324" s="123" t="s">
        <v>2515</v>
      </c>
    </row>
    <row r="2325" spans="1:1" x14ac:dyDescent="0.25">
      <c r="A2325" s="123" t="s">
        <v>2516</v>
      </c>
    </row>
    <row r="2326" spans="1:1" x14ac:dyDescent="0.25">
      <c r="A2326" s="123" t="s">
        <v>2517</v>
      </c>
    </row>
    <row r="2327" spans="1:1" x14ac:dyDescent="0.25">
      <c r="A2327" s="124" t="s">
        <v>2518</v>
      </c>
    </row>
    <row r="2328" spans="1:1" x14ac:dyDescent="0.25">
      <c r="A2328" s="124" t="s">
        <v>2519</v>
      </c>
    </row>
    <row r="2329" spans="1:1" x14ac:dyDescent="0.25">
      <c r="A2329" s="123" t="s">
        <v>2520</v>
      </c>
    </row>
    <row r="2330" spans="1:1" x14ac:dyDescent="0.25">
      <c r="A2330" s="29" t="s">
        <v>2521</v>
      </c>
    </row>
    <row r="2331" spans="1:1" x14ac:dyDescent="0.25">
      <c r="A2331" s="123" t="s">
        <v>2522</v>
      </c>
    </row>
    <row r="2332" spans="1:1" x14ac:dyDescent="0.25">
      <c r="A2332" s="123" t="s">
        <v>2523</v>
      </c>
    </row>
    <row r="2333" spans="1:1" x14ac:dyDescent="0.25">
      <c r="A2333" s="123" t="s">
        <v>2524</v>
      </c>
    </row>
    <row r="2334" spans="1:1" x14ac:dyDescent="0.25">
      <c r="A2334" s="124" t="s">
        <v>2525</v>
      </c>
    </row>
    <row r="2335" spans="1:1" x14ac:dyDescent="0.25">
      <c r="A2335" s="124" t="s">
        <v>2526</v>
      </c>
    </row>
    <row r="2336" spans="1:1" x14ac:dyDescent="0.25">
      <c r="A2336" s="123" t="s">
        <v>2527</v>
      </c>
    </row>
    <row r="2337" spans="1:1" x14ac:dyDescent="0.25">
      <c r="A2337" s="29" t="s">
        <v>2528</v>
      </c>
    </row>
    <row r="2338" spans="1:1" x14ac:dyDescent="0.25">
      <c r="A2338" s="123" t="s">
        <v>2529</v>
      </c>
    </row>
    <row r="2339" spans="1:1" x14ac:dyDescent="0.25">
      <c r="A2339" s="123" t="s">
        <v>2530</v>
      </c>
    </row>
    <row r="2340" spans="1:1" x14ac:dyDescent="0.25">
      <c r="A2340" s="123" t="s">
        <v>2531</v>
      </c>
    </row>
    <row r="2341" spans="1:1" x14ac:dyDescent="0.25">
      <c r="A2341" s="124" t="s">
        <v>2532</v>
      </c>
    </row>
    <row r="2342" spans="1:1" x14ac:dyDescent="0.25">
      <c r="A2342" s="124" t="s">
        <v>2533</v>
      </c>
    </row>
    <row r="2343" spans="1:1" x14ac:dyDescent="0.25">
      <c r="A2343" s="123" t="s">
        <v>2534</v>
      </c>
    </row>
    <row r="2344" spans="1:1" x14ac:dyDescent="0.25">
      <c r="A2344" s="29" t="s">
        <v>2535</v>
      </c>
    </row>
    <row r="2345" spans="1:1" x14ac:dyDescent="0.25">
      <c r="A2345" s="123" t="s">
        <v>2536</v>
      </c>
    </row>
    <row r="2346" spans="1:1" x14ac:dyDescent="0.25">
      <c r="A2346" s="123" t="s">
        <v>2537</v>
      </c>
    </row>
    <row r="2347" spans="1:1" x14ac:dyDescent="0.25">
      <c r="A2347" s="123" t="s">
        <v>2538</v>
      </c>
    </row>
    <row r="2348" spans="1:1" x14ac:dyDescent="0.25">
      <c r="A2348" s="124" t="s">
        <v>2539</v>
      </c>
    </row>
    <row r="2349" spans="1:1" x14ac:dyDescent="0.25">
      <c r="A2349" s="124" t="s">
        <v>2540</v>
      </c>
    </row>
    <row r="2350" spans="1:1" x14ac:dyDescent="0.25">
      <c r="A2350" s="123" t="s">
        <v>2541</v>
      </c>
    </row>
    <row r="2351" spans="1:1" x14ac:dyDescent="0.25">
      <c r="A2351" s="29" t="s">
        <v>2542</v>
      </c>
    </row>
    <row r="2352" spans="1:1" ht="255" x14ac:dyDescent="0.25">
      <c r="A2352" s="125" t="s">
        <v>2543</v>
      </c>
    </row>
    <row r="2353" spans="1:1" ht="270" x14ac:dyDescent="0.25">
      <c r="A2353" s="125" t="s">
        <v>2544</v>
      </c>
    </row>
    <row r="2354" spans="1:1" x14ac:dyDescent="0.25">
      <c r="A2354" s="124" t="s">
        <v>2545</v>
      </c>
    </row>
    <row r="2355" spans="1:1" x14ac:dyDescent="0.25">
      <c r="A2355" s="123" t="s">
        <v>2546</v>
      </c>
    </row>
    <row r="2356" spans="1:1" x14ac:dyDescent="0.25">
      <c r="A2356" s="124" t="s">
        <v>2547</v>
      </c>
    </row>
    <row r="2357" spans="1:1" x14ac:dyDescent="0.25">
      <c r="A2357" t="s">
        <v>2548</v>
      </c>
    </row>
    <row r="2358" spans="1:1" x14ac:dyDescent="0.25">
      <c r="A2358" s="123" t="s">
        <v>2549</v>
      </c>
    </row>
    <row r="2359" spans="1:1" x14ac:dyDescent="0.25">
      <c r="A2359" s="123" t="s">
        <v>2550</v>
      </c>
    </row>
    <row r="2360" spans="1:1" x14ac:dyDescent="0.25">
      <c r="A2360" s="124" t="s">
        <v>2551</v>
      </c>
    </row>
    <row r="2361" spans="1:1" x14ac:dyDescent="0.25">
      <c r="A2361" s="123" t="s">
        <v>2552</v>
      </c>
    </row>
    <row r="2362" spans="1:1" x14ac:dyDescent="0.25">
      <c r="A2362" s="124" t="s">
        <v>2553</v>
      </c>
    </row>
    <row r="2363" spans="1:1" x14ac:dyDescent="0.25">
      <c r="A2363" t="s">
        <v>2554</v>
      </c>
    </row>
    <row r="2364" spans="1:1" x14ac:dyDescent="0.25">
      <c r="A2364" s="123" t="s">
        <v>2555</v>
      </c>
    </row>
    <row r="2365" spans="1:1" x14ac:dyDescent="0.25">
      <c r="A2365" s="123" t="s">
        <v>2556</v>
      </c>
    </row>
    <row r="2366" spans="1:1" x14ac:dyDescent="0.25">
      <c r="A2366" s="124" t="s">
        <v>2557</v>
      </c>
    </row>
    <row r="2367" spans="1:1" x14ac:dyDescent="0.25">
      <c r="A2367" s="124" t="s">
        <v>2558</v>
      </c>
    </row>
    <row r="2368" spans="1:1" x14ac:dyDescent="0.25">
      <c r="A2368" t="s">
        <v>2559</v>
      </c>
    </row>
    <row r="2369" spans="1:1" x14ac:dyDescent="0.25">
      <c r="A2369" s="124" t="s">
        <v>2560</v>
      </c>
    </row>
    <row r="2370" spans="1:1" x14ac:dyDescent="0.25">
      <c r="A2370" s="29" t="s">
        <v>2561</v>
      </c>
    </row>
    <row r="2371" spans="1:1" x14ac:dyDescent="0.25">
      <c r="A2371" s="123" t="s">
        <v>2562</v>
      </c>
    </row>
    <row r="2372" spans="1:1" x14ac:dyDescent="0.25">
      <c r="A2372" s="124" t="s">
        <v>2563</v>
      </c>
    </row>
    <row r="2373" spans="1:1" x14ac:dyDescent="0.25">
      <c r="A2373" t="s">
        <v>2564</v>
      </c>
    </row>
    <row r="2374" spans="1:1" x14ac:dyDescent="0.25">
      <c r="A2374" s="123" t="s">
        <v>2565</v>
      </c>
    </row>
    <row r="2375" spans="1:1" x14ac:dyDescent="0.25">
      <c r="A2375" s="123" t="s">
        <v>2566</v>
      </c>
    </row>
    <row r="2376" spans="1:1" x14ac:dyDescent="0.25">
      <c r="A2376" s="29" t="s">
        <v>2567</v>
      </c>
    </row>
    <row r="2377" spans="1:1" x14ac:dyDescent="0.25">
      <c r="A2377" s="29" t="s">
        <v>2568</v>
      </c>
    </row>
    <row r="2378" spans="1:1" x14ac:dyDescent="0.25">
      <c r="A2378" s="29" t="s">
        <v>2569</v>
      </c>
    </row>
    <row r="2379" spans="1:1" x14ac:dyDescent="0.25">
      <c r="A2379" t="s">
        <v>2570</v>
      </c>
    </row>
    <row r="2380" spans="1:1" ht="255" x14ac:dyDescent="0.25">
      <c r="A2380" s="125" t="s">
        <v>2571</v>
      </c>
    </row>
    <row r="2381" spans="1:1" ht="270" x14ac:dyDescent="0.25">
      <c r="A2381" s="125" t="s">
        <v>2572</v>
      </c>
    </row>
    <row r="2382" spans="1:1" x14ac:dyDescent="0.25">
      <c r="A2382" s="124" t="s">
        <v>2573</v>
      </c>
    </row>
    <row r="2383" spans="1:1" x14ac:dyDescent="0.25">
      <c r="A2383" s="123" t="s">
        <v>2574</v>
      </c>
    </row>
    <row r="2384" spans="1:1" x14ac:dyDescent="0.25">
      <c r="A2384" s="124" t="s">
        <v>2575</v>
      </c>
    </row>
    <row r="2385" spans="1:1" x14ac:dyDescent="0.25">
      <c r="A2385" t="s">
        <v>2576</v>
      </c>
    </row>
    <row r="2386" spans="1:1" x14ac:dyDescent="0.25">
      <c r="A2386" s="123" t="s">
        <v>2577</v>
      </c>
    </row>
    <row r="2387" spans="1:1" x14ac:dyDescent="0.25">
      <c r="A2387" s="123" t="s">
        <v>2578</v>
      </c>
    </row>
    <row r="2388" spans="1:1" x14ac:dyDescent="0.25">
      <c r="A2388" s="124" t="s">
        <v>2579</v>
      </c>
    </row>
    <row r="2389" spans="1:1" x14ac:dyDescent="0.25">
      <c r="A2389" s="123" t="s">
        <v>2580</v>
      </c>
    </row>
    <row r="2390" spans="1:1" x14ac:dyDescent="0.25">
      <c r="A2390" s="124" t="s">
        <v>2581</v>
      </c>
    </row>
    <row r="2391" spans="1:1" x14ac:dyDescent="0.25">
      <c r="A2391" t="s">
        <v>2582</v>
      </c>
    </row>
    <row r="2392" spans="1:1" x14ac:dyDescent="0.25">
      <c r="A2392" s="123" t="s">
        <v>2583</v>
      </c>
    </row>
    <row r="2393" spans="1:1" x14ac:dyDescent="0.25">
      <c r="A2393" s="123" t="s">
        <v>2584</v>
      </c>
    </row>
    <row r="2394" spans="1:1" x14ac:dyDescent="0.25">
      <c r="A2394" s="124" t="s">
        <v>2585</v>
      </c>
    </row>
    <row r="2395" spans="1:1" x14ac:dyDescent="0.25">
      <c r="A2395" s="124" t="s">
        <v>2586</v>
      </c>
    </row>
    <row r="2396" spans="1:1" x14ac:dyDescent="0.25">
      <c r="A2396" t="s">
        <v>2587</v>
      </c>
    </row>
    <row r="2397" spans="1:1" x14ac:dyDescent="0.25">
      <c r="A2397" s="124" t="s">
        <v>2588</v>
      </c>
    </row>
    <row r="2398" spans="1:1" x14ac:dyDescent="0.25">
      <c r="A2398" s="29" t="s">
        <v>2589</v>
      </c>
    </row>
    <row r="2399" spans="1:1" x14ac:dyDescent="0.25">
      <c r="A2399" s="123" t="s">
        <v>2590</v>
      </c>
    </row>
    <row r="2400" spans="1:1" x14ac:dyDescent="0.25">
      <c r="A2400" s="124" t="s">
        <v>2591</v>
      </c>
    </row>
    <row r="2401" spans="1:1" x14ac:dyDescent="0.25">
      <c r="A2401" t="s">
        <v>2592</v>
      </c>
    </row>
    <row r="2402" spans="1:1" x14ac:dyDescent="0.25">
      <c r="A2402" s="123" t="s">
        <v>2593</v>
      </c>
    </row>
    <row r="2403" spans="1:1" x14ac:dyDescent="0.25">
      <c r="A2403" s="123" t="s">
        <v>2594</v>
      </c>
    </row>
    <row r="2404" spans="1:1" x14ac:dyDescent="0.25">
      <c r="A2404" s="29" t="s">
        <v>2595</v>
      </c>
    </row>
    <row r="2405" spans="1:1" x14ac:dyDescent="0.25">
      <c r="A2405" s="29" t="s">
        <v>2596</v>
      </c>
    </row>
    <row r="2406" spans="1:1" x14ac:dyDescent="0.25">
      <c r="A2406" s="29" t="s">
        <v>2597</v>
      </c>
    </row>
    <row r="2407" spans="1:1" x14ac:dyDescent="0.25">
      <c r="A2407" t="s">
        <v>2598</v>
      </c>
    </row>
    <row r="2408" spans="1:1" ht="255" x14ac:dyDescent="0.25">
      <c r="A2408" s="125" t="s">
        <v>2599</v>
      </c>
    </row>
    <row r="2409" spans="1:1" ht="270" x14ac:dyDescent="0.25">
      <c r="A2409" s="125" t="s">
        <v>2600</v>
      </c>
    </row>
    <row r="2410" spans="1:1" x14ac:dyDescent="0.25">
      <c r="A2410" s="124" t="s">
        <v>2601</v>
      </c>
    </row>
    <row r="2411" spans="1:1" x14ac:dyDescent="0.25">
      <c r="A2411" s="123" t="s">
        <v>2602</v>
      </c>
    </row>
    <row r="2412" spans="1:1" x14ac:dyDescent="0.25">
      <c r="A2412" s="124" t="s">
        <v>2603</v>
      </c>
    </row>
    <row r="2413" spans="1:1" x14ac:dyDescent="0.25">
      <c r="A2413" t="s">
        <v>2604</v>
      </c>
    </row>
    <row r="2414" spans="1:1" x14ac:dyDescent="0.25">
      <c r="A2414" s="123" t="s">
        <v>2605</v>
      </c>
    </row>
    <row r="2415" spans="1:1" x14ac:dyDescent="0.25">
      <c r="A2415" s="123" t="s">
        <v>2606</v>
      </c>
    </row>
    <row r="2416" spans="1:1" x14ac:dyDescent="0.25">
      <c r="A2416" s="124" t="s">
        <v>2607</v>
      </c>
    </row>
    <row r="2417" spans="1:1" x14ac:dyDescent="0.25">
      <c r="A2417" s="123" t="s">
        <v>2608</v>
      </c>
    </row>
    <row r="2418" spans="1:1" x14ac:dyDescent="0.25">
      <c r="A2418" s="124" t="s">
        <v>2609</v>
      </c>
    </row>
    <row r="2419" spans="1:1" x14ac:dyDescent="0.25">
      <c r="A2419" t="s">
        <v>2610</v>
      </c>
    </row>
    <row r="2420" spans="1:1" x14ac:dyDescent="0.25">
      <c r="A2420" s="123" t="s">
        <v>2611</v>
      </c>
    </row>
    <row r="2421" spans="1:1" x14ac:dyDescent="0.25">
      <c r="A2421" s="123" t="s">
        <v>2612</v>
      </c>
    </row>
    <row r="2422" spans="1:1" x14ac:dyDescent="0.25">
      <c r="A2422" s="124" t="s">
        <v>2613</v>
      </c>
    </row>
    <row r="2423" spans="1:1" x14ac:dyDescent="0.25">
      <c r="A2423" s="124" t="s">
        <v>2614</v>
      </c>
    </row>
    <row r="2424" spans="1:1" x14ac:dyDescent="0.25">
      <c r="A2424" t="s">
        <v>2615</v>
      </c>
    </row>
    <row r="2425" spans="1:1" x14ac:dyDescent="0.25">
      <c r="A2425" s="124" t="s">
        <v>2616</v>
      </c>
    </row>
    <row r="2426" spans="1:1" x14ac:dyDescent="0.25">
      <c r="A2426" s="29" t="s">
        <v>2617</v>
      </c>
    </row>
    <row r="2427" spans="1:1" x14ac:dyDescent="0.25">
      <c r="A2427" s="123" t="s">
        <v>2618</v>
      </c>
    </row>
    <row r="2428" spans="1:1" x14ac:dyDescent="0.25">
      <c r="A2428" s="124" t="s">
        <v>2619</v>
      </c>
    </row>
    <row r="2429" spans="1:1" x14ac:dyDescent="0.25">
      <c r="A2429" t="s">
        <v>2620</v>
      </c>
    </row>
    <row r="2430" spans="1:1" x14ac:dyDescent="0.25">
      <c r="A2430" s="123" t="s">
        <v>2621</v>
      </c>
    </row>
    <row r="2431" spans="1:1" x14ac:dyDescent="0.25">
      <c r="A2431" s="123" t="s">
        <v>2622</v>
      </c>
    </row>
    <row r="2432" spans="1:1" x14ac:dyDescent="0.25">
      <c r="A2432" s="29" t="s">
        <v>2623</v>
      </c>
    </row>
    <row r="2433" spans="1:1" x14ac:dyDescent="0.25">
      <c r="A2433" s="29" t="s">
        <v>2624</v>
      </c>
    </row>
    <row r="2434" spans="1:1" x14ac:dyDescent="0.25">
      <c r="A2434" s="29" t="s">
        <v>2625</v>
      </c>
    </row>
    <row r="2435" spans="1:1" x14ac:dyDescent="0.25">
      <c r="A2435" t="s">
        <v>2626</v>
      </c>
    </row>
    <row r="2436" spans="1:1" ht="255" x14ac:dyDescent="0.25">
      <c r="A2436" s="125" t="s">
        <v>2627</v>
      </c>
    </row>
    <row r="2437" spans="1:1" ht="270" x14ac:dyDescent="0.25">
      <c r="A2437" s="125" t="s">
        <v>2628</v>
      </c>
    </row>
    <row r="2438" spans="1:1" x14ac:dyDescent="0.25">
      <c r="A2438" s="124" t="s">
        <v>2629</v>
      </c>
    </row>
    <row r="2439" spans="1:1" x14ac:dyDescent="0.25">
      <c r="A2439" s="123" t="s">
        <v>2630</v>
      </c>
    </row>
    <row r="2440" spans="1:1" x14ac:dyDescent="0.25">
      <c r="A2440" s="124" t="s">
        <v>2631</v>
      </c>
    </row>
    <row r="2441" spans="1:1" x14ac:dyDescent="0.25">
      <c r="A2441" t="s">
        <v>2632</v>
      </c>
    </row>
    <row r="2442" spans="1:1" x14ac:dyDescent="0.25">
      <c r="A2442" s="123" t="s">
        <v>2633</v>
      </c>
    </row>
    <row r="2443" spans="1:1" x14ac:dyDescent="0.25">
      <c r="A2443" s="123" t="s">
        <v>2634</v>
      </c>
    </row>
    <row r="2444" spans="1:1" x14ac:dyDescent="0.25">
      <c r="A2444" s="124" t="s">
        <v>2635</v>
      </c>
    </row>
    <row r="2445" spans="1:1" x14ac:dyDescent="0.25">
      <c r="A2445" s="123" t="s">
        <v>2636</v>
      </c>
    </row>
    <row r="2446" spans="1:1" x14ac:dyDescent="0.25">
      <c r="A2446" s="124" t="s">
        <v>2637</v>
      </c>
    </row>
    <row r="2447" spans="1:1" x14ac:dyDescent="0.25">
      <c r="A2447" t="s">
        <v>2638</v>
      </c>
    </row>
    <row r="2448" spans="1:1" x14ac:dyDescent="0.25">
      <c r="A2448" s="123" t="s">
        <v>2639</v>
      </c>
    </row>
    <row r="2449" spans="1:1" x14ac:dyDescent="0.25">
      <c r="A2449" s="123" t="s">
        <v>2640</v>
      </c>
    </row>
    <row r="2450" spans="1:1" x14ac:dyDescent="0.25">
      <c r="A2450" s="124" t="s">
        <v>2641</v>
      </c>
    </row>
    <row r="2451" spans="1:1" x14ac:dyDescent="0.25">
      <c r="A2451" s="124" t="s">
        <v>2642</v>
      </c>
    </row>
    <row r="2452" spans="1:1" x14ac:dyDescent="0.25">
      <c r="A2452" t="s">
        <v>2643</v>
      </c>
    </row>
    <row r="2453" spans="1:1" x14ac:dyDescent="0.25">
      <c r="A2453" s="124" t="s">
        <v>2644</v>
      </c>
    </row>
    <row r="2454" spans="1:1" x14ac:dyDescent="0.25">
      <c r="A2454" s="29" t="s">
        <v>2645</v>
      </c>
    </row>
    <row r="2455" spans="1:1" x14ac:dyDescent="0.25">
      <c r="A2455" s="123" t="s">
        <v>2646</v>
      </c>
    </row>
    <row r="2456" spans="1:1" x14ac:dyDescent="0.25">
      <c r="A2456" s="124" t="s">
        <v>2647</v>
      </c>
    </row>
    <row r="2457" spans="1:1" x14ac:dyDescent="0.25">
      <c r="A2457" t="s">
        <v>2648</v>
      </c>
    </row>
    <row r="2458" spans="1:1" x14ac:dyDescent="0.25">
      <c r="A2458" s="123" t="s">
        <v>2649</v>
      </c>
    </row>
    <row r="2459" spans="1:1" x14ac:dyDescent="0.25">
      <c r="A2459" s="123" t="s">
        <v>2650</v>
      </c>
    </row>
    <row r="2460" spans="1:1" x14ac:dyDescent="0.25">
      <c r="A2460" s="29" t="s">
        <v>2651</v>
      </c>
    </row>
    <row r="2461" spans="1:1" x14ac:dyDescent="0.25">
      <c r="A2461" s="29" t="s">
        <v>2652</v>
      </c>
    </row>
    <row r="2462" spans="1:1" x14ac:dyDescent="0.25">
      <c r="A2462" s="29" t="s">
        <v>2653</v>
      </c>
    </row>
    <row r="2463" spans="1:1" x14ac:dyDescent="0.25">
      <c r="A2463" t="s">
        <v>2654</v>
      </c>
    </row>
    <row r="2464" spans="1:1" ht="255" x14ac:dyDescent="0.25">
      <c r="A2464" s="125" t="s">
        <v>2655</v>
      </c>
    </row>
    <row r="2465" spans="1:1" ht="270" x14ac:dyDescent="0.25">
      <c r="A2465" s="125" t="s">
        <v>2656</v>
      </c>
    </row>
    <row r="2466" spans="1:1" x14ac:dyDescent="0.25">
      <c r="A2466" s="124" t="s">
        <v>2657</v>
      </c>
    </row>
    <row r="2467" spans="1:1" x14ac:dyDescent="0.25">
      <c r="A2467" s="123" t="s">
        <v>2658</v>
      </c>
    </row>
    <row r="2468" spans="1:1" x14ac:dyDescent="0.25">
      <c r="A2468" s="124" t="s">
        <v>2659</v>
      </c>
    </row>
    <row r="2469" spans="1:1" x14ac:dyDescent="0.25">
      <c r="A2469" t="s">
        <v>2660</v>
      </c>
    </row>
    <row r="2470" spans="1:1" x14ac:dyDescent="0.25">
      <c r="A2470" s="123" t="s">
        <v>2661</v>
      </c>
    </row>
    <row r="2471" spans="1:1" x14ac:dyDescent="0.25">
      <c r="A2471" s="123" t="s">
        <v>2662</v>
      </c>
    </row>
    <row r="2472" spans="1:1" x14ac:dyDescent="0.25">
      <c r="A2472" s="124" t="s">
        <v>2663</v>
      </c>
    </row>
    <row r="2473" spans="1:1" x14ac:dyDescent="0.25">
      <c r="A2473" s="123" t="s">
        <v>2664</v>
      </c>
    </row>
    <row r="2474" spans="1:1" x14ac:dyDescent="0.25">
      <c r="A2474" s="124" t="s">
        <v>2665</v>
      </c>
    </row>
    <row r="2475" spans="1:1" x14ac:dyDescent="0.25">
      <c r="A2475" t="s">
        <v>2666</v>
      </c>
    </row>
    <row r="2476" spans="1:1" x14ac:dyDescent="0.25">
      <c r="A2476" s="123" t="s">
        <v>2667</v>
      </c>
    </row>
    <row r="2477" spans="1:1" x14ac:dyDescent="0.25">
      <c r="A2477" s="123" t="s">
        <v>2668</v>
      </c>
    </row>
    <row r="2478" spans="1:1" x14ac:dyDescent="0.25">
      <c r="A2478" s="124" t="s">
        <v>2669</v>
      </c>
    </row>
    <row r="2479" spans="1:1" x14ac:dyDescent="0.25">
      <c r="A2479" s="124" t="s">
        <v>2670</v>
      </c>
    </row>
    <row r="2480" spans="1:1" x14ac:dyDescent="0.25">
      <c r="A2480" t="s">
        <v>2671</v>
      </c>
    </row>
    <row r="2481" spans="1:1" x14ac:dyDescent="0.25">
      <c r="A2481" s="124" t="s">
        <v>2672</v>
      </c>
    </row>
    <row r="2482" spans="1:1" x14ac:dyDescent="0.25">
      <c r="A2482" s="124" t="s">
        <v>2673</v>
      </c>
    </row>
    <row r="2483" spans="1:1" x14ac:dyDescent="0.25">
      <c r="A2483" s="124" t="s">
        <v>2674</v>
      </c>
    </row>
    <row r="2484" spans="1:1" x14ac:dyDescent="0.25">
      <c r="A2484" s="124" t="s">
        <v>2675</v>
      </c>
    </row>
    <row r="2485" spans="1:1" x14ac:dyDescent="0.25">
      <c r="A2485" s="124" t="s">
        <v>2676</v>
      </c>
    </row>
    <row r="2486" spans="1:1" x14ac:dyDescent="0.25">
      <c r="A2486" s="29" t="s">
        <v>2677</v>
      </c>
    </row>
    <row r="2487" spans="1:1" x14ac:dyDescent="0.25">
      <c r="A2487" s="123" t="s">
        <v>2678</v>
      </c>
    </row>
    <row r="2488" spans="1:1" x14ac:dyDescent="0.25">
      <c r="A2488" s="124" t="s">
        <v>2679</v>
      </c>
    </row>
    <row r="2489" spans="1:1" x14ac:dyDescent="0.25">
      <c r="A2489" t="s">
        <v>2680</v>
      </c>
    </row>
    <row r="2490" spans="1:1" x14ac:dyDescent="0.25">
      <c r="A2490" s="123" t="s">
        <v>2681</v>
      </c>
    </row>
    <row r="2491" spans="1:1" x14ac:dyDescent="0.25">
      <c r="A2491" s="123" t="s">
        <v>2682</v>
      </c>
    </row>
    <row r="2492" spans="1:1" x14ac:dyDescent="0.25">
      <c r="A2492" s="29" t="s">
        <v>2683</v>
      </c>
    </row>
    <row r="2493" spans="1:1" x14ac:dyDescent="0.25">
      <c r="A2493" s="29" t="s">
        <v>2684</v>
      </c>
    </row>
    <row r="2494" spans="1:1" x14ac:dyDescent="0.25">
      <c r="A2494" s="29" t="s">
        <v>2685</v>
      </c>
    </row>
    <row r="2495" spans="1:1" x14ac:dyDescent="0.25">
      <c r="A2495" t="s">
        <v>2686</v>
      </c>
    </row>
    <row r="2496" spans="1:1" x14ac:dyDescent="0.25">
      <c r="A2496" s="124" t="s">
        <v>2687</v>
      </c>
    </row>
    <row r="2497" spans="1:1" x14ac:dyDescent="0.25">
      <c r="A2497" t="s">
        <v>2688</v>
      </c>
    </row>
    <row r="2498" spans="1:1" x14ac:dyDescent="0.25">
      <c r="A2498" s="124" t="s">
        <v>2689</v>
      </c>
    </row>
    <row r="2499" spans="1:1" ht="255" x14ac:dyDescent="0.25">
      <c r="A2499" s="125" t="s">
        <v>2690</v>
      </c>
    </row>
    <row r="2500" spans="1:1" ht="270" x14ac:dyDescent="0.25">
      <c r="A2500" s="125" t="s">
        <v>2691</v>
      </c>
    </row>
    <row r="2501" spans="1:1" x14ac:dyDescent="0.25">
      <c r="A2501" s="124" t="s">
        <v>2692</v>
      </c>
    </row>
    <row r="2502" spans="1:1" x14ac:dyDescent="0.25">
      <c r="A2502" s="123" t="s">
        <v>2693</v>
      </c>
    </row>
    <row r="2503" spans="1:1" x14ac:dyDescent="0.25">
      <c r="A2503" s="124" t="s">
        <v>2694</v>
      </c>
    </row>
    <row r="2504" spans="1:1" x14ac:dyDescent="0.25">
      <c r="A2504" t="s">
        <v>2695</v>
      </c>
    </row>
    <row r="2505" spans="1:1" x14ac:dyDescent="0.25">
      <c r="A2505" s="123" t="s">
        <v>2696</v>
      </c>
    </row>
    <row r="2506" spans="1:1" x14ac:dyDescent="0.25">
      <c r="A2506" s="123" t="s">
        <v>2697</v>
      </c>
    </row>
    <row r="2507" spans="1:1" x14ac:dyDescent="0.25">
      <c r="A2507" s="123" t="s">
        <v>2698</v>
      </c>
    </row>
    <row r="2508" spans="1:1" x14ac:dyDescent="0.25">
      <c r="A2508" s="124" t="s">
        <v>2699</v>
      </c>
    </row>
    <row r="2509" spans="1:1" x14ac:dyDescent="0.25">
      <c r="A2509" t="s">
        <v>2700</v>
      </c>
    </row>
    <row r="2510" spans="1:1" x14ac:dyDescent="0.25">
      <c r="A2510" s="123" t="s">
        <v>2701</v>
      </c>
    </row>
    <row r="2511" spans="1:1" x14ac:dyDescent="0.25">
      <c r="A2511" s="123" t="s">
        <v>2702</v>
      </c>
    </row>
    <row r="2512" spans="1:1" x14ac:dyDescent="0.25">
      <c r="A2512" s="29" t="s">
        <v>2703</v>
      </c>
    </row>
    <row r="2513" spans="1:1" x14ac:dyDescent="0.25">
      <c r="A2513" s="29" t="s">
        <v>2704</v>
      </c>
    </row>
    <row r="2514" spans="1:1" x14ac:dyDescent="0.25">
      <c r="A2514" s="29" t="s">
        <v>2705</v>
      </c>
    </row>
    <row r="2515" spans="1:1" x14ac:dyDescent="0.25">
      <c r="A2515" t="s">
        <v>2706</v>
      </c>
    </row>
    <row r="2516" spans="1:1" x14ac:dyDescent="0.25">
      <c r="A2516" s="124" t="s">
        <v>2707</v>
      </c>
    </row>
    <row r="2517" spans="1:1" x14ac:dyDescent="0.25">
      <c r="A2517" s="123" t="s">
        <v>2708</v>
      </c>
    </row>
    <row r="2518" spans="1:1" x14ac:dyDescent="0.25">
      <c r="A2518" s="124" t="s">
        <v>2709</v>
      </c>
    </row>
    <row r="2519" spans="1:1" x14ac:dyDescent="0.25">
      <c r="A2519" t="s">
        <v>2710</v>
      </c>
    </row>
    <row r="2520" spans="1:1" x14ac:dyDescent="0.25">
      <c r="A2520" s="123" t="s">
        <v>2711</v>
      </c>
    </row>
    <row r="2521" spans="1:1" x14ac:dyDescent="0.25">
      <c r="A2521" s="123" t="s">
        <v>2712</v>
      </c>
    </row>
    <row r="2522" spans="1:1" x14ac:dyDescent="0.25">
      <c r="A2522" s="29" t="s">
        <v>2713</v>
      </c>
    </row>
    <row r="2523" spans="1:1" ht="255" x14ac:dyDescent="0.25">
      <c r="A2523" s="125" t="s">
        <v>2714</v>
      </c>
    </row>
    <row r="2524" spans="1:1" ht="270" x14ac:dyDescent="0.25">
      <c r="A2524" s="125" t="s">
        <v>2715</v>
      </c>
    </row>
    <row r="2525" spans="1:1" x14ac:dyDescent="0.25">
      <c r="A2525" s="124" t="s">
        <v>2716</v>
      </c>
    </row>
    <row r="2526" spans="1:1" x14ac:dyDescent="0.25">
      <c r="A2526" s="123" t="s">
        <v>2717</v>
      </c>
    </row>
    <row r="2527" spans="1:1" x14ac:dyDescent="0.25">
      <c r="A2527" s="124" t="s">
        <v>2718</v>
      </c>
    </row>
    <row r="2528" spans="1:1" x14ac:dyDescent="0.25">
      <c r="A2528" t="s">
        <v>2719</v>
      </c>
    </row>
    <row r="2529" spans="1:1" x14ac:dyDescent="0.25">
      <c r="A2529" s="123" t="s">
        <v>2720</v>
      </c>
    </row>
    <row r="2530" spans="1:1" x14ac:dyDescent="0.25">
      <c r="A2530" s="123" t="s">
        <v>2721</v>
      </c>
    </row>
    <row r="2531" spans="1:1" x14ac:dyDescent="0.25">
      <c r="A2531" s="124" t="s">
        <v>2722</v>
      </c>
    </row>
    <row r="2532" spans="1:1" x14ac:dyDescent="0.25">
      <c r="A2532" s="123" t="s">
        <v>2723</v>
      </c>
    </row>
    <row r="2533" spans="1:1" x14ac:dyDescent="0.25">
      <c r="A2533" s="124" t="s">
        <v>2724</v>
      </c>
    </row>
    <row r="2534" spans="1:1" x14ac:dyDescent="0.25">
      <c r="A2534" t="s">
        <v>2725</v>
      </c>
    </row>
    <row r="2535" spans="1:1" x14ac:dyDescent="0.25">
      <c r="A2535" s="123" t="s">
        <v>2726</v>
      </c>
    </row>
    <row r="2536" spans="1:1" x14ac:dyDescent="0.25">
      <c r="A2536" s="123" t="s">
        <v>2727</v>
      </c>
    </row>
    <row r="2537" spans="1:1" x14ac:dyDescent="0.25">
      <c r="A2537" s="124" t="s">
        <v>2728</v>
      </c>
    </row>
    <row r="2538" spans="1:1" x14ac:dyDescent="0.25">
      <c r="A2538" s="124" t="s">
        <v>2729</v>
      </c>
    </row>
    <row r="2539" spans="1:1" x14ac:dyDescent="0.25">
      <c r="A2539" t="s">
        <v>2730</v>
      </c>
    </row>
    <row r="2540" spans="1:1" x14ac:dyDescent="0.25">
      <c r="A2540" s="124" t="s">
        <v>2731</v>
      </c>
    </row>
    <row r="2541" spans="1:1" x14ac:dyDescent="0.25">
      <c r="A2541" s="124" t="s">
        <v>2732</v>
      </c>
    </row>
    <row r="2542" spans="1:1" x14ac:dyDescent="0.25">
      <c r="A2542" s="124" t="s">
        <v>2733</v>
      </c>
    </row>
    <row r="2543" spans="1:1" x14ac:dyDescent="0.25">
      <c r="A2543" s="29" t="s">
        <v>2734</v>
      </c>
    </row>
    <row r="2544" spans="1:1" x14ac:dyDescent="0.25">
      <c r="A2544" s="123" t="s">
        <v>2735</v>
      </c>
    </row>
    <row r="2545" spans="1:1" x14ac:dyDescent="0.25">
      <c r="A2545" s="124" t="s">
        <v>2736</v>
      </c>
    </row>
    <row r="2546" spans="1:1" x14ac:dyDescent="0.25">
      <c r="A2546" t="s">
        <v>2737</v>
      </c>
    </row>
    <row r="2547" spans="1:1" x14ac:dyDescent="0.25">
      <c r="A2547" s="123" t="s">
        <v>2738</v>
      </c>
    </row>
    <row r="2548" spans="1:1" x14ac:dyDescent="0.25">
      <c r="A2548" s="123" t="s">
        <v>2739</v>
      </c>
    </row>
    <row r="2549" spans="1:1" x14ac:dyDescent="0.25">
      <c r="A2549" s="29" t="s">
        <v>2740</v>
      </c>
    </row>
    <row r="2550" spans="1:1" x14ac:dyDescent="0.25">
      <c r="A2550" s="29" t="s">
        <v>2741</v>
      </c>
    </row>
    <row r="2551" spans="1:1" x14ac:dyDescent="0.25">
      <c r="A2551" s="29" t="s">
        <v>2742</v>
      </c>
    </row>
    <row r="2552" spans="1:1" x14ac:dyDescent="0.25">
      <c r="A2552" t="s">
        <v>2743</v>
      </c>
    </row>
    <row r="2553" spans="1:1" ht="255" x14ac:dyDescent="0.25">
      <c r="A2553" s="125" t="s">
        <v>2744</v>
      </c>
    </row>
    <row r="2554" spans="1:1" ht="270" x14ac:dyDescent="0.25">
      <c r="A2554" s="125" t="s">
        <v>2745</v>
      </c>
    </row>
    <row r="2555" spans="1:1" x14ac:dyDescent="0.25">
      <c r="A2555" s="124" t="s">
        <v>2746</v>
      </c>
    </row>
    <row r="2556" spans="1:1" x14ac:dyDescent="0.25">
      <c r="A2556" s="123" t="s">
        <v>2747</v>
      </c>
    </row>
    <row r="2557" spans="1:1" x14ac:dyDescent="0.25">
      <c r="A2557" s="124" t="s">
        <v>2748</v>
      </c>
    </row>
    <row r="2558" spans="1:1" x14ac:dyDescent="0.25">
      <c r="A2558" t="s">
        <v>2749</v>
      </c>
    </row>
    <row r="2559" spans="1:1" x14ac:dyDescent="0.25">
      <c r="A2559" s="123" t="s">
        <v>2750</v>
      </c>
    </row>
    <row r="2560" spans="1:1" x14ac:dyDescent="0.25">
      <c r="A2560" s="123" t="s">
        <v>2751</v>
      </c>
    </row>
    <row r="2561" spans="1:1" x14ac:dyDescent="0.25">
      <c r="A2561" s="123" t="s">
        <v>2752</v>
      </c>
    </row>
    <row r="2562" spans="1:1" x14ac:dyDescent="0.25">
      <c r="A2562" s="124" t="s">
        <v>2753</v>
      </c>
    </row>
    <row r="2563" spans="1:1" x14ac:dyDescent="0.25">
      <c r="A2563" t="s">
        <v>2754</v>
      </c>
    </row>
    <row r="2564" spans="1:1" x14ac:dyDescent="0.25">
      <c r="A2564" s="123" t="s">
        <v>2755</v>
      </c>
    </row>
    <row r="2565" spans="1:1" x14ac:dyDescent="0.25">
      <c r="A2565" s="123" t="s">
        <v>2756</v>
      </c>
    </row>
    <row r="2566" spans="1:1" x14ac:dyDescent="0.25">
      <c r="A2566" s="29" t="s">
        <v>2757</v>
      </c>
    </row>
    <row r="2567" spans="1:1" x14ac:dyDescent="0.25">
      <c r="A2567" s="29" t="s">
        <v>2758</v>
      </c>
    </row>
    <row r="2568" spans="1:1" x14ac:dyDescent="0.25">
      <c r="A2568" s="29" t="s">
        <v>2759</v>
      </c>
    </row>
    <row r="2569" spans="1:1" x14ac:dyDescent="0.25">
      <c r="A2569" t="s">
        <v>2760</v>
      </c>
    </row>
    <row r="2570" spans="1:1" x14ac:dyDescent="0.25">
      <c r="A2570" s="124" t="s">
        <v>2761</v>
      </c>
    </row>
    <row r="2571" spans="1:1" x14ac:dyDescent="0.25">
      <c r="A2571" s="123" t="s">
        <v>2762</v>
      </c>
    </row>
    <row r="2572" spans="1:1" x14ac:dyDescent="0.25">
      <c r="A2572" s="124" t="s">
        <v>2763</v>
      </c>
    </row>
    <row r="2573" spans="1:1" x14ac:dyDescent="0.25">
      <c r="A2573" t="s">
        <v>2764</v>
      </c>
    </row>
    <row r="2574" spans="1:1" x14ac:dyDescent="0.25">
      <c r="A2574" s="123" t="s">
        <v>2765</v>
      </c>
    </row>
    <row r="2575" spans="1:1" x14ac:dyDescent="0.25">
      <c r="A2575" s="123" t="s">
        <v>2766</v>
      </c>
    </row>
    <row r="2576" spans="1:1" x14ac:dyDescent="0.25">
      <c r="A2576" s="124" t="s">
        <v>2767</v>
      </c>
    </row>
    <row r="2577" spans="1:1" x14ac:dyDescent="0.25">
      <c r="A2577" t="s">
        <v>2768</v>
      </c>
    </row>
    <row r="2578" spans="1:1" x14ac:dyDescent="0.25">
      <c r="A2578" s="124" t="s">
        <v>2769</v>
      </c>
    </row>
    <row r="2579" spans="1:1" x14ac:dyDescent="0.25">
      <c r="A2579" s="29" t="s">
        <v>2770</v>
      </c>
    </row>
    <row r="2580" spans="1:1" ht="255" x14ac:dyDescent="0.25">
      <c r="A2580" s="125" t="s">
        <v>2771</v>
      </c>
    </row>
    <row r="2581" spans="1:1" ht="270" x14ac:dyDescent="0.25">
      <c r="A2581" s="125" t="s">
        <v>2772</v>
      </c>
    </row>
    <row r="2582" spans="1:1" x14ac:dyDescent="0.25">
      <c r="A2582" s="124" t="s">
        <v>2773</v>
      </c>
    </row>
    <row r="2583" spans="1:1" x14ac:dyDescent="0.25">
      <c r="A2583" s="123" t="s">
        <v>2774</v>
      </c>
    </row>
    <row r="2584" spans="1:1" x14ac:dyDescent="0.25">
      <c r="A2584" s="124" t="s">
        <v>2775</v>
      </c>
    </row>
    <row r="2585" spans="1:1" x14ac:dyDescent="0.25">
      <c r="A2585" t="s">
        <v>2776</v>
      </c>
    </row>
    <row r="2586" spans="1:1" x14ac:dyDescent="0.25">
      <c r="A2586" s="123" t="s">
        <v>2777</v>
      </c>
    </row>
    <row r="2587" spans="1:1" x14ac:dyDescent="0.25">
      <c r="A2587" s="123" t="s">
        <v>2778</v>
      </c>
    </row>
    <row r="2588" spans="1:1" x14ac:dyDescent="0.25">
      <c r="A2588" s="124" t="s">
        <v>2779</v>
      </c>
    </row>
    <row r="2589" spans="1:1" x14ac:dyDescent="0.25">
      <c r="A2589" s="123" t="s">
        <v>2780</v>
      </c>
    </row>
    <row r="2590" spans="1:1" x14ac:dyDescent="0.25">
      <c r="A2590" s="124" t="s">
        <v>2781</v>
      </c>
    </row>
    <row r="2591" spans="1:1" x14ac:dyDescent="0.25">
      <c r="A2591" t="s">
        <v>2782</v>
      </c>
    </row>
    <row r="2592" spans="1:1" x14ac:dyDescent="0.25">
      <c r="A2592" s="123" t="s">
        <v>2783</v>
      </c>
    </row>
    <row r="2593" spans="1:1" x14ac:dyDescent="0.25">
      <c r="A2593" s="123" t="s">
        <v>2784</v>
      </c>
    </row>
    <row r="2594" spans="1:1" x14ac:dyDescent="0.25">
      <c r="A2594" s="124" t="s">
        <v>2785</v>
      </c>
    </row>
    <row r="2595" spans="1:1" x14ac:dyDescent="0.25">
      <c r="A2595" s="124" t="s">
        <v>2786</v>
      </c>
    </row>
    <row r="2596" spans="1:1" x14ac:dyDescent="0.25">
      <c r="A2596" t="s">
        <v>2787</v>
      </c>
    </row>
    <row r="2597" spans="1:1" x14ac:dyDescent="0.25">
      <c r="A2597" s="124" t="s">
        <v>2788</v>
      </c>
    </row>
    <row r="2598" spans="1:1" x14ac:dyDescent="0.25">
      <c r="A2598" s="29" t="s">
        <v>2789</v>
      </c>
    </row>
    <row r="2599" spans="1:1" x14ac:dyDescent="0.25">
      <c r="A2599" s="123" t="s">
        <v>2790</v>
      </c>
    </row>
    <row r="2600" spans="1:1" x14ac:dyDescent="0.25">
      <c r="A2600" s="124" t="s">
        <v>2791</v>
      </c>
    </row>
    <row r="2601" spans="1:1" x14ac:dyDescent="0.25">
      <c r="A2601" t="s">
        <v>2792</v>
      </c>
    </row>
    <row r="2602" spans="1:1" x14ac:dyDescent="0.25">
      <c r="A2602" s="123" t="s">
        <v>2793</v>
      </c>
    </row>
    <row r="2603" spans="1:1" x14ac:dyDescent="0.25">
      <c r="A2603" s="123" t="s">
        <v>2794</v>
      </c>
    </row>
    <row r="2604" spans="1:1" x14ac:dyDescent="0.25">
      <c r="A2604" s="29" t="s">
        <v>2795</v>
      </c>
    </row>
    <row r="2605" spans="1:1" x14ac:dyDescent="0.25">
      <c r="A2605" s="29" t="s">
        <v>2796</v>
      </c>
    </row>
    <row r="2606" spans="1:1" x14ac:dyDescent="0.25">
      <c r="A2606" s="29" t="s">
        <v>2797</v>
      </c>
    </row>
    <row r="2607" spans="1:1" x14ac:dyDescent="0.25">
      <c r="A2607" t="s">
        <v>2798</v>
      </c>
    </row>
    <row r="2608" spans="1:1" ht="255" x14ac:dyDescent="0.25">
      <c r="A2608" s="125" t="s">
        <v>2799</v>
      </c>
    </row>
    <row r="2609" spans="1:1" ht="270" x14ac:dyDescent="0.25">
      <c r="A2609" s="125" t="s">
        <v>2800</v>
      </c>
    </row>
    <row r="2610" spans="1:1" x14ac:dyDescent="0.25">
      <c r="A2610" s="124" t="s">
        <v>2801</v>
      </c>
    </row>
    <row r="2611" spans="1:1" x14ac:dyDescent="0.25">
      <c r="A2611" s="123" t="s">
        <v>2802</v>
      </c>
    </row>
    <row r="2612" spans="1:1" x14ac:dyDescent="0.25">
      <c r="A2612" s="124" t="s">
        <v>2803</v>
      </c>
    </row>
    <row r="2613" spans="1:1" x14ac:dyDescent="0.25">
      <c r="A2613" t="s">
        <v>2804</v>
      </c>
    </row>
    <row r="2614" spans="1:1" x14ac:dyDescent="0.25">
      <c r="A2614" s="123" t="s">
        <v>2805</v>
      </c>
    </row>
    <row r="2615" spans="1:1" x14ac:dyDescent="0.25">
      <c r="A2615" s="123" t="s">
        <v>2806</v>
      </c>
    </row>
    <row r="2616" spans="1:1" x14ac:dyDescent="0.25">
      <c r="A2616" s="124" t="s">
        <v>2807</v>
      </c>
    </row>
    <row r="2617" spans="1:1" x14ac:dyDescent="0.25">
      <c r="A2617" s="123" t="s">
        <v>2808</v>
      </c>
    </row>
    <row r="2618" spans="1:1" x14ac:dyDescent="0.25">
      <c r="A2618" s="124" t="s">
        <v>2809</v>
      </c>
    </row>
    <row r="2619" spans="1:1" x14ac:dyDescent="0.25">
      <c r="A2619" t="s">
        <v>2810</v>
      </c>
    </row>
    <row r="2620" spans="1:1" x14ac:dyDescent="0.25">
      <c r="A2620" s="123" t="s">
        <v>2811</v>
      </c>
    </row>
    <row r="2621" spans="1:1" x14ac:dyDescent="0.25">
      <c r="A2621" s="123" t="s">
        <v>2812</v>
      </c>
    </row>
    <row r="2622" spans="1:1" x14ac:dyDescent="0.25">
      <c r="A2622" s="124" t="s">
        <v>2813</v>
      </c>
    </row>
    <row r="2623" spans="1:1" x14ac:dyDescent="0.25">
      <c r="A2623" s="124" t="s">
        <v>2814</v>
      </c>
    </row>
    <row r="2624" spans="1:1" x14ac:dyDescent="0.25">
      <c r="A2624" t="s">
        <v>2815</v>
      </c>
    </row>
    <row r="2625" spans="1:1" x14ac:dyDescent="0.25">
      <c r="A2625" s="124" t="s">
        <v>2816</v>
      </c>
    </row>
    <row r="2626" spans="1:1" x14ac:dyDescent="0.25">
      <c r="A2626" s="29" t="s">
        <v>2817</v>
      </c>
    </row>
    <row r="2627" spans="1:1" x14ac:dyDescent="0.25">
      <c r="A2627" s="123" t="s">
        <v>2818</v>
      </c>
    </row>
    <row r="2628" spans="1:1" x14ac:dyDescent="0.25">
      <c r="A2628" s="124" t="s">
        <v>2819</v>
      </c>
    </row>
    <row r="2629" spans="1:1" x14ac:dyDescent="0.25">
      <c r="A2629" t="s">
        <v>2820</v>
      </c>
    </row>
    <row r="2630" spans="1:1" x14ac:dyDescent="0.25">
      <c r="A2630" s="123" t="s">
        <v>2821</v>
      </c>
    </row>
    <row r="2631" spans="1:1" x14ac:dyDescent="0.25">
      <c r="A2631" s="123" t="s">
        <v>2822</v>
      </c>
    </row>
    <row r="2632" spans="1:1" x14ac:dyDescent="0.25">
      <c r="A2632" s="29" t="s">
        <v>2823</v>
      </c>
    </row>
    <row r="2633" spans="1:1" x14ac:dyDescent="0.25">
      <c r="A2633" s="29" t="s">
        <v>2824</v>
      </c>
    </row>
    <row r="2634" spans="1:1" x14ac:dyDescent="0.25">
      <c r="A2634" s="29" t="s">
        <v>2825</v>
      </c>
    </row>
    <row r="2635" spans="1:1" x14ac:dyDescent="0.25">
      <c r="A2635" t="s">
        <v>2826</v>
      </c>
    </row>
    <row r="2636" spans="1:1" ht="255" x14ac:dyDescent="0.25">
      <c r="A2636" s="125" t="s">
        <v>2827</v>
      </c>
    </row>
    <row r="2637" spans="1:1" ht="270" x14ac:dyDescent="0.25">
      <c r="A2637" s="125" t="s">
        <v>2828</v>
      </c>
    </row>
    <row r="2638" spans="1:1" x14ac:dyDescent="0.25">
      <c r="A2638" s="124" t="s">
        <v>2829</v>
      </c>
    </row>
    <row r="2639" spans="1:1" x14ac:dyDescent="0.25">
      <c r="A2639" s="123" t="s">
        <v>2830</v>
      </c>
    </row>
    <row r="2640" spans="1:1" x14ac:dyDescent="0.25">
      <c r="A2640" s="124" t="s">
        <v>2831</v>
      </c>
    </row>
    <row r="2641" spans="1:1" x14ac:dyDescent="0.25">
      <c r="A2641" t="s">
        <v>2832</v>
      </c>
    </row>
    <row r="2642" spans="1:1" x14ac:dyDescent="0.25">
      <c r="A2642" s="123" t="s">
        <v>2833</v>
      </c>
    </row>
    <row r="2643" spans="1:1" x14ac:dyDescent="0.25">
      <c r="A2643" s="123" t="s">
        <v>2834</v>
      </c>
    </row>
    <row r="2644" spans="1:1" x14ac:dyDescent="0.25">
      <c r="A2644" s="124" t="s">
        <v>2835</v>
      </c>
    </row>
    <row r="2645" spans="1:1" x14ac:dyDescent="0.25">
      <c r="A2645" s="123" t="s">
        <v>2836</v>
      </c>
    </row>
    <row r="2646" spans="1:1" x14ac:dyDescent="0.25">
      <c r="A2646" s="124" t="s">
        <v>2837</v>
      </c>
    </row>
    <row r="2647" spans="1:1" x14ac:dyDescent="0.25">
      <c r="A2647" t="s">
        <v>2838</v>
      </c>
    </row>
    <row r="2648" spans="1:1" x14ac:dyDescent="0.25">
      <c r="A2648" s="123" t="s">
        <v>2839</v>
      </c>
    </row>
    <row r="2649" spans="1:1" x14ac:dyDescent="0.25">
      <c r="A2649" s="123" t="s">
        <v>2840</v>
      </c>
    </row>
    <row r="2650" spans="1:1" x14ac:dyDescent="0.25">
      <c r="A2650" s="124" t="s">
        <v>2841</v>
      </c>
    </row>
    <row r="2651" spans="1:1" x14ac:dyDescent="0.25">
      <c r="A2651" s="124" t="s">
        <v>2842</v>
      </c>
    </row>
    <row r="2652" spans="1:1" x14ac:dyDescent="0.25">
      <c r="A2652" t="s">
        <v>2843</v>
      </c>
    </row>
    <row r="2653" spans="1:1" x14ac:dyDescent="0.25">
      <c r="A2653" s="29" t="s">
        <v>2844</v>
      </c>
    </row>
    <row r="2654" spans="1:1" x14ac:dyDescent="0.25">
      <c r="A2654" s="124" t="s">
        <v>2845</v>
      </c>
    </row>
    <row r="2655" spans="1:1" x14ac:dyDescent="0.25">
      <c r="A2655" s="29" t="s">
        <v>2846</v>
      </c>
    </row>
    <row r="2656" spans="1:1" x14ac:dyDescent="0.25">
      <c r="A2656" s="123" t="s">
        <v>2847</v>
      </c>
    </row>
    <row r="2657" spans="1:1" x14ac:dyDescent="0.25">
      <c r="A2657" s="124" t="s">
        <v>2848</v>
      </c>
    </row>
    <row r="2658" spans="1:1" x14ac:dyDescent="0.25">
      <c r="A2658" t="s">
        <v>2849</v>
      </c>
    </row>
    <row r="2659" spans="1:1" x14ac:dyDescent="0.25">
      <c r="A2659" s="123" t="s">
        <v>2850</v>
      </c>
    </row>
    <row r="2660" spans="1:1" x14ac:dyDescent="0.25">
      <c r="A2660" s="123" t="s">
        <v>2851</v>
      </c>
    </row>
    <row r="2661" spans="1:1" x14ac:dyDescent="0.25">
      <c r="A2661" s="29" t="s">
        <v>2852</v>
      </c>
    </row>
    <row r="2662" spans="1:1" x14ac:dyDescent="0.25">
      <c r="A2662" s="29" t="s">
        <v>2853</v>
      </c>
    </row>
    <row r="2663" spans="1:1" x14ac:dyDescent="0.25">
      <c r="A2663" s="29" t="s">
        <v>2854</v>
      </c>
    </row>
    <row r="2664" spans="1:1" x14ac:dyDescent="0.25">
      <c r="A2664" t="s">
        <v>2855</v>
      </c>
    </row>
    <row r="2665" spans="1:1" ht="255" x14ac:dyDescent="0.25">
      <c r="A2665" s="125" t="s">
        <v>2856</v>
      </c>
    </row>
    <row r="2666" spans="1:1" ht="270" x14ac:dyDescent="0.25">
      <c r="A2666" s="125" t="s">
        <v>2857</v>
      </c>
    </row>
    <row r="2667" spans="1:1" x14ac:dyDescent="0.25">
      <c r="A2667" s="124" t="s">
        <v>2858</v>
      </c>
    </row>
    <row r="2668" spans="1:1" x14ac:dyDescent="0.25">
      <c r="A2668" s="123" t="s">
        <v>2859</v>
      </c>
    </row>
    <row r="2669" spans="1:1" x14ac:dyDescent="0.25">
      <c r="A2669" s="124" t="s">
        <v>2860</v>
      </c>
    </row>
    <row r="2670" spans="1:1" x14ac:dyDescent="0.25">
      <c r="A2670" t="s">
        <v>2861</v>
      </c>
    </row>
    <row r="2671" spans="1:1" x14ac:dyDescent="0.25">
      <c r="A2671" s="123" t="s">
        <v>2862</v>
      </c>
    </row>
    <row r="2672" spans="1:1" x14ac:dyDescent="0.25">
      <c r="A2672" s="123" t="s">
        <v>2863</v>
      </c>
    </row>
    <row r="2673" spans="1:1" x14ac:dyDescent="0.25">
      <c r="A2673" s="124" t="s">
        <v>2864</v>
      </c>
    </row>
    <row r="2674" spans="1:1" x14ac:dyDescent="0.25">
      <c r="A2674" s="123" t="s">
        <v>2865</v>
      </c>
    </row>
    <row r="2675" spans="1:1" x14ac:dyDescent="0.25">
      <c r="A2675" s="124" t="s">
        <v>2866</v>
      </c>
    </row>
    <row r="2676" spans="1:1" x14ac:dyDescent="0.25">
      <c r="A2676" t="s">
        <v>2867</v>
      </c>
    </row>
    <row r="2677" spans="1:1" x14ac:dyDescent="0.25">
      <c r="A2677" s="123" t="s">
        <v>2868</v>
      </c>
    </row>
    <row r="2678" spans="1:1" x14ac:dyDescent="0.25">
      <c r="A2678" s="123" t="s">
        <v>2869</v>
      </c>
    </row>
    <row r="2679" spans="1:1" x14ac:dyDescent="0.25">
      <c r="A2679" s="123" t="s">
        <v>2870</v>
      </c>
    </row>
    <row r="2680" spans="1:1" x14ac:dyDescent="0.25">
      <c r="A2680" s="123" t="s">
        <v>2871</v>
      </c>
    </row>
    <row r="2681" spans="1:1" x14ac:dyDescent="0.25">
      <c r="A2681" s="123" t="s">
        <v>2872</v>
      </c>
    </row>
    <row r="2682" spans="1:1" x14ac:dyDescent="0.25">
      <c r="A2682" s="124" t="s">
        <v>2873</v>
      </c>
    </row>
    <row r="2683" spans="1:1" x14ac:dyDescent="0.25">
      <c r="A2683" s="124" t="s">
        <v>2874</v>
      </c>
    </row>
    <row r="2684" spans="1:1" x14ac:dyDescent="0.25">
      <c r="A2684" s="123" t="s">
        <v>2875</v>
      </c>
    </row>
    <row r="2685" spans="1:1" x14ac:dyDescent="0.25">
      <c r="A2685" s="29" t="s">
        <v>2876</v>
      </c>
    </row>
    <row r="2686" spans="1:1" x14ac:dyDescent="0.25">
      <c r="A2686" s="123" t="s">
        <v>2877</v>
      </c>
    </row>
    <row r="2687" spans="1:1" x14ac:dyDescent="0.25">
      <c r="A2687" s="123" t="s">
        <v>2878</v>
      </c>
    </row>
    <row r="2688" spans="1:1" x14ac:dyDescent="0.25">
      <c r="A2688" s="123" t="s">
        <v>2879</v>
      </c>
    </row>
    <row r="2689" spans="1:1" x14ac:dyDescent="0.25">
      <c r="A2689" s="124" t="s">
        <v>2880</v>
      </c>
    </row>
    <row r="2690" spans="1:1" x14ac:dyDescent="0.25">
      <c r="A2690" s="124" t="s">
        <v>2881</v>
      </c>
    </row>
    <row r="2691" spans="1:1" x14ac:dyDescent="0.25">
      <c r="A2691" s="123" t="s">
        <v>2882</v>
      </c>
    </row>
    <row r="2692" spans="1:1" x14ac:dyDescent="0.25">
      <c r="A2692" s="29" t="s">
        <v>2883</v>
      </c>
    </row>
    <row r="2693" spans="1:1" x14ac:dyDescent="0.25">
      <c r="A2693" s="123" t="s">
        <v>2884</v>
      </c>
    </row>
    <row r="2694" spans="1:1" x14ac:dyDescent="0.25">
      <c r="A2694" s="123" t="s">
        <v>2885</v>
      </c>
    </row>
    <row r="2695" spans="1:1" x14ac:dyDescent="0.25">
      <c r="A2695" s="123" t="s">
        <v>2886</v>
      </c>
    </row>
    <row r="2696" spans="1:1" x14ac:dyDescent="0.25">
      <c r="A2696" s="124" t="s">
        <v>2887</v>
      </c>
    </row>
    <row r="2697" spans="1:1" x14ac:dyDescent="0.25">
      <c r="A2697" s="124" t="s">
        <v>2888</v>
      </c>
    </row>
    <row r="2698" spans="1:1" x14ac:dyDescent="0.25">
      <c r="A2698" s="123" t="s">
        <v>2889</v>
      </c>
    </row>
    <row r="2699" spans="1:1" x14ac:dyDescent="0.25">
      <c r="A2699" s="29" t="s">
        <v>2890</v>
      </c>
    </row>
    <row r="2700" spans="1:1" x14ac:dyDescent="0.25">
      <c r="A2700" s="123" t="s">
        <v>2891</v>
      </c>
    </row>
    <row r="2701" spans="1:1" x14ac:dyDescent="0.25">
      <c r="A2701" s="123" t="s">
        <v>2892</v>
      </c>
    </row>
    <row r="2702" spans="1:1" x14ac:dyDescent="0.25">
      <c r="A2702" s="123" t="s">
        <v>2893</v>
      </c>
    </row>
    <row r="2703" spans="1:1" x14ac:dyDescent="0.25">
      <c r="A2703" s="124" t="s">
        <v>2894</v>
      </c>
    </row>
    <row r="2704" spans="1:1" x14ac:dyDescent="0.25">
      <c r="A2704" s="124" t="s">
        <v>2895</v>
      </c>
    </row>
    <row r="2705" spans="1:1" x14ac:dyDescent="0.25">
      <c r="A2705" s="123" t="s">
        <v>2896</v>
      </c>
    </row>
    <row r="2706" spans="1:1" x14ac:dyDescent="0.25">
      <c r="A2706" s="29" t="s">
        <v>2897</v>
      </c>
    </row>
    <row r="2707" spans="1:1" x14ac:dyDescent="0.25">
      <c r="A2707" s="123" t="s">
        <v>2898</v>
      </c>
    </row>
    <row r="2708" spans="1:1" x14ac:dyDescent="0.25">
      <c r="A2708" s="123" t="s">
        <v>2899</v>
      </c>
    </row>
    <row r="2709" spans="1:1" x14ac:dyDescent="0.25">
      <c r="A2709" s="123" t="s">
        <v>2900</v>
      </c>
    </row>
    <row r="2710" spans="1:1" x14ac:dyDescent="0.25">
      <c r="A2710" s="124" t="s">
        <v>2901</v>
      </c>
    </row>
    <row r="2711" spans="1:1" x14ac:dyDescent="0.25">
      <c r="A2711" s="124" t="s">
        <v>2902</v>
      </c>
    </row>
    <row r="2712" spans="1:1" x14ac:dyDescent="0.25">
      <c r="A2712" s="123" t="s">
        <v>2903</v>
      </c>
    </row>
    <row r="2713" spans="1:1" x14ac:dyDescent="0.25">
      <c r="A2713" s="29" t="s">
        <v>2904</v>
      </c>
    </row>
    <row r="2714" spans="1:1" x14ac:dyDescent="0.25">
      <c r="A2714" s="123" t="s">
        <v>2905</v>
      </c>
    </row>
    <row r="2715" spans="1:1" x14ac:dyDescent="0.25">
      <c r="A2715" s="123" t="s">
        <v>2906</v>
      </c>
    </row>
    <row r="2716" spans="1:1" x14ac:dyDescent="0.25">
      <c r="A2716" s="123" t="s">
        <v>2907</v>
      </c>
    </row>
    <row r="2717" spans="1:1" x14ac:dyDescent="0.25">
      <c r="A2717" s="124" t="s">
        <v>2908</v>
      </c>
    </row>
    <row r="2718" spans="1:1" x14ac:dyDescent="0.25">
      <c r="A2718" s="124" t="s">
        <v>2909</v>
      </c>
    </row>
    <row r="2719" spans="1:1" x14ac:dyDescent="0.25">
      <c r="A2719" s="123" t="s">
        <v>2910</v>
      </c>
    </row>
    <row r="2720" spans="1:1" x14ac:dyDescent="0.25">
      <c r="A2720" s="29" t="s">
        <v>2911</v>
      </c>
    </row>
    <row r="2721" spans="1:1" x14ac:dyDescent="0.25">
      <c r="A2721" s="123" t="s">
        <v>2912</v>
      </c>
    </row>
    <row r="2722" spans="1:1" x14ac:dyDescent="0.25">
      <c r="A2722" s="123" t="s">
        <v>2913</v>
      </c>
    </row>
    <row r="2723" spans="1:1" x14ac:dyDescent="0.25">
      <c r="A2723" s="123" t="s">
        <v>2914</v>
      </c>
    </row>
    <row r="2724" spans="1:1" x14ac:dyDescent="0.25">
      <c r="A2724" s="124" t="s">
        <v>2915</v>
      </c>
    </row>
    <row r="2725" spans="1:1" x14ac:dyDescent="0.25">
      <c r="A2725" s="124" t="s">
        <v>2916</v>
      </c>
    </row>
    <row r="2726" spans="1:1" x14ac:dyDescent="0.25">
      <c r="A2726" s="123" t="s">
        <v>2917</v>
      </c>
    </row>
    <row r="2727" spans="1:1" x14ac:dyDescent="0.25">
      <c r="A2727" s="29" t="s">
        <v>2918</v>
      </c>
    </row>
    <row r="2728" spans="1:1" x14ac:dyDescent="0.25">
      <c r="A2728" s="123" t="s">
        <v>2919</v>
      </c>
    </row>
    <row r="2729" spans="1:1" x14ac:dyDescent="0.25">
      <c r="A2729" s="123" t="s">
        <v>2920</v>
      </c>
    </row>
    <row r="2730" spans="1:1" x14ac:dyDescent="0.25">
      <c r="A2730" s="123" t="s">
        <v>2921</v>
      </c>
    </row>
    <row r="2731" spans="1:1" x14ac:dyDescent="0.25">
      <c r="A2731" s="124" t="s">
        <v>2922</v>
      </c>
    </row>
    <row r="2732" spans="1:1" x14ac:dyDescent="0.25">
      <c r="A2732" s="124" t="s">
        <v>2923</v>
      </c>
    </row>
    <row r="2733" spans="1:1" x14ac:dyDescent="0.25">
      <c r="A2733" s="123" t="s">
        <v>2924</v>
      </c>
    </row>
    <row r="2734" spans="1:1" x14ac:dyDescent="0.25">
      <c r="A2734" s="29" t="s">
        <v>2925</v>
      </c>
    </row>
    <row r="2735" spans="1:1" x14ac:dyDescent="0.25">
      <c r="A2735" s="124" t="s">
        <v>2926</v>
      </c>
    </row>
    <row r="2736" spans="1:1" x14ac:dyDescent="0.25">
      <c r="A2736" s="124" t="s">
        <v>2927</v>
      </c>
    </row>
    <row r="2737" spans="1:1" x14ac:dyDescent="0.25">
      <c r="A2737" t="s">
        <v>2928</v>
      </c>
    </row>
    <row r="2738" spans="1:1" x14ac:dyDescent="0.25">
      <c r="A2738" s="124" t="s">
        <v>2929</v>
      </c>
    </row>
    <row r="2739" spans="1:1" x14ac:dyDescent="0.25">
      <c r="A2739" s="29" t="s">
        <v>2930</v>
      </c>
    </row>
    <row r="2740" spans="1:1" x14ac:dyDescent="0.25">
      <c r="A2740" s="123" t="s">
        <v>2931</v>
      </c>
    </row>
    <row r="2741" spans="1:1" x14ac:dyDescent="0.25">
      <c r="A2741" s="124" t="s">
        <v>2932</v>
      </c>
    </row>
    <row r="2742" spans="1:1" x14ac:dyDescent="0.25">
      <c r="A2742" t="s">
        <v>2933</v>
      </c>
    </row>
    <row r="2743" spans="1:1" x14ac:dyDescent="0.25">
      <c r="A2743" s="123" t="s">
        <v>2934</v>
      </c>
    </row>
    <row r="2744" spans="1:1" x14ac:dyDescent="0.25">
      <c r="A2744" s="123" t="s">
        <v>2935</v>
      </c>
    </row>
    <row r="2745" spans="1:1" x14ac:dyDescent="0.25">
      <c r="A2745" s="29" t="s">
        <v>2936</v>
      </c>
    </row>
    <row r="2746" spans="1:1" x14ac:dyDescent="0.25">
      <c r="A2746" s="29" t="s">
        <v>2937</v>
      </c>
    </row>
    <row r="2747" spans="1:1" x14ac:dyDescent="0.25">
      <c r="A2747" s="29" t="s">
        <v>2938</v>
      </c>
    </row>
    <row r="2748" spans="1:1" x14ac:dyDescent="0.25">
      <c r="A2748" t="s">
        <v>2939</v>
      </c>
    </row>
    <row r="2749" spans="1:1" ht="255" x14ac:dyDescent="0.25">
      <c r="A2749" s="125" t="s">
        <v>2940</v>
      </c>
    </row>
    <row r="2750" spans="1:1" ht="270" x14ac:dyDescent="0.25">
      <c r="A2750" s="125" t="s">
        <v>2941</v>
      </c>
    </row>
    <row r="2751" spans="1:1" x14ac:dyDescent="0.25">
      <c r="A2751" s="124" t="s">
        <v>2942</v>
      </c>
    </row>
    <row r="2752" spans="1:1" x14ac:dyDescent="0.25">
      <c r="A2752" s="123" t="s">
        <v>2943</v>
      </c>
    </row>
    <row r="2753" spans="1:1" x14ac:dyDescent="0.25">
      <c r="A2753" s="124" t="s">
        <v>2944</v>
      </c>
    </row>
    <row r="2754" spans="1:1" x14ac:dyDescent="0.25">
      <c r="A2754" t="s">
        <v>2945</v>
      </c>
    </row>
    <row r="2755" spans="1:1" x14ac:dyDescent="0.25">
      <c r="A2755" s="123" t="s">
        <v>2946</v>
      </c>
    </row>
    <row r="2756" spans="1:1" x14ac:dyDescent="0.25">
      <c r="A2756" s="123" t="s">
        <v>2947</v>
      </c>
    </row>
    <row r="2757" spans="1:1" x14ac:dyDescent="0.25">
      <c r="A2757" s="124" t="s">
        <v>2948</v>
      </c>
    </row>
    <row r="2758" spans="1:1" x14ac:dyDescent="0.25">
      <c r="A2758" s="123" t="s">
        <v>2949</v>
      </c>
    </row>
    <row r="2759" spans="1:1" x14ac:dyDescent="0.25">
      <c r="A2759" s="124" t="s">
        <v>2950</v>
      </c>
    </row>
    <row r="2760" spans="1:1" x14ac:dyDescent="0.25">
      <c r="A2760" t="s">
        <v>2951</v>
      </c>
    </row>
    <row r="2761" spans="1:1" x14ac:dyDescent="0.25">
      <c r="A2761" s="123" t="s">
        <v>2952</v>
      </c>
    </row>
    <row r="2762" spans="1:1" x14ac:dyDescent="0.25">
      <c r="A2762" s="123" t="s">
        <v>2953</v>
      </c>
    </row>
    <row r="2763" spans="1:1" x14ac:dyDescent="0.25">
      <c r="A2763" s="124" t="s">
        <v>2954</v>
      </c>
    </row>
    <row r="2764" spans="1:1" x14ac:dyDescent="0.25">
      <c r="A2764" s="124" t="s">
        <v>2955</v>
      </c>
    </row>
    <row r="2765" spans="1:1" x14ac:dyDescent="0.25">
      <c r="A2765" t="s">
        <v>2956</v>
      </c>
    </row>
    <row r="2766" spans="1:1" x14ac:dyDescent="0.25">
      <c r="A2766" s="124" t="s">
        <v>2957</v>
      </c>
    </row>
    <row r="2767" spans="1:1" x14ac:dyDescent="0.25">
      <c r="A2767" s="29" t="s">
        <v>2958</v>
      </c>
    </row>
    <row r="2768" spans="1:1" x14ac:dyDescent="0.25">
      <c r="A2768" s="123" t="s">
        <v>2959</v>
      </c>
    </row>
    <row r="2769" spans="1:1" x14ac:dyDescent="0.25">
      <c r="A2769" s="124" t="s">
        <v>2960</v>
      </c>
    </row>
    <row r="2770" spans="1:1" x14ac:dyDescent="0.25">
      <c r="A2770" t="s">
        <v>2961</v>
      </c>
    </row>
    <row r="2771" spans="1:1" x14ac:dyDescent="0.25">
      <c r="A2771" s="123" t="s">
        <v>2962</v>
      </c>
    </row>
    <row r="2772" spans="1:1" x14ac:dyDescent="0.25">
      <c r="A2772" s="123" t="s">
        <v>2963</v>
      </c>
    </row>
    <row r="2773" spans="1:1" x14ac:dyDescent="0.25">
      <c r="A2773" s="29" t="s">
        <v>2964</v>
      </c>
    </row>
    <row r="2774" spans="1:1" x14ac:dyDescent="0.25">
      <c r="A2774" s="29" t="s">
        <v>2965</v>
      </c>
    </row>
    <row r="2775" spans="1:1" x14ac:dyDescent="0.25">
      <c r="A2775" s="29" t="s">
        <v>2966</v>
      </c>
    </row>
    <row r="2776" spans="1:1" x14ac:dyDescent="0.25">
      <c r="A2776" t="s">
        <v>2967</v>
      </c>
    </row>
    <row r="2777" spans="1:1" ht="255" x14ac:dyDescent="0.25">
      <c r="A2777" s="125" t="s">
        <v>2968</v>
      </c>
    </row>
    <row r="2778" spans="1:1" ht="270" x14ac:dyDescent="0.25">
      <c r="A2778" s="125" t="s">
        <v>2969</v>
      </c>
    </row>
    <row r="2779" spans="1:1" x14ac:dyDescent="0.25">
      <c r="A2779" s="124" t="s">
        <v>2970</v>
      </c>
    </row>
    <row r="2780" spans="1:1" x14ac:dyDescent="0.25">
      <c r="A2780" s="123" t="s">
        <v>2971</v>
      </c>
    </row>
    <row r="2781" spans="1:1" x14ac:dyDescent="0.25">
      <c r="A2781" s="124" t="s">
        <v>2972</v>
      </c>
    </row>
    <row r="2782" spans="1:1" x14ac:dyDescent="0.25">
      <c r="A2782" t="s">
        <v>2973</v>
      </c>
    </row>
    <row r="2783" spans="1:1" x14ac:dyDescent="0.25">
      <c r="A2783" s="123" t="s">
        <v>2974</v>
      </c>
    </row>
    <row r="2784" spans="1:1" x14ac:dyDescent="0.25">
      <c r="A2784" s="123" t="s">
        <v>2975</v>
      </c>
    </row>
    <row r="2785" spans="1:1" x14ac:dyDescent="0.25">
      <c r="A2785" s="124" t="s">
        <v>2976</v>
      </c>
    </row>
    <row r="2786" spans="1:1" x14ac:dyDescent="0.25">
      <c r="A2786" s="123" t="s">
        <v>2977</v>
      </c>
    </row>
    <row r="2787" spans="1:1" x14ac:dyDescent="0.25">
      <c r="A2787" s="124" t="s">
        <v>2978</v>
      </c>
    </row>
    <row r="2788" spans="1:1" x14ac:dyDescent="0.25">
      <c r="A2788" t="s">
        <v>2979</v>
      </c>
    </row>
    <row r="2789" spans="1:1" x14ac:dyDescent="0.25">
      <c r="A2789" s="123" t="s">
        <v>2980</v>
      </c>
    </row>
    <row r="2790" spans="1:1" x14ac:dyDescent="0.25">
      <c r="A2790" s="123" t="s">
        <v>2981</v>
      </c>
    </row>
    <row r="2791" spans="1:1" x14ac:dyDescent="0.25">
      <c r="A2791" s="124" t="s">
        <v>2982</v>
      </c>
    </row>
    <row r="2792" spans="1:1" x14ac:dyDescent="0.25">
      <c r="A2792" s="124" t="s">
        <v>2983</v>
      </c>
    </row>
    <row r="2793" spans="1:1" x14ac:dyDescent="0.25">
      <c r="A2793" t="s">
        <v>2984</v>
      </c>
    </row>
    <row r="2794" spans="1:1" x14ac:dyDescent="0.25">
      <c r="A2794" s="29" t="s">
        <v>2985</v>
      </c>
    </row>
    <row r="2795" spans="1:1" x14ac:dyDescent="0.25">
      <c r="A2795" s="124" t="s">
        <v>2986</v>
      </c>
    </row>
    <row r="2796" spans="1:1" x14ac:dyDescent="0.25">
      <c r="A2796" s="29" t="s">
        <v>2987</v>
      </c>
    </row>
    <row r="2797" spans="1:1" x14ac:dyDescent="0.25">
      <c r="A2797" s="123" t="s">
        <v>2988</v>
      </c>
    </row>
    <row r="2798" spans="1:1" x14ac:dyDescent="0.25">
      <c r="A2798" s="124" t="s">
        <v>2989</v>
      </c>
    </row>
    <row r="2799" spans="1:1" x14ac:dyDescent="0.25">
      <c r="A2799" t="s">
        <v>2990</v>
      </c>
    </row>
    <row r="2800" spans="1:1" x14ac:dyDescent="0.25">
      <c r="A2800" s="123" t="s">
        <v>2991</v>
      </c>
    </row>
    <row r="2801" spans="1:1" x14ac:dyDescent="0.25">
      <c r="A2801" s="123" t="s">
        <v>2992</v>
      </c>
    </row>
    <row r="2802" spans="1:1" x14ac:dyDescent="0.25">
      <c r="A2802" s="29" t="s">
        <v>2993</v>
      </c>
    </row>
    <row r="2803" spans="1:1" x14ac:dyDescent="0.25">
      <c r="A2803" s="29" t="s">
        <v>2994</v>
      </c>
    </row>
    <row r="2804" spans="1:1" x14ac:dyDescent="0.25">
      <c r="A2804" s="29" t="s">
        <v>2995</v>
      </c>
    </row>
    <row r="2805" spans="1:1" x14ac:dyDescent="0.25">
      <c r="A2805" t="s">
        <v>2996</v>
      </c>
    </row>
    <row r="2806" spans="1:1" ht="255" x14ac:dyDescent="0.25">
      <c r="A2806" s="125" t="s">
        <v>2997</v>
      </c>
    </row>
    <row r="2807" spans="1:1" ht="270" x14ac:dyDescent="0.25">
      <c r="A2807" s="125" t="s">
        <v>2998</v>
      </c>
    </row>
    <row r="2808" spans="1:1" x14ac:dyDescent="0.25">
      <c r="A2808" s="124" t="s">
        <v>2999</v>
      </c>
    </row>
    <row r="2809" spans="1:1" x14ac:dyDescent="0.25">
      <c r="A2809" s="123" t="s">
        <v>3000</v>
      </c>
    </row>
    <row r="2810" spans="1:1" x14ac:dyDescent="0.25">
      <c r="A2810" s="124" t="s">
        <v>3001</v>
      </c>
    </row>
    <row r="2811" spans="1:1" x14ac:dyDescent="0.25">
      <c r="A2811" t="s">
        <v>3002</v>
      </c>
    </row>
    <row r="2812" spans="1:1" x14ac:dyDescent="0.25">
      <c r="A2812" s="123" t="s">
        <v>3003</v>
      </c>
    </row>
    <row r="2813" spans="1:1" x14ac:dyDescent="0.25">
      <c r="A2813" s="123" t="s">
        <v>3004</v>
      </c>
    </row>
    <row r="2814" spans="1:1" x14ac:dyDescent="0.25">
      <c r="A2814" s="124" t="s">
        <v>3005</v>
      </c>
    </row>
    <row r="2815" spans="1:1" x14ac:dyDescent="0.25">
      <c r="A2815" s="123" t="s">
        <v>3006</v>
      </c>
    </row>
    <row r="2816" spans="1:1" x14ac:dyDescent="0.25">
      <c r="A2816" s="124" t="s">
        <v>3007</v>
      </c>
    </row>
    <row r="2817" spans="1:1" x14ac:dyDescent="0.25">
      <c r="A2817" t="s">
        <v>3008</v>
      </c>
    </row>
    <row r="2818" spans="1:1" x14ac:dyDescent="0.25">
      <c r="A2818" s="123" t="s">
        <v>3009</v>
      </c>
    </row>
    <row r="2819" spans="1:1" x14ac:dyDescent="0.25">
      <c r="A2819" s="123" t="s">
        <v>3010</v>
      </c>
    </row>
    <row r="2820" spans="1:1" x14ac:dyDescent="0.25">
      <c r="A2820" s="124" t="s">
        <v>3011</v>
      </c>
    </row>
    <row r="2821" spans="1:1" x14ac:dyDescent="0.25">
      <c r="A2821" s="124" t="s">
        <v>3012</v>
      </c>
    </row>
    <row r="2822" spans="1:1" x14ac:dyDescent="0.25">
      <c r="A2822" t="s">
        <v>3013</v>
      </c>
    </row>
    <row r="2823" spans="1:1" x14ac:dyDescent="0.25">
      <c r="A2823" s="124" t="s">
        <v>3014</v>
      </c>
    </row>
    <row r="2824" spans="1:1" x14ac:dyDescent="0.25">
      <c r="A2824" s="29" t="s">
        <v>3015</v>
      </c>
    </row>
    <row r="2825" spans="1:1" x14ac:dyDescent="0.25">
      <c r="A2825" s="123" t="s">
        <v>3016</v>
      </c>
    </row>
    <row r="2826" spans="1:1" x14ac:dyDescent="0.25">
      <c r="A2826" s="124" t="s">
        <v>3017</v>
      </c>
    </row>
    <row r="2827" spans="1:1" x14ac:dyDescent="0.25">
      <c r="A2827" t="s">
        <v>3018</v>
      </c>
    </row>
    <row r="2828" spans="1:1" x14ac:dyDescent="0.25">
      <c r="A2828" s="123" t="s">
        <v>3019</v>
      </c>
    </row>
    <row r="2829" spans="1:1" x14ac:dyDescent="0.25">
      <c r="A2829" s="123" t="s">
        <v>3020</v>
      </c>
    </row>
    <row r="2830" spans="1:1" x14ac:dyDescent="0.25">
      <c r="A2830" s="29" t="s">
        <v>3021</v>
      </c>
    </row>
    <row r="2831" spans="1:1" x14ac:dyDescent="0.25">
      <c r="A2831" s="29" t="s">
        <v>3022</v>
      </c>
    </row>
    <row r="2832" spans="1:1" x14ac:dyDescent="0.25">
      <c r="A2832" s="29" t="s">
        <v>3023</v>
      </c>
    </row>
    <row r="2833" spans="1:1" x14ac:dyDescent="0.25">
      <c r="A2833" t="s">
        <v>3024</v>
      </c>
    </row>
    <row r="2834" spans="1:1" ht="255" x14ac:dyDescent="0.25">
      <c r="A2834" s="125" t="s">
        <v>3025</v>
      </c>
    </row>
    <row r="2835" spans="1:1" ht="270" x14ac:dyDescent="0.25">
      <c r="A2835" s="125" t="s">
        <v>3026</v>
      </c>
    </row>
    <row r="2836" spans="1:1" x14ac:dyDescent="0.25">
      <c r="A2836" s="124" t="s">
        <v>3027</v>
      </c>
    </row>
    <row r="2837" spans="1:1" x14ac:dyDescent="0.25">
      <c r="A2837" s="123" t="s">
        <v>3028</v>
      </c>
    </row>
    <row r="2838" spans="1:1" x14ac:dyDescent="0.25">
      <c r="A2838" s="124" t="s">
        <v>3029</v>
      </c>
    </row>
    <row r="2839" spans="1:1" x14ac:dyDescent="0.25">
      <c r="A2839" t="s">
        <v>3030</v>
      </c>
    </row>
    <row r="2840" spans="1:1" x14ac:dyDescent="0.25">
      <c r="A2840" s="123" t="s">
        <v>3031</v>
      </c>
    </row>
    <row r="2841" spans="1:1" x14ac:dyDescent="0.25">
      <c r="A2841" s="123" t="s">
        <v>3032</v>
      </c>
    </row>
    <row r="2842" spans="1:1" x14ac:dyDescent="0.25">
      <c r="A2842" s="124" t="s">
        <v>3033</v>
      </c>
    </row>
    <row r="2843" spans="1:1" x14ac:dyDescent="0.25">
      <c r="A2843" s="123" t="s">
        <v>3034</v>
      </c>
    </row>
    <row r="2844" spans="1:1" x14ac:dyDescent="0.25">
      <c r="A2844" s="124" t="s">
        <v>3035</v>
      </c>
    </row>
    <row r="2845" spans="1:1" x14ac:dyDescent="0.25">
      <c r="A2845" t="s">
        <v>3036</v>
      </c>
    </row>
    <row r="2846" spans="1:1" x14ac:dyDescent="0.25">
      <c r="A2846" s="123" t="s">
        <v>3037</v>
      </c>
    </row>
    <row r="2847" spans="1:1" x14ac:dyDescent="0.25">
      <c r="A2847" s="123" t="s">
        <v>3038</v>
      </c>
    </row>
    <row r="2848" spans="1:1" x14ac:dyDescent="0.25">
      <c r="A2848" s="124" t="s">
        <v>3039</v>
      </c>
    </row>
    <row r="2849" spans="1:1" x14ac:dyDescent="0.25">
      <c r="A2849" s="124" t="s">
        <v>3040</v>
      </c>
    </row>
    <row r="2850" spans="1:1" x14ac:dyDescent="0.25">
      <c r="A2850" t="s">
        <v>3041</v>
      </c>
    </row>
    <row r="2851" spans="1:1" x14ac:dyDescent="0.25">
      <c r="A2851" s="124" t="s">
        <v>3042</v>
      </c>
    </row>
    <row r="2852" spans="1:1" x14ac:dyDescent="0.25">
      <c r="A2852" s="124" t="s">
        <v>3043</v>
      </c>
    </row>
    <row r="2853" spans="1:1" x14ac:dyDescent="0.25">
      <c r="A2853" s="124" t="s">
        <v>3044</v>
      </c>
    </row>
    <row r="2854" spans="1:1" x14ac:dyDescent="0.25">
      <c r="A2854" s="124" t="s">
        <v>3045</v>
      </c>
    </row>
    <row r="2855" spans="1:1" x14ac:dyDescent="0.25">
      <c r="A2855" s="29" t="s">
        <v>3046</v>
      </c>
    </row>
    <row r="2856" spans="1:1" x14ac:dyDescent="0.25">
      <c r="A2856" s="123" t="s">
        <v>3047</v>
      </c>
    </row>
    <row r="2857" spans="1:1" x14ac:dyDescent="0.25">
      <c r="A2857" s="124" t="s">
        <v>3048</v>
      </c>
    </row>
    <row r="2858" spans="1:1" x14ac:dyDescent="0.25">
      <c r="A2858" t="s">
        <v>3049</v>
      </c>
    </row>
    <row r="2859" spans="1:1" x14ac:dyDescent="0.25">
      <c r="A2859" s="123" t="s">
        <v>3050</v>
      </c>
    </row>
    <row r="2860" spans="1:1" x14ac:dyDescent="0.25">
      <c r="A2860" s="123" t="s">
        <v>3051</v>
      </c>
    </row>
    <row r="2861" spans="1:1" x14ac:dyDescent="0.25">
      <c r="A2861" s="29" t="s">
        <v>3052</v>
      </c>
    </row>
    <row r="2862" spans="1:1" x14ac:dyDescent="0.25">
      <c r="A2862" s="29" t="s">
        <v>3053</v>
      </c>
    </row>
    <row r="2863" spans="1:1" x14ac:dyDescent="0.25">
      <c r="A2863" s="29" t="s">
        <v>3054</v>
      </c>
    </row>
    <row r="2864" spans="1:1" x14ac:dyDescent="0.25">
      <c r="A2864" t="s">
        <v>3055</v>
      </c>
    </row>
    <row r="2865" spans="1:1" ht="255" x14ac:dyDescent="0.25">
      <c r="A2865" s="125" t="s">
        <v>3056</v>
      </c>
    </row>
    <row r="2866" spans="1:1" ht="270" x14ac:dyDescent="0.25">
      <c r="A2866" s="125" t="s">
        <v>3057</v>
      </c>
    </row>
    <row r="2867" spans="1:1" x14ac:dyDescent="0.25">
      <c r="A2867" s="124" t="s">
        <v>3058</v>
      </c>
    </row>
    <row r="2868" spans="1:1" x14ac:dyDescent="0.25">
      <c r="A2868" s="123" t="s">
        <v>3059</v>
      </c>
    </row>
    <row r="2869" spans="1:1" x14ac:dyDescent="0.25">
      <c r="A2869" s="124" t="s">
        <v>3060</v>
      </c>
    </row>
    <row r="2870" spans="1:1" x14ac:dyDescent="0.25">
      <c r="A2870" t="s">
        <v>3061</v>
      </c>
    </row>
    <row r="2871" spans="1:1" x14ac:dyDescent="0.25">
      <c r="A2871" s="123" t="s">
        <v>3062</v>
      </c>
    </row>
    <row r="2872" spans="1:1" x14ac:dyDescent="0.25">
      <c r="A2872" s="123" t="s">
        <v>3063</v>
      </c>
    </row>
    <row r="2873" spans="1:1" x14ac:dyDescent="0.25">
      <c r="A2873" s="123" t="s">
        <v>3064</v>
      </c>
    </row>
    <row r="2874" spans="1:1" x14ac:dyDescent="0.25">
      <c r="A2874" s="124" t="s">
        <v>3065</v>
      </c>
    </row>
    <row r="2875" spans="1:1" x14ac:dyDescent="0.25">
      <c r="A2875" t="s">
        <v>3066</v>
      </c>
    </row>
    <row r="2876" spans="1:1" x14ac:dyDescent="0.25">
      <c r="A2876" s="123" t="s">
        <v>3067</v>
      </c>
    </row>
    <row r="2877" spans="1:1" x14ac:dyDescent="0.25">
      <c r="A2877" s="123" t="s">
        <v>3068</v>
      </c>
    </row>
    <row r="2878" spans="1:1" x14ac:dyDescent="0.25">
      <c r="A2878" s="29" t="s">
        <v>3069</v>
      </c>
    </row>
    <row r="2879" spans="1:1" x14ac:dyDescent="0.25">
      <c r="A2879" s="29" t="s">
        <v>3070</v>
      </c>
    </row>
    <row r="2880" spans="1:1" x14ac:dyDescent="0.25">
      <c r="A2880" s="29" t="s">
        <v>3071</v>
      </c>
    </row>
    <row r="2881" spans="1:1" x14ac:dyDescent="0.25">
      <c r="A2881" t="s">
        <v>3072</v>
      </c>
    </row>
    <row r="2882" spans="1:1" x14ac:dyDescent="0.25">
      <c r="A2882" s="124" t="s">
        <v>3073</v>
      </c>
    </row>
    <row r="2883" spans="1:1" x14ac:dyDescent="0.25">
      <c r="A2883" s="123" t="s">
        <v>3074</v>
      </c>
    </row>
    <row r="2884" spans="1:1" x14ac:dyDescent="0.25">
      <c r="A2884" s="124" t="s">
        <v>3075</v>
      </c>
    </row>
    <row r="2885" spans="1:1" x14ac:dyDescent="0.25">
      <c r="A2885" t="s">
        <v>3076</v>
      </c>
    </row>
    <row r="2886" spans="1:1" x14ac:dyDescent="0.25">
      <c r="A2886" s="123" t="s">
        <v>3077</v>
      </c>
    </row>
    <row r="2887" spans="1:1" x14ac:dyDescent="0.25">
      <c r="A2887" s="123" t="s">
        <v>3078</v>
      </c>
    </row>
    <row r="2888" spans="1:1" x14ac:dyDescent="0.25">
      <c r="A2888" s="124" t="s">
        <v>3079</v>
      </c>
    </row>
    <row r="2889" spans="1:1" x14ac:dyDescent="0.25">
      <c r="A2889" t="s">
        <v>3080</v>
      </c>
    </row>
    <row r="2890" spans="1:1" x14ac:dyDescent="0.25">
      <c r="A2890" s="124" t="s">
        <v>3081</v>
      </c>
    </row>
    <row r="2891" spans="1:1" x14ac:dyDescent="0.25">
      <c r="A2891" s="29" t="s">
        <v>3082</v>
      </c>
    </row>
    <row r="2892" spans="1:1" ht="255" x14ac:dyDescent="0.25">
      <c r="A2892" s="125" t="s">
        <v>3083</v>
      </c>
    </row>
    <row r="2893" spans="1:1" ht="270" x14ac:dyDescent="0.25">
      <c r="A2893" s="125" t="s">
        <v>3084</v>
      </c>
    </row>
    <row r="2894" spans="1:1" x14ac:dyDescent="0.25">
      <c r="A2894" s="124" t="s">
        <v>3085</v>
      </c>
    </row>
    <row r="2895" spans="1:1" x14ac:dyDescent="0.25">
      <c r="A2895" s="123" t="s">
        <v>3086</v>
      </c>
    </row>
    <row r="2896" spans="1:1" x14ac:dyDescent="0.25">
      <c r="A2896" s="124" t="s">
        <v>3087</v>
      </c>
    </row>
    <row r="2897" spans="1:1" x14ac:dyDescent="0.25">
      <c r="A2897" t="s">
        <v>3088</v>
      </c>
    </row>
    <row r="2898" spans="1:1" x14ac:dyDescent="0.25">
      <c r="A2898" s="123" t="s">
        <v>3089</v>
      </c>
    </row>
    <row r="2899" spans="1:1" x14ac:dyDescent="0.25">
      <c r="A2899" s="123" t="s">
        <v>3090</v>
      </c>
    </row>
    <row r="2900" spans="1:1" x14ac:dyDescent="0.25">
      <c r="A2900" s="124" t="s">
        <v>3091</v>
      </c>
    </row>
    <row r="2901" spans="1:1" x14ac:dyDescent="0.25">
      <c r="A2901" s="123" t="s">
        <v>3092</v>
      </c>
    </row>
    <row r="2902" spans="1:1" x14ac:dyDescent="0.25">
      <c r="A2902" s="124" t="s">
        <v>3093</v>
      </c>
    </row>
    <row r="2903" spans="1:1" x14ac:dyDescent="0.25">
      <c r="A2903" t="s">
        <v>3094</v>
      </c>
    </row>
    <row r="2904" spans="1:1" x14ac:dyDescent="0.25">
      <c r="A2904" s="123" t="s">
        <v>3095</v>
      </c>
    </row>
    <row r="2905" spans="1:1" x14ac:dyDescent="0.25">
      <c r="A2905" s="123" t="s">
        <v>3096</v>
      </c>
    </row>
    <row r="2906" spans="1:1" x14ac:dyDescent="0.25">
      <c r="A2906" s="124" t="s">
        <v>3097</v>
      </c>
    </row>
    <row r="2907" spans="1:1" x14ac:dyDescent="0.25">
      <c r="A2907" s="124" t="s">
        <v>3098</v>
      </c>
    </row>
    <row r="2908" spans="1:1" x14ac:dyDescent="0.25">
      <c r="A2908" t="s">
        <v>3099</v>
      </c>
    </row>
    <row r="2909" spans="1:1" x14ac:dyDescent="0.25">
      <c r="A2909" s="29" t="s">
        <v>3100</v>
      </c>
    </row>
    <row r="2910" spans="1:1" x14ac:dyDescent="0.25">
      <c r="A2910" s="124" t="s">
        <v>3101</v>
      </c>
    </row>
    <row r="2911" spans="1:1" x14ac:dyDescent="0.25">
      <c r="A2911" s="29" t="s">
        <v>3102</v>
      </c>
    </row>
    <row r="2912" spans="1:1" x14ac:dyDescent="0.25">
      <c r="A2912" s="123" t="s">
        <v>3103</v>
      </c>
    </row>
    <row r="2913" spans="1:1" x14ac:dyDescent="0.25">
      <c r="A2913" s="124" t="s">
        <v>3104</v>
      </c>
    </row>
    <row r="2914" spans="1:1" x14ac:dyDescent="0.25">
      <c r="A2914" t="s">
        <v>3105</v>
      </c>
    </row>
    <row r="2915" spans="1:1" x14ac:dyDescent="0.25">
      <c r="A2915" s="123" t="s">
        <v>3106</v>
      </c>
    </row>
    <row r="2916" spans="1:1" x14ac:dyDescent="0.25">
      <c r="A2916" s="123" t="s">
        <v>3107</v>
      </c>
    </row>
    <row r="2917" spans="1:1" x14ac:dyDescent="0.25">
      <c r="A2917" s="29" t="s">
        <v>3108</v>
      </c>
    </row>
    <row r="2918" spans="1:1" x14ac:dyDescent="0.25">
      <c r="A2918" s="29" t="s">
        <v>3109</v>
      </c>
    </row>
    <row r="2919" spans="1:1" x14ac:dyDescent="0.25">
      <c r="A2919" s="29" t="s">
        <v>3110</v>
      </c>
    </row>
    <row r="2920" spans="1:1" x14ac:dyDescent="0.25">
      <c r="A2920" t="s">
        <v>3111</v>
      </c>
    </row>
    <row r="2921" spans="1:1" ht="255" x14ac:dyDescent="0.25">
      <c r="A2921" s="125" t="s">
        <v>3112</v>
      </c>
    </row>
    <row r="2922" spans="1:1" ht="270" x14ac:dyDescent="0.25">
      <c r="A2922" s="125" t="s">
        <v>3113</v>
      </c>
    </row>
    <row r="2923" spans="1:1" x14ac:dyDescent="0.25">
      <c r="A2923" s="124" t="s">
        <v>3114</v>
      </c>
    </row>
    <row r="2924" spans="1:1" x14ac:dyDescent="0.25">
      <c r="A2924" s="123" t="s">
        <v>3115</v>
      </c>
    </row>
    <row r="2925" spans="1:1" x14ac:dyDescent="0.25">
      <c r="A2925" s="124" t="s">
        <v>3116</v>
      </c>
    </row>
    <row r="2926" spans="1:1" x14ac:dyDescent="0.25">
      <c r="A2926" t="s">
        <v>3117</v>
      </c>
    </row>
    <row r="2927" spans="1:1" x14ac:dyDescent="0.25">
      <c r="A2927" s="123" t="s">
        <v>3118</v>
      </c>
    </row>
    <row r="2928" spans="1:1" x14ac:dyDescent="0.25">
      <c r="A2928" s="123" t="s">
        <v>3119</v>
      </c>
    </row>
    <row r="2929" spans="1:1" x14ac:dyDescent="0.25">
      <c r="A2929" s="124" t="s">
        <v>3120</v>
      </c>
    </row>
    <row r="2930" spans="1:1" x14ac:dyDescent="0.25">
      <c r="A2930" s="123" t="s">
        <v>3121</v>
      </c>
    </row>
    <row r="2931" spans="1:1" x14ac:dyDescent="0.25">
      <c r="A2931" s="124" t="s">
        <v>3122</v>
      </c>
    </row>
    <row r="2932" spans="1:1" x14ac:dyDescent="0.25">
      <c r="A2932" t="s">
        <v>3123</v>
      </c>
    </row>
    <row r="2933" spans="1:1" x14ac:dyDescent="0.25">
      <c r="A2933" s="123" t="s">
        <v>3124</v>
      </c>
    </row>
    <row r="2934" spans="1:1" x14ac:dyDescent="0.25">
      <c r="A2934" s="123" t="s">
        <v>3125</v>
      </c>
    </row>
    <row r="2935" spans="1:1" x14ac:dyDescent="0.25">
      <c r="A2935" s="124" t="s">
        <v>3126</v>
      </c>
    </row>
    <row r="2936" spans="1:1" x14ac:dyDescent="0.25">
      <c r="A2936" s="124" t="s">
        <v>3127</v>
      </c>
    </row>
    <row r="2937" spans="1:1" x14ac:dyDescent="0.25">
      <c r="A2937" t="s">
        <v>3128</v>
      </c>
    </row>
    <row r="2938" spans="1:1" x14ac:dyDescent="0.25">
      <c r="A2938" s="124" t="s">
        <v>3129</v>
      </c>
    </row>
    <row r="2939" spans="1:1" x14ac:dyDescent="0.25">
      <c r="A2939" s="29" t="s">
        <v>3130</v>
      </c>
    </row>
    <row r="2940" spans="1:1" x14ac:dyDescent="0.25">
      <c r="A2940" s="123" t="s">
        <v>3131</v>
      </c>
    </row>
    <row r="2941" spans="1:1" x14ac:dyDescent="0.25">
      <c r="A2941" s="124" t="s">
        <v>3132</v>
      </c>
    </row>
    <row r="2942" spans="1:1" x14ac:dyDescent="0.25">
      <c r="A2942" t="s">
        <v>3133</v>
      </c>
    </row>
    <row r="2943" spans="1:1" x14ac:dyDescent="0.25">
      <c r="A2943" s="123" t="s">
        <v>3134</v>
      </c>
    </row>
    <row r="2944" spans="1:1" x14ac:dyDescent="0.25">
      <c r="A2944" s="123" t="s">
        <v>3135</v>
      </c>
    </row>
    <row r="2945" spans="1:1" x14ac:dyDescent="0.25">
      <c r="A2945" s="29" t="s">
        <v>3136</v>
      </c>
    </row>
    <row r="2946" spans="1:1" x14ac:dyDescent="0.25">
      <c r="A2946" s="29" t="s">
        <v>3137</v>
      </c>
    </row>
    <row r="2947" spans="1:1" x14ac:dyDescent="0.25">
      <c r="A2947" s="29" t="s">
        <v>3138</v>
      </c>
    </row>
    <row r="2948" spans="1:1" x14ac:dyDescent="0.25">
      <c r="A2948" t="s">
        <v>3139</v>
      </c>
    </row>
    <row r="2949" spans="1:1" ht="255" x14ac:dyDescent="0.25">
      <c r="A2949" s="125" t="s">
        <v>3140</v>
      </c>
    </row>
    <row r="2950" spans="1:1" ht="270" x14ac:dyDescent="0.25">
      <c r="A2950" s="125" t="s">
        <v>3141</v>
      </c>
    </row>
    <row r="2951" spans="1:1" x14ac:dyDescent="0.25">
      <c r="A2951" s="124" t="s">
        <v>3142</v>
      </c>
    </row>
    <row r="2952" spans="1:1" x14ac:dyDescent="0.25">
      <c r="A2952" s="123" t="s">
        <v>3143</v>
      </c>
    </row>
    <row r="2953" spans="1:1" x14ac:dyDescent="0.25">
      <c r="A2953" s="124" t="s">
        <v>3144</v>
      </c>
    </row>
    <row r="2954" spans="1:1" x14ac:dyDescent="0.25">
      <c r="A2954" t="s">
        <v>3145</v>
      </c>
    </row>
    <row r="2955" spans="1:1" x14ac:dyDescent="0.25">
      <c r="A2955" s="123" t="s">
        <v>3146</v>
      </c>
    </row>
    <row r="2956" spans="1:1" x14ac:dyDescent="0.25">
      <c r="A2956" s="123" t="s">
        <v>3147</v>
      </c>
    </row>
    <row r="2957" spans="1:1" x14ac:dyDescent="0.25">
      <c r="A2957" s="124" t="s">
        <v>3148</v>
      </c>
    </row>
    <row r="2958" spans="1:1" x14ac:dyDescent="0.25">
      <c r="A2958" s="123" t="s">
        <v>3149</v>
      </c>
    </row>
    <row r="2959" spans="1:1" x14ac:dyDescent="0.25">
      <c r="A2959" s="124" t="s">
        <v>3150</v>
      </c>
    </row>
    <row r="2960" spans="1:1" x14ac:dyDescent="0.25">
      <c r="A2960" t="s">
        <v>3151</v>
      </c>
    </row>
    <row r="2961" spans="1:1" x14ac:dyDescent="0.25">
      <c r="A2961" s="123" t="s">
        <v>3152</v>
      </c>
    </row>
    <row r="2962" spans="1:1" x14ac:dyDescent="0.25">
      <c r="A2962" s="123" t="s">
        <v>3153</v>
      </c>
    </row>
    <row r="2963" spans="1:1" x14ac:dyDescent="0.25">
      <c r="A2963" s="124" t="s">
        <v>3154</v>
      </c>
    </row>
    <row r="2964" spans="1:1" x14ac:dyDescent="0.25">
      <c r="A2964" s="124" t="s">
        <v>3155</v>
      </c>
    </row>
    <row r="2965" spans="1:1" x14ac:dyDescent="0.25">
      <c r="A2965" t="s">
        <v>3156</v>
      </c>
    </row>
    <row r="2966" spans="1:1" x14ac:dyDescent="0.25">
      <c r="A2966" s="124" t="s">
        <v>3157</v>
      </c>
    </row>
    <row r="2967" spans="1:1" x14ac:dyDescent="0.25">
      <c r="A2967" s="29" t="s">
        <v>3158</v>
      </c>
    </row>
    <row r="2968" spans="1:1" x14ac:dyDescent="0.25">
      <c r="A2968" s="123" t="s">
        <v>3159</v>
      </c>
    </row>
    <row r="2969" spans="1:1" x14ac:dyDescent="0.25">
      <c r="A2969" s="124" t="s">
        <v>3160</v>
      </c>
    </row>
    <row r="2970" spans="1:1" x14ac:dyDescent="0.25">
      <c r="A2970" t="s">
        <v>3161</v>
      </c>
    </row>
    <row r="2971" spans="1:1" x14ac:dyDescent="0.25">
      <c r="A2971" s="123" t="s">
        <v>3162</v>
      </c>
    </row>
    <row r="2972" spans="1:1" x14ac:dyDescent="0.25">
      <c r="A2972" s="123" t="s">
        <v>3163</v>
      </c>
    </row>
    <row r="2973" spans="1:1" x14ac:dyDescent="0.25">
      <c r="A2973" s="29" t="s">
        <v>3164</v>
      </c>
    </row>
    <row r="2974" spans="1:1" x14ac:dyDescent="0.25">
      <c r="A2974" s="29" t="s">
        <v>3165</v>
      </c>
    </row>
    <row r="2975" spans="1:1" x14ac:dyDescent="0.25">
      <c r="A2975" s="29" t="s">
        <v>3166</v>
      </c>
    </row>
    <row r="2976" spans="1:1" x14ac:dyDescent="0.25">
      <c r="A2976" t="s">
        <v>3167</v>
      </c>
    </row>
    <row r="2977" spans="1:1" ht="255" x14ac:dyDescent="0.25">
      <c r="A2977" s="125" t="s">
        <v>3168</v>
      </c>
    </row>
    <row r="2978" spans="1:1" ht="270" x14ac:dyDescent="0.25">
      <c r="A2978" s="125" t="s">
        <v>3169</v>
      </c>
    </row>
    <row r="2979" spans="1:1" x14ac:dyDescent="0.25">
      <c r="A2979" s="124" t="s">
        <v>3170</v>
      </c>
    </row>
    <row r="2980" spans="1:1" x14ac:dyDescent="0.25">
      <c r="A2980" s="123" t="s">
        <v>3171</v>
      </c>
    </row>
    <row r="2981" spans="1:1" x14ac:dyDescent="0.25">
      <c r="A2981" s="124" t="s">
        <v>3172</v>
      </c>
    </row>
    <row r="2982" spans="1:1" x14ac:dyDescent="0.25">
      <c r="A2982" t="s">
        <v>3173</v>
      </c>
    </row>
    <row r="2983" spans="1:1" x14ac:dyDescent="0.25">
      <c r="A2983" s="123" t="s">
        <v>3174</v>
      </c>
    </row>
    <row r="2984" spans="1:1" x14ac:dyDescent="0.25">
      <c r="A2984" s="123" t="s">
        <v>3175</v>
      </c>
    </row>
    <row r="2985" spans="1:1" x14ac:dyDescent="0.25">
      <c r="A2985" s="124" t="s">
        <v>3176</v>
      </c>
    </row>
    <row r="2986" spans="1:1" x14ac:dyDescent="0.25">
      <c r="A2986" s="123" t="s">
        <v>3177</v>
      </c>
    </row>
    <row r="2987" spans="1:1" x14ac:dyDescent="0.25">
      <c r="A2987" s="124" t="s">
        <v>3178</v>
      </c>
    </row>
    <row r="2988" spans="1:1" x14ac:dyDescent="0.25">
      <c r="A2988" t="s">
        <v>3179</v>
      </c>
    </row>
    <row r="2989" spans="1:1" x14ac:dyDescent="0.25">
      <c r="A2989" s="123" t="s">
        <v>3180</v>
      </c>
    </row>
    <row r="2990" spans="1:1" x14ac:dyDescent="0.25">
      <c r="A2990" s="123" t="s">
        <v>3181</v>
      </c>
    </row>
    <row r="2991" spans="1:1" x14ac:dyDescent="0.25">
      <c r="A2991" s="124" t="s">
        <v>3182</v>
      </c>
    </row>
    <row r="2992" spans="1:1" x14ac:dyDescent="0.25">
      <c r="A2992" s="124" t="s">
        <v>3183</v>
      </c>
    </row>
    <row r="2993" spans="1:1" x14ac:dyDescent="0.25">
      <c r="A2993" t="s">
        <v>3184</v>
      </c>
    </row>
    <row r="2994" spans="1:1" x14ac:dyDescent="0.25">
      <c r="A2994" s="29" t="s">
        <v>3185</v>
      </c>
    </row>
    <row r="2995" spans="1:1" x14ac:dyDescent="0.25">
      <c r="A2995" s="124" t="s">
        <v>3186</v>
      </c>
    </row>
    <row r="2996" spans="1:1" x14ac:dyDescent="0.25">
      <c r="A2996" s="29" t="s">
        <v>3187</v>
      </c>
    </row>
    <row r="2997" spans="1:1" x14ac:dyDescent="0.25">
      <c r="A2997" s="123" t="s">
        <v>3188</v>
      </c>
    </row>
    <row r="2998" spans="1:1" x14ac:dyDescent="0.25">
      <c r="A2998" s="124" t="s">
        <v>3189</v>
      </c>
    </row>
    <row r="2999" spans="1:1" x14ac:dyDescent="0.25">
      <c r="A2999" t="s">
        <v>3190</v>
      </c>
    </row>
    <row r="3000" spans="1:1" x14ac:dyDescent="0.25">
      <c r="A3000" s="123" t="s">
        <v>3191</v>
      </c>
    </row>
    <row r="3001" spans="1:1" x14ac:dyDescent="0.25">
      <c r="A3001" s="123" t="s">
        <v>3192</v>
      </c>
    </row>
    <row r="3002" spans="1:1" x14ac:dyDescent="0.25">
      <c r="A3002" s="29" t="s">
        <v>3193</v>
      </c>
    </row>
    <row r="3003" spans="1:1" x14ac:dyDescent="0.25">
      <c r="A3003" s="29" t="s">
        <v>3194</v>
      </c>
    </row>
    <row r="3004" spans="1:1" x14ac:dyDescent="0.25">
      <c r="A3004" s="29" t="s">
        <v>3195</v>
      </c>
    </row>
    <row r="3005" spans="1:1" x14ac:dyDescent="0.25">
      <c r="A3005" t="s">
        <v>3196</v>
      </c>
    </row>
    <row r="3006" spans="1:1" ht="255" x14ac:dyDescent="0.25">
      <c r="A3006" s="125" t="s">
        <v>3197</v>
      </c>
    </row>
    <row r="3007" spans="1:1" ht="270" x14ac:dyDescent="0.25">
      <c r="A3007" s="125" t="s">
        <v>3198</v>
      </c>
    </row>
    <row r="3008" spans="1:1" x14ac:dyDescent="0.25">
      <c r="A3008" s="124" t="s">
        <v>3199</v>
      </c>
    </row>
    <row r="3009" spans="1:1" x14ac:dyDescent="0.25">
      <c r="A3009" s="123" t="s">
        <v>3200</v>
      </c>
    </row>
    <row r="3010" spans="1:1" x14ac:dyDescent="0.25">
      <c r="A3010" s="124" t="s">
        <v>3201</v>
      </c>
    </row>
    <row r="3011" spans="1:1" x14ac:dyDescent="0.25">
      <c r="A3011" t="s">
        <v>3202</v>
      </c>
    </row>
    <row r="3012" spans="1:1" x14ac:dyDescent="0.25">
      <c r="A3012" s="123" t="s">
        <v>3203</v>
      </c>
    </row>
    <row r="3013" spans="1:1" x14ac:dyDescent="0.25">
      <c r="A3013" s="123" t="s">
        <v>3204</v>
      </c>
    </row>
    <row r="3014" spans="1:1" x14ac:dyDescent="0.25">
      <c r="A3014" s="124" t="s">
        <v>3205</v>
      </c>
    </row>
    <row r="3015" spans="1:1" x14ac:dyDescent="0.25">
      <c r="A3015" s="123" t="s">
        <v>3206</v>
      </c>
    </row>
    <row r="3016" spans="1:1" x14ac:dyDescent="0.25">
      <c r="A3016" s="124" t="s">
        <v>3207</v>
      </c>
    </row>
    <row r="3017" spans="1:1" x14ac:dyDescent="0.25">
      <c r="A3017" t="s">
        <v>3208</v>
      </c>
    </row>
    <row r="3018" spans="1:1" x14ac:dyDescent="0.25">
      <c r="A3018" s="123" t="s">
        <v>3209</v>
      </c>
    </row>
    <row r="3019" spans="1:1" x14ac:dyDescent="0.25">
      <c r="A3019" s="123" t="s">
        <v>3210</v>
      </c>
    </row>
    <row r="3020" spans="1:1" x14ac:dyDescent="0.25">
      <c r="A3020" s="124" t="s">
        <v>3211</v>
      </c>
    </row>
    <row r="3021" spans="1:1" x14ac:dyDescent="0.25">
      <c r="A3021" s="124" t="s">
        <v>3212</v>
      </c>
    </row>
    <row r="3022" spans="1:1" x14ac:dyDescent="0.25">
      <c r="A3022" t="s">
        <v>3213</v>
      </c>
    </row>
    <row r="3023" spans="1:1" x14ac:dyDescent="0.25">
      <c r="A3023" s="124" t="s">
        <v>3214</v>
      </c>
    </row>
    <row r="3024" spans="1:1" x14ac:dyDescent="0.25">
      <c r="A3024" s="29" t="s">
        <v>3215</v>
      </c>
    </row>
    <row r="3025" spans="1:1" x14ac:dyDescent="0.25">
      <c r="A3025" s="123" t="s">
        <v>3216</v>
      </c>
    </row>
    <row r="3026" spans="1:1" x14ac:dyDescent="0.25">
      <c r="A3026" s="124" t="s">
        <v>3217</v>
      </c>
    </row>
    <row r="3027" spans="1:1" x14ac:dyDescent="0.25">
      <c r="A3027" t="s">
        <v>3218</v>
      </c>
    </row>
    <row r="3028" spans="1:1" x14ac:dyDescent="0.25">
      <c r="A3028" s="123" t="s">
        <v>3219</v>
      </c>
    </row>
    <row r="3029" spans="1:1" x14ac:dyDescent="0.25">
      <c r="A3029" s="123" t="s">
        <v>3220</v>
      </c>
    </row>
    <row r="3030" spans="1:1" x14ac:dyDescent="0.25">
      <c r="A3030" s="29" t="s">
        <v>3221</v>
      </c>
    </row>
    <row r="3031" spans="1:1" x14ac:dyDescent="0.25">
      <c r="A3031" s="29" t="s">
        <v>3222</v>
      </c>
    </row>
    <row r="3032" spans="1:1" x14ac:dyDescent="0.25">
      <c r="A3032" s="29" t="s">
        <v>3223</v>
      </c>
    </row>
    <row r="3033" spans="1:1" x14ac:dyDescent="0.25">
      <c r="A3033" t="s">
        <v>3224</v>
      </c>
    </row>
    <row r="3034" spans="1:1" ht="255" x14ac:dyDescent="0.25">
      <c r="A3034" s="125" t="s">
        <v>3225</v>
      </c>
    </row>
    <row r="3035" spans="1:1" ht="270" x14ac:dyDescent="0.25">
      <c r="A3035" s="125" t="s">
        <v>3226</v>
      </c>
    </row>
    <row r="3036" spans="1:1" x14ac:dyDescent="0.25">
      <c r="A3036" s="124" t="s">
        <v>3227</v>
      </c>
    </row>
    <row r="3037" spans="1:1" x14ac:dyDescent="0.25">
      <c r="A3037" s="123" t="s">
        <v>3228</v>
      </c>
    </row>
    <row r="3038" spans="1:1" x14ac:dyDescent="0.25">
      <c r="A3038" s="124" t="s">
        <v>3229</v>
      </c>
    </row>
    <row r="3039" spans="1:1" x14ac:dyDescent="0.25">
      <c r="A3039" t="s">
        <v>3230</v>
      </c>
    </row>
    <row r="3040" spans="1:1" x14ac:dyDescent="0.25">
      <c r="A3040" s="123" t="s">
        <v>3231</v>
      </c>
    </row>
    <row r="3041" spans="1:1" x14ac:dyDescent="0.25">
      <c r="A3041" s="123" t="s">
        <v>3232</v>
      </c>
    </row>
    <row r="3042" spans="1:1" x14ac:dyDescent="0.25">
      <c r="A3042" s="124" t="s">
        <v>3233</v>
      </c>
    </row>
    <row r="3043" spans="1:1" x14ac:dyDescent="0.25">
      <c r="A3043" s="123" t="s">
        <v>3234</v>
      </c>
    </row>
    <row r="3044" spans="1:1" x14ac:dyDescent="0.25">
      <c r="A3044" s="124" t="s">
        <v>3235</v>
      </c>
    </row>
    <row r="3045" spans="1:1" x14ac:dyDescent="0.25">
      <c r="A3045" t="s">
        <v>3236</v>
      </c>
    </row>
    <row r="3046" spans="1:1" x14ac:dyDescent="0.25">
      <c r="A3046" s="123" t="s">
        <v>3237</v>
      </c>
    </row>
    <row r="3047" spans="1:1" x14ac:dyDescent="0.25">
      <c r="A3047" s="123" t="s">
        <v>3238</v>
      </c>
    </row>
    <row r="3048" spans="1:1" x14ac:dyDescent="0.25">
      <c r="A3048" s="124" t="s">
        <v>3239</v>
      </c>
    </row>
    <row r="3049" spans="1:1" x14ac:dyDescent="0.25">
      <c r="A3049" s="124" t="s">
        <v>3240</v>
      </c>
    </row>
    <row r="3050" spans="1:1" x14ac:dyDescent="0.25">
      <c r="A3050" t="s">
        <v>3241</v>
      </c>
    </row>
    <row r="3051" spans="1:1" x14ac:dyDescent="0.25">
      <c r="A3051" s="124" t="s">
        <v>3242</v>
      </c>
    </row>
    <row r="3052" spans="1:1" x14ac:dyDescent="0.25">
      <c r="A3052" s="29" t="s">
        <v>3243</v>
      </c>
    </row>
    <row r="3053" spans="1:1" x14ac:dyDescent="0.25">
      <c r="A3053" s="123" t="s">
        <v>3244</v>
      </c>
    </row>
    <row r="3054" spans="1:1" x14ac:dyDescent="0.25">
      <c r="A3054" s="124" t="s">
        <v>3245</v>
      </c>
    </row>
    <row r="3055" spans="1:1" x14ac:dyDescent="0.25">
      <c r="A3055" t="s">
        <v>3246</v>
      </c>
    </row>
    <row r="3056" spans="1:1" x14ac:dyDescent="0.25">
      <c r="A3056" s="123" t="s">
        <v>3247</v>
      </c>
    </row>
    <row r="3057" spans="1:1" x14ac:dyDescent="0.25">
      <c r="A3057" s="123" t="s">
        <v>3248</v>
      </c>
    </row>
    <row r="3058" spans="1:1" x14ac:dyDescent="0.25">
      <c r="A3058" s="29" t="s">
        <v>3249</v>
      </c>
    </row>
    <row r="3059" spans="1:1" x14ac:dyDescent="0.25">
      <c r="A3059" s="29" t="s">
        <v>3250</v>
      </c>
    </row>
    <row r="3060" spans="1:1" x14ac:dyDescent="0.25">
      <c r="A3060" s="29" t="s">
        <v>3251</v>
      </c>
    </row>
    <row r="3061" spans="1:1" x14ac:dyDescent="0.25">
      <c r="A3061" t="s">
        <v>3252</v>
      </c>
    </row>
    <row r="3062" spans="1:1" ht="255" x14ac:dyDescent="0.25">
      <c r="A3062" s="125" t="s">
        <v>3253</v>
      </c>
    </row>
    <row r="3063" spans="1:1" ht="270" x14ac:dyDescent="0.25">
      <c r="A3063" s="125" t="s">
        <v>3254</v>
      </c>
    </row>
    <row r="3064" spans="1:1" x14ac:dyDescent="0.25">
      <c r="A3064" s="124" t="s">
        <v>3255</v>
      </c>
    </row>
    <row r="3065" spans="1:1" x14ac:dyDescent="0.25">
      <c r="A3065" s="123" t="s">
        <v>3256</v>
      </c>
    </row>
    <row r="3066" spans="1:1" x14ac:dyDescent="0.25">
      <c r="A3066" s="124" t="s">
        <v>3257</v>
      </c>
    </row>
    <row r="3067" spans="1:1" x14ac:dyDescent="0.25">
      <c r="A3067" t="s">
        <v>3258</v>
      </c>
    </row>
    <row r="3068" spans="1:1" x14ac:dyDescent="0.25">
      <c r="A3068" s="123" t="s">
        <v>3259</v>
      </c>
    </row>
    <row r="3069" spans="1:1" x14ac:dyDescent="0.25">
      <c r="A3069" s="123" t="s">
        <v>3260</v>
      </c>
    </row>
    <row r="3070" spans="1:1" x14ac:dyDescent="0.25">
      <c r="A3070" s="124" t="s">
        <v>3261</v>
      </c>
    </row>
    <row r="3071" spans="1:1" x14ac:dyDescent="0.25">
      <c r="A3071" s="123" t="s">
        <v>3262</v>
      </c>
    </row>
    <row r="3072" spans="1:1" x14ac:dyDescent="0.25">
      <c r="A3072" s="124" t="s">
        <v>3263</v>
      </c>
    </row>
    <row r="3073" spans="1:1" x14ac:dyDescent="0.25">
      <c r="A3073" t="s">
        <v>3264</v>
      </c>
    </row>
    <row r="3074" spans="1:1" x14ac:dyDescent="0.25">
      <c r="A3074" s="123" t="s">
        <v>3265</v>
      </c>
    </row>
    <row r="3075" spans="1:1" x14ac:dyDescent="0.25">
      <c r="A3075" s="123" t="s">
        <v>3266</v>
      </c>
    </row>
    <row r="3076" spans="1:1" x14ac:dyDescent="0.25">
      <c r="A3076" s="124" t="s">
        <v>3267</v>
      </c>
    </row>
    <row r="3077" spans="1:1" x14ac:dyDescent="0.25">
      <c r="A3077" s="124" t="s">
        <v>3268</v>
      </c>
    </row>
    <row r="3078" spans="1:1" x14ac:dyDescent="0.25">
      <c r="A3078" t="s">
        <v>3269</v>
      </c>
    </row>
    <row r="3079" spans="1:1" x14ac:dyDescent="0.25">
      <c r="A3079" s="29" t="s">
        <v>3270</v>
      </c>
    </row>
    <row r="3080" spans="1:1" x14ac:dyDescent="0.25">
      <c r="A3080" s="124" t="s">
        <v>3271</v>
      </c>
    </row>
    <row r="3081" spans="1:1" x14ac:dyDescent="0.25">
      <c r="A3081" s="29" t="s">
        <v>3272</v>
      </c>
    </row>
    <row r="3082" spans="1:1" x14ac:dyDescent="0.25">
      <c r="A3082" s="123" t="s">
        <v>3273</v>
      </c>
    </row>
    <row r="3083" spans="1:1" x14ac:dyDescent="0.25">
      <c r="A3083" s="124" t="s">
        <v>3274</v>
      </c>
    </row>
    <row r="3084" spans="1:1" x14ac:dyDescent="0.25">
      <c r="A3084" t="s">
        <v>3275</v>
      </c>
    </row>
    <row r="3085" spans="1:1" x14ac:dyDescent="0.25">
      <c r="A3085" s="123" t="s">
        <v>3276</v>
      </c>
    </row>
    <row r="3086" spans="1:1" x14ac:dyDescent="0.25">
      <c r="A3086" s="123" t="s">
        <v>3277</v>
      </c>
    </row>
    <row r="3087" spans="1:1" x14ac:dyDescent="0.25">
      <c r="A3087" s="29" t="s">
        <v>3278</v>
      </c>
    </row>
    <row r="3088" spans="1:1" x14ac:dyDescent="0.25">
      <c r="A3088" s="29" t="s">
        <v>3279</v>
      </c>
    </row>
    <row r="3089" spans="1:1" x14ac:dyDescent="0.25">
      <c r="A3089" s="29" t="s">
        <v>3280</v>
      </c>
    </row>
    <row r="3090" spans="1:1" x14ac:dyDescent="0.25">
      <c r="A3090" t="s">
        <v>3281</v>
      </c>
    </row>
    <row r="3091" spans="1:1" ht="255" x14ac:dyDescent="0.25">
      <c r="A3091" s="125" t="s">
        <v>3282</v>
      </c>
    </row>
    <row r="3092" spans="1:1" ht="270" x14ac:dyDescent="0.25">
      <c r="A3092" s="125" t="s">
        <v>3283</v>
      </c>
    </row>
    <row r="3093" spans="1:1" x14ac:dyDescent="0.25">
      <c r="A3093" s="124" t="s">
        <v>3284</v>
      </c>
    </row>
    <row r="3094" spans="1:1" x14ac:dyDescent="0.25">
      <c r="A3094" s="123" t="s">
        <v>3285</v>
      </c>
    </row>
    <row r="3095" spans="1:1" x14ac:dyDescent="0.25">
      <c r="A3095" s="124" t="s">
        <v>3286</v>
      </c>
    </row>
    <row r="3096" spans="1:1" x14ac:dyDescent="0.25">
      <c r="A3096" t="s">
        <v>3287</v>
      </c>
    </row>
    <row r="3097" spans="1:1" x14ac:dyDescent="0.25">
      <c r="A3097" s="123" t="s">
        <v>3288</v>
      </c>
    </row>
    <row r="3098" spans="1:1" x14ac:dyDescent="0.25">
      <c r="A3098" s="123" t="s">
        <v>3289</v>
      </c>
    </row>
    <row r="3099" spans="1:1" x14ac:dyDescent="0.25">
      <c r="A3099" s="124" t="s">
        <v>3290</v>
      </c>
    </row>
    <row r="3100" spans="1:1" x14ac:dyDescent="0.25">
      <c r="A3100" s="123" t="s">
        <v>3291</v>
      </c>
    </row>
    <row r="3101" spans="1:1" x14ac:dyDescent="0.25">
      <c r="A3101" s="124" t="s">
        <v>3292</v>
      </c>
    </row>
    <row r="3102" spans="1:1" x14ac:dyDescent="0.25">
      <c r="A3102" t="s">
        <v>3293</v>
      </c>
    </row>
    <row r="3103" spans="1:1" x14ac:dyDescent="0.25">
      <c r="A3103" s="123" t="s">
        <v>3294</v>
      </c>
    </row>
    <row r="3104" spans="1:1" x14ac:dyDescent="0.25">
      <c r="A3104" s="123" t="s">
        <v>3295</v>
      </c>
    </row>
    <row r="3105" spans="1:1" x14ac:dyDescent="0.25">
      <c r="A3105" s="124" t="s">
        <v>3296</v>
      </c>
    </row>
    <row r="3106" spans="1:1" x14ac:dyDescent="0.25">
      <c r="A3106" s="124" t="s">
        <v>3297</v>
      </c>
    </row>
    <row r="3107" spans="1:1" x14ac:dyDescent="0.25">
      <c r="A3107" t="s">
        <v>3298</v>
      </c>
    </row>
    <row r="3108" spans="1:1" x14ac:dyDescent="0.25">
      <c r="A3108" s="124" t="s">
        <v>3299</v>
      </c>
    </row>
    <row r="3109" spans="1:1" x14ac:dyDescent="0.25">
      <c r="A3109" s="29" t="s">
        <v>3300</v>
      </c>
    </row>
    <row r="3110" spans="1:1" x14ac:dyDescent="0.25">
      <c r="A3110" s="123" t="s">
        <v>3301</v>
      </c>
    </row>
    <row r="3111" spans="1:1" x14ac:dyDescent="0.25">
      <c r="A3111" s="124" t="s">
        <v>3302</v>
      </c>
    </row>
    <row r="3112" spans="1:1" x14ac:dyDescent="0.25">
      <c r="A3112" t="s">
        <v>3303</v>
      </c>
    </row>
    <row r="3113" spans="1:1" x14ac:dyDescent="0.25">
      <c r="A3113" s="123" t="s">
        <v>3304</v>
      </c>
    </row>
    <row r="3114" spans="1:1" x14ac:dyDescent="0.25">
      <c r="A3114" s="123" t="s">
        <v>3305</v>
      </c>
    </row>
    <row r="3115" spans="1:1" x14ac:dyDescent="0.25">
      <c r="A3115" s="29" t="s">
        <v>3306</v>
      </c>
    </row>
    <row r="3116" spans="1:1" x14ac:dyDescent="0.25">
      <c r="A3116" s="29" t="s">
        <v>3307</v>
      </c>
    </row>
    <row r="3117" spans="1:1" x14ac:dyDescent="0.25">
      <c r="A3117" s="29" t="s">
        <v>3308</v>
      </c>
    </row>
    <row r="3118" spans="1:1" x14ac:dyDescent="0.25">
      <c r="A3118" t="s">
        <v>3309</v>
      </c>
    </row>
    <row r="3119" spans="1:1" ht="255" x14ac:dyDescent="0.25">
      <c r="A3119" s="125" t="s">
        <v>3310</v>
      </c>
    </row>
    <row r="3120" spans="1:1" ht="270" x14ac:dyDescent="0.25">
      <c r="A3120" s="125" t="s">
        <v>3311</v>
      </c>
    </row>
    <row r="3121" spans="1:1" x14ac:dyDescent="0.25">
      <c r="A3121" s="124" t="s">
        <v>3312</v>
      </c>
    </row>
    <row r="3122" spans="1:1" x14ac:dyDescent="0.25">
      <c r="A3122" s="123" t="s">
        <v>3313</v>
      </c>
    </row>
    <row r="3123" spans="1:1" x14ac:dyDescent="0.25">
      <c r="A3123" s="124" t="s">
        <v>3314</v>
      </c>
    </row>
    <row r="3124" spans="1:1" x14ac:dyDescent="0.25">
      <c r="A3124" t="s">
        <v>3315</v>
      </c>
    </row>
    <row r="3125" spans="1:1" x14ac:dyDescent="0.25">
      <c r="A3125" s="123" t="s">
        <v>3316</v>
      </c>
    </row>
    <row r="3126" spans="1:1" x14ac:dyDescent="0.25">
      <c r="A3126" s="123" t="s">
        <v>3317</v>
      </c>
    </row>
    <row r="3127" spans="1:1" x14ac:dyDescent="0.25">
      <c r="A3127" s="124" t="s">
        <v>3318</v>
      </c>
    </row>
    <row r="3128" spans="1:1" x14ac:dyDescent="0.25">
      <c r="A3128" s="123" t="s">
        <v>3319</v>
      </c>
    </row>
    <row r="3129" spans="1:1" x14ac:dyDescent="0.25">
      <c r="A3129" s="124" t="s">
        <v>3320</v>
      </c>
    </row>
    <row r="3130" spans="1:1" x14ac:dyDescent="0.25">
      <c r="A3130" t="s">
        <v>3321</v>
      </c>
    </row>
    <row r="3131" spans="1:1" x14ac:dyDescent="0.25">
      <c r="A3131" s="123" t="s">
        <v>3322</v>
      </c>
    </row>
    <row r="3132" spans="1:1" x14ac:dyDescent="0.25">
      <c r="A3132" s="123" t="s">
        <v>3323</v>
      </c>
    </row>
    <row r="3133" spans="1:1" x14ac:dyDescent="0.25">
      <c r="A3133" s="124" t="s">
        <v>3324</v>
      </c>
    </row>
    <row r="3134" spans="1:1" x14ac:dyDescent="0.25">
      <c r="A3134" s="124" t="s">
        <v>3325</v>
      </c>
    </row>
    <row r="3135" spans="1:1" x14ac:dyDescent="0.25">
      <c r="A3135" t="s">
        <v>3326</v>
      </c>
    </row>
    <row r="3136" spans="1:1" x14ac:dyDescent="0.25">
      <c r="A3136" s="124" t="s">
        <v>3327</v>
      </c>
    </row>
    <row r="3137" spans="1:1" x14ac:dyDescent="0.25">
      <c r="A3137" s="29" t="s">
        <v>3328</v>
      </c>
    </row>
    <row r="3138" spans="1:1" x14ac:dyDescent="0.25">
      <c r="A3138" s="123" t="s">
        <v>3329</v>
      </c>
    </row>
    <row r="3139" spans="1:1" x14ac:dyDescent="0.25">
      <c r="A3139" s="124" t="s">
        <v>3330</v>
      </c>
    </row>
    <row r="3140" spans="1:1" x14ac:dyDescent="0.25">
      <c r="A3140" t="s">
        <v>3331</v>
      </c>
    </row>
    <row r="3141" spans="1:1" x14ac:dyDescent="0.25">
      <c r="A3141" s="123" t="s">
        <v>3332</v>
      </c>
    </row>
    <row r="3142" spans="1:1" x14ac:dyDescent="0.25">
      <c r="A3142" s="123" t="s">
        <v>3333</v>
      </c>
    </row>
    <row r="3143" spans="1:1" x14ac:dyDescent="0.25">
      <c r="A3143" s="29" t="s">
        <v>3334</v>
      </c>
    </row>
    <row r="3144" spans="1:1" x14ac:dyDescent="0.25">
      <c r="A3144" s="29" t="s">
        <v>3335</v>
      </c>
    </row>
    <row r="3145" spans="1:1" x14ac:dyDescent="0.25">
      <c r="A3145" s="29" t="s">
        <v>3336</v>
      </c>
    </row>
    <row r="3146" spans="1:1" x14ac:dyDescent="0.25">
      <c r="A3146" t="s">
        <v>3337</v>
      </c>
    </row>
    <row r="3147" spans="1:1" ht="255" x14ac:dyDescent="0.25">
      <c r="A3147" s="125" t="s">
        <v>3338</v>
      </c>
    </row>
    <row r="3148" spans="1:1" ht="270" x14ac:dyDescent="0.25">
      <c r="A3148" s="125" t="s">
        <v>3339</v>
      </c>
    </row>
    <row r="3149" spans="1:1" x14ac:dyDescent="0.25">
      <c r="A3149" s="124" t="s">
        <v>3340</v>
      </c>
    </row>
    <row r="3150" spans="1:1" x14ac:dyDescent="0.25">
      <c r="A3150" s="123" t="s">
        <v>3341</v>
      </c>
    </row>
    <row r="3151" spans="1:1" x14ac:dyDescent="0.25">
      <c r="A3151" s="124" t="s">
        <v>3342</v>
      </c>
    </row>
    <row r="3152" spans="1:1" x14ac:dyDescent="0.25">
      <c r="A3152" t="s">
        <v>3343</v>
      </c>
    </row>
    <row r="3153" spans="1:1" x14ac:dyDescent="0.25">
      <c r="A3153" s="123" t="s">
        <v>3344</v>
      </c>
    </row>
    <row r="3154" spans="1:1" x14ac:dyDescent="0.25">
      <c r="A3154" s="123" t="s">
        <v>3345</v>
      </c>
    </row>
    <row r="3155" spans="1:1" x14ac:dyDescent="0.25">
      <c r="A3155" s="124" t="s">
        <v>3346</v>
      </c>
    </row>
    <row r="3156" spans="1:1" x14ac:dyDescent="0.25">
      <c r="A3156" s="123" t="s">
        <v>3347</v>
      </c>
    </row>
    <row r="3157" spans="1:1" x14ac:dyDescent="0.25">
      <c r="A3157" s="124" t="s">
        <v>3348</v>
      </c>
    </row>
    <row r="3158" spans="1:1" x14ac:dyDescent="0.25">
      <c r="A3158" t="s">
        <v>3349</v>
      </c>
    </row>
    <row r="3159" spans="1:1" x14ac:dyDescent="0.25">
      <c r="A3159" s="123" t="s">
        <v>3350</v>
      </c>
    </row>
    <row r="3160" spans="1:1" x14ac:dyDescent="0.25">
      <c r="A3160" s="123" t="s">
        <v>3351</v>
      </c>
    </row>
    <row r="3161" spans="1:1" x14ac:dyDescent="0.25">
      <c r="A3161" s="123" t="s">
        <v>3352</v>
      </c>
    </row>
    <row r="3162" spans="1:1" x14ac:dyDescent="0.25">
      <c r="A3162" s="123" t="s">
        <v>3353</v>
      </c>
    </row>
    <row r="3163" spans="1:1" x14ac:dyDescent="0.25">
      <c r="A3163" s="123" t="s">
        <v>3354</v>
      </c>
    </row>
    <row r="3164" spans="1:1" x14ac:dyDescent="0.25">
      <c r="A3164" s="124" t="s">
        <v>3355</v>
      </c>
    </row>
    <row r="3165" spans="1:1" x14ac:dyDescent="0.25">
      <c r="A3165" s="124" t="s">
        <v>3356</v>
      </c>
    </row>
    <row r="3166" spans="1:1" x14ac:dyDescent="0.25">
      <c r="A3166" s="123" t="s">
        <v>3357</v>
      </c>
    </row>
    <row r="3167" spans="1:1" x14ac:dyDescent="0.25">
      <c r="A3167" s="29" t="s">
        <v>3358</v>
      </c>
    </row>
    <row r="3168" spans="1:1" x14ac:dyDescent="0.25">
      <c r="A3168" s="123" t="s">
        <v>3359</v>
      </c>
    </row>
    <row r="3169" spans="1:1" x14ac:dyDescent="0.25">
      <c r="A3169" s="123" t="s">
        <v>3360</v>
      </c>
    </row>
    <row r="3170" spans="1:1" x14ac:dyDescent="0.25">
      <c r="A3170" s="123" t="s">
        <v>3361</v>
      </c>
    </row>
    <row r="3171" spans="1:1" x14ac:dyDescent="0.25">
      <c r="A3171" s="124" t="s">
        <v>3362</v>
      </c>
    </row>
    <row r="3172" spans="1:1" x14ac:dyDescent="0.25">
      <c r="A3172" s="124" t="s">
        <v>3363</v>
      </c>
    </row>
    <row r="3173" spans="1:1" x14ac:dyDescent="0.25">
      <c r="A3173" s="123" t="s">
        <v>3364</v>
      </c>
    </row>
    <row r="3174" spans="1:1" x14ac:dyDescent="0.25">
      <c r="A3174" s="29" t="s">
        <v>3365</v>
      </c>
    </row>
    <row r="3175" spans="1:1" x14ac:dyDescent="0.25">
      <c r="A3175" s="123" t="s">
        <v>3366</v>
      </c>
    </row>
    <row r="3176" spans="1:1" x14ac:dyDescent="0.25">
      <c r="A3176" s="123" t="s">
        <v>3367</v>
      </c>
    </row>
    <row r="3177" spans="1:1" x14ac:dyDescent="0.25">
      <c r="A3177" s="123" t="s">
        <v>3368</v>
      </c>
    </row>
    <row r="3178" spans="1:1" x14ac:dyDescent="0.25">
      <c r="A3178" s="124" t="s">
        <v>3369</v>
      </c>
    </row>
    <row r="3179" spans="1:1" x14ac:dyDescent="0.25">
      <c r="A3179" s="124" t="s">
        <v>3370</v>
      </c>
    </row>
    <row r="3180" spans="1:1" x14ac:dyDescent="0.25">
      <c r="A3180" s="123" t="s">
        <v>3371</v>
      </c>
    </row>
    <row r="3181" spans="1:1" x14ac:dyDescent="0.25">
      <c r="A3181" s="29" t="s">
        <v>3372</v>
      </c>
    </row>
    <row r="3182" spans="1:1" x14ac:dyDescent="0.25">
      <c r="A3182" s="123" t="s">
        <v>3373</v>
      </c>
    </row>
    <row r="3183" spans="1:1" x14ac:dyDescent="0.25">
      <c r="A3183" s="123" t="s">
        <v>3374</v>
      </c>
    </row>
    <row r="3184" spans="1:1" x14ac:dyDescent="0.25">
      <c r="A3184" s="123" t="s">
        <v>3375</v>
      </c>
    </row>
    <row r="3185" spans="1:1" x14ac:dyDescent="0.25">
      <c r="A3185" s="124" t="s">
        <v>3376</v>
      </c>
    </row>
    <row r="3186" spans="1:1" x14ac:dyDescent="0.25">
      <c r="A3186" s="124" t="s">
        <v>3377</v>
      </c>
    </row>
    <row r="3187" spans="1:1" x14ac:dyDescent="0.25">
      <c r="A3187" s="123" t="s">
        <v>3378</v>
      </c>
    </row>
    <row r="3188" spans="1:1" x14ac:dyDescent="0.25">
      <c r="A3188" s="29" t="s">
        <v>3379</v>
      </c>
    </row>
    <row r="3189" spans="1:1" x14ac:dyDescent="0.25">
      <c r="A3189" s="123" t="s">
        <v>3380</v>
      </c>
    </row>
    <row r="3190" spans="1:1" x14ac:dyDescent="0.25">
      <c r="A3190" s="123" t="s">
        <v>3381</v>
      </c>
    </row>
    <row r="3191" spans="1:1" x14ac:dyDescent="0.25">
      <c r="A3191" s="123" t="s">
        <v>3382</v>
      </c>
    </row>
    <row r="3192" spans="1:1" x14ac:dyDescent="0.25">
      <c r="A3192" s="124" t="s">
        <v>3383</v>
      </c>
    </row>
    <row r="3193" spans="1:1" x14ac:dyDescent="0.25">
      <c r="A3193" s="124" t="s">
        <v>3384</v>
      </c>
    </row>
    <row r="3194" spans="1:1" x14ac:dyDescent="0.25">
      <c r="A3194" s="123" t="s">
        <v>3385</v>
      </c>
    </row>
    <row r="3195" spans="1:1" x14ac:dyDescent="0.25">
      <c r="A3195" s="29" t="s">
        <v>3386</v>
      </c>
    </row>
    <row r="3196" spans="1:1" x14ac:dyDescent="0.25">
      <c r="A3196" s="123" t="s">
        <v>3387</v>
      </c>
    </row>
    <row r="3197" spans="1:1" x14ac:dyDescent="0.25">
      <c r="A3197" s="123" t="s">
        <v>3388</v>
      </c>
    </row>
    <row r="3198" spans="1:1" x14ac:dyDescent="0.25">
      <c r="A3198" s="123" t="s">
        <v>3389</v>
      </c>
    </row>
    <row r="3199" spans="1:1" x14ac:dyDescent="0.25">
      <c r="A3199" s="124" t="s">
        <v>3390</v>
      </c>
    </row>
    <row r="3200" spans="1:1" x14ac:dyDescent="0.25">
      <c r="A3200" s="124" t="s">
        <v>3391</v>
      </c>
    </row>
    <row r="3201" spans="1:1" x14ac:dyDescent="0.25">
      <c r="A3201" s="123" t="s">
        <v>3392</v>
      </c>
    </row>
    <row r="3202" spans="1:1" x14ac:dyDescent="0.25">
      <c r="A3202" s="29" t="s">
        <v>3393</v>
      </c>
    </row>
    <row r="3203" spans="1:1" x14ac:dyDescent="0.25">
      <c r="A3203" s="123" t="s">
        <v>3394</v>
      </c>
    </row>
    <row r="3204" spans="1:1" x14ac:dyDescent="0.25">
      <c r="A3204" s="123" t="s">
        <v>3395</v>
      </c>
    </row>
    <row r="3205" spans="1:1" x14ac:dyDescent="0.25">
      <c r="A3205" s="123" t="s">
        <v>3396</v>
      </c>
    </row>
    <row r="3206" spans="1:1" x14ac:dyDescent="0.25">
      <c r="A3206" s="124" t="s">
        <v>3397</v>
      </c>
    </row>
    <row r="3207" spans="1:1" x14ac:dyDescent="0.25">
      <c r="A3207" s="124" t="s">
        <v>3398</v>
      </c>
    </row>
    <row r="3208" spans="1:1" x14ac:dyDescent="0.25">
      <c r="A3208" s="123" t="s">
        <v>3399</v>
      </c>
    </row>
    <row r="3209" spans="1:1" x14ac:dyDescent="0.25">
      <c r="A3209" s="29" t="s">
        <v>3400</v>
      </c>
    </row>
    <row r="3210" spans="1:1" x14ac:dyDescent="0.25">
      <c r="A3210" s="123" t="s">
        <v>3401</v>
      </c>
    </row>
    <row r="3211" spans="1:1" x14ac:dyDescent="0.25">
      <c r="A3211" s="123" t="s">
        <v>3402</v>
      </c>
    </row>
    <row r="3212" spans="1:1" x14ac:dyDescent="0.25">
      <c r="A3212" s="123" t="s">
        <v>3403</v>
      </c>
    </row>
    <row r="3213" spans="1:1" x14ac:dyDescent="0.25">
      <c r="A3213" s="124" t="s">
        <v>3404</v>
      </c>
    </row>
    <row r="3214" spans="1:1" x14ac:dyDescent="0.25">
      <c r="A3214" s="124" t="s">
        <v>3405</v>
      </c>
    </row>
    <row r="3215" spans="1:1" x14ac:dyDescent="0.25">
      <c r="A3215" s="123" t="s">
        <v>3406</v>
      </c>
    </row>
    <row r="3216" spans="1:1" x14ac:dyDescent="0.25">
      <c r="A3216" s="29" t="s">
        <v>3407</v>
      </c>
    </row>
    <row r="3217" spans="1:1" x14ac:dyDescent="0.25">
      <c r="A3217" s="124" t="s">
        <v>3408</v>
      </c>
    </row>
    <row r="3218" spans="1:1" x14ac:dyDescent="0.25">
      <c r="A3218" s="124" t="s">
        <v>3409</v>
      </c>
    </row>
    <row r="3219" spans="1:1" x14ac:dyDescent="0.25">
      <c r="A3219" t="s">
        <v>3410</v>
      </c>
    </row>
    <row r="3220" spans="1:1" x14ac:dyDescent="0.25">
      <c r="A3220" s="29" t="s">
        <v>3411</v>
      </c>
    </row>
    <row r="3221" spans="1:1" x14ac:dyDescent="0.25">
      <c r="A3221" s="124" t="s">
        <v>3412</v>
      </c>
    </row>
    <row r="3222" spans="1:1" x14ac:dyDescent="0.25">
      <c r="A3222" s="29" t="s">
        <v>3413</v>
      </c>
    </row>
    <row r="3223" spans="1:1" x14ac:dyDescent="0.25">
      <c r="A3223" s="123" t="s">
        <v>3414</v>
      </c>
    </row>
    <row r="3224" spans="1:1" x14ac:dyDescent="0.25">
      <c r="A3224" s="124" t="s">
        <v>3415</v>
      </c>
    </row>
    <row r="3225" spans="1:1" x14ac:dyDescent="0.25">
      <c r="A3225" t="s">
        <v>3416</v>
      </c>
    </row>
    <row r="3226" spans="1:1" x14ac:dyDescent="0.25">
      <c r="A3226" s="123" t="s">
        <v>3417</v>
      </c>
    </row>
    <row r="3227" spans="1:1" x14ac:dyDescent="0.25">
      <c r="A3227" s="123" t="s">
        <v>3418</v>
      </c>
    </row>
    <row r="3228" spans="1:1" x14ac:dyDescent="0.25">
      <c r="A3228" s="29" t="s">
        <v>3419</v>
      </c>
    </row>
    <row r="3229" spans="1:1" x14ac:dyDescent="0.25">
      <c r="A3229" s="29" t="s">
        <v>3420</v>
      </c>
    </row>
    <row r="3230" spans="1:1" x14ac:dyDescent="0.25">
      <c r="A3230" s="29" t="s">
        <v>3421</v>
      </c>
    </row>
    <row r="3231" spans="1:1" x14ac:dyDescent="0.25">
      <c r="A3231" t="s">
        <v>3422</v>
      </c>
    </row>
    <row r="3232" spans="1:1" ht="255" x14ac:dyDescent="0.25">
      <c r="A3232" s="125" t="s">
        <v>3423</v>
      </c>
    </row>
    <row r="3233" spans="1:1" ht="270" x14ac:dyDescent="0.25">
      <c r="A3233" s="125" t="s">
        <v>3424</v>
      </c>
    </row>
    <row r="3234" spans="1:1" x14ac:dyDescent="0.25">
      <c r="A3234" s="124" t="s">
        <v>3425</v>
      </c>
    </row>
    <row r="3235" spans="1:1" x14ac:dyDescent="0.25">
      <c r="A3235" s="123" t="s">
        <v>3426</v>
      </c>
    </row>
    <row r="3236" spans="1:1" x14ac:dyDescent="0.25">
      <c r="A3236" s="124" t="s">
        <v>3427</v>
      </c>
    </row>
    <row r="3237" spans="1:1" x14ac:dyDescent="0.25">
      <c r="A3237" t="s">
        <v>3428</v>
      </c>
    </row>
    <row r="3238" spans="1:1" x14ac:dyDescent="0.25">
      <c r="A3238" s="123" t="s">
        <v>3429</v>
      </c>
    </row>
    <row r="3239" spans="1:1" x14ac:dyDescent="0.25">
      <c r="A3239" s="123" t="s">
        <v>3430</v>
      </c>
    </row>
    <row r="3240" spans="1:1" x14ac:dyDescent="0.25">
      <c r="A3240" s="124" t="s">
        <v>3431</v>
      </c>
    </row>
    <row r="3241" spans="1:1" x14ac:dyDescent="0.25">
      <c r="A3241" s="123" t="s">
        <v>3432</v>
      </c>
    </row>
    <row r="3242" spans="1:1" x14ac:dyDescent="0.25">
      <c r="A3242" s="124" t="s">
        <v>3433</v>
      </c>
    </row>
    <row r="3243" spans="1:1" x14ac:dyDescent="0.25">
      <c r="A3243" t="s">
        <v>3434</v>
      </c>
    </row>
    <row r="3244" spans="1:1" x14ac:dyDescent="0.25">
      <c r="A3244" s="123" t="s">
        <v>3435</v>
      </c>
    </row>
    <row r="3245" spans="1:1" x14ac:dyDescent="0.25">
      <c r="A3245" s="123" t="s">
        <v>3436</v>
      </c>
    </row>
    <row r="3246" spans="1:1" x14ac:dyDescent="0.25">
      <c r="A3246" s="124" t="s">
        <v>3437</v>
      </c>
    </row>
    <row r="3247" spans="1:1" x14ac:dyDescent="0.25">
      <c r="A3247" s="124" t="s">
        <v>3438</v>
      </c>
    </row>
    <row r="3248" spans="1:1" x14ac:dyDescent="0.25">
      <c r="A3248" t="s">
        <v>3439</v>
      </c>
    </row>
    <row r="3249" spans="1:1" x14ac:dyDescent="0.25">
      <c r="A3249" s="124" t="s">
        <v>3440</v>
      </c>
    </row>
    <row r="3250" spans="1:1" x14ac:dyDescent="0.25">
      <c r="A3250" s="124" t="s">
        <v>3441</v>
      </c>
    </row>
    <row r="3251" spans="1:1" x14ac:dyDescent="0.25">
      <c r="A3251" s="124" t="s">
        <v>3442</v>
      </c>
    </row>
    <row r="3252" spans="1:1" x14ac:dyDescent="0.25">
      <c r="A3252" s="29" t="s">
        <v>3443</v>
      </c>
    </row>
    <row r="3253" spans="1:1" x14ac:dyDescent="0.25">
      <c r="A3253" s="123" t="s">
        <v>3444</v>
      </c>
    </row>
    <row r="3254" spans="1:1" x14ac:dyDescent="0.25">
      <c r="A3254" s="124" t="s">
        <v>3445</v>
      </c>
    </row>
    <row r="3255" spans="1:1" x14ac:dyDescent="0.25">
      <c r="A3255" t="s">
        <v>3446</v>
      </c>
    </row>
    <row r="3256" spans="1:1" x14ac:dyDescent="0.25">
      <c r="A3256" s="123" t="s">
        <v>3447</v>
      </c>
    </row>
    <row r="3257" spans="1:1" x14ac:dyDescent="0.25">
      <c r="A3257" s="123" t="s">
        <v>3448</v>
      </c>
    </row>
    <row r="3258" spans="1:1" x14ac:dyDescent="0.25">
      <c r="A3258" s="29" t="s">
        <v>3449</v>
      </c>
    </row>
    <row r="3259" spans="1:1" x14ac:dyDescent="0.25">
      <c r="A3259" s="29" t="s">
        <v>3450</v>
      </c>
    </row>
    <row r="3260" spans="1:1" x14ac:dyDescent="0.25">
      <c r="A3260" s="29" t="s">
        <v>3451</v>
      </c>
    </row>
    <row r="3261" spans="1:1" x14ac:dyDescent="0.25">
      <c r="A3261" t="s">
        <v>3452</v>
      </c>
    </row>
    <row r="3262" spans="1:1" x14ac:dyDescent="0.25">
      <c r="A3262" s="124" t="s">
        <v>3453</v>
      </c>
    </row>
    <row r="3263" spans="1:1" x14ac:dyDescent="0.25">
      <c r="A3263" s="123" t="s">
        <v>3454</v>
      </c>
    </row>
    <row r="3264" spans="1:1" x14ac:dyDescent="0.25">
      <c r="A3264" s="124" t="s">
        <v>3455</v>
      </c>
    </row>
    <row r="3265" spans="1:1" x14ac:dyDescent="0.25">
      <c r="A3265" t="s">
        <v>3456</v>
      </c>
    </row>
    <row r="3266" spans="1:1" x14ac:dyDescent="0.25">
      <c r="A3266" s="123" t="s">
        <v>3457</v>
      </c>
    </row>
    <row r="3267" spans="1:1" x14ac:dyDescent="0.25">
      <c r="A3267" s="123" t="s">
        <v>3458</v>
      </c>
    </row>
    <row r="3268" spans="1:1" x14ac:dyDescent="0.25">
      <c r="A3268" s="124" t="s">
        <v>3459</v>
      </c>
    </row>
    <row r="3269" spans="1:1" x14ac:dyDescent="0.25">
      <c r="A3269" s="123" t="s">
        <v>3460</v>
      </c>
    </row>
    <row r="3270" spans="1:1" x14ac:dyDescent="0.25">
      <c r="A3270" s="124" t="s">
        <v>3461</v>
      </c>
    </row>
    <row r="3271" spans="1:1" x14ac:dyDescent="0.25">
      <c r="A3271" t="s">
        <v>3462</v>
      </c>
    </row>
    <row r="3272" spans="1:1" x14ac:dyDescent="0.25">
      <c r="A3272" s="123" t="s">
        <v>3463</v>
      </c>
    </row>
    <row r="3273" spans="1:1" x14ac:dyDescent="0.25">
      <c r="A3273" s="123" t="s">
        <v>3464</v>
      </c>
    </row>
    <row r="3274" spans="1:1" x14ac:dyDescent="0.25">
      <c r="A3274" s="123" t="s">
        <v>3465</v>
      </c>
    </row>
    <row r="3275" spans="1:1" x14ac:dyDescent="0.25">
      <c r="A3275" s="124" t="s">
        <v>3466</v>
      </c>
    </row>
    <row r="3276" spans="1:1" x14ac:dyDescent="0.25">
      <c r="A3276" t="s">
        <v>3467</v>
      </c>
    </row>
    <row r="3277" spans="1:1" x14ac:dyDescent="0.25">
      <c r="A3277" s="123" t="s">
        <v>3468</v>
      </c>
    </row>
    <row r="3278" spans="1:1" x14ac:dyDescent="0.25">
      <c r="A3278" s="123" t="s">
        <v>3469</v>
      </c>
    </row>
    <row r="3279" spans="1:1" x14ac:dyDescent="0.25">
      <c r="A3279" s="29" t="s">
        <v>3470</v>
      </c>
    </row>
    <row r="3280" spans="1:1" x14ac:dyDescent="0.25">
      <c r="A3280" s="29" t="s">
        <v>3471</v>
      </c>
    </row>
    <row r="3281" spans="1:1" x14ac:dyDescent="0.25">
      <c r="A3281" s="29" t="s">
        <v>3472</v>
      </c>
    </row>
    <row r="3282" spans="1:1" x14ac:dyDescent="0.25">
      <c r="A3282" t="s">
        <v>3473</v>
      </c>
    </row>
    <row r="3283" spans="1:1" x14ac:dyDescent="0.25">
      <c r="A3283" s="124" t="s">
        <v>3474</v>
      </c>
    </row>
    <row r="3284" spans="1:1" x14ac:dyDescent="0.25">
      <c r="A3284" t="s">
        <v>3475</v>
      </c>
    </row>
    <row r="3285" spans="1:1" x14ac:dyDescent="0.25">
      <c r="A3285" s="124" t="s">
        <v>3476</v>
      </c>
    </row>
    <row r="3286" spans="1:1" x14ac:dyDescent="0.25">
      <c r="A3286" s="29" t="s">
        <v>3477</v>
      </c>
    </row>
    <row r="3287" spans="1:1" ht="255" x14ac:dyDescent="0.25">
      <c r="A3287" s="125" t="s">
        <v>3478</v>
      </c>
    </row>
    <row r="3288" spans="1:1" ht="270" x14ac:dyDescent="0.25">
      <c r="A3288" s="125" t="s">
        <v>3479</v>
      </c>
    </row>
    <row r="3289" spans="1:1" x14ac:dyDescent="0.25">
      <c r="A3289" s="124" t="s">
        <v>3480</v>
      </c>
    </row>
    <row r="3290" spans="1:1" x14ac:dyDescent="0.25">
      <c r="A3290" s="123" t="s">
        <v>3481</v>
      </c>
    </row>
    <row r="3291" spans="1:1" x14ac:dyDescent="0.25">
      <c r="A3291" s="124" t="s">
        <v>3482</v>
      </c>
    </row>
    <row r="3292" spans="1:1" x14ac:dyDescent="0.25">
      <c r="A3292" t="s">
        <v>3483</v>
      </c>
    </row>
    <row r="3293" spans="1:1" x14ac:dyDescent="0.25">
      <c r="A3293" s="123" t="s">
        <v>3484</v>
      </c>
    </row>
    <row r="3294" spans="1:1" x14ac:dyDescent="0.25">
      <c r="A3294" s="123" t="s">
        <v>3485</v>
      </c>
    </row>
    <row r="3295" spans="1:1" x14ac:dyDescent="0.25">
      <c r="A3295" s="124" t="s">
        <v>3486</v>
      </c>
    </row>
    <row r="3296" spans="1:1" x14ac:dyDescent="0.25">
      <c r="A3296" s="123" t="s">
        <v>3487</v>
      </c>
    </row>
    <row r="3297" spans="1:1" x14ac:dyDescent="0.25">
      <c r="A3297" s="124" t="s">
        <v>3488</v>
      </c>
    </row>
    <row r="3298" spans="1:1" x14ac:dyDescent="0.25">
      <c r="A3298" t="s">
        <v>3489</v>
      </c>
    </row>
    <row r="3299" spans="1:1" x14ac:dyDescent="0.25">
      <c r="A3299" s="123" t="s">
        <v>3490</v>
      </c>
    </row>
    <row r="3300" spans="1:1" x14ac:dyDescent="0.25">
      <c r="A3300" s="123" t="s">
        <v>3491</v>
      </c>
    </row>
    <row r="3301" spans="1:1" x14ac:dyDescent="0.25">
      <c r="A3301" s="124" t="s">
        <v>3492</v>
      </c>
    </row>
    <row r="3302" spans="1:1" x14ac:dyDescent="0.25">
      <c r="A3302" s="124" t="s">
        <v>3493</v>
      </c>
    </row>
    <row r="3303" spans="1:1" x14ac:dyDescent="0.25">
      <c r="A3303" t="s">
        <v>3494</v>
      </c>
    </row>
    <row r="3304" spans="1:1" x14ac:dyDescent="0.25">
      <c r="A3304" s="29" t="s">
        <v>3495</v>
      </c>
    </row>
    <row r="3305" spans="1:1" x14ac:dyDescent="0.25">
      <c r="A3305" s="124" t="s">
        <v>3496</v>
      </c>
    </row>
    <row r="3306" spans="1:1" x14ac:dyDescent="0.25">
      <c r="A3306" s="29" t="s">
        <v>3497</v>
      </c>
    </row>
    <row r="3307" spans="1:1" x14ac:dyDescent="0.25">
      <c r="A3307" s="123" t="s">
        <v>3498</v>
      </c>
    </row>
    <row r="3308" spans="1:1" x14ac:dyDescent="0.25">
      <c r="A3308" s="124" t="s">
        <v>3499</v>
      </c>
    </row>
    <row r="3309" spans="1:1" x14ac:dyDescent="0.25">
      <c r="A3309" t="s">
        <v>3500</v>
      </c>
    </row>
    <row r="3310" spans="1:1" x14ac:dyDescent="0.25">
      <c r="A3310" s="123" t="s">
        <v>3501</v>
      </c>
    </row>
    <row r="3311" spans="1:1" x14ac:dyDescent="0.25">
      <c r="A3311" s="123" t="s">
        <v>3502</v>
      </c>
    </row>
    <row r="3312" spans="1:1" x14ac:dyDescent="0.25">
      <c r="A3312" s="29" t="s">
        <v>3503</v>
      </c>
    </row>
    <row r="3313" spans="1:1" x14ac:dyDescent="0.25">
      <c r="A3313" s="29" t="s">
        <v>3504</v>
      </c>
    </row>
    <row r="3314" spans="1:1" x14ac:dyDescent="0.25">
      <c r="A3314" s="29" t="s">
        <v>3505</v>
      </c>
    </row>
    <row r="3315" spans="1:1" x14ac:dyDescent="0.25">
      <c r="A3315" t="s">
        <v>3506</v>
      </c>
    </row>
    <row r="3316" spans="1:1" ht="255" x14ac:dyDescent="0.25">
      <c r="A3316" s="125" t="s">
        <v>3507</v>
      </c>
    </row>
    <row r="3317" spans="1:1" ht="270" x14ac:dyDescent="0.25">
      <c r="A3317" s="125" t="s">
        <v>3508</v>
      </c>
    </row>
    <row r="3318" spans="1:1" x14ac:dyDescent="0.25">
      <c r="A3318" s="124" t="s">
        <v>3509</v>
      </c>
    </row>
    <row r="3319" spans="1:1" x14ac:dyDescent="0.25">
      <c r="A3319" s="123" t="s">
        <v>3510</v>
      </c>
    </row>
    <row r="3320" spans="1:1" x14ac:dyDescent="0.25">
      <c r="A3320" s="124" t="s">
        <v>3511</v>
      </c>
    </row>
    <row r="3321" spans="1:1" x14ac:dyDescent="0.25">
      <c r="A3321" t="s">
        <v>3512</v>
      </c>
    </row>
    <row r="3322" spans="1:1" x14ac:dyDescent="0.25">
      <c r="A3322" s="123" t="s">
        <v>3513</v>
      </c>
    </row>
    <row r="3323" spans="1:1" x14ac:dyDescent="0.25">
      <c r="A3323" s="123" t="s">
        <v>3514</v>
      </c>
    </row>
    <row r="3324" spans="1:1" x14ac:dyDescent="0.25">
      <c r="A3324" s="124" t="s">
        <v>3515</v>
      </c>
    </row>
    <row r="3325" spans="1:1" x14ac:dyDescent="0.25">
      <c r="A3325" s="123" t="s">
        <v>3516</v>
      </c>
    </row>
    <row r="3326" spans="1:1" x14ac:dyDescent="0.25">
      <c r="A3326" s="124" t="s">
        <v>3517</v>
      </c>
    </row>
    <row r="3327" spans="1:1" x14ac:dyDescent="0.25">
      <c r="A3327" t="s">
        <v>3518</v>
      </c>
    </row>
    <row r="3328" spans="1:1" x14ac:dyDescent="0.25">
      <c r="A3328" s="123" t="s">
        <v>3519</v>
      </c>
    </row>
    <row r="3329" spans="1:1" x14ac:dyDescent="0.25">
      <c r="A3329" s="123" t="s">
        <v>3520</v>
      </c>
    </row>
    <row r="3330" spans="1:1" x14ac:dyDescent="0.25">
      <c r="A3330" s="124" t="s">
        <v>3521</v>
      </c>
    </row>
    <row r="3331" spans="1:1" x14ac:dyDescent="0.25">
      <c r="A3331" s="124" t="s">
        <v>3522</v>
      </c>
    </row>
    <row r="3332" spans="1:1" x14ac:dyDescent="0.25">
      <c r="A3332" t="s">
        <v>3523</v>
      </c>
    </row>
    <row r="3333" spans="1:1" x14ac:dyDescent="0.25">
      <c r="A3333" s="124" t="s">
        <v>3524</v>
      </c>
    </row>
    <row r="3334" spans="1:1" x14ac:dyDescent="0.25">
      <c r="A3334" s="29" t="s">
        <v>3525</v>
      </c>
    </row>
    <row r="3335" spans="1:1" x14ac:dyDescent="0.25">
      <c r="A3335" s="123" t="s">
        <v>3526</v>
      </c>
    </row>
    <row r="3336" spans="1:1" x14ac:dyDescent="0.25">
      <c r="A3336" s="124" t="s">
        <v>3527</v>
      </c>
    </row>
    <row r="3337" spans="1:1" x14ac:dyDescent="0.25">
      <c r="A3337" t="s">
        <v>3528</v>
      </c>
    </row>
    <row r="3338" spans="1:1" x14ac:dyDescent="0.25">
      <c r="A3338" s="123" t="s">
        <v>3529</v>
      </c>
    </row>
    <row r="3339" spans="1:1" x14ac:dyDescent="0.25">
      <c r="A3339" s="123" t="s">
        <v>3530</v>
      </c>
    </row>
    <row r="3340" spans="1:1" x14ac:dyDescent="0.25">
      <c r="A3340" s="29" t="s">
        <v>3531</v>
      </c>
    </row>
    <row r="3341" spans="1:1" x14ac:dyDescent="0.25">
      <c r="A3341" s="29" t="s">
        <v>3532</v>
      </c>
    </row>
    <row r="3342" spans="1:1" x14ac:dyDescent="0.25">
      <c r="A3342" s="29" t="s">
        <v>3533</v>
      </c>
    </row>
    <row r="3343" spans="1:1" x14ac:dyDescent="0.25">
      <c r="A3343" t="s">
        <v>3534</v>
      </c>
    </row>
    <row r="3344" spans="1:1" ht="255" x14ac:dyDescent="0.25">
      <c r="A3344" s="125" t="s">
        <v>3535</v>
      </c>
    </row>
    <row r="3345" spans="1:1" ht="270" x14ac:dyDescent="0.25">
      <c r="A3345" s="125" t="s">
        <v>3536</v>
      </c>
    </row>
    <row r="3346" spans="1:1" x14ac:dyDescent="0.25">
      <c r="A3346" s="124" t="s">
        <v>3537</v>
      </c>
    </row>
    <row r="3347" spans="1:1" x14ac:dyDescent="0.25">
      <c r="A3347" s="123" t="s">
        <v>3538</v>
      </c>
    </row>
    <row r="3348" spans="1:1" x14ac:dyDescent="0.25">
      <c r="A3348" s="124" t="s">
        <v>3539</v>
      </c>
    </row>
    <row r="3349" spans="1:1" x14ac:dyDescent="0.25">
      <c r="A3349" t="s">
        <v>3540</v>
      </c>
    </row>
    <row r="3350" spans="1:1" x14ac:dyDescent="0.25">
      <c r="A3350" s="123" t="s">
        <v>3541</v>
      </c>
    </row>
    <row r="3351" spans="1:1" x14ac:dyDescent="0.25">
      <c r="A3351" s="123" t="s">
        <v>3542</v>
      </c>
    </row>
    <row r="3352" spans="1:1" x14ac:dyDescent="0.25">
      <c r="A3352" s="124" t="s">
        <v>3543</v>
      </c>
    </row>
    <row r="3353" spans="1:1" x14ac:dyDescent="0.25">
      <c r="A3353" s="123" t="s">
        <v>3544</v>
      </c>
    </row>
    <row r="3354" spans="1:1" x14ac:dyDescent="0.25">
      <c r="A3354" s="124" t="s">
        <v>3545</v>
      </c>
    </row>
    <row r="3355" spans="1:1" x14ac:dyDescent="0.25">
      <c r="A3355" t="s">
        <v>3546</v>
      </c>
    </row>
    <row r="3356" spans="1:1" x14ac:dyDescent="0.25">
      <c r="A3356" s="123" t="s">
        <v>3547</v>
      </c>
    </row>
    <row r="3357" spans="1:1" x14ac:dyDescent="0.25">
      <c r="A3357" s="123" t="s">
        <v>3548</v>
      </c>
    </row>
    <row r="3358" spans="1:1" x14ac:dyDescent="0.25">
      <c r="A3358" s="124" t="s">
        <v>3549</v>
      </c>
    </row>
    <row r="3359" spans="1:1" x14ac:dyDescent="0.25">
      <c r="A3359" s="124" t="s">
        <v>3550</v>
      </c>
    </row>
    <row r="3360" spans="1:1" x14ac:dyDescent="0.25">
      <c r="A3360" t="s">
        <v>3551</v>
      </c>
    </row>
    <row r="3361" spans="1:1" x14ac:dyDescent="0.25">
      <c r="A3361" s="124" t="s">
        <v>3552</v>
      </c>
    </row>
    <row r="3362" spans="1:1" x14ac:dyDescent="0.25">
      <c r="A3362" s="29" t="s">
        <v>3553</v>
      </c>
    </row>
    <row r="3363" spans="1:1" x14ac:dyDescent="0.25">
      <c r="A3363" s="123" t="s">
        <v>3554</v>
      </c>
    </row>
    <row r="3364" spans="1:1" x14ac:dyDescent="0.25">
      <c r="A3364" s="124" t="s">
        <v>3555</v>
      </c>
    </row>
    <row r="3365" spans="1:1" x14ac:dyDescent="0.25">
      <c r="A3365" t="s">
        <v>3556</v>
      </c>
    </row>
    <row r="3366" spans="1:1" x14ac:dyDescent="0.25">
      <c r="A3366" s="123" t="s">
        <v>3557</v>
      </c>
    </row>
    <row r="3367" spans="1:1" x14ac:dyDescent="0.25">
      <c r="A3367" s="123" t="s">
        <v>3558</v>
      </c>
    </row>
    <row r="3368" spans="1:1" x14ac:dyDescent="0.25">
      <c r="A3368" s="29" t="s">
        <v>3559</v>
      </c>
    </row>
    <row r="3369" spans="1:1" x14ac:dyDescent="0.25">
      <c r="A3369" s="29" t="s">
        <v>3560</v>
      </c>
    </row>
    <row r="3370" spans="1:1" x14ac:dyDescent="0.25">
      <c r="A3370" s="29" t="s">
        <v>3561</v>
      </c>
    </row>
    <row r="3371" spans="1:1" x14ac:dyDescent="0.25">
      <c r="A3371" t="s">
        <v>3562</v>
      </c>
    </row>
    <row r="3372" spans="1:1" ht="255" x14ac:dyDescent="0.25">
      <c r="A3372" s="125" t="s">
        <v>3563</v>
      </c>
    </row>
    <row r="3373" spans="1:1" ht="270" x14ac:dyDescent="0.25">
      <c r="A3373" s="125" t="s">
        <v>3564</v>
      </c>
    </row>
    <row r="3374" spans="1:1" x14ac:dyDescent="0.25">
      <c r="A3374" s="124" t="s">
        <v>3565</v>
      </c>
    </row>
    <row r="3375" spans="1:1" x14ac:dyDescent="0.25">
      <c r="A3375" s="123" t="s">
        <v>3566</v>
      </c>
    </row>
    <row r="3376" spans="1:1" x14ac:dyDescent="0.25">
      <c r="A3376" s="124" t="s">
        <v>3567</v>
      </c>
    </row>
    <row r="3377" spans="1:1" x14ac:dyDescent="0.25">
      <c r="A3377" t="s">
        <v>3568</v>
      </c>
    </row>
    <row r="3378" spans="1:1" x14ac:dyDescent="0.25">
      <c r="A3378" s="123" t="s">
        <v>3569</v>
      </c>
    </row>
    <row r="3379" spans="1:1" x14ac:dyDescent="0.25">
      <c r="A3379" s="123" t="s">
        <v>3570</v>
      </c>
    </row>
    <row r="3380" spans="1:1" x14ac:dyDescent="0.25">
      <c r="A3380" s="124" t="s">
        <v>3571</v>
      </c>
    </row>
    <row r="3381" spans="1:1" x14ac:dyDescent="0.25">
      <c r="A3381" s="123" t="s">
        <v>3572</v>
      </c>
    </row>
    <row r="3382" spans="1:1" x14ac:dyDescent="0.25">
      <c r="A3382" s="124" t="s">
        <v>3573</v>
      </c>
    </row>
    <row r="3383" spans="1:1" x14ac:dyDescent="0.25">
      <c r="A3383" t="s">
        <v>3574</v>
      </c>
    </row>
    <row r="3384" spans="1:1" x14ac:dyDescent="0.25">
      <c r="A3384" s="123" t="s">
        <v>3575</v>
      </c>
    </row>
    <row r="3385" spans="1:1" x14ac:dyDescent="0.25">
      <c r="A3385" s="123" t="s">
        <v>3576</v>
      </c>
    </row>
    <row r="3386" spans="1:1" x14ac:dyDescent="0.25">
      <c r="A3386" s="124" t="s">
        <v>3577</v>
      </c>
    </row>
    <row r="3387" spans="1:1" x14ac:dyDescent="0.25">
      <c r="A3387" s="124" t="s">
        <v>3578</v>
      </c>
    </row>
    <row r="3388" spans="1:1" x14ac:dyDescent="0.25">
      <c r="A3388" t="s">
        <v>3579</v>
      </c>
    </row>
    <row r="3389" spans="1:1" x14ac:dyDescent="0.25">
      <c r="A3389" s="29" t="s">
        <v>3580</v>
      </c>
    </row>
    <row r="3390" spans="1:1" x14ac:dyDescent="0.25">
      <c r="A3390" s="124" t="s">
        <v>3581</v>
      </c>
    </row>
    <row r="3391" spans="1:1" x14ac:dyDescent="0.25">
      <c r="A3391" s="29" t="s">
        <v>3582</v>
      </c>
    </row>
    <row r="3392" spans="1:1" x14ac:dyDescent="0.25">
      <c r="A3392" s="123" t="s">
        <v>3583</v>
      </c>
    </row>
    <row r="3393" spans="1:1" x14ac:dyDescent="0.25">
      <c r="A3393" s="124" t="s">
        <v>3584</v>
      </c>
    </row>
    <row r="3394" spans="1:1" x14ac:dyDescent="0.25">
      <c r="A3394" t="s">
        <v>3585</v>
      </c>
    </row>
    <row r="3395" spans="1:1" x14ac:dyDescent="0.25">
      <c r="A3395" s="123" t="s">
        <v>3586</v>
      </c>
    </row>
    <row r="3396" spans="1:1" x14ac:dyDescent="0.25">
      <c r="A3396" s="123" t="s">
        <v>3587</v>
      </c>
    </row>
    <row r="3397" spans="1:1" x14ac:dyDescent="0.25">
      <c r="A3397" s="29" t="s">
        <v>3588</v>
      </c>
    </row>
    <row r="3398" spans="1:1" x14ac:dyDescent="0.25">
      <c r="A3398" s="29" t="s">
        <v>3589</v>
      </c>
    </row>
    <row r="3399" spans="1:1" x14ac:dyDescent="0.25">
      <c r="A3399" s="29" t="s">
        <v>3590</v>
      </c>
    </row>
    <row r="3400" spans="1:1" x14ac:dyDescent="0.25">
      <c r="A3400" t="s">
        <v>3591</v>
      </c>
    </row>
    <row r="3401" spans="1:1" ht="255" x14ac:dyDescent="0.25">
      <c r="A3401" s="125" t="s">
        <v>3592</v>
      </c>
    </row>
    <row r="3402" spans="1:1" ht="270" x14ac:dyDescent="0.25">
      <c r="A3402" s="125" t="s">
        <v>3593</v>
      </c>
    </row>
    <row r="3403" spans="1:1" x14ac:dyDescent="0.25">
      <c r="A3403" s="124" t="s">
        <v>3594</v>
      </c>
    </row>
    <row r="3404" spans="1:1" x14ac:dyDescent="0.25">
      <c r="A3404" s="123" t="s">
        <v>3595</v>
      </c>
    </row>
    <row r="3405" spans="1:1" x14ac:dyDescent="0.25">
      <c r="A3405" s="124" t="s">
        <v>3596</v>
      </c>
    </row>
    <row r="3406" spans="1:1" x14ac:dyDescent="0.25">
      <c r="A3406" t="s">
        <v>3597</v>
      </c>
    </row>
    <row r="3407" spans="1:1" x14ac:dyDescent="0.25">
      <c r="A3407" s="123" t="s">
        <v>3598</v>
      </c>
    </row>
    <row r="3408" spans="1:1" x14ac:dyDescent="0.25">
      <c r="A3408" s="123" t="s">
        <v>3599</v>
      </c>
    </row>
    <row r="3409" spans="1:1" x14ac:dyDescent="0.25">
      <c r="A3409" s="124" t="s">
        <v>3600</v>
      </c>
    </row>
    <row r="3410" spans="1:1" x14ac:dyDescent="0.25">
      <c r="A3410" s="123" t="s">
        <v>3601</v>
      </c>
    </row>
    <row r="3411" spans="1:1" x14ac:dyDescent="0.25">
      <c r="A3411" s="124" t="s">
        <v>3602</v>
      </c>
    </row>
    <row r="3412" spans="1:1" x14ac:dyDescent="0.25">
      <c r="A3412" t="s">
        <v>3603</v>
      </c>
    </row>
    <row r="3413" spans="1:1" x14ac:dyDescent="0.25">
      <c r="A3413" s="123" t="s">
        <v>3604</v>
      </c>
    </row>
    <row r="3414" spans="1:1" x14ac:dyDescent="0.25">
      <c r="A3414" s="123" t="s">
        <v>3605</v>
      </c>
    </row>
    <row r="3415" spans="1:1" x14ac:dyDescent="0.25">
      <c r="A3415" s="124" t="s">
        <v>3606</v>
      </c>
    </row>
    <row r="3416" spans="1:1" x14ac:dyDescent="0.25">
      <c r="A3416" s="124" t="s">
        <v>3607</v>
      </c>
    </row>
    <row r="3417" spans="1:1" x14ac:dyDescent="0.25">
      <c r="A3417" t="s">
        <v>3608</v>
      </c>
    </row>
    <row r="3418" spans="1:1" x14ac:dyDescent="0.25">
      <c r="A3418" s="124" t="s">
        <v>3609</v>
      </c>
    </row>
    <row r="3419" spans="1:1" x14ac:dyDescent="0.25">
      <c r="A3419" s="29" t="s">
        <v>3610</v>
      </c>
    </row>
    <row r="3420" spans="1:1" x14ac:dyDescent="0.25">
      <c r="A3420" s="123" t="s">
        <v>3611</v>
      </c>
    </row>
    <row r="3421" spans="1:1" x14ac:dyDescent="0.25">
      <c r="A3421" s="124" t="s">
        <v>3612</v>
      </c>
    </row>
    <row r="3422" spans="1:1" x14ac:dyDescent="0.25">
      <c r="A3422" t="s">
        <v>3613</v>
      </c>
    </row>
    <row r="3423" spans="1:1" x14ac:dyDescent="0.25">
      <c r="A3423" s="123" t="s">
        <v>3614</v>
      </c>
    </row>
    <row r="3424" spans="1:1" x14ac:dyDescent="0.25">
      <c r="A3424" s="123" t="s">
        <v>3615</v>
      </c>
    </row>
    <row r="3425" spans="1:1" x14ac:dyDescent="0.25">
      <c r="A3425" s="29" t="s">
        <v>3616</v>
      </c>
    </row>
    <row r="3426" spans="1:1" x14ac:dyDescent="0.25">
      <c r="A3426" s="29" t="s">
        <v>3617</v>
      </c>
    </row>
    <row r="3427" spans="1:1" x14ac:dyDescent="0.25">
      <c r="A3427" s="29" t="s">
        <v>3618</v>
      </c>
    </row>
    <row r="3428" spans="1:1" x14ac:dyDescent="0.25">
      <c r="A3428" t="s">
        <v>3619</v>
      </c>
    </row>
    <row r="3429" spans="1:1" ht="255" x14ac:dyDescent="0.25">
      <c r="A3429" s="125" t="s">
        <v>3620</v>
      </c>
    </row>
    <row r="3430" spans="1:1" ht="270" x14ac:dyDescent="0.25">
      <c r="A3430" s="125" t="s">
        <v>3621</v>
      </c>
    </row>
    <row r="3431" spans="1:1" x14ac:dyDescent="0.25">
      <c r="A3431" s="124" t="s">
        <v>3622</v>
      </c>
    </row>
    <row r="3432" spans="1:1" x14ac:dyDescent="0.25">
      <c r="A3432" s="123" t="s">
        <v>3623</v>
      </c>
    </row>
    <row r="3433" spans="1:1" x14ac:dyDescent="0.25">
      <c r="A3433" s="124" t="s">
        <v>3624</v>
      </c>
    </row>
    <row r="3434" spans="1:1" x14ac:dyDescent="0.25">
      <c r="A3434" t="s">
        <v>3625</v>
      </c>
    </row>
    <row r="3435" spans="1:1" x14ac:dyDescent="0.25">
      <c r="A3435" s="123" t="s">
        <v>3626</v>
      </c>
    </row>
    <row r="3436" spans="1:1" x14ac:dyDescent="0.25">
      <c r="A3436" s="123" t="s">
        <v>3627</v>
      </c>
    </row>
    <row r="3437" spans="1:1" x14ac:dyDescent="0.25">
      <c r="A3437" s="124" t="s">
        <v>3628</v>
      </c>
    </row>
    <row r="3438" spans="1:1" x14ac:dyDescent="0.25">
      <c r="A3438" s="123" t="s">
        <v>3629</v>
      </c>
    </row>
    <row r="3439" spans="1:1" x14ac:dyDescent="0.25">
      <c r="A3439" s="124" t="s">
        <v>3630</v>
      </c>
    </row>
    <row r="3440" spans="1:1" x14ac:dyDescent="0.25">
      <c r="A3440" t="s">
        <v>3631</v>
      </c>
    </row>
    <row r="3441" spans="1:1" x14ac:dyDescent="0.25">
      <c r="A3441" s="123" t="s">
        <v>3632</v>
      </c>
    </row>
    <row r="3442" spans="1:1" x14ac:dyDescent="0.25">
      <c r="A3442" s="123" t="s">
        <v>3633</v>
      </c>
    </row>
    <row r="3443" spans="1:1" x14ac:dyDescent="0.25">
      <c r="A3443" s="124" t="s">
        <v>3634</v>
      </c>
    </row>
    <row r="3444" spans="1:1" x14ac:dyDescent="0.25">
      <c r="A3444" s="124" t="s">
        <v>3635</v>
      </c>
    </row>
    <row r="3445" spans="1:1" x14ac:dyDescent="0.25">
      <c r="A3445" t="s">
        <v>3636</v>
      </c>
    </row>
    <row r="3446" spans="1:1" x14ac:dyDescent="0.25">
      <c r="A3446" s="124" t="s">
        <v>3637</v>
      </c>
    </row>
    <row r="3447" spans="1:1" x14ac:dyDescent="0.25">
      <c r="A3447" s="29" t="s">
        <v>3638</v>
      </c>
    </row>
    <row r="3448" spans="1:1" x14ac:dyDescent="0.25">
      <c r="A3448" s="123" t="s">
        <v>3639</v>
      </c>
    </row>
    <row r="3449" spans="1:1" x14ac:dyDescent="0.25">
      <c r="A3449" s="124" t="s">
        <v>3640</v>
      </c>
    </row>
    <row r="3450" spans="1:1" x14ac:dyDescent="0.25">
      <c r="A3450" t="s">
        <v>3641</v>
      </c>
    </row>
    <row r="3451" spans="1:1" x14ac:dyDescent="0.25">
      <c r="A3451" s="123" t="s">
        <v>3642</v>
      </c>
    </row>
    <row r="3452" spans="1:1" x14ac:dyDescent="0.25">
      <c r="A3452" s="123" t="s">
        <v>3643</v>
      </c>
    </row>
    <row r="3453" spans="1:1" x14ac:dyDescent="0.25">
      <c r="A3453" s="29" t="s">
        <v>3644</v>
      </c>
    </row>
    <row r="3454" spans="1:1" x14ac:dyDescent="0.25">
      <c r="A3454" s="29" t="s">
        <v>3645</v>
      </c>
    </row>
    <row r="3455" spans="1:1" x14ac:dyDescent="0.25">
      <c r="A3455" s="29" t="s">
        <v>3646</v>
      </c>
    </row>
    <row r="3456" spans="1:1" x14ac:dyDescent="0.25">
      <c r="A3456" t="s">
        <v>3647</v>
      </c>
    </row>
    <row r="3457" spans="1:1" ht="255" x14ac:dyDescent="0.25">
      <c r="A3457" s="125" t="s">
        <v>3648</v>
      </c>
    </row>
    <row r="3458" spans="1:1" ht="270" x14ac:dyDescent="0.25">
      <c r="A3458" s="125" t="s">
        <v>3649</v>
      </c>
    </row>
    <row r="3459" spans="1:1" x14ac:dyDescent="0.25">
      <c r="A3459" s="124" t="s">
        <v>3650</v>
      </c>
    </row>
    <row r="3460" spans="1:1" x14ac:dyDescent="0.25">
      <c r="A3460" s="123" t="s">
        <v>3651</v>
      </c>
    </row>
    <row r="3461" spans="1:1" x14ac:dyDescent="0.25">
      <c r="A3461" s="124" t="s">
        <v>3652</v>
      </c>
    </row>
    <row r="3462" spans="1:1" x14ac:dyDescent="0.25">
      <c r="A3462" t="s">
        <v>3653</v>
      </c>
    </row>
    <row r="3463" spans="1:1" x14ac:dyDescent="0.25">
      <c r="A3463" s="123" t="s">
        <v>3654</v>
      </c>
    </row>
    <row r="3464" spans="1:1" x14ac:dyDescent="0.25">
      <c r="A3464" s="123" t="s">
        <v>3655</v>
      </c>
    </row>
    <row r="3465" spans="1:1" x14ac:dyDescent="0.25">
      <c r="A3465" s="124" t="s">
        <v>3656</v>
      </c>
    </row>
    <row r="3466" spans="1:1" x14ac:dyDescent="0.25">
      <c r="A3466" s="123" t="s">
        <v>3657</v>
      </c>
    </row>
    <row r="3467" spans="1:1" x14ac:dyDescent="0.25">
      <c r="A3467" s="124" t="s">
        <v>3658</v>
      </c>
    </row>
    <row r="3468" spans="1:1" x14ac:dyDescent="0.25">
      <c r="A3468" t="s">
        <v>3659</v>
      </c>
    </row>
    <row r="3469" spans="1:1" x14ac:dyDescent="0.25">
      <c r="A3469" s="123" t="s">
        <v>3660</v>
      </c>
    </row>
    <row r="3470" spans="1:1" x14ac:dyDescent="0.25">
      <c r="A3470" s="123" t="s">
        <v>3661</v>
      </c>
    </row>
    <row r="3471" spans="1:1" x14ac:dyDescent="0.25">
      <c r="A3471" s="124" t="s">
        <v>3662</v>
      </c>
    </row>
    <row r="3472" spans="1:1" x14ac:dyDescent="0.25">
      <c r="A3472" s="124" t="s">
        <v>3663</v>
      </c>
    </row>
    <row r="3473" spans="1:1" x14ac:dyDescent="0.25">
      <c r="A3473" t="s">
        <v>3664</v>
      </c>
    </row>
    <row r="3474" spans="1:1" x14ac:dyDescent="0.25">
      <c r="A3474" s="29" t="s">
        <v>3665</v>
      </c>
    </row>
    <row r="3475" spans="1:1" x14ac:dyDescent="0.25">
      <c r="A3475" s="124" t="s">
        <v>3666</v>
      </c>
    </row>
    <row r="3476" spans="1:1" x14ac:dyDescent="0.25">
      <c r="A3476" s="29" t="s">
        <v>3667</v>
      </c>
    </row>
    <row r="3477" spans="1:1" x14ac:dyDescent="0.25">
      <c r="A3477" s="123" t="s">
        <v>3668</v>
      </c>
    </row>
    <row r="3478" spans="1:1" x14ac:dyDescent="0.25">
      <c r="A3478" s="124" t="s">
        <v>3669</v>
      </c>
    </row>
    <row r="3479" spans="1:1" x14ac:dyDescent="0.25">
      <c r="A3479" t="s">
        <v>3670</v>
      </c>
    </row>
    <row r="3480" spans="1:1" x14ac:dyDescent="0.25">
      <c r="A3480" s="123" t="s">
        <v>3671</v>
      </c>
    </row>
    <row r="3481" spans="1:1" x14ac:dyDescent="0.25">
      <c r="A3481" s="123" t="s">
        <v>3672</v>
      </c>
    </row>
    <row r="3482" spans="1:1" x14ac:dyDescent="0.25">
      <c r="A3482" s="29" t="s">
        <v>3673</v>
      </c>
    </row>
    <row r="3483" spans="1:1" x14ac:dyDescent="0.25">
      <c r="A3483" s="29" t="s">
        <v>3674</v>
      </c>
    </row>
    <row r="3484" spans="1:1" x14ac:dyDescent="0.25">
      <c r="A3484" s="29" t="s">
        <v>3675</v>
      </c>
    </row>
    <row r="3485" spans="1:1" x14ac:dyDescent="0.25">
      <c r="A3485" t="s">
        <v>3676</v>
      </c>
    </row>
    <row r="3486" spans="1:1" ht="255" x14ac:dyDescent="0.25">
      <c r="A3486" s="125" t="s">
        <v>3677</v>
      </c>
    </row>
    <row r="3487" spans="1:1" ht="270" x14ac:dyDescent="0.25">
      <c r="A3487" s="125" t="s">
        <v>3678</v>
      </c>
    </row>
    <row r="3488" spans="1:1" x14ac:dyDescent="0.25">
      <c r="A3488" s="124" t="s">
        <v>3679</v>
      </c>
    </row>
    <row r="3489" spans="1:1" x14ac:dyDescent="0.25">
      <c r="A3489" s="123" t="s">
        <v>3680</v>
      </c>
    </row>
    <row r="3490" spans="1:1" x14ac:dyDescent="0.25">
      <c r="A3490" s="124" t="s">
        <v>3681</v>
      </c>
    </row>
    <row r="3491" spans="1:1" x14ac:dyDescent="0.25">
      <c r="A3491" t="s">
        <v>3682</v>
      </c>
    </row>
    <row r="3492" spans="1:1" x14ac:dyDescent="0.25">
      <c r="A3492" s="123" t="s">
        <v>3683</v>
      </c>
    </row>
    <row r="3493" spans="1:1" x14ac:dyDescent="0.25">
      <c r="A3493" s="123" t="s">
        <v>3684</v>
      </c>
    </row>
    <row r="3494" spans="1:1" x14ac:dyDescent="0.25">
      <c r="A3494" s="124" t="s">
        <v>3685</v>
      </c>
    </row>
    <row r="3495" spans="1:1" x14ac:dyDescent="0.25">
      <c r="A3495" s="123" t="s">
        <v>3686</v>
      </c>
    </row>
    <row r="3496" spans="1:1" x14ac:dyDescent="0.25">
      <c r="A3496" s="124" t="s">
        <v>3687</v>
      </c>
    </row>
    <row r="3497" spans="1:1" x14ac:dyDescent="0.25">
      <c r="A3497" t="s">
        <v>3688</v>
      </c>
    </row>
    <row r="3498" spans="1:1" x14ac:dyDescent="0.25">
      <c r="A3498" s="123" t="s">
        <v>3689</v>
      </c>
    </row>
    <row r="3499" spans="1:1" x14ac:dyDescent="0.25">
      <c r="A3499" s="123" t="s">
        <v>3690</v>
      </c>
    </row>
    <row r="3500" spans="1:1" x14ac:dyDescent="0.25">
      <c r="A3500" s="124" t="s">
        <v>3691</v>
      </c>
    </row>
    <row r="3501" spans="1:1" x14ac:dyDescent="0.25">
      <c r="A3501" s="124" t="s">
        <v>3692</v>
      </c>
    </row>
    <row r="3502" spans="1:1" x14ac:dyDescent="0.25">
      <c r="A3502" t="s">
        <v>3693</v>
      </c>
    </row>
    <row r="3503" spans="1:1" x14ac:dyDescent="0.25">
      <c r="A3503" s="124" t="s">
        <v>3694</v>
      </c>
    </row>
    <row r="3504" spans="1:1" x14ac:dyDescent="0.25">
      <c r="A3504" s="29" t="s">
        <v>3695</v>
      </c>
    </row>
    <row r="3505" spans="1:1" x14ac:dyDescent="0.25">
      <c r="A3505" s="123" t="s">
        <v>3696</v>
      </c>
    </row>
    <row r="3506" spans="1:1" x14ac:dyDescent="0.25">
      <c r="A3506" s="124" t="s">
        <v>3697</v>
      </c>
    </row>
    <row r="3507" spans="1:1" x14ac:dyDescent="0.25">
      <c r="A3507" t="s">
        <v>3698</v>
      </c>
    </row>
    <row r="3508" spans="1:1" x14ac:dyDescent="0.25">
      <c r="A3508" s="123" t="s">
        <v>3699</v>
      </c>
    </row>
    <row r="3509" spans="1:1" x14ac:dyDescent="0.25">
      <c r="A3509" s="123" t="s">
        <v>3700</v>
      </c>
    </row>
    <row r="3510" spans="1:1" x14ac:dyDescent="0.25">
      <c r="A3510" s="29" t="s">
        <v>3701</v>
      </c>
    </row>
    <row r="3511" spans="1:1" x14ac:dyDescent="0.25">
      <c r="A3511" s="29" t="s">
        <v>3702</v>
      </c>
    </row>
    <row r="3512" spans="1:1" x14ac:dyDescent="0.25">
      <c r="A3512" s="29" t="s">
        <v>3703</v>
      </c>
    </row>
    <row r="3513" spans="1:1" x14ac:dyDescent="0.25">
      <c r="A3513" t="s">
        <v>3704</v>
      </c>
    </row>
    <row r="3514" spans="1:1" ht="255" x14ac:dyDescent="0.25">
      <c r="A3514" s="125" t="s">
        <v>3705</v>
      </c>
    </row>
    <row r="3515" spans="1:1" ht="270" x14ac:dyDescent="0.25">
      <c r="A3515" s="125" t="s">
        <v>3706</v>
      </c>
    </row>
    <row r="3516" spans="1:1" x14ac:dyDescent="0.25">
      <c r="A3516" s="124" t="s">
        <v>3707</v>
      </c>
    </row>
    <row r="3517" spans="1:1" x14ac:dyDescent="0.25">
      <c r="A3517" s="123" t="s">
        <v>3708</v>
      </c>
    </row>
    <row r="3518" spans="1:1" x14ac:dyDescent="0.25">
      <c r="A3518" s="124" t="s">
        <v>3709</v>
      </c>
    </row>
    <row r="3519" spans="1:1" x14ac:dyDescent="0.25">
      <c r="A3519" t="s">
        <v>3710</v>
      </c>
    </row>
    <row r="3520" spans="1:1" x14ac:dyDescent="0.25">
      <c r="A3520" s="123" t="s">
        <v>3711</v>
      </c>
    </row>
    <row r="3521" spans="1:1" x14ac:dyDescent="0.25">
      <c r="A3521" s="123" t="s">
        <v>3712</v>
      </c>
    </row>
    <row r="3522" spans="1:1" x14ac:dyDescent="0.25">
      <c r="A3522" s="124" t="s">
        <v>3713</v>
      </c>
    </row>
    <row r="3523" spans="1:1" x14ac:dyDescent="0.25">
      <c r="A3523" s="123" t="s">
        <v>3714</v>
      </c>
    </row>
    <row r="3524" spans="1:1" x14ac:dyDescent="0.25">
      <c r="A3524" s="124" t="s">
        <v>3715</v>
      </c>
    </row>
    <row r="3525" spans="1:1" x14ac:dyDescent="0.25">
      <c r="A3525" t="s">
        <v>3716</v>
      </c>
    </row>
    <row r="3526" spans="1:1" x14ac:dyDescent="0.25">
      <c r="A3526" s="123" t="s">
        <v>3717</v>
      </c>
    </row>
    <row r="3527" spans="1:1" x14ac:dyDescent="0.25">
      <c r="A3527" s="123" t="s">
        <v>3718</v>
      </c>
    </row>
    <row r="3528" spans="1:1" x14ac:dyDescent="0.25">
      <c r="A3528" s="124" t="s">
        <v>3719</v>
      </c>
    </row>
    <row r="3529" spans="1:1" x14ac:dyDescent="0.25">
      <c r="A3529" s="124" t="s">
        <v>3720</v>
      </c>
    </row>
    <row r="3530" spans="1:1" x14ac:dyDescent="0.25">
      <c r="A3530" t="s">
        <v>3721</v>
      </c>
    </row>
    <row r="3531" spans="1:1" x14ac:dyDescent="0.25">
      <c r="A3531" s="124" t="s">
        <v>3722</v>
      </c>
    </row>
    <row r="3532" spans="1:1" x14ac:dyDescent="0.25">
      <c r="A3532" s="29" t="s">
        <v>3723</v>
      </c>
    </row>
    <row r="3533" spans="1:1" x14ac:dyDescent="0.25">
      <c r="A3533" s="123" t="s">
        <v>3724</v>
      </c>
    </row>
    <row r="3534" spans="1:1" x14ac:dyDescent="0.25">
      <c r="A3534" s="124" t="s">
        <v>3725</v>
      </c>
    </row>
    <row r="3535" spans="1:1" x14ac:dyDescent="0.25">
      <c r="A3535" t="s">
        <v>3726</v>
      </c>
    </row>
    <row r="3536" spans="1:1" x14ac:dyDescent="0.25">
      <c r="A3536" s="123" t="s">
        <v>3727</v>
      </c>
    </row>
    <row r="3537" spans="1:1" x14ac:dyDescent="0.25">
      <c r="A3537" s="123" t="s">
        <v>3728</v>
      </c>
    </row>
    <row r="3538" spans="1:1" x14ac:dyDescent="0.25">
      <c r="A3538" s="29" t="s">
        <v>3729</v>
      </c>
    </row>
    <row r="3539" spans="1:1" x14ac:dyDescent="0.25">
      <c r="A3539" s="29" t="s">
        <v>3730</v>
      </c>
    </row>
    <row r="3540" spans="1:1" x14ac:dyDescent="0.25">
      <c r="A3540" s="29" t="s">
        <v>3731</v>
      </c>
    </row>
    <row r="3541" spans="1:1" x14ac:dyDescent="0.25">
      <c r="A3541" t="s">
        <v>3732</v>
      </c>
    </row>
    <row r="3542" spans="1:1" ht="255" x14ac:dyDescent="0.25">
      <c r="A3542" s="125" t="s">
        <v>3733</v>
      </c>
    </row>
    <row r="3543" spans="1:1" ht="270" x14ac:dyDescent="0.25">
      <c r="A3543" s="125" t="s">
        <v>3734</v>
      </c>
    </row>
    <row r="3544" spans="1:1" x14ac:dyDescent="0.25">
      <c r="A3544" s="124" t="s">
        <v>3735</v>
      </c>
    </row>
    <row r="3545" spans="1:1" x14ac:dyDescent="0.25">
      <c r="A3545" s="123" t="s">
        <v>3736</v>
      </c>
    </row>
    <row r="3546" spans="1:1" x14ac:dyDescent="0.25">
      <c r="A3546" s="124" t="s">
        <v>3737</v>
      </c>
    </row>
    <row r="3547" spans="1:1" x14ac:dyDescent="0.25">
      <c r="A3547" t="s">
        <v>3738</v>
      </c>
    </row>
    <row r="3548" spans="1:1" x14ac:dyDescent="0.25">
      <c r="A3548" s="123" t="s">
        <v>3739</v>
      </c>
    </row>
    <row r="3549" spans="1:1" x14ac:dyDescent="0.25">
      <c r="A3549" s="123" t="s">
        <v>3740</v>
      </c>
    </row>
    <row r="3550" spans="1:1" x14ac:dyDescent="0.25">
      <c r="A3550" s="124" t="s">
        <v>3741</v>
      </c>
    </row>
    <row r="3551" spans="1:1" x14ac:dyDescent="0.25">
      <c r="A3551" s="123" t="s">
        <v>3742</v>
      </c>
    </row>
    <row r="3552" spans="1:1" x14ac:dyDescent="0.25">
      <c r="A3552" s="124" t="s">
        <v>3743</v>
      </c>
    </row>
    <row r="3553" spans="1:1" x14ac:dyDescent="0.25">
      <c r="A3553" t="s">
        <v>3744</v>
      </c>
    </row>
    <row r="3554" spans="1:1" x14ac:dyDescent="0.25">
      <c r="A3554" s="123" t="s">
        <v>3745</v>
      </c>
    </row>
    <row r="3555" spans="1:1" x14ac:dyDescent="0.25">
      <c r="A3555" s="123" t="s">
        <v>3746</v>
      </c>
    </row>
    <row r="3556" spans="1:1" x14ac:dyDescent="0.25">
      <c r="A3556" s="123" t="s">
        <v>3747</v>
      </c>
    </row>
    <row r="3557" spans="1:1" x14ac:dyDescent="0.25">
      <c r="A3557" s="123" t="s">
        <v>3748</v>
      </c>
    </row>
    <row r="3558" spans="1:1" x14ac:dyDescent="0.25">
      <c r="A3558" s="123" t="s">
        <v>3749</v>
      </c>
    </row>
    <row r="3559" spans="1:1" x14ac:dyDescent="0.25">
      <c r="A3559" s="124" t="s">
        <v>3750</v>
      </c>
    </row>
    <row r="3560" spans="1:1" x14ac:dyDescent="0.25">
      <c r="A3560" s="124" t="s">
        <v>3751</v>
      </c>
    </row>
    <row r="3561" spans="1:1" x14ac:dyDescent="0.25">
      <c r="A3561" s="123" t="s">
        <v>3752</v>
      </c>
    </row>
    <row r="3562" spans="1:1" x14ac:dyDescent="0.25">
      <c r="A3562" s="29" t="s">
        <v>3753</v>
      </c>
    </row>
    <row r="3563" spans="1:1" x14ac:dyDescent="0.25">
      <c r="A3563" s="123" t="s">
        <v>3754</v>
      </c>
    </row>
    <row r="3564" spans="1:1" x14ac:dyDescent="0.25">
      <c r="A3564" s="123" t="s">
        <v>3755</v>
      </c>
    </row>
    <row r="3565" spans="1:1" x14ac:dyDescent="0.25">
      <c r="A3565" s="123" t="s">
        <v>3756</v>
      </c>
    </row>
    <row r="3566" spans="1:1" x14ac:dyDescent="0.25">
      <c r="A3566" s="124" t="s">
        <v>3757</v>
      </c>
    </row>
    <row r="3567" spans="1:1" x14ac:dyDescent="0.25">
      <c r="A3567" s="124" t="s">
        <v>3758</v>
      </c>
    </row>
    <row r="3568" spans="1:1" x14ac:dyDescent="0.25">
      <c r="A3568" s="123" t="s">
        <v>3759</v>
      </c>
    </row>
    <row r="3569" spans="1:1" x14ac:dyDescent="0.25">
      <c r="A3569" s="29" t="s">
        <v>3760</v>
      </c>
    </row>
    <row r="3570" spans="1:1" x14ac:dyDescent="0.25">
      <c r="A3570" s="123" t="s">
        <v>3761</v>
      </c>
    </row>
    <row r="3571" spans="1:1" x14ac:dyDescent="0.25">
      <c r="A3571" s="123" t="s">
        <v>3762</v>
      </c>
    </row>
    <row r="3572" spans="1:1" x14ac:dyDescent="0.25">
      <c r="A3572" s="123" t="s">
        <v>3763</v>
      </c>
    </row>
    <row r="3573" spans="1:1" x14ac:dyDescent="0.25">
      <c r="A3573" s="124" t="s">
        <v>3764</v>
      </c>
    </row>
    <row r="3574" spans="1:1" x14ac:dyDescent="0.25">
      <c r="A3574" s="124" t="s">
        <v>3765</v>
      </c>
    </row>
    <row r="3575" spans="1:1" x14ac:dyDescent="0.25">
      <c r="A3575" s="123" t="s">
        <v>3766</v>
      </c>
    </row>
    <row r="3576" spans="1:1" x14ac:dyDescent="0.25">
      <c r="A3576" s="29" t="s">
        <v>3767</v>
      </c>
    </row>
    <row r="3577" spans="1:1" x14ac:dyDescent="0.25">
      <c r="A3577" s="123" t="s">
        <v>3768</v>
      </c>
    </row>
    <row r="3578" spans="1:1" x14ac:dyDescent="0.25">
      <c r="A3578" s="123" t="s">
        <v>3769</v>
      </c>
    </row>
    <row r="3579" spans="1:1" x14ac:dyDescent="0.25">
      <c r="A3579" s="123" t="s">
        <v>3770</v>
      </c>
    </row>
    <row r="3580" spans="1:1" x14ac:dyDescent="0.25">
      <c r="A3580" s="124" t="s">
        <v>3771</v>
      </c>
    </row>
    <row r="3581" spans="1:1" x14ac:dyDescent="0.25">
      <c r="A3581" s="124" t="s">
        <v>3772</v>
      </c>
    </row>
    <row r="3582" spans="1:1" x14ac:dyDescent="0.25">
      <c r="A3582" s="123" t="s">
        <v>3773</v>
      </c>
    </row>
    <row r="3583" spans="1:1" x14ac:dyDescent="0.25">
      <c r="A3583" s="29" t="s">
        <v>3774</v>
      </c>
    </row>
    <row r="3584" spans="1:1" x14ac:dyDescent="0.25">
      <c r="A3584" s="123" t="s">
        <v>3775</v>
      </c>
    </row>
    <row r="3585" spans="1:1" x14ac:dyDescent="0.25">
      <c r="A3585" s="123" t="s">
        <v>3776</v>
      </c>
    </row>
    <row r="3586" spans="1:1" x14ac:dyDescent="0.25">
      <c r="A3586" s="123" t="s">
        <v>3777</v>
      </c>
    </row>
    <row r="3587" spans="1:1" x14ac:dyDescent="0.25">
      <c r="A3587" s="124" t="s">
        <v>3778</v>
      </c>
    </row>
    <row r="3588" spans="1:1" x14ac:dyDescent="0.25">
      <c r="A3588" s="124" t="s">
        <v>3779</v>
      </c>
    </row>
    <row r="3589" spans="1:1" x14ac:dyDescent="0.25">
      <c r="A3589" s="123" t="s">
        <v>3780</v>
      </c>
    </row>
    <row r="3590" spans="1:1" x14ac:dyDescent="0.25">
      <c r="A3590" s="29" t="s">
        <v>3781</v>
      </c>
    </row>
    <row r="3591" spans="1:1" x14ac:dyDescent="0.25">
      <c r="A3591" s="123" t="s">
        <v>3782</v>
      </c>
    </row>
    <row r="3592" spans="1:1" x14ac:dyDescent="0.25">
      <c r="A3592" s="123" t="s">
        <v>3783</v>
      </c>
    </row>
    <row r="3593" spans="1:1" x14ac:dyDescent="0.25">
      <c r="A3593" s="123" t="s">
        <v>3784</v>
      </c>
    </row>
    <row r="3594" spans="1:1" x14ac:dyDescent="0.25">
      <c r="A3594" s="124" t="s">
        <v>3785</v>
      </c>
    </row>
    <row r="3595" spans="1:1" x14ac:dyDescent="0.25">
      <c r="A3595" s="124" t="s">
        <v>3786</v>
      </c>
    </row>
    <row r="3596" spans="1:1" x14ac:dyDescent="0.25">
      <c r="A3596" s="123" t="s">
        <v>3787</v>
      </c>
    </row>
    <row r="3597" spans="1:1" x14ac:dyDescent="0.25">
      <c r="A3597" s="29" t="s">
        <v>3788</v>
      </c>
    </row>
    <row r="3598" spans="1:1" x14ac:dyDescent="0.25">
      <c r="A3598" s="123" t="s">
        <v>3789</v>
      </c>
    </row>
    <row r="3599" spans="1:1" x14ac:dyDescent="0.25">
      <c r="A3599" s="123" t="s">
        <v>3790</v>
      </c>
    </row>
    <row r="3600" spans="1:1" x14ac:dyDescent="0.25">
      <c r="A3600" s="123" t="s">
        <v>3791</v>
      </c>
    </row>
    <row r="3601" spans="1:1" x14ac:dyDescent="0.25">
      <c r="A3601" s="124" t="s">
        <v>3792</v>
      </c>
    </row>
    <row r="3602" spans="1:1" x14ac:dyDescent="0.25">
      <c r="A3602" s="124" t="s">
        <v>3793</v>
      </c>
    </row>
    <row r="3603" spans="1:1" x14ac:dyDescent="0.25">
      <c r="A3603" s="123" t="s">
        <v>3794</v>
      </c>
    </row>
    <row r="3604" spans="1:1" x14ac:dyDescent="0.25">
      <c r="A3604" s="29" t="s">
        <v>3795</v>
      </c>
    </row>
    <row r="3605" spans="1:1" x14ac:dyDescent="0.25">
      <c r="A3605" s="123" t="s">
        <v>3796</v>
      </c>
    </row>
    <row r="3606" spans="1:1" x14ac:dyDescent="0.25">
      <c r="A3606" s="123" t="s">
        <v>3797</v>
      </c>
    </row>
    <row r="3607" spans="1:1" x14ac:dyDescent="0.25">
      <c r="A3607" s="123" t="s">
        <v>3798</v>
      </c>
    </row>
    <row r="3608" spans="1:1" x14ac:dyDescent="0.25">
      <c r="A3608" s="124" t="s">
        <v>3799</v>
      </c>
    </row>
    <row r="3609" spans="1:1" x14ac:dyDescent="0.25">
      <c r="A3609" s="124" t="s">
        <v>3800</v>
      </c>
    </row>
    <row r="3610" spans="1:1" x14ac:dyDescent="0.25">
      <c r="A3610" s="123" t="s">
        <v>3801</v>
      </c>
    </row>
    <row r="3611" spans="1:1" x14ac:dyDescent="0.25">
      <c r="A3611" s="29" t="s">
        <v>3802</v>
      </c>
    </row>
    <row r="3612" spans="1:1" x14ac:dyDescent="0.25">
      <c r="A3612" s="124" t="s">
        <v>3803</v>
      </c>
    </row>
    <row r="3613" spans="1:1" x14ac:dyDescent="0.25">
      <c r="A3613" s="124" t="s">
        <v>3804</v>
      </c>
    </row>
    <row r="3614" spans="1:1" x14ac:dyDescent="0.25">
      <c r="A3614" t="s">
        <v>3805</v>
      </c>
    </row>
    <row r="3615" spans="1:1" x14ac:dyDescent="0.25">
      <c r="A3615" s="29" t="s">
        <v>3806</v>
      </c>
    </row>
    <row r="3616" spans="1:1" x14ac:dyDescent="0.25">
      <c r="A3616" s="124" t="s">
        <v>3807</v>
      </c>
    </row>
    <row r="3617" spans="1:1" x14ac:dyDescent="0.25">
      <c r="A3617" s="29" t="s">
        <v>3808</v>
      </c>
    </row>
    <row r="3618" spans="1:1" x14ac:dyDescent="0.25">
      <c r="A3618" s="123" t="s">
        <v>3809</v>
      </c>
    </row>
    <row r="3619" spans="1:1" x14ac:dyDescent="0.25">
      <c r="A3619" s="124" t="s">
        <v>3810</v>
      </c>
    </row>
    <row r="3620" spans="1:1" x14ac:dyDescent="0.25">
      <c r="A3620" t="s">
        <v>3811</v>
      </c>
    </row>
    <row r="3621" spans="1:1" x14ac:dyDescent="0.25">
      <c r="A3621" s="123" t="s">
        <v>3812</v>
      </c>
    </row>
    <row r="3622" spans="1:1" x14ac:dyDescent="0.25">
      <c r="A3622" s="123" t="s">
        <v>3813</v>
      </c>
    </row>
    <row r="3623" spans="1:1" x14ac:dyDescent="0.25">
      <c r="A3623" s="29" t="s">
        <v>3814</v>
      </c>
    </row>
    <row r="3624" spans="1:1" x14ac:dyDescent="0.25">
      <c r="A3624" s="29" t="s">
        <v>3815</v>
      </c>
    </row>
    <row r="3625" spans="1:1" x14ac:dyDescent="0.25">
      <c r="A3625" s="29" t="s">
        <v>3816</v>
      </c>
    </row>
    <row r="3626" spans="1:1" x14ac:dyDescent="0.25">
      <c r="A3626" t="s">
        <v>3817</v>
      </c>
    </row>
    <row r="3627" spans="1:1" ht="255" x14ac:dyDescent="0.25">
      <c r="A3627" s="125" t="s">
        <v>3818</v>
      </c>
    </row>
    <row r="3628" spans="1:1" ht="270" x14ac:dyDescent="0.25">
      <c r="A3628" s="125" t="s">
        <v>3819</v>
      </c>
    </row>
    <row r="3629" spans="1:1" x14ac:dyDescent="0.25">
      <c r="A3629" s="124" t="s">
        <v>3820</v>
      </c>
    </row>
    <row r="3630" spans="1:1" x14ac:dyDescent="0.25">
      <c r="A3630" s="123" t="s">
        <v>3821</v>
      </c>
    </row>
    <row r="3631" spans="1:1" x14ac:dyDescent="0.25">
      <c r="A3631" s="124" t="s">
        <v>3822</v>
      </c>
    </row>
    <row r="3632" spans="1:1" x14ac:dyDescent="0.25">
      <c r="A3632" t="s">
        <v>3823</v>
      </c>
    </row>
    <row r="3633" spans="1:1" x14ac:dyDescent="0.25">
      <c r="A3633" s="123" t="s">
        <v>3824</v>
      </c>
    </row>
    <row r="3634" spans="1:1" x14ac:dyDescent="0.25">
      <c r="A3634" s="123" t="s">
        <v>3825</v>
      </c>
    </row>
    <row r="3635" spans="1:1" x14ac:dyDescent="0.25">
      <c r="A3635" s="124" t="s">
        <v>3826</v>
      </c>
    </row>
    <row r="3636" spans="1:1" x14ac:dyDescent="0.25">
      <c r="A3636" s="123" t="s">
        <v>3827</v>
      </c>
    </row>
    <row r="3637" spans="1:1" x14ac:dyDescent="0.25">
      <c r="A3637" s="124" t="s">
        <v>3828</v>
      </c>
    </row>
    <row r="3638" spans="1:1" x14ac:dyDescent="0.25">
      <c r="A3638" t="s">
        <v>3829</v>
      </c>
    </row>
    <row r="3639" spans="1:1" x14ac:dyDescent="0.25">
      <c r="A3639" s="123" t="s">
        <v>3830</v>
      </c>
    </row>
    <row r="3640" spans="1:1" x14ac:dyDescent="0.25">
      <c r="A3640" s="123" t="s">
        <v>3831</v>
      </c>
    </row>
    <row r="3641" spans="1:1" x14ac:dyDescent="0.25">
      <c r="A3641" s="124" t="s">
        <v>3832</v>
      </c>
    </row>
    <row r="3642" spans="1:1" x14ac:dyDescent="0.25">
      <c r="A3642" s="124" t="s">
        <v>3833</v>
      </c>
    </row>
    <row r="3643" spans="1:1" x14ac:dyDescent="0.25">
      <c r="A3643" t="s">
        <v>3834</v>
      </c>
    </row>
    <row r="3644" spans="1:1" x14ac:dyDescent="0.25">
      <c r="A3644" s="124" t="s">
        <v>3835</v>
      </c>
    </row>
    <row r="3645" spans="1:1" x14ac:dyDescent="0.25">
      <c r="A3645" s="123" t="s">
        <v>3836</v>
      </c>
    </row>
    <row r="3646" spans="1:1" x14ac:dyDescent="0.25">
      <c r="A3646" s="124" t="s">
        <v>3837</v>
      </c>
    </row>
    <row r="3647" spans="1:1" x14ac:dyDescent="0.25">
      <c r="A3647" t="s">
        <v>3838</v>
      </c>
    </row>
    <row r="3648" spans="1:1" x14ac:dyDescent="0.25">
      <c r="A3648" s="123" t="s">
        <v>3839</v>
      </c>
    </row>
    <row r="3649" spans="1:1" x14ac:dyDescent="0.25">
      <c r="A3649" s="123" t="s">
        <v>3840</v>
      </c>
    </row>
    <row r="3650" spans="1:1" x14ac:dyDescent="0.25">
      <c r="A3650" s="29" t="s">
        <v>3841</v>
      </c>
    </row>
    <row r="3651" spans="1:1" x14ac:dyDescent="0.25">
      <c r="A3651" s="29" t="s">
        <v>3842</v>
      </c>
    </row>
    <row r="3652" spans="1:1" x14ac:dyDescent="0.25">
      <c r="A3652" s="29" t="s">
        <v>3843</v>
      </c>
    </row>
    <row r="3653" spans="1:1" x14ac:dyDescent="0.25">
      <c r="A3653" t="s">
        <v>3844</v>
      </c>
    </row>
    <row r="3654" spans="1:1" x14ac:dyDescent="0.25">
      <c r="A3654" s="29" t="s">
        <v>3845</v>
      </c>
    </row>
    <row r="3655" spans="1:1" ht="255" x14ac:dyDescent="0.25">
      <c r="A3655" s="125" t="s">
        <v>3846</v>
      </c>
    </row>
    <row r="3656" spans="1:1" ht="270" x14ac:dyDescent="0.25">
      <c r="A3656" s="125" t="s">
        <v>3847</v>
      </c>
    </row>
    <row r="3657" spans="1:1" x14ac:dyDescent="0.25">
      <c r="A3657" s="124" t="s">
        <v>3848</v>
      </c>
    </row>
    <row r="3658" spans="1:1" x14ac:dyDescent="0.25">
      <c r="A3658" s="123" t="s">
        <v>3849</v>
      </c>
    </row>
    <row r="3659" spans="1:1" x14ac:dyDescent="0.25">
      <c r="A3659" s="124" t="s">
        <v>3850</v>
      </c>
    </row>
    <row r="3660" spans="1:1" x14ac:dyDescent="0.25">
      <c r="A3660" t="s">
        <v>3851</v>
      </c>
    </row>
    <row r="3661" spans="1:1" x14ac:dyDescent="0.25">
      <c r="A3661" s="123" t="s">
        <v>3852</v>
      </c>
    </row>
    <row r="3662" spans="1:1" x14ac:dyDescent="0.25">
      <c r="A3662" s="123" t="s">
        <v>3853</v>
      </c>
    </row>
    <row r="3663" spans="1:1" x14ac:dyDescent="0.25">
      <c r="A3663" s="124" t="s">
        <v>3854</v>
      </c>
    </row>
    <row r="3664" spans="1:1" x14ac:dyDescent="0.25">
      <c r="A3664" s="123" t="s">
        <v>3855</v>
      </c>
    </row>
    <row r="3665" spans="1:1" x14ac:dyDescent="0.25">
      <c r="A3665" s="124" t="s">
        <v>3856</v>
      </c>
    </row>
    <row r="3666" spans="1:1" x14ac:dyDescent="0.25">
      <c r="A3666" t="s">
        <v>3857</v>
      </c>
    </row>
    <row r="3667" spans="1:1" x14ac:dyDescent="0.25">
      <c r="A3667" s="123" t="s">
        <v>3858</v>
      </c>
    </row>
    <row r="3668" spans="1:1" x14ac:dyDescent="0.25">
      <c r="A3668" s="123" t="s">
        <v>3859</v>
      </c>
    </row>
    <row r="3669" spans="1:1" x14ac:dyDescent="0.25">
      <c r="A3669" s="29" t="s">
        <v>3860</v>
      </c>
    </row>
    <row r="3670" spans="1:1" x14ac:dyDescent="0.25">
      <c r="A3670" s="29" t="s">
        <v>3861</v>
      </c>
    </row>
    <row r="3671" spans="1:1" x14ac:dyDescent="0.25">
      <c r="A3671" s="29" t="s">
        <v>3862</v>
      </c>
    </row>
    <row r="3672" spans="1:1" x14ac:dyDescent="0.25">
      <c r="A3672" s="124" t="s">
        <v>3863</v>
      </c>
    </row>
    <row r="3673" spans="1:1" x14ac:dyDescent="0.25">
      <c r="A3673" s="124" t="s">
        <v>3864</v>
      </c>
    </row>
    <row r="3674" spans="1:1" x14ac:dyDescent="0.25">
      <c r="A3674" t="s">
        <v>3865</v>
      </c>
    </row>
    <row r="3675" spans="1:1" x14ac:dyDescent="0.25">
      <c r="A3675" s="29" t="s">
        <v>3866</v>
      </c>
    </row>
    <row r="3676" spans="1:1" x14ac:dyDescent="0.25">
      <c r="A3676" s="124" t="s">
        <v>3867</v>
      </c>
    </row>
    <row r="3677" spans="1:1" x14ac:dyDescent="0.25">
      <c r="A3677" s="124" t="s">
        <v>3868</v>
      </c>
    </row>
    <row r="3678" spans="1:1" x14ac:dyDescent="0.25">
      <c r="A3678" s="124" t="s">
        <v>3869</v>
      </c>
    </row>
    <row r="3679" spans="1:1" x14ac:dyDescent="0.25">
      <c r="A3679" s="29" t="s">
        <v>3870</v>
      </c>
    </row>
    <row r="3680" spans="1:1" x14ac:dyDescent="0.25">
      <c r="A3680" s="29" t="s">
        <v>3871</v>
      </c>
    </row>
    <row r="3681" spans="1:1" x14ac:dyDescent="0.25">
      <c r="A3681" s="29" t="s">
        <v>3872</v>
      </c>
    </row>
    <row r="3682" spans="1:1" x14ac:dyDescent="0.25">
      <c r="A3682" s="29" t="s">
        <v>3873</v>
      </c>
    </row>
    <row r="3683" spans="1:1" x14ac:dyDescent="0.25">
      <c r="A3683" s="29" t="s">
        <v>3874</v>
      </c>
    </row>
    <row r="3684" spans="1:1" x14ac:dyDescent="0.25">
      <c r="A3684" s="123" t="s">
        <v>3875</v>
      </c>
    </row>
    <row r="3685" spans="1:1" x14ac:dyDescent="0.25">
      <c r="A3685" s="124" t="s">
        <v>3876</v>
      </c>
    </row>
    <row r="3686" spans="1:1" x14ac:dyDescent="0.25">
      <c r="A3686" t="s">
        <v>3877</v>
      </c>
    </row>
    <row r="3687" spans="1:1" x14ac:dyDescent="0.25">
      <c r="A3687" s="123" t="s">
        <v>3878</v>
      </c>
    </row>
    <row r="3688" spans="1:1" x14ac:dyDescent="0.25">
      <c r="A3688" s="123" t="s">
        <v>3879</v>
      </c>
    </row>
    <row r="3689" spans="1:1" x14ac:dyDescent="0.25">
      <c r="A3689" s="29" t="s">
        <v>3880</v>
      </c>
    </row>
    <row r="3690" spans="1:1" x14ac:dyDescent="0.25">
      <c r="A3690" s="29" t="s">
        <v>3881</v>
      </c>
    </row>
    <row r="3691" spans="1:1" x14ac:dyDescent="0.25">
      <c r="A3691" s="29" t="s">
        <v>3882</v>
      </c>
    </row>
    <row r="3692" spans="1:1" x14ac:dyDescent="0.25">
      <c r="A3692" t="s">
        <v>3883</v>
      </c>
    </row>
    <row r="3693" spans="1:1" x14ac:dyDescent="0.25">
      <c r="A3693" s="29" t="s">
        <v>3884</v>
      </c>
    </row>
    <row r="3694" spans="1:1" x14ac:dyDescent="0.25">
      <c r="A3694" s="123" t="s">
        <v>3885</v>
      </c>
    </row>
    <row r="3695" spans="1:1" x14ac:dyDescent="0.25">
      <c r="A3695" s="124" t="s">
        <v>3886</v>
      </c>
    </row>
    <row r="3696" spans="1:1" x14ac:dyDescent="0.25">
      <c r="A3696" t="s">
        <v>3887</v>
      </c>
    </row>
    <row r="3697" spans="1:1" x14ac:dyDescent="0.25">
      <c r="A3697" s="123" t="s">
        <v>3888</v>
      </c>
    </row>
    <row r="3698" spans="1:1" x14ac:dyDescent="0.25">
      <c r="A3698" s="123" t="s">
        <v>3889</v>
      </c>
    </row>
    <row r="3699" spans="1:1" x14ac:dyDescent="0.25">
      <c r="A3699" s="29" t="s">
        <v>3890</v>
      </c>
    </row>
    <row r="3700" spans="1:1" x14ac:dyDescent="0.25">
      <c r="A3700" s="29" t="s">
        <v>3891</v>
      </c>
    </row>
    <row r="3701" spans="1:1" x14ac:dyDescent="0.25">
      <c r="A3701" s="29" t="s">
        <v>3892</v>
      </c>
    </row>
    <row r="3702" spans="1:1" x14ac:dyDescent="0.25">
      <c r="A3702" t="s">
        <v>3893</v>
      </c>
    </row>
    <row r="3703" spans="1:1" x14ac:dyDescent="0.25">
      <c r="A3703" s="29" t="s">
        <v>3894</v>
      </c>
    </row>
    <row r="3704" spans="1:1" x14ac:dyDescent="0.25">
      <c r="A3704" s="29" t="s">
        <v>3895</v>
      </c>
    </row>
    <row r="3705" spans="1:1" x14ac:dyDescent="0.25">
      <c r="A3705" s="29" t="s">
        <v>3896</v>
      </c>
    </row>
    <row r="3706" spans="1:1" x14ac:dyDescent="0.25">
      <c r="A3706" s="29" t="s">
        <v>3897</v>
      </c>
    </row>
    <row r="3707" spans="1:1" x14ac:dyDescent="0.25">
      <c r="A3707" s="124" t="s">
        <v>3898</v>
      </c>
    </row>
    <row r="3708" spans="1:1" x14ac:dyDescent="0.25">
      <c r="A3708" s="29" t="s">
        <v>3899</v>
      </c>
    </row>
    <row r="3709" spans="1:1" x14ac:dyDescent="0.25">
      <c r="A3709" t="s">
        <v>3900</v>
      </c>
    </row>
    <row r="3710" spans="1:1" x14ac:dyDescent="0.25">
      <c r="A3710" s="29" t="s">
        <v>3901</v>
      </c>
    </row>
    <row r="3711" spans="1:1" x14ac:dyDescent="0.25">
      <c r="A3711" s="29" t="s">
        <v>3902</v>
      </c>
    </row>
    <row r="3712" spans="1:1" x14ac:dyDescent="0.25">
      <c r="A3712" s="124" t="s">
        <v>3903</v>
      </c>
    </row>
    <row r="3713" spans="1:1" x14ac:dyDescent="0.25">
      <c r="A3713" s="29" t="s">
        <v>3904</v>
      </c>
    </row>
    <row r="3714" spans="1:1" x14ac:dyDescent="0.25">
      <c r="A3714" s="29" t="s">
        <v>3905</v>
      </c>
    </row>
    <row r="3715" spans="1:1" x14ac:dyDescent="0.25">
      <c r="A3715" s="29" t="s">
        <v>3906</v>
      </c>
    </row>
    <row r="3716" spans="1:1" x14ac:dyDescent="0.25">
      <c r="A3716" s="29" t="s">
        <v>3907</v>
      </c>
    </row>
    <row r="3717" spans="1:1" x14ac:dyDescent="0.25">
      <c r="A3717" s="29" t="s">
        <v>3908</v>
      </c>
    </row>
    <row r="3718" spans="1:1" x14ac:dyDescent="0.25">
      <c r="A3718" s="29" t="s">
        <v>3909</v>
      </c>
    </row>
    <row r="3719" spans="1:1" x14ac:dyDescent="0.25">
      <c r="A3719" s="29" t="s">
        <v>3910</v>
      </c>
    </row>
    <row r="3720" spans="1:1" x14ac:dyDescent="0.25">
      <c r="A3720" s="29" t="s">
        <v>3911</v>
      </c>
    </row>
    <row r="3721" spans="1:1" x14ac:dyDescent="0.25">
      <c r="A3721" s="29" t="s">
        <v>3912</v>
      </c>
    </row>
    <row r="3722" spans="1:1" x14ac:dyDescent="0.25">
      <c r="A3722" s="29" t="s">
        <v>3913</v>
      </c>
    </row>
    <row r="3723" spans="1:1" x14ac:dyDescent="0.25">
      <c r="A3723" s="29" t="s">
        <v>3914</v>
      </c>
    </row>
    <row r="3724" spans="1:1" x14ac:dyDescent="0.25">
      <c r="A3724" s="29" t="s">
        <v>3915</v>
      </c>
    </row>
    <row r="3725" spans="1:1" x14ac:dyDescent="0.25">
      <c r="A3725" s="29" t="s">
        <v>3916</v>
      </c>
    </row>
    <row r="3726" spans="1:1" x14ac:dyDescent="0.25">
      <c r="A3726" s="29" t="s">
        <v>3917</v>
      </c>
    </row>
    <row r="3727" spans="1:1" x14ac:dyDescent="0.25">
      <c r="A3727" s="29" t="s">
        <v>3918</v>
      </c>
    </row>
    <row r="3728" spans="1:1" x14ac:dyDescent="0.25">
      <c r="A3728" s="29" t="s">
        <v>3919</v>
      </c>
    </row>
    <row r="3729" spans="1:1" x14ac:dyDescent="0.25">
      <c r="A3729" s="29" t="s">
        <v>3920</v>
      </c>
    </row>
    <row r="3730" spans="1:1" x14ac:dyDescent="0.25">
      <c r="A3730" s="29" t="s">
        <v>3921</v>
      </c>
    </row>
    <row r="3731" spans="1:1" x14ac:dyDescent="0.25">
      <c r="A3731" s="29" t="s">
        <v>3922</v>
      </c>
    </row>
    <row r="3732" spans="1:1" x14ac:dyDescent="0.25">
      <c r="A3732" s="29" t="s">
        <v>3923</v>
      </c>
    </row>
    <row r="3733" spans="1:1" x14ac:dyDescent="0.25">
      <c r="A3733" s="29" t="s">
        <v>3924</v>
      </c>
    </row>
    <row r="3734" spans="1:1" x14ac:dyDescent="0.25">
      <c r="A3734" s="29" t="s">
        <v>3925</v>
      </c>
    </row>
    <row r="3735" spans="1:1" x14ac:dyDescent="0.25">
      <c r="A3735" s="29" t="s">
        <v>3926</v>
      </c>
    </row>
    <row r="3736" spans="1:1" x14ac:dyDescent="0.25">
      <c r="A3736" s="29" t="s">
        <v>3927</v>
      </c>
    </row>
    <row r="3737" spans="1:1" x14ac:dyDescent="0.25">
      <c r="A3737" s="29" t="s">
        <v>3928</v>
      </c>
    </row>
    <row r="3738" spans="1:1" x14ac:dyDescent="0.25">
      <c r="A3738" s="29" t="s">
        <v>3929</v>
      </c>
    </row>
    <row r="3739" spans="1:1" x14ac:dyDescent="0.25">
      <c r="A3739" s="29" t="s">
        <v>3930</v>
      </c>
    </row>
    <row r="3740" spans="1:1" x14ac:dyDescent="0.25">
      <c r="A3740" s="29" t="s">
        <v>3931</v>
      </c>
    </row>
    <row r="3741" spans="1:1" x14ac:dyDescent="0.25">
      <c r="A3741" s="29" t="s">
        <v>3932</v>
      </c>
    </row>
    <row r="3742" spans="1:1" x14ac:dyDescent="0.25">
      <c r="A3742" s="29" t="s">
        <v>3933</v>
      </c>
    </row>
    <row r="3743" spans="1:1" x14ac:dyDescent="0.25">
      <c r="A3743" s="29" t="s">
        <v>3934</v>
      </c>
    </row>
    <row r="3744" spans="1:1" x14ac:dyDescent="0.25">
      <c r="A3744" s="29" t="s">
        <v>3935</v>
      </c>
    </row>
    <row r="3745" spans="1:1" x14ac:dyDescent="0.25">
      <c r="A3745" s="29" t="s">
        <v>3936</v>
      </c>
    </row>
    <row r="3746" spans="1:1" x14ac:dyDescent="0.25">
      <c r="A3746" s="29" t="s">
        <v>3937</v>
      </c>
    </row>
    <row r="3747" spans="1:1" x14ac:dyDescent="0.25">
      <c r="A3747" s="29" t="s">
        <v>3938</v>
      </c>
    </row>
    <row r="3748" spans="1:1" x14ac:dyDescent="0.25">
      <c r="A3748" s="29" t="s">
        <v>3939</v>
      </c>
    </row>
    <row r="3749" spans="1:1" x14ac:dyDescent="0.25">
      <c r="A3749" s="29" t="s">
        <v>3940</v>
      </c>
    </row>
    <row r="3750" spans="1:1" x14ac:dyDescent="0.25">
      <c r="A3750" s="29" t="s">
        <v>3941</v>
      </c>
    </row>
    <row r="3751" spans="1:1" x14ac:dyDescent="0.25">
      <c r="A3751" s="29" t="s">
        <v>3942</v>
      </c>
    </row>
    <row r="3752" spans="1:1" x14ac:dyDescent="0.25">
      <c r="A3752" s="29" t="s">
        <v>3943</v>
      </c>
    </row>
    <row r="3753" spans="1:1" x14ac:dyDescent="0.25">
      <c r="A3753" s="29" t="s">
        <v>3944</v>
      </c>
    </row>
    <row r="3754" spans="1:1" x14ac:dyDescent="0.25">
      <c r="A3754" s="29" t="s">
        <v>3945</v>
      </c>
    </row>
    <row r="3755" spans="1:1" x14ac:dyDescent="0.25">
      <c r="A3755" s="29" t="s">
        <v>3946</v>
      </c>
    </row>
    <row r="3756" spans="1:1" x14ac:dyDescent="0.25">
      <c r="A3756" s="29" t="s">
        <v>3947</v>
      </c>
    </row>
    <row r="3757" spans="1:1" x14ac:dyDescent="0.25">
      <c r="A3757" s="29" t="s">
        <v>3948</v>
      </c>
    </row>
    <row r="3758" spans="1:1" x14ac:dyDescent="0.25">
      <c r="A3758" s="29" t="s">
        <v>3949</v>
      </c>
    </row>
    <row r="3759" spans="1:1" x14ac:dyDescent="0.25">
      <c r="A3759" s="29" t="s">
        <v>3950</v>
      </c>
    </row>
    <row r="3760" spans="1:1" x14ac:dyDescent="0.25">
      <c r="A3760" s="29" t="s">
        <v>3951</v>
      </c>
    </row>
    <row r="3761" spans="1:1" x14ac:dyDescent="0.25">
      <c r="A3761" s="29" t="s">
        <v>3952</v>
      </c>
    </row>
    <row r="3762" spans="1:1" x14ac:dyDescent="0.25">
      <c r="A3762" s="29" t="s">
        <v>3953</v>
      </c>
    </row>
    <row r="3763" spans="1:1" x14ac:dyDescent="0.25">
      <c r="A3763" s="29" t="s">
        <v>3954</v>
      </c>
    </row>
    <row r="3764" spans="1:1" x14ac:dyDescent="0.25">
      <c r="A3764" s="29" t="s">
        <v>3955</v>
      </c>
    </row>
    <row r="3765" spans="1:1" x14ac:dyDescent="0.25">
      <c r="A3765" s="29" t="s">
        <v>3956</v>
      </c>
    </row>
    <row r="3766" spans="1:1" x14ac:dyDescent="0.25">
      <c r="A3766" s="29" t="s">
        <v>3957</v>
      </c>
    </row>
    <row r="3767" spans="1:1" x14ac:dyDescent="0.25">
      <c r="A3767" s="29" t="s">
        <v>3958</v>
      </c>
    </row>
    <row r="3768" spans="1:1" x14ac:dyDescent="0.25">
      <c r="A3768" s="29" t="s">
        <v>3959</v>
      </c>
    </row>
    <row r="3769" spans="1:1" x14ac:dyDescent="0.25">
      <c r="A3769" s="29" t="s">
        <v>3960</v>
      </c>
    </row>
    <row r="3770" spans="1:1" x14ac:dyDescent="0.25">
      <c r="A3770" s="29" t="s">
        <v>3961</v>
      </c>
    </row>
    <row r="3771" spans="1:1" x14ac:dyDescent="0.25">
      <c r="A3771" s="29" t="s">
        <v>3962</v>
      </c>
    </row>
    <row r="3772" spans="1:1" x14ac:dyDescent="0.25">
      <c r="A3772" s="29" t="s">
        <v>3963</v>
      </c>
    </row>
    <row r="3773" spans="1:1" x14ac:dyDescent="0.25">
      <c r="A3773" s="29" t="s">
        <v>3964</v>
      </c>
    </row>
    <row r="3774" spans="1:1" x14ac:dyDescent="0.25">
      <c r="A3774" s="29" t="s">
        <v>3965</v>
      </c>
    </row>
    <row r="3775" spans="1:1" x14ac:dyDescent="0.25">
      <c r="A3775" s="29" t="s">
        <v>3966</v>
      </c>
    </row>
    <row r="3776" spans="1:1" x14ac:dyDescent="0.25">
      <c r="A3776" s="29" t="s">
        <v>3967</v>
      </c>
    </row>
    <row r="3777" spans="1:1" x14ac:dyDescent="0.25">
      <c r="A3777" s="29" t="s">
        <v>3968</v>
      </c>
    </row>
    <row r="3778" spans="1:1" x14ac:dyDescent="0.25">
      <c r="A3778" s="29" t="s">
        <v>3969</v>
      </c>
    </row>
    <row r="3779" spans="1:1" x14ac:dyDescent="0.25">
      <c r="A3779" s="29" t="s">
        <v>3970</v>
      </c>
    </row>
    <row r="3780" spans="1:1" x14ac:dyDescent="0.25">
      <c r="A3780" s="123" t="s">
        <v>3971</v>
      </c>
    </row>
    <row r="3781" spans="1:1" x14ac:dyDescent="0.25">
      <c r="A3781" s="123" t="s">
        <v>3972</v>
      </c>
    </row>
    <row r="3782" spans="1:1" x14ac:dyDescent="0.25">
      <c r="A3782" s="123" t="s">
        <v>3973</v>
      </c>
    </row>
    <row r="3783" spans="1:1" x14ac:dyDescent="0.25">
      <c r="A3783" s="124" t="s">
        <v>3974</v>
      </c>
    </row>
    <row r="3784" spans="1:1" x14ac:dyDescent="0.25">
      <c r="A3784" s="124" t="s">
        <v>3975</v>
      </c>
    </row>
    <row r="3785" spans="1:1" x14ac:dyDescent="0.25">
      <c r="A3785" s="123" t="s">
        <v>3976</v>
      </c>
    </row>
    <row r="3786" spans="1:1" x14ac:dyDescent="0.25">
      <c r="A3786" s="29" t="s">
        <v>3977</v>
      </c>
    </row>
    <row r="3787" spans="1:1" x14ac:dyDescent="0.25">
      <c r="A3787" s="123" t="s">
        <v>3978</v>
      </c>
    </row>
    <row r="3788" spans="1:1" x14ac:dyDescent="0.25">
      <c r="A3788" s="123" t="s">
        <v>3979</v>
      </c>
    </row>
    <row r="3789" spans="1:1" x14ac:dyDescent="0.25">
      <c r="A3789" s="123" t="s">
        <v>3980</v>
      </c>
    </row>
    <row r="3790" spans="1:1" x14ac:dyDescent="0.25">
      <c r="A3790" s="124" t="s">
        <v>3981</v>
      </c>
    </row>
    <row r="3791" spans="1:1" x14ac:dyDescent="0.25">
      <c r="A3791" s="124" t="s">
        <v>3982</v>
      </c>
    </row>
    <row r="3792" spans="1:1" x14ac:dyDescent="0.25">
      <c r="A3792" s="123" t="s">
        <v>3983</v>
      </c>
    </row>
    <row r="3793" spans="1:1" x14ac:dyDescent="0.25">
      <c r="A3793" s="29" t="s">
        <v>3984</v>
      </c>
    </row>
    <row r="3794" spans="1:1" x14ac:dyDescent="0.25">
      <c r="A3794" s="123" t="s">
        <v>3985</v>
      </c>
    </row>
    <row r="3795" spans="1:1" x14ac:dyDescent="0.25">
      <c r="A3795" s="123" t="s">
        <v>3986</v>
      </c>
    </row>
    <row r="3796" spans="1:1" x14ac:dyDescent="0.25">
      <c r="A3796" s="123" t="s">
        <v>3987</v>
      </c>
    </row>
    <row r="3797" spans="1:1" x14ac:dyDescent="0.25">
      <c r="A3797" s="124" t="s">
        <v>3988</v>
      </c>
    </row>
    <row r="3798" spans="1:1" x14ac:dyDescent="0.25">
      <c r="A3798" s="124" t="s">
        <v>3989</v>
      </c>
    </row>
    <row r="3799" spans="1:1" x14ac:dyDescent="0.25">
      <c r="A3799" s="123" t="s">
        <v>3990</v>
      </c>
    </row>
    <row r="3800" spans="1:1" x14ac:dyDescent="0.25">
      <c r="A3800" s="29" t="s">
        <v>3991</v>
      </c>
    </row>
    <row r="3801" spans="1:1" x14ac:dyDescent="0.25">
      <c r="A3801" s="123" t="s">
        <v>3992</v>
      </c>
    </row>
    <row r="3802" spans="1:1" x14ac:dyDescent="0.25">
      <c r="A3802" s="123" t="s">
        <v>3993</v>
      </c>
    </row>
    <row r="3803" spans="1:1" x14ac:dyDescent="0.25">
      <c r="A3803" s="123" t="s">
        <v>3994</v>
      </c>
    </row>
    <row r="3804" spans="1:1" x14ac:dyDescent="0.25">
      <c r="A3804" s="124" t="s">
        <v>3995</v>
      </c>
    </row>
    <row r="3805" spans="1:1" x14ac:dyDescent="0.25">
      <c r="A3805" s="124" t="s">
        <v>3996</v>
      </c>
    </row>
    <row r="3806" spans="1:1" x14ac:dyDescent="0.25">
      <c r="A3806" s="123" t="s">
        <v>3997</v>
      </c>
    </row>
    <row r="3807" spans="1:1" x14ac:dyDescent="0.25">
      <c r="A3807" s="29" t="s">
        <v>3998</v>
      </c>
    </row>
    <row r="3808" spans="1:1" x14ac:dyDescent="0.25">
      <c r="A3808" s="123" t="s">
        <v>3999</v>
      </c>
    </row>
    <row r="3809" spans="1:1" x14ac:dyDescent="0.25">
      <c r="A3809" s="123" t="s">
        <v>4000</v>
      </c>
    </row>
    <row r="3810" spans="1:1" x14ac:dyDescent="0.25">
      <c r="A3810" s="123" t="s">
        <v>4001</v>
      </c>
    </row>
    <row r="3811" spans="1:1" x14ac:dyDescent="0.25">
      <c r="A3811" s="124" t="s">
        <v>4002</v>
      </c>
    </row>
    <row r="3812" spans="1:1" x14ac:dyDescent="0.25">
      <c r="A3812" s="124" t="s">
        <v>4003</v>
      </c>
    </row>
    <row r="3813" spans="1:1" x14ac:dyDescent="0.25">
      <c r="A3813" s="123" t="s">
        <v>4004</v>
      </c>
    </row>
    <row r="3814" spans="1:1" x14ac:dyDescent="0.25">
      <c r="A3814" s="29" t="s">
        <v>4005</v>
      </c>
    </row>
    <row r="3815" spans="1:1" x14ac:dyDescent="0.25">
      <c r="A3815" s="123" t="s">
        <v>4006</v>
      </c>
    </row>
    <row r="3816" spans="1:1" x14ac:dyDescent="0.25">
      <c r="A3816" s="123" t="s">
        <v>4007</v>
      </c>
    </row>
    <row r="3817" spans="1:1" x14ac:dyDescent="0.25">
      <c r="A3817" s="123" t="s">
        <v>4008</v>
      </c>
    </row>
    <row r="3818" spans="1:1" x14ac:dyDescent="0.25">
      <c r="A3818" s="124" t="s">
        <v>4009</v>
      </c>
    </row>
    <row r="3819" spans="1:1" x14ac:dyDescent="0.25">
      <c r="A3819" s="124" t="s">
        <v>4010</v>
      </c>
    </row>
    <row r="3820" spans="1:1" x14ac:dyDescent="0.25">
      <c r="A3820" s="123" t="s">
        <v>4011</v>
      </c>
    </row>
    <row r="3821" spans="1:1" x14ac:dyDescent="0.25">
      <c r="A3821" s="29" t="s">
        <v>4012</v>
      </c>
    </row>
    <row r="3822" spans="1:1" x14ac:dyDescent="0.25">
      <c r="A3822" s="123" t="s">
        <v>4013</v>
      </c>
    </row>
    <row r="3823" spans="1:1" x14ac:dyDescent="0.25">
      <c r="A3823" s="123" t="s">
        <v>4014</v>
      </c>
    </row>
    <row r="3824" spans="1:1" x14ac:dyDescent="0.25">
      <c r="A3824" s="123" t="s">
        <v>4015</v>
      </c>
    </row>
    <row r="3825" spans="1:1" x14ac:dyDescent="0.25">
      <c r="A3825" s="124" t="s">
        <v>4016</v>
      </c>
    </row>
    <row r="3826" spans="1:1" x14ac:dyDescent="0.25">
      <c r="A3826" s="124" t="s">
        <v>4017</v>
      </c>
    </row>
    <row r="3827" spans="1:1" x14ac:dyDescent="0.25">
      <c r="A3827" s="123" t="s">
        <v>4018</v>
      </c>
    </row>
    <row r="3828" spans="1:1" x14ac:dyDescent="0.25">
      <c r="A3828" s="29" t="s">
        <v>4019</v>
      </c>
    </row>
    <row r="3829" spans="1:1" x14ac:dyDescent="0.25">
      <c r="A3829" s="123" t="s">
        <v>4020</v>
      </c>
    </row>
    <row r="3830" spans="1:1" x14ac:dyDescent="0.25">
      <c r="A3830" s="123" t="s">
        <v>4021</v>
      </c>
    </row>
    <row r="3831" spans="1:1" x14ac:dyDescent="0.25">
      <c r="A3831" s="123" t="s">
        <v>4022</v>
      </c>
    </row>
    <row r="3832" spans="1:1" x14ac:dyDescent="0.25">
      <c r="A3832" s="124" t="s">
        <v>4023</v>
      </c>
    </row>
    <row r="3833" spans="1:1" x14ac:dyDescent="0.25">
      <c r="A3833" s="124" t="s">
        <v>4024</v>
      </c>
    </row>
    <row r="3834" spans="1:1" x14ac:dyDescent="0.25">
      <c r="A3834" s="123" t="s">
        <v>4025</v>
      </c>
    </row>
    <row r="3835" spans="1:1" x14ac:dyDescent="0.25">
      <c r="A3835" s="29" t="s">
        <v>4026</v>
      </c>
    </row>
    <row r="3836" spans="1:1" x14ac:dyDescent="0.25">
      <c r="A3836" s="29" t="s">
        <v>4027</v>
      </c>
    </row>
    <row r="3837" spans="1:1" x14ac:dyDescent="0.25">
      <c r="A3837" s="29" t="s">
        <v>4028</v>
      </c>
    </row>
    <row r="3838" spans="1:1" x14ac:dyDescent="0.25">
      <c r="A3838" s="29" t="s">
        <v>4029</v>
      </c>
    </row>
    <row r="3839" spans="1:1" x14ac:dyDescent="0.25">
      <c r="A3839" s="29" t="s">
        <v>4030</v>
      </c>
    </row>
    <row r="3840" spans="1:1" x14ac:dyDescent="0.25">
      <c r="A3840" s="29" t="s">
        <v>4031</v>
      </c>
    </row>
    <row r="3841" spans="1:1" x14ac:dyDescent="0.25">
      <c r="A3841" s="29" t="s">
        <v>4032</v>
      </c>
    </row>
    <row r="3842" spans="1:1" x14ac:dyDescent="0.25">
      <c r="A3842" s="29" t="s">
        <v>4033</v>
      </c>
    </row>
    <row r="3843" spans="1:1" x14ac:dyDescent="0.25">
      <c r="A3843" s="29" t="s">
        <v>4034</v>
      </c>
    </row>
    <row r="3844" spans="1:1" x14ac:dyDescent="0.25">
      <c r="A3844" s="29" t="s">
        <v>4035</v>
      </c>
    </row>
    <row r="3845" spans="1:1" x14ac:dyDescent="0.25">
      <c r="A3845" s="29" t="s">
        <v>4036</v>
      </c>
    </row>
    <row r="3846" spans="1:1" x14ac:dyDescent="0.25">
      <c r="A3846" s="29" t="s">
        <v>4037</v>
      </c>
    </row>
    <row r="3847" spans="1:1" x14ac:dyDescent="0.25">
      <c r="A3847" s="29" t="s">
        <v>4038</v>
      </c>
    </row>
    <row r="3848" spans="1:1" x14ac:dyDescent="0.25">
      <c r="A3848" s="29" t="s">
        <v>4039</v>
      </c>
    </row>
    <row r="3849" spans="1:1" x14ac:dyDescent="0.25">
      <c r="A3849" s="29" t="s">
        <v>4040</v>
      </c>
    </row>
    <row r="3850" spans="1:1" x14ac:dyDescent="0.25">
      <c r="A3850" s="29" t="s">
        <v>4041</v>
      </c>
    </row>
    <row r="3851" spans="1:1" x14ac:dyDescent="0.25">
      <c r="A3851" s="29" t="s">
        <v>4042</v>
      </c>
    </row>
    <row r="3852" spans="1:1" x14ac:dyDescent="0.25">
      <c r="A3852" s="29" t="s">
        <v>4043</v>
      </c>
    </row>
    <row r="3853" spans="1:1" x14ac:dyDescent="0.25">
      <c r="A3853" s="29" t="s">
        <v>4044</v>
      </c>
    </row>
    <row r="3854" spans="1:1" x14ac:dyDescent="0.25">
      <c r="A3854" s="29" t="s">
        <v>4045</v>
      </c>
    </row>
    <row r="3855" spans="1:1" x14ac:dyDescent="0.25">
      <c r="A3855" s="29" t="s">
        <v>4046</v>
      </c>
    </row>
    <row r="3856" spans="1:1" x14ac:dyDescent="0.25">
      <c r="A3856" s="29" t="s">
        <v>4047</v>
      </c>
    </row>
    <row r="3857" spans="1:1" x14ac:dyDescent="0.25">
      <c r="A3857" s="29" t="s">
        <v>4048</v>
      </c>
    </row>
    <row r="3858" spans="1:1" x14ac:dyDescent="0.25">
      <c r="A3858" s="29" t="s">
        <v>4049</v>
      </c>
    </row>
    <row r="3859" spans="1:1" x14ac:dyDescent="0.25">
      <c r="A3859" s="29" t="s">
        <v>4050</v>
      </c>
    </row>
    <row r="3860" spans="1:1" x14ac:dyDescent="0.25">
      <c r="A3860" s="29" t="s">
        <v>4051</v>
      </c>
    </row>
    <row r="3861" spans="1:1" x14ac:dyDescent="0.25">
      <c r="A3861" s="29" t="s">
        <v>4052</v>
      </c>
    </row>
    <row r="3862" spans="1:1" x14ac:dyDescent="0.25">
      <c r="A3862" s="29" t="s">
        <v>4053</v>
      </c>
    </row>
    <row r="3863" spans="1:1" x14ac:dyDescent="0.25">
      <c r="A3863" s="29" t="s">
        <v>4054</v>
      </c>
    </row>
    <row r="3864" spans="1:1" x14ac:dyDescent="0.25">
      <c r="A3864" s="29" t="s">
        <v>4055</v>
      </c>
    </row>
    <row r="3865" spans="1:1" x14ac:dyDescent="0.25">
      <c r="A3865" s="29" t="s">
        <v>4056</v>
      </c>
    </row>
    <row r="3866" spans="1:1" x14ac:dyDescent="0.25">
      <c r="A3866" s="29" t="s">
        <v>4057</v>
      </c>
    </row>
    <row r="3867" spans="1:1" x14ac:dyDescent="0.25">
      <c r="A3867" s="29" t="s">
        <v>4058</v>
      </c>
    </row>
    <row r="3868" spans="1:1" x14ac:dyDescent="0.25">
      <c r="A3868" s="29" t="s">
        <v>4059</v>
      </c>
    </row>
    <row r="3869" spans="1:1" x14ac:dyDescent="0.25">
      <c r="A3869" s="29" t="s">
        <v>4060</v>
      </c>
    </row>
    <row r="3870" spans="1:1" x14ac:dyDescent="0.25">
      <c r="A3870" s="29" t="s">
        <v>4061</v>
      </c>
    </row>
    <row r="3871" spans="1:1" x14ac:dyDescent="0.25">
      <c r="A3871" s="29" t="s">
        <v>4062</v>
      </c>
    </row>
    <row r="3872" spans="1:1" x14ac:dyDescent="0.25">
      <c r="A3872" s="29" t="s">
        <v>4063</v>
      </c>
    </row>
    <row r="3873" spans="1:1" x14ac:dyDescent="0.25">
      <c r="A3873" s="29" t="s">
        <v>4064</v>
      </c>
    </row>
    <row r="3874" spans="1:1" x14ac:dyDescent="0.25">
      <c r="A3874" s="29" t="s">
        <v>4065</v>
      </c>
    </row>
    <row r="3875" spans="1:1" x14ac:dyDescent="0.25">
      <c r="A3875" s="29" t="s">
        <v>4066</v>
      </c>
    </row>
    <row r="3876" spans="1:1" x14ac:dyDescent="0.25">
      <c r="A3876" s="29" t="s">
        <v>4067</v>
      </c>
    </row>
    <row r="3877" spans="1:1" x14ac:dyDescent="0.25">
      <c r="A3877" s="29" t="s">
        <v>4068</v>
      </c>
    </row>
    <row r="3878" spans="1:1" x14ac:dyDescent="0.25">
      <c r="A3878" s="29" t="s">
        <v>4069</v>
      </c>
    </row>
    <row r="3879" spans="1:1" x14ac:dyDescent="0.25">
      <c r="A3879" s="29" t="s">
        <v>4070</v>
      </c>
    </row>
    <row r="3880" spans="1:1" x14ac:dyDescent="0.25">
      <c r="A3880" s="29" t="s">
        <v>4071</v>
      </c>
    </row>
    <row r="3881" spans="1:1" x14ac:dyDescent="0.25">
      <c r="A3881" s="29" t="s">
        <v>4072</v>
      </c>
    </row>
    <row r="3882" spans="1:1" x14ac:dyDescent="0.25">
      <c r="A3882" s="29" t="s">
        <v>4073</v>
      </c>
    </row>
    <row r="3883" spans="1:1" x14ac:dyDescent="0.25">
      <c r="A3883" s="29" t="s">
        <v>4074</v>
      </c>
    </row>
    <row r="3884" spans="1:1" x14ac:dyDescent="0.25">
      <c r="A3884" s="29" t="s">
        <v>4075</v>
      </c>
    </row>
    <row r="3885" spans="1:1" x14ac:dyDescent="0.25">
      <c r="A3885" s="29" t="s">
        <v>4076</v>
      </c>
    </row>
    <row r="3886" spans="1:1" x14ac:dyDescent="0.25">
      <c r="A3886" s="29" t="s">
        <v>4077</v>
      </c>
    </row>
    <row r="3887" spans="1:1" x14ac:dyDescent="0.25">
      <c r="A3887" s="29" t="s">
        <v>4078</v>
      </c>
    </row>
    <row r="3888" spans="1:1" x14ac:dyDescent="0.25">
      <c r="A3888" s="29" t="s">
        <v>4079</v>
      </c>
    </row>
    <row r="3889" spans="1:1" x14ac:dyDescent="0.25">
      <c r="A3889" s="29" t="s">
        <v>4080</v>
      </c>
    </row>
    <row r="3890" spans="1:1" x14ac:dyDescent="0.25">
      <c r="A3890" s="29" t="s">
        <v>4081</v>
      </c>
    </row>
    <row r="3891" spans="1:1" x14ac:dyDescent="0.25">
      <c r="A3891" s="29" t="s">
        <v>4082</v>
      </c>
    </row>
    <row r="3892" spans="1:1" x14ac:dyDescent="0.25">
      <c r="A3892" s="29" t="s">
        <v>4083</v>
      </c>
    </row>
    <row r="3893" spans="1:1" x14ac:dyDescent="0.25">
      <c r="A3893" s="29" t="s">
        <v>4084</v>
      </c>
    </row>
    <row r="3894" spans="1:1" x14ac:dyDescent="0.25">
      <c r="A3894" s="29" t="s">
        <v>4085</v>
      </c>
    </row>
    <row r="3895" spans="1:1" x14ac:dyDescent="0.25">
      <c r="A3895" s="29" t="s">
        <v>4086</v>
      </c>
    </row>
    <row r="3896" spans="1:1" x14ac:dyDescent="0.25">
      <c r="A3896" s="29" t="s">
        <v>4087</v>
      </c>
    </row>
    <row r="3897" spans="1:1" x14ac:dyDescent="0.25">
      <c r="A3897" s="29" t="s">
        <v>4088</v>
      </c>
    </row>
    <row r="3898" spans="1:1" x14ac:dyDescent="0.25">
      <c r="A3898" s="29" t="s">
        <v>4089</v>
      </c>
    </row>
    <row r="3899" spans="1:1" x14ac:dyDescent="0.25">
      <c r="A3899" s="29" t="s">
        <v>4090</v>
      </c>
    </row>
    <row r="3900" spans="1:1" x14ac:dyDescent="0.25">
      <c r="A3900" s="29" t="s">
        <v>4091</v>
      </c>
    </row>
    <row r="3901" spans="1:1" x14ac:dyDescent="0.25">
      <c r="A3901" s="29" t="s">
        <v>4092</v>
      </c>
    </row>
    <row r="3902" spans="1:1" x14ac:dyDescent="0.25">
      <c r="A3902" s="29" t="s">
        <v>4093</v>
      </c>
    </row>
    <row r="3903" spans="1:1" x14ac:dyDescent="0.25">
      <c r="A3903" s="29" t="s">
        <v>4094</v>
      </c>
    </row>
    <row r="3904" spans="1:1" x14ac:dyDescent="0.25">
      <c r="A3904" s="29" t="s">
        <v>4095</v>
      </c>
    </row>
    <row r="3905" spans="1:1" x14ac:dyDescent="0.25">
      <c r="A3905" s="29" t="s">
        <v>4096</v>
      </c>
    </row>
    <row r="3906" spans="1:1" x14ac:dyDescent="0.25">
      <c r="A3906" s="29" t="s">
        <v>4097</v>
      </c>
    </row>
    <row r="3907" spans="1:1" x14ac:dyDescent="0.25">
      <c r="A3907" s="29" t="s">
        <v>4098</v>
      </c>
    </row>
    <row r="3908" spans="1:1" x14ac:dyDescent="0.25">
      <c r="A3908" s="29" t="s">
        <v>4099</v>
      </c>
    </row>
    <row r="3909" spans="1:1" x14ac:dyDescent="0.25">
      <c r="A3909" s="29" t="s">
        <v>4100</v>
      </c>
    </row>
    <row r="3910" spans="1:1" x14ac:dyDescent="0.25">
      <c r="A3910" s="29" t="s">
        <v>4101</v>
      </c>
    </row>
    <row r="3911" spans="1:1" x14ac:dyDescent="0.25">
      <c r="A3911" s="29" t="s">
        <v>4102</v>
      </c>
    </row>
    <row r="3912" spans="1:1" x14ac:dyDescent="0.25">
      <c r="A3912" s="29" t="s">
        <v>4103</v>
      </c>
    </row>
    <row r="3913" spans="1:1" x14ac:dyDescent="0.25">
      <c r="A3913" s="29" t="s">
        <v>4104</v>
      </c>
    </row>
    <row r="3914" spans="1:1" x14ac:dyDescent="0.25">
      <c r="A3914" s="29" t="s">
        <v>4105</v>
      </c>
    </row>
    <row r="3915" spans="1:1" x14ac:dyDescent="0.25">
      <c r="A3915" s="29" t="s">
        <v>4106</v>
      </c>
    </row>
    <row r="3916" spans="1:1" x14ac:dyDescent="0.25">
      <c r="A3916" s="29" t="s">
        <v>4107</v>
      </c>
    </row>
    <row r="3917" spans="1:1" x14ac:dyDescent="0.25">
      <c r="A3917" s="29" t="s">
        <v>4108</v>
      </c>
    </row>
    <row r="3918" spans="1:1" x14ac:dyDescent="0.25">
      <c r="A3918" s="29" t="s">
        <v>4109</v>
      </c>
    </row>
    <row r="3919" spans="1:1" x14ac:dyDescent="0.25">
      <c r="A3919" s="29" t="s">
        <v>4110</v>
      </c>
    </row>
    <row r="3920" spans="1:1" x14ac:dyDescent="0.25">
      <c r="A3920" s="29" t="s">
        <v>4111</v>
      </c>
    </row>
    <row r="3921" spans="1:1" x14ac:dyDescent="0.25">
      <c r="A3921" s="29" t="s">
        <v>4112</v>
      </c>
    </row>
    <row r="3922" spans="1:1" x14ac:dyDescent="0.25">
      <c r="A3922" s="29" t="s">
        <v>4113</v>
      </c>
    </row>
    <row r="3923" spans="1:1" x14ac:dyDescent="0.25">
      <c r="A3923" s="29" t="s">
        <v>4114</v>
      </c>
    </row>
    <row r="3924" spans="1:1" x14ac:dyDescent="0.25">
      <c r="A3924" s="29" t="s">
        <v>4115</v>
      </c>
    </row>
    <row r="3925" spans="1:1" x14ac:dyDescent="0.25">
      <c r="A3925" s="29" t="s">
        <v>4116</v>
      </c>
    </row>
    <row r="3926" spans="1:1" x14ac:dyDescent="0.25">
      <c r="A3926" s="29" t="s">
        <v>4117</v>
      </c>
    </row>
    <row r="3927" spans="1:1" x14ac:dyDescent="0.25">
      <c r="A3927" s="29" t="s">
        <v>4118</v>
      </c>
    </row>
    <row r="3928" spans="1:1" x14ac:dyDescent="0.25">
      <c r="A3928" s="29" t="s">
        <v>4119</v>
      </c>
    </row>
    <row r="3929" spans="1:1" x14ac:dyDescent="0.25">
      <c r="A3929" s="29" t="s">
        <v>4120</v>
      </c>
    </row>
    <row r="3930" spans="1:1" x14ac:dyDescent="0.25">
      <c r="A3930" s="29" t="s">
        <v>4121</v>
      </c>
    </row>
    <row r="3931" spans="1:1" x14ac:dyDescent="0.25">
      <c r="A3931" s="29" t="s">
        <v>4122</v>
      </c>
    </row>
    <row r="3932" spans="1:1" x14ac:dyDescent="0.25">
      <c r="A3932" s="29" t="s">
        <v>4123</v>
      </c>
    </row>
    <row r="3933" spans="1:1" x14ac:dyDescent="0.25">
      <c r="A3933" s="29" t="s">
        <v>4124</v>
      </c>
    </row>
    <row r="3934" spans="1:1" x14ac:dyDescent="0.25">
      <c r="A3934" s="29" t="s">
        <v>4125</v>
      </c>
    </row>
    <row r="3935" spans="1:1" x14ac:dyDescent="0.25">
      <c r="A3935" s="29" t="s">
        <v>4126</v>
      </c>
    </row>
    <row r="3936" spans="1:1" x14ac:dyDescent="0.25">
      <c r="A3936" s="29" t="s">
        <v>4127</v>
      </c>
    </row>
    <row r="3937" spans="1:1" x14ac:dyDescent="0.25">
      <c r="A3937" s="29" t="s">
        <v>4128</v>
      </c>
    </row>
    <row r="3938" spans="1:1" x14ac:dyDescent="0.25">
      <c r="A3938" s="29" t="s">
        <v>4129</v>
      </c>
    </row>
    <row r="3939" spans="1:1" x14ac:dyDescent="0.25">
      <c r="A3939" s="29" t="s">
        <v>4130</v>
      </c>
    </row>
    <row r="3940" spans="1:1" x14ac:dyDescent="0.25">
      <c r="A3940" s="29" t="s">
        <v>4131</v>
      </c>
    </row>
    <row r="3941" spans="1:1" x14ac:dyDescent="0.25">
      <c r="A3941" s="29" t="s">
        <v>4132</v>
      </c>
    </row>
    <row r="3942" spans="1:1" x14ac:dyDescent="0.25">
      <c r="A3942" s="29" t="s">
        <v>4133</v>
      </c>
    </row>
    <row r="3943" spans="1:1" x14ac:dyDescent="0.25">
      <c r="A3943" s="29" t="s">
        <v>4134</v>
      </c>
    </row>
    <row r="3944" spans="1:1" x14ac:dyDescent="0.25">
      <c r="A3944" s="29" t="s">
        <v>4135</v>
      </c>
    </row>
    <row r="3945" spans="1:1" x14ac:dyDescent="0.25">
      <c r="A3945" s="29" t="s">
        <v>4136</v>
      </c>
    </row>
    <row r="3946" spans="1:1" x14ac:dyDescent="0.25">
      <c r="A3946" s="29" t="s">
        <v>4137</v>
      </c>
    </row>
    <row r="3947" spans="1:1" x14ac:dyDescent="0.25">
      <c r="A3947" s="29" t="s">
        <v>4138</v>
      </c>
    </row>
    <row r="3948" spans="1:1" x14ac:dyDescent="0.25">
      <c r="A3948" s="29" t="s">
        <v>4139</v>
      </c>
    </row>
    <row r="3949" spans="1:1" x14ac:dyDescent="0.25">
      <c r="A3949" s="29" t="s">
        <v>4140</v>
      </c>
    </row>
    <row r="3950" spans="1:1" x14ac:dyDescent="0.25">
      <c r="A3950" s="29" t="s">
        <v>4141</v>
      </c>
    </row>
    <row r="3951" spans="1:1" x14ac:dyDescent="0.25">
      <c r="A3951" s="29" t="s">
        <v>4142</v>
      </c>
    </row>
    <row r="3952" spans="1:1" x14ac:dyDescent="0.25">
      <c r="A3952" s="29" t="s">
        <v>4143</v>
      </c>
    </row>
    <row r="3953" spans="1:1" x14ac:dyDescent="0.25">
      <c r="A3953" s="29" t="s">
        <v>4144</v>
      </c>
    </row>
    <row r="3954" spans="1:1" x14ac:dyDescent="0.25">
      <c r="A3954" s="29" t="s">
        <v>4145</v>
      </c>
    </row>
    <row r="3955" spans="1:1" x14ac:dyDescent="0.25">
      <c r="A3955" s="29" t="s">
        <v>4146</v>
      </c>
    </row>
    <row r="3956" spans="1:1" x14ac:dyDescent="0.25">
      <c r="A3956" s="29" t="s">
        <v>4147</v>
      </c>
    </row>
    <row r="3957" spans="1:1" x14ac:dyDescent="0.25">
      <c r="A3957" s="29" t="s">
        <v>4148</v>
      </c>
    </row>
    <row r="3958" spans="1:1" x14ac:dyDescent="0.25">
      <c r="A3958" s="29" t="s">
        <v>4149</v>
      </c>
    </row>
    <row r="3959" spans="1:1" x14ac:dyDescent="0.25">
      <c r="A3959" s="29" t="s">
        <v>4150</v>
      </c>
    </row>
    <row r="3960" spans="1:1" x14ac:dyDescent="0.25">
      <c r="A3960" s="29" t="s">
        <v>4151</v>
      </c>
    </row>
    <row r="3961" spans="1:1" x14ac:dyDescent="0.25">
      <c r="A3961" s="29" t="s">
        <v>4152</v>
      </c>
    </row>
    <row r="3962" spans="1:1" x14ac:dyDescent="0.25">
      <c r="A3962" s="29" t="s">
        <v>4153</v>
      </c>
    </row>
    <row r="3963" spans="1:1" x14ac:dyDescent="0.25">
      <c r="A3963" s="29" t="s">
        <v>4154</v>
      </c>
    </row>
    <row r="3964" spans="1:1" x14ac:dyDescent="0.25">
      <c r="A3964" s="29" t="s">
        <v>4155</v>
      </c>
    </row>
    <row r="3965" spans="1:1" x14ac:dyDescent="0.25">
      <c r="A3965" s="29" t="s">
        <v>4156</v>
      </c>
    </row>
    <row r="3966" spans="1:1" x14ac:dyDescent="0.25">
      <c r="A3966" s="29" t="s">
        <v>4157</v>
      </c>
    </row>
    <row r="3967" spans="1:1" x14ac:dyDescent="0.25">
      <c r="A3967" s="29" t="s">
        <v>4158</v>
      </c>
    </row>
    <row r="3968" spans="1:1" x14ac:dyDescent="0.25">
      <c r="A3968" s="29" t="s">
        <v>4159</v>
      </c>
    </row>
    <row r="3969" spans="1:1" x14ac:dyDescent="0.25">
      <c r="A3969" s="29" t="s">
        <v>4160</v>
      </c>
    </row>
    <row r="3970" spans="1:1" x14ac:dyDescent="0.25">
      <c r="A3970" s="29" t="s">
        <v>4161</v>
      </c>
    </row>
    <row r="3971" spans="1:1" x14ac:dyDescent="0.25">
      <c r="A3971" s="29" t="s">
        <v>4162</v>
      </c>
    </row>
    <row r="3972" spans="1:1" x14ac:dyDescent="0.25">
      <c r="A3972" s="29" t="s">
        <v>4163</v>
      </c>
    </row>
    <row r="3973" spans="1:1" x14ac:dyDescent="0.25">
      <c r="A3973" s="29" t="s">
        <v>4164</v>
      </c>
    </row>
    <row r="3974" spans="1:1" x14ac:dyDescent="0.25">
      <c r="A3974" s="29" t="s">
        <v>4165</v>
      </c>
    </row>
    <row r="3975" spans="1:1" x14ac:dyDescent="0.25">
      <c r="A3975" s="29" t="s">
        <v>4166</v>
      </c>
    </row>
    <row r="3976" spans="1:1" x14ac:dyDescent="0.25">
      <c r="A3976" s="29" t="s">
        <v>4167</v>
      </c>
    </row>
    <row r="3977" spans="1:1" x14ac:dyDescent="0.25">
      <c r="A3977" s="29" t="s">
        <v>4168</v>
      </c>
    </row>
    <row r="3978" spans="1:1" x14ac:dyDescent="0.25">
      <c r="A3978" s="29" t="s">
        <v>4169</v>
      </c>
    </row>
    <row r="3979" spans="1:1" x14ac:dyDescent="0.25">
      <c r="A3979" s="29" t="s">
        <v>4170</v>
      </c>
    </row>
    <row r="3980" spans="1:1" x14ac:dyDescent="0.25">
      <c r="A3980" s="29" t="s">
        <v>4171</v>
      </c>
    </row>
    <row r="3981" spans="1:1" x14ac:dyDescent="0.25">
      <c r="A3981" s="29" t="s">
        <v>4172</v>
      </c>
    </row>
    <row r="3982" spans="1:1" x14ac:dyDescent="0.25">
      <c r="A3982" s="29" t="s">
        <v>4173</v>
      </c>
    </row>
    <row r="3983" spans="1:1" x14ac:dyDescent="0.25">
      <c r="A3983" s="29" t="s">
        <v>4174</v>
      </c>
    </row>
    <row r="3984" spans="1:1" x14ac:dyDescent="0.25">
      <c r="A3984" s="29" t="s">
        <v>4175</v>
      </c>
    </row>
    <row r="3985" spans="1:1" x14ac:dyDescent="0.25">
      <c r="A3985" s="29" t="s">
        <v>4176</v>
      </c>
    </row>
    <row r="3986" spans="1:1" x14ac:dyDescent="0.25">
      <c r="A3986" s="29" t="s">
        <v>4177</v>
      </c>
    </row>
    <row r="3987" spans="1:1" x14ac:dyDescent="0.25">
      <c r="A3987" s="29" t="s">
        <v>4178</v>
      </c>
    </row>
    <row r="3988" spans="1:1" x14ac:dyDescent="0.25">
      <c r="A3988" s="29" t="s">
        <v>4179</v>
      </c>
    </row>
    <row r="3989" spans="1:1" x14ac:dyDescent="0.25">
      <c r="A3989" s="29" t="s">
        <v>4180</v>
      </c>
    </row>
    <row r="3990" spans="1:1" x14ac:dyDescent="0.25">
      <c r="A3990" s="29" t="s">
        <v>4181</v>
      </c>
    </row>
    <row r="3991" spans="1:1" x14ac:dyDescent="0.25">
      <c r="A3991" s="29" t="s">
        <v>4182</v>
      </c>
    </row>
    <row r="3992" spans="1:1" x14ac:dyDescent="0.25">
      <c r="A3992" s="29" t="s">
        <v>4183</v>
      </c>
    </row>
    <row r="3993" spans="1:1" x14ac:dyDescent="0.25">
      <c r="A3993" s="29" t="s">
        <v>4184</v>
      </c>
    </row>
    <row r="3994" spans="1:1" x14ac:dyDescent="0.25">
      <c r="A3994" s="29" t="s">
        <v>4185</v>
      </c>
    </row>
    <row r="3995" spans="1:1" x14ac:dyDescent="0.25">
      <c r="A3995" s="29" t="s">
        <v>4186</v>
      </c>
    </row>
    <row r="3996" spans="1:1" x14ac:dyDescent="0.25">
      <c r="A3996" s="29" t="s">
        <v>4187</v>
      </c>
    </row>
    <row r="3997" spans="1:1" x14ac:dyDescent="0.25">
      <c r="A3997" s="29" t="s">
        <v>4188</v>
      </c>
    </row>
    <row r="3998" spans="1:1" x14ac:dyDescent="0.25">
      <c r="A3998" s="29" t="s">
        <v>4189</v>
      </c>
    </row>
    <row r="3999" spans="1:1" x14ac:dyDescent="0.25">
      <c r="A3999" s="29" t="s">
        <v>4190</v>
      </c>
    </row>
    <row r="4000" spans="1:1" x14ac:dyDescent="0.25">
      <c r="A4000" s="29" t="s">
        <v>4191</v>
      </c>
    </row>
    <row r="4001" spans="1:1" x14ac:dyDescent="0.25">
      <c r="A4001" s="29" t="s">
        <v>4192</v>
      </c>
    </row>
    <row r="4002" spans="1:1" x14ac:dyDescent="0.25">
      <c r="A4002" s="29" t="s">
        <v>4193</v>
      </c>
    </row>
    <row r="4003" spans="1:1" x14ac:dyDescent="0.25">
      <c r="A4003" s="29" t="s">
        <v>4194</v>
      </c>
    </row>
    <row r="4004" spans="1:1" x14ac:dyDescent="0.25">
      <c r="A4004" s="29" t="s">
        <v>4195</v>
      </c>
    </row>
    <row r="4005" spans="1:1" x14ac:dyDescent="0.25">
      <c r="A4005" s="29" t="s">
        <v>4196</v>
      </c>
    </row>
    <row r="4006" spans="1:1" x14ac:dyDescent="0.25">
      <c r="A4006" s="29" t="s">
        <v>4197</v>
      </c>
    </row>
    <row r="4007" spans="1:1" x14ac:dyDescent="0.25">
      <c r="A4007" s="29" t="s">
        <v>4198</v>
      </c>
    </row>
    <row r="4008" spans="1:1" x14ac:dyDescent="0.25">
      <c r="A4008" s="29" t="s">
        <v>4199</v>
      </c>
    </row>
    <row r="4009" spans="1:1" x14ac:dyDescent="0.25">
      <c r="A4009" s="29" t="s">
        <v>4200</v>
      </c>
    </row>
    <row r="4010" spans="1:1" x14ac:dyDescent="0.25">
      <c r="A4010" s="29" t="s">
        <v>4201</v>
      </c>
    </row>
    <row r="4011" spans="1:1" x14ac:dyDescent="0.25">
      <c r="A4011" s="29" t="s">
        <v>4202</v>
      </c>
    </row>
    <row r="4012" spans="1:1" x14ac:dyDescent="0.25">
      <c r="A4012" s="29" t="s">
        <v>4203</v>
      </c>
    </row>
    <row r="4013" spans="1:1" x14ac:dyDescent="0.25">
      <c r="A4013" s="29" t="s">
        <v>4204</v>
      </c>
    </row>
    <row r="4014" spans="1:1" x14ac:dyDescent="0.25">
      <c r="A4014" s="29" t="s">
        <v>4205</v>
      </c>
    </row>
    <row r="4015" spans="1:1" x14ac:dyDescent="0.25">
      <c r="A4015" s="29" t="s">
        <v>4206</v>
      </c>
    </row>
    <row r="4016" spans="1:1" x14ac:dyDescent="0.25">
      <c r="A4016" s="123" t="s">
        <v>4207</v>
      </c>
    </row>
    <row r="4017" spans="1:1" x14ac:dyDescent="0.25">
      <c r="A4017" s="123" t="s">
        <v>4208</v>
      </c>
    </row>
    <row r="4018" spans="1:1" x14ac:dyDescent="0.25">
      <c r="A4018" s="123" t="s">
        <v>4209</v>
      </c>
    </row>
    <row r="4019" spans="1:1" x14ac:dyDescent="0.25">
      <c r="A4019" s="124" t="s">
        <v>4210</v>
      </c>
    </row>
    <row r="4020" spans="1:1" x14ac:dyDescent="0.25">
      <c r="A4020" s="124" t="s">
        <v>4211</v>
      </c>
    </row>
    <row r="4021" spans="1:1" x14ac:dyDescent="0.25">
      <c r="A4021" s="123" t="s">
        <v>4212</v>
      </c>
    </row>
    <row r="4022" spans="1:1" x14ac:dyDescent="0.25">
      <c r="A4022" s="29" t="s">
        <v>4213</v>
      </c>
    </row>
    <row r="4023" spans="1:1" x14ac:dyDescent="0.25">
      <c r="A4023" s="123" t="s">
        <v>4214</v>
      </c>
    </row>
    <row r="4024" spans="1:1" x14ac:dyDescent="0.25">
      <c r="A4024" s="123" t="s">
        <v>4215</v>
      </c>
    </row>
    <row r="4025" spans="1:1" x14ac:dyDescent="0.25">
      <c r="A4025" s="123" t="s">
        <v>4216</v>
      </c>
    </row>
    <row r="4026" spans="1:1" x14ac:dyDescent="0.25">
      <c r="A4026" s="124" t="s">
        <v>4217</v>
      </c>
    </row>
    <row r="4027" spans="1:1" x14ac:dyDescent="0.25">
      <c r="A4027" s="124" t="s">
        <v>4218</v>
      </c>
    </row>
    <row r="4028" spans="1:1" x14ac:dyDescent="0.25">
      <c r="A4028" s="123" t="s">
        <v>4219</v>
      </c>
    </row>
    <row r="4029" spans="1:1" x14ac:dyDescent="0.25">
      <c r="A4029" s="29" t="s">
        <v>4220</v>
      </c>
    </row>
    <row r="4030" spans="1:1" x14ac:dyDescent="0.25">
      <c r="A4030" s="123" t="s">
        <v>4221</v>
      </c>
    </row>
    <row r="4031" spans="1:1" x14ac:dyDescent="0.25">
      <c r="A4031" s="123" t="s">
        <v>4222</v>
      </c>
    </row>
    <row r="4032" spans="1:1" x14ac:dyDescent="0.25">
      <c r="A4032" s="123" t="s">
        <v>4223</v>
      </c>
    </row>
    <row r="4033" spans="1:1" x14ac:dyDescent="0.25">
      <c r="A4033" s="124" t="s">
        <v>4224</v>
      </c>
    </row>
    <row r="4034" spans="1:1" x14ac:dyDescent="0.25">
      <c r="A4034" s="124" t="s">
        <v>4225</v>
      </c>
    </row>
    <row r="4035" spans="1:1" x14ac:dyDescent="0.25">
      <c r="A4035" s="123" t="s">
        <v>4226</v>
      </c>
    </row>
    <row r="4036" spans="1:1" x14ac:dyDescent="0.25">
      <c r="A4036" s="29" t="s">
        <v>4227</v>
      </c>
    </row>
    <row r="4037" spans="1:1" x14ac:dyDescent="0.25">
      <c r="A4037" s="123" t="s">
        <v>4228</v>
      </c>
    </row>
    <row r="4038" spans="1:1" x14ac:dyDescent="0.25">
      <c r="A4038" s="123" t="s">
        <v>4229</v>
      </c>
    </row>
    <row r="4039" spans="1:1" x14ac:dyDescent="0.25">
      <c r="A4039" s="123" t="s">
        <v>4230</v>
      </c>
    </row>
    <row r="4040" spans="1:1" x14ac:dyDescent="0.25">
      <c r="A4040" s="124" t="s">
        <v>4231</v>
      </c>
    </row>
    <row r="4041" spans="1:1" x14ac:dyDescent="0.25">
      <c r="A4041" s="124" t="s">
        <v>4232</v>
      </c>
    </row>
    <row r="4042" spans="1:1" x14ac:dyDescent="0.25">
      <c r="A4042" s="123" t="s">
        <v>4233</v>
      </c>
    </row>
    <row r="4043" spans="1:1" x14ac:dyDescent="0.25">
      <c r="A4043" s="29" t="s">
        <v>4234</v>
      </c>
    </row>
    <row r="4044" spans="1:1" x14ac:dyDescent="0.25">
      <c r="A4044" s="123" t="s">
        <v>4235</v>
      </c>
    </row>
    <row r="4045" spans="1:1" x14ac:dyDescent="0.25">
      <c r="A4045" s="123" t="s">
        <v>4236</v>
      </c>
    </row>
    <row r="4046" spans="1:1" x14ac:dyDescent="0.25">
      <c r="A4046" s="123" t="s">
        <v>4237</v>
      </c>
    </row>
    <row r="4047" spans="1:1" x14ac:dyDescent="0.25">
      <c r="A4047" s="124" t="s">
        <v>4238</v>
      </c>
    </row>
    <row r="4048" spans="1:1" x14ac:dyDescent="0.25">
      <c r="A4048" s="124" t="s">
        <v>4239</v>
      </c>
    </row>
    <row r="4049" spans="1:1" x14ac:dyDescent="0.25">
      <c r="A4049" s="123" t="s">
        <v>4240</v>
      </c>
    </row>
    <row r="4050" spans="1:1" x14ac:dyDescent="0.25">
      <c r="A4050" s="29" t="s">
        <v>4241</v>
      </c>
    </row>
    <row r="4051" spans="1:1" x14ac:dyDescent="0.25">
      <c r="A4051" s="123" t="s">
        <v>4242</v>
      </c>
    </row>
    <row r="4052" spans="1:1" x14ac:dyDescent="0.25">
      <c r="A4052" s="123" t="s">
        <v>4243</v>
      </c>
    </row>
    <row r="4053" spans="1:1" x14ac:dyDescent="0.25">
      <c r="A4053" s="123" t="s">
        <v>4244</v>
      </c>
    </row>
    <row r="4054" spans="1:1" x14ac:dyDescent="0.25">
      <c r="A4054" s="124" t="s">
        <v>4245</v>
      </c>
    </row>
    <row r="4055" spans="1:1" x14ac:dyDescent="0.25">
      <c r="A4055" s="124" t="s">
        <v>4246</v>
      </c>
    </row>
    <row r="4056" spans="1:1" x14ac:dyDescent="0.25">
      <c r="A4056" s="123" t="s">
        <v>4247</v>
      </c>
    </row>
    <row r="4057" spans="1:1" x14ac:dyDescent="0.25">
      <c r="A4057" s="29" t="s">
        <v>4248</v>
      </c>
    </row>
    <row r="4058" spans="1:1" x14ac:dyDescent="0.25">
      <c r="A4058" s="123" t="s">
        <v>4249</v>
      </c>
    </row>
    <row r="4059" spans="1:1" x14ac:dyDescent="0.25">
      <c r="A4059" s="123" t="s">
        <v>4250</v>
      </c>
    </row>
    <row r="4060" spans="1:1" x14ac:dyDescent="0.25">
      <c r="A4060" s="123" t="s">
        <v>4251</v>
      </c>
    </row>
    <row r="4061" spans="1:1" x14ac:dyDescent="0.25">
      <c r="A4061" s="124" t="s">
        <v>4252</v>
      </c>
    </row>
    <row r="4062" spans="1:1" x14ac:dyDescent="0.25">
      <c r="A4062" s="124" t="s">
        <v>4253</v>
      </c>
    </row>
    <row r="4063" spans="1:1" x14ac:dyDescent="0.25">
      <c r="A4063" s="123" t="s">
        <v>4254</v>
      </c>
    </row>
    <row r="4064" spans="1:1" x14ac:dyDescent="0.25">
      <c r="A4064" s="29" t="s">
        <v>4255</v>
      </c>
    </row>
    <row r="4065" spans="1:1" x14ac:dyDescent="0.25">
      <c r="A4065" s="123" t="s">
        <v>4256</v>
      </c>
    </row>
    <row r="4066" spans="1:1" x14ac:dyDescent="0.25">
      <c r="A4066" s="123" t="s">
        <v>4257</v>
      </c>
    </row>
    <row r="4067" spans="1:1" x14ac:dyDescent="0.25">
      <c r="A4067" s="123" t="s">
        <v>4258</v>
      </c>
    </row>
    <row r="4068" spans="1:1" x14ac:dyDescent="0.25">
      <c r="A4068" s="124" t="s">
        <v>4259</v>
      </c>
    </row>
    <row r="4069" spans="1:1" x14ac:dyDescent="0.25">
      <c r="A4069" s="124" t="s">
        <v>4260</v>
      </c>
    </row>
    <row r="4070" spans="1:1" x14ac:dyDescent="0.25">
      <c r="A4070" s="123" t="s">
        <v>4261</v>
      </c>
    </row>
    <row r="4071" spans="1:1" x14ac:dyDescent="0.25">
      <c r="A4071" s="29" t="s">
        <v>4262</v>
      </c>
    </row>
    <row r="4072" spans="1:1" x14ac:dyDescent="0.25">
      <c r="A4072" s="29" t="s">
        <v>4263</v>
      </c>
    </row>
    <row r="4073" spans="1:1" x14ac:dyDescent="0.25">
      <c r="A4073" s="29" t="s">
        <v>4264</v>
      </c>
    </row>
    <row r="4074" spans="1:1" x14ac:dyDescent="0.25">
      <c r="A4074" s="29" t="s">
        <v>4265</v>
      </c>
    </row>
    <row r="4075" spans="1:1" x14ac:dyDescent="0.25">
      <c r="A4075" s="29" t="s">
        <v>4266</v>
      </c>
    </row>
    <row r="4076" spans="1:1" x14ac:dyDescent="0.25">
      <c r="A4076" s="29" t="s">
        <v>4267</v>
      </c>
    </row>
    <row r="4077" spans="1:1" x14ac:dyDescent="0.25">
      <c r="A4077" s="29" t="s">
        <v>4268</v>
      </c>
    </row>
    <row r="4078" spans="1:1" x14ac:dyDescent="0.25">
      <c r="A4078" s="29" t="s">
        <v>4269</v>
      </c>
    </row>
    <row r="4079" spans="1:1" x14ac:dyDescent="0.25">
      <c r="A4079" s="29" t="s">
        <v>4270</v>
      </c>
    </row>
    <row r="4080" spans="1:1" x14ac:dyDescent="0.25">
      <c r="A4080" s="29" t="s">
        <v>4271</v>
      </c>
    </row>
    <row r="4081" spans="1:1" x14ac:dyDescent="0.25">
      <c r="A4081" s="29" t="s">
        <v>4272</v>
      </c>
    </row>
    <row r="4082" spans="1:1" x14ac:dyDescent="0.25">
      <c r="A4082" s="29" t="s">
        <v>4273</v>
      </c>
    </row>
    <row r="4083" spans="1:1" x14ac:dyDescent="0.25">
      <c r="A4083" s="29" t="s">
        <v>4274</v>
      </c>
    </row>
    <row r="4084" spans="1:1" x14ac:dyDescent="0.25">
      <c r="A4084" s="29" t="s">
        <v>4275</v>
      </c>
    </row>
    <row r="4085" spans="1:1" x14ac:dyDescent="0.25">
      <c r="A4085" s="29" t="s">
        <v>4276</v>
      </c>
    </row>
    <row r="4086" spans="1:1" x14ac:dyDescent="0.25">
      <c r="A4086" s="29" t="s">
        <v>4277</v>
      </c>
    </row>
    <row r="4087" spans="1:1" x14ac:dyDescent="0.25">
      <c r="A4087" s="29" t="s">
        <v>4278</v>
      </c>
    </row>
    <row r="4088" spans="1:1" x14ac:dyDescent="0.25">
      <c r="A4088" s="29" t="s">
        <v>4279</v>
      </c>
    </row>
    <row r="4089" spans="1:1" x14ac:dyDescent="0.25">
      <c r="A4089" s="29" t="s">
        <v>4280</v>
      </c>
    </row>
    <row r="4090" spans="1:1" x14ac:dyDescent="0.25">
      <c r="A4090" s="29" t="s">
        <v>4281</v>
      </c>
    </row>
    <row r="4091" spans="1:1" x14ac:dyDescent="0.25">
      <c r="A4091" s="29" t="s">
        <v>4282</v>
      </c>
    </row>
    <row r="4092" spans="1:1" x14ac:dyDescent="0.25">
      <c r="A4092" s="29" t="s">
        <v>4283</v>
      </c>
    </row>
    <row r="4093" spans="1:1" x14ac:dyDescent="0.25">
      <c r="A4093" s="29" t="s">
        <v>4284</v>
      </c>
    </row>
    <row r="4094" spans="1:1" x14ac:dyDescent="0.25">
      <c r="A4094" s="29" t="s">
        <v>4285</v>
      </c>
    </row>
    <row r="4095" spans="1:1" x14ac:dyDescent="0.25">
      <c r="A4095" s="29" t="s">
        <v>4286</v>
      </c>
    </row>
    <row r="4096" spans="1:1" x14ac:dyDescent="0.25">
      <c r="A4096" s="29" t="s">
        <v>4287</v>
      </c>
    </row>
    <row r="4097" spans="1:1" x14ac:dyDescent="0.25">
      <c r="A4097" s="29" t="s">
        <v>4288</v>
      </c>
    </row>
    <row r="4098" spans="1:1" x14ac:dyDescent="0.25">
      <c r="A4098" s="29" t="s">
        <v>4289</v>
      </c>
    </row>
    <row r="4099" spans="1:1" x14ac:dyDescent="0.25">
      <c r="A4099" s="29" t="s">
        <v>4290</v>
      </c>
    </row>
    <row r="4100" spans="1:1" x14ac:dyDescent="0.25">
      <c r="A4100" s="29" t="s">
        <v>4291</v>
      </c>
    </row>
    <row r="4101" spans="1:1" x14ac:dyDescent="0.25">
      <c r="A4101" s="29" t="s">
        <v>4292</v>
      </c>
    </row>
    <row r="4102" spans="1:1" x14ac:dyDescent="0.25">
      <c r="A4102" s="29" t="s">
        <v>4293</v>
      </c>
    </row>
    <row r="4103" spans="1:1" x14ac:dyDescent="0.25">
      <c r="A4103" s="29" t="s">
        <v>4294</v>
      </c>
    </row>
    <row r="4104" spans="1:1" x14ac:dyDescent="0.25">
      <c r="A4104" s="29" t="s">
        <v>4295</v>
      </c>
    </row>
    <row r="4105" spans="1:1" x14ac:dyDescent="0.25">
      <c r="A4105" s="29" t="s">
        <v>4296</v>
      </c>
    </row>
    <row r="4106" spans="1:1" x14ac:dyDescent="0.25">
      <c r="A4106" s="29" t="s">
        <v>4297</v>
      </c>
    </row>
    <row r="4107" spans="1:1" x14ac:dyDescent="0.25">
      <c r="A4107" s="29" t="s">
        <v>4298</v>
      </c>
    </row>
    <row r="4108" spans="1:1" x14ac:dyDescent="0.25">
      <c r="A4108" s="29" t="s">
        <v>4299</v>
      </c>
    </row>
    <row r="4109" spans="1:1" x14ac:dyDescent="0.25">
      <c r="A4109" s="29" t="s">
        <v>4300</v>
      </c>
    </row>
    <row r="4110" spans="1:1" x14ac:dyDescent="0.25">
      <c r="A4110" s="29" t="s">
        <v>4301</v>
      </c>
    </row>
    <row r="4111" spans="1:1" x14ac:dyDescent="0.25">
      <c r="A4111" s="29" t="s">
        <v>4302</v>
      </c>
    </row>
    <row r="4112" spans="1:1" x14ac:dyDescent="0.25">
      <c r="A4112" s="29" t="s">
        <v>4303</v>
      </c>
    </row>
    <row r="4113" spans="1:1" x14ac:dyDescent="0.25">
      <c r="A4113" s="29" t="s">
        <v>4304</v>
      </c>
    </row>
    <row r="4114" spans="1:1" x14ac:dyDescent="0.25">
      <c r="A4114" s="29" t="s">
        <v>4305</v>
      </c>
    </row>
    <row r="4115" spans="1:1" x14ac:dyDescent="0.25">
      <c r="A4115" s="29" t="s">
        <v>4306</v>
      </c>
    </row>
    <row r="4116" spans="1:1" x14ac:dyDescent="0.25">
      <c r="A4116" s="29" t="s">
        <v>4307</v>
      </c>
    </row>
    <row r="4117" spans="1:1" x14ac:dyDescent="0.25">
      <c r="A4117" s="29" t="s">
        <v>4308</v>
      </c>
    </row>
    <row r="4118" spans="1:1" x14ac:dyDescent="0.25">
      <c r="A4118" s="29" t="s">
        <v>4309</v>
      </c>
    </row>
    <row r="4119" spans="1:1" x14ac:dyDescent="0.25">
      <c r="A4119" s="29" t="s">
        <v>4310</v>
      </c>
    </row>
    <row r="4120" spans="1:1" x14ac:dyDescent="0.25">
      <c r="A4120" s="29" t="s">
        <v>4311</v>
      </c>
    </row>
    <row r="4121" spans="1:1" x14ac:dyDescent="0.25">
      <c r="A4121" s="29" t="s">
        <v>4312</v>
      </c>
    </row>
    <row r="4122" spans="1:1" x14ac:dyDescent="0.25">
      <c r="A4122" s="29" t="s">
        <v>4313</v>
      </c>
    </row>
    <row r="4123" spans="1:1" x14ac:dyDescent="0.25">
      <c r="A4123" s="29" t="s">
        <v>4314</v>
      </c>
    </row>
    <row r="4124" spans="1:1" x14ac:dyDescent="0.25">
      <c r="A4124" s="29" t="s">
        <v>4315</v>
      </c>
    </row>
    <row r="4125" spans="1:1" x14ac:dyDescent="0.25">
      <c r="A4125" s="29" t="s">
        <v>4316</v>
      </c>
    </row>
    <row r="4126" spans="1:1" x14ac:dyDescent="0.25">
      <c r="A4126" s="29" t="s">
        <v>4317</v>
      </c>
    </row>
    <row r="4127" spans="1:1" x14ac:dyDescent="0.25">
      <c r="A4127" s="29" t="s">
        <v>4318</v>
      </c>
    </row>
    <row r="4128" spans="1:1" x14ac:dyDescent="0.25">
      <c r="A4128" s="29" t="s">
        <v>4319</v>
      </c>
    </row>
    <row r="4129" spans="1:1" x14ac:dyDescent="0.25">
      <c r="A4129" s="29" t="s">
        <v>4320</v>
      </c>
    </row>
    <row r="4130" spans="1:1" x14ac:dyDescent="0.25">
      <c r="A4130" s="29" t="s">
        <v>4321</v>
      </c>
    </row>
    <row r="4131" spans="1:1" x14ac:dyDescent="0.25">
      <c r="A4131" s="29" t="s">
        <v>4322</v>
      </c>
    </row>
    <row r="4132" spans="1:1" x14ac:dyDescent="0.25">
      <c r="A4132" s="29" t="s">
        <v>4323</v>
      </c>
    </row>
    <row r="4133" spans="1:1" x14ac:dyDescent="0.25">
      <c r="A4133" s="29" t="s">
        <v>4324</v>
      </c>
    </row>
    <row r="4134" spans="1:1" x14ac:dyDescent="0.25">
      <c r="A4134" s="29" t="s">
        <v>4325</v>
      </c>
    </row>
    <row r="4135" spans="1:1" x14ac:dyDescent="0.25">
      <c r="A4135" s="29" t="s">
        <v>4326</v>
      </c>
    </row>
    <row r="4136" spans="1:1" x14ac:dyDescent="0.25">
      <c r="A4136" s="29" t="s">
        <v>4327</v>
      </c>
    </row>
    <row r="4137" spans="1:1" x14ac:dyDescent="0.25">
      <c r="A4137" s="29" t="s">
        <v>4328</v>
      </c>
    </row>
    <row r="4138" spans="1:1" x14ac:dyDescent="0.25">
      <c r="A4138" s="29" t="s">
        <v>4329</v>
      </c>
    </row>
    <row r="4139" spans="1:1" x14ac:dyDescent="0.25">
      <c r="A4139" s="29" t="s">
        <v>4330</v>
      </c>
    </row>
    <row r="4140" spans="1:1" x14ac:dyDescent="0.25">
      <c r="A4140" s="29" t="s">
        <v>4331</v>
      </c>
    </row>
    <row r="4141" spans="1:1" x14ac:dyDescent="0.25">
      <c r="A4141" s="29" t="s">
        <v>4332</v>
      </c>
    </row>
    <row r="4142" spans="1:1" x14ac:dyDescent="0.25">
      <c r="A4142" s="29" t="s">
        <v>4333</v>
      </c>
    </row>
    <row r="4143" spans="1:1" x14ac:dyDescent="0.25">
      <c r="A4143" s="29" t="s">
        <v>4334</v>
      </c>
    </row>
    <row r="4144" spans="1:1" x14ac:dyDescent="0.25">
      <c r="A4144" s="29" t="s">
        <v>4335</v>
      </c>
    </row>
    <row r="4145" spans="1:1" x14ac:dyDescent="0.25">
      <c r="A4145" s="29" t="s">
        <v>4336</v>
      </c>
    </row>
    <row r="4146" spans="1:1" x14ac:dyDescent="0.25">
      <c r="A4146" s="29" t="s">
        <v>4337</v>
      </c>
    </row>
    <row r="4147" spans="1:1" x14ac:dyDescent="0.25">
      <c r="A4147" s="29" t="s">
        <v>4338</v>
      </c>
    </row>
    <row r="4148" spans="1:1" x14ac:dyDescent="0.25">
      <c r="A4148" s="29" t="s">
        <v>4339</v>
      </c>
    </row>
    <row r="4149" spans="1:1" x14ac:dyDescent="0.25">
      <c r="A4149" s="29" t="s">
        <v>4340</v>
      </c>
    </row>
    <row r="4150" spans="1:1" x14ac:dyDescent="0.25">
      <c r="A4150" s="29" t="s">
        <v>4341</v>
      </c>
    </row>
    <row r="4151" spans="1:1" x14ac:dyDescent="0.25">
      <c r="A4151" s="29" t="s">
        <v>4342</v>
      </c>
    </row>
    <row r="4152" spans="1:1" x14ac:dyDescent="0.25">
      <c r="A4152" s="29" t="s">
        <v>4343</v>
      </c>
    </row>
    <row r="4153" spans="1:1" x14ac:dyDescent="0.25">
      <c r="A4153" s="29" t="s">
        <v>4344</v>
      </c>
    </row>
    <row r="4154" spans="1:1" x14ac:dyDescent="0.25">
      <c r="A4154" s="29" t="s">
        <v>4345</v>
      </c>
    </row>
    <row r="4155" spans="1:1" x14ac:dyDescent="0.25">
      <c r="A4155" s="29" t="s">
        <v>4346</v>
      </c>
    </row>
    <row r="4156" spans="1:1" x14ac:dyDescent="0.25">
      <c r="A4156" s="29" t="s">
        <v>4347</v>
      </c>
    </row>
    <row r="4157" spans="1:1" x14ac:dyDescent="0.25">
      <c r="A4157" s="29" t="s">
        <v>4348</v>
      </c>
    </row>
    <row r="4158" spans="1:1" x14ac:dyDescent="0.25">
      <c r="A4158" s="29" t="s">
        <v>4349</v>
      </c>
    </row>
    <row r="4159" spans="1:1" x14ac:dyDescent="0.25">
      <c r="A4159" s="29" t="s">
        <v>4350</v>
      </c>
    </row>
    <row r="4160" spans="1:1" x14ac:dyDescent="0.25">
      <c r="A4160" s="29" t="s">
        <v>4351</v>
      </c>
    </row>
    <row r="4161" spans="1:1" x14ac:dyDescent="0.25">
      <c r="A4161" s="29" t="s">
        <v>4352</v>
      </c>
    </row>
    <row r="4162" spans="1:1" x14ac:dyDescent="0.25">
      <c r="A4162" s="29" t="s">
        <v>4353</v>
      </c>
    </row>
    <row r="4163" spans="1:1" x14ac:dyDescent="0.25">
      <c r="A4163" s="29" t="s">
        <v>4354</v>
      </c>
    </row>
    <row r="4164" spans="1:1" x14ac:dyDescent="0.25">
      <c r="A4164" s="29" t="s">
        <v>4355</v>
      </c>
    </row>
    <row r="4165" spans="1:1" x14ac:dyDescent="0.25">
      <c r="A4165" s="29" t="s">
        <v>4356</v>
      </c>
    </row>
    <row r="4166" spans="1:1" x14ac:dyDescent="0.25">
      <c r="A4166" s="29" t="s">
        <v>4357</v>
      </c>
    </row>
    <row r="4167" spans="1:1" x14ac:dyDescent="0.25">
      <c r="A4167" s="29" t="s">
        <v>4358</v>
      </c>
    </row>
    <row r="4168" spans="1:1" x14ac:dyDescent="0.25">
      <c r="A4168" s="29" t="s">
        <v>4359</v>
      </c>
    </row>
    <row r="4169" spans="1:1" x14ac:dyDescent="0.25">
      <c r="A4169" s="29" t="s">
        <v>4360</v>
      </c>
    </row>
    <row r="4170" spans="1:1" x14ac:dyDescent="0.25">
      <c r="A4170" s="29" t="s">
        <v>4361</v>
      </c>
    </row>
    <row r="4171" spans="1:1" x14ac:dyDescent="0.25">
      <c r="A4171" s="29" t="s">
        <v>4362</v>
      </c>
    </row>
    <row r="4172" spans="1:1" x14ac:dyDescent="0.25">
      <c r="A4172" s="29" t="s">
        <v>4363</v>
      </c>
    </row>
    <row r="4173" spans="1:1" x14ac:dyDescent="0.25">
      <c r="A4173" s="29" t="s">
        <v>4364</v>
      </c>
    </row>
    <row r="4174" spans="1:1" x14ac:dyDescent="0.25">
      <c r="A4174" s="29" t="s">
        <v>4365</v>
      </c>
    </row>
    <row r="4175" spans="1:1" x14ac:dyDescent="0.25">
      <c r="A4175" s="29" t="s">
        <v>4366</v>
      </c>
    </row>
    <row r="4176" spans="1:1" x14ac:dyDescent="0.25">
      <c r="A4176" s="29" t="s">
        <v>4367</v>
      </c>
    </row>
    <row r="4177" spans="1:1" x14ac:dyDescent="0.25">
      <c r="A4177" s="29" t="s">
        <v>4368</v>
      </c>
    </row>
    <row r="4178" spans="1:1" x14ac:dyDescent="0.25">
      <c r="A4178" s="29" t="s">
        <v>4369</v>
      </c>
    </row>
    <row r="4179" spans="1:1" x14ac:dyDescent="0.25">
      <c r="A4179" s="29" t="s">
        <v>4370</v>
      </c>
    </row>
    <row r="4180" spans="1:1" x14ac:dyDescent="0.25">
      <c r="A4180" s="29" t="s">
        <v>4371</v>
      </c>
    </row>
    <row r="4181" spans="1:1" x14ac:dyDescent="0.25">
      <c r="A4181" s="29" t="s">
        <v>4372</v>
      </c>
    </row>
    <row r="4182" spans="1:1" x14ac:dyDescent="0.25">
      <c r="A4182" s="29" t="s">
        <v>4373</v>
      </c>
    </row>
    <row r="4183" spans="1:1" x14ac:dyDescent="0.25">
      <c r="A4183" s="29" t="s">
        <v>4374</v>
      </c>
    </row>
    <row r="4184" spans="1:1" x14ac:dyDescent="0.25">
      <c r="A4184" s="29" t="s">
        <v>4375</v>
      </c>
    </row>
    <row r="4185" spans="1:1" x14ac:dyDescent="0.25">
      <c r="A4185" s="29" t="s">
        <v>4376</v>
      </c>
    </row>
    <row r="4186" spans="1:1" x14ac:dyDescent="0.25">
      <c r="A4186" s="29" t="s">
        <v>4377</v>
      </c>
    </row>
    <row r="4187" spans="1:1" x14ac:dyDescent="0.25">
      <c r="A4187" s="29" t="s">
        <v>4378</v>
      </c>
    </row>
    <row r="4188" spans="1:1" x14ac:dyDescent="0.25">
      <c r="A4188" s="29" t="s">
        <v>4379</v>
      </c>
    </row>
    <row r="4189" spans="1:1" x14ac:dyDescent="0.25">
      <c r="A4189" s="29" t="s">
        <v>4380</v>
      </c>
    </row>
    <row r="4190" spans="1:1" x14ac:dyDescent="0.25">
      <c r="A4190" s="29" t="s">
        <v>4381</v>
      </c>
    </row>
    <row r="4191" spans="1:1" x14ac:dyDescent="0.25">
      <c r="A4191" s="29" t="s">
        <v>4382</v>
      </c>
    </row>
    <row r="4192" spans="1:1" x14ac:dyDescent="0.25">
      <c r="A4192" s="29" t="s">
        <v>4383</v>
      </c>
    </row>
    <row r="4193" spans="1:1" x14ac:dyDescent="0.25">
      <c r="A4193" s="29" t="s">
        <v>4384</v>
      </c>
    </row>
    <row r="4194" spans="1:1" x14ac:dyDescent="0.25">
      <c r="A4194" s="29" t="s">
        <v>4385</v>
      </c>
    </row>
    <row r="4195" spans="1:1" x14ac:dyDescent="0.25">
      <c r="A4195" s="29" t="s">
        <v>4386</v>
      </c>
    </row>
    <row r="4196" spans="1:1" x14ac:dyDescent="0.25">
      <c r="A4196" s="29" t="s">
        <v>4387</v>
      </c>
    </row>
    <row r="4197" spans="1:1" x14ac:dyDescent="0.25">
      <c r="A4197" s="29" t="s">
        <v>4388</v>
      </c>
    </row>
    <row r="4198" spans="1:1" x14ac:dyDescent="0.25">
      <c r="A4198" s="29" t="s">
        <v>4389</v>
      </c>
    </row>
    <row r="4199" spans="1:1" x14ac:dyDescent="0.25">
      <c r="A4199" s="29" t="s">
        <v>4390</v>
      </c>
    </row>
    <row r="4200" spans="1:1" x14ac:dyDescent="0.25">
      <c r="A4200" s="29" t="s">
        <v>4391</v>
      </c>
    </row>
    <row r="4201" spans="1:1" x14ac:dyDescent="0.25">
      <c r="A4201" s="29" t="s">
        <v>4392</v>
      </c>
    </row>
    <row r="4202" spans="1:1" x14ac:dyDescent="0.25">
      <c r="A4202" s="29" t="s">
        <v>4393</v>
      </c>
    </row>
    <row r="4203" spans="1:1" x14ac:dyDescent="0.25">
      <c r="A4203" s="29" t="s">
        <v>4394</v>
      </c>
    </row>
    <row r="4204" spans="1:1" x14ac:dyDescent="0.25">
      <c r="A4204" s="29" t="s">
        <v>4395</v>
      </c>
    </row>
    <row r="4205" spans="1:1" x14ac:dyDescent="0.25">
      <c r="A4205" s="29" t="s">
        <v>4396</v>
      </c>
    </row>
    <row r="4206" spans="1:1" x14ac:dyDescent="0.25">
      <c r="A4206" s="29" t="s">
        <v>4397</v>
      </c>
    </row>
    <row r="4207" spans="1:1" x14ac:dyDescent="0.25">
      <c r="A4207" s="29" t="s">
        <v>4398</v>
      </c>
    </row>
    <row r="4208" spans="1:1" x14ac:dyDescent="0.25">
      <c r="A4208" s="29" t="s">
        <v>4399</v>
      </c>
    </row>
    <row r="4209" spans="1:1" x14ac:dyDescent="0.25">
      <c r="A4209" s="29" t="s">
        <v>4400</v>
      </c>
    </row>
    <row r="4210" spans="1:1" x14ac:dyDescent="0.25">
      <c r="A4210" s="29" t="s">
        <v>4401</v>
      </c>
    </row>
    <row r="4211" spans="1:1" x14ac:dyDescent="0.25">
      <c r="A4211" s="29" t="s">
        <v>4402</v>
      </c>
    </row>
    <row r="4212" spans="1:1" x14ac:dyDescent="0.25">
      <c r="A4212" s="29" t="s">
        <v>4403</v>
      </c>
    </row>
    <row r="4213" spans="1:1" x14ac:dyDescent="0.25">
      <c r="A4213" s="29" t="s">
        <v>4404</v>
      </c>
    </row>
    <row r="4214" spans="1:1" x14ac:dyDescent="0.25">
      <c r="A4214" s="29" t="s">
        <v>4405</v>
      </c>
    </row>
    <row r="4215" spans="1:1" x14ac:dyDescent="0.25">
      <c r="A4215" s="29" t="s">
        <v>4406</v>
      </c>
    </row>
    <row r="4216" spans="1:1" x14ac:dyDescent="0.25">
      <c r="A4216" s="29" t="s">
        <v>4407</v>
      </c>
    </row>
    <row r="4217" spans="1:1" x14ac:dyDescent="0.25">
      <c r="A4217" s="29" t="s">
        <v>4408</v>
      </c>
    </row>
    <row r="4218" spans="1:1" x14ac:dyDescent="0.25">
      <c r="A4218" s="29" t="s">
        <v>4409</v>
      </c>
    </row>
    <row r="4219" spans="1:1" x14ac:dyDescent="0.25">
      <c r="A4219" s="29" t="s">
        <v>4410</v>
      </c>
    </row>
    <row r="4220" spans="1:1" x14ac:dyDescent="0.25">
      <c r="A4220" s="29" t="s">
        <v>4411</v>
      </c>
    </row>
    <row r="4221" spans="1:1" x14ac:dyDescent="0.25">
      <c r="A4221" s="29" t="s">
        <v>4412</v>
      </c>
    </row>
    <row r="4222" spans="1:1" x14ac:dyDescent="0.25">
      <c r="A4222" s="29" t="s">
        <v>4413</v>
      </c>
    </row>
    <row r="4223" spans="1:1" x14ac:dyDescent="0.25">
      <c r="A4223" s="29" t="s">
        <v>4414</v>
      </c>
    </row>
    <row r="4224" spans="1:1" x14ac:dyDescent="0.25">
      <c r="A4224" s="29" t="s">
        <v>4415</v>
      </c>
    </row>
    <row r="4225" spans="1:1" x14ac:dyDescent="0.25">
      <c r="A4225" s="29" t="s">
        <v>4416</v>
      </c>
    </row>
    <row r="4226" spans="1:1" x14ac:dyDescent="0.25">
      <c r="A4226" s="29" t="s">
        <v>4417</v>
      </c>
    </row>
    <row r="4227" spans="1:1" x14ac:dyDescent="0.25">
      <c r="A4227" s="29" t="s">
        <v>4418</v>
      </c>
    </row>
    <row r="4228" spans="1:1" x14ac:dyDescent="0.25">
      <c r="A4228" s="29" t="s">
        <v>4419</v>
      </c>
    </row>
    <row r="4229" spans="1:1" x14ac:dyDescent="0.25">
      <c r="A4229" s="29" t="s">
        <v>4420</v>
      </c>
    </row>
    <row r="4230" spans="1:1" x14ac:dyDescent="0.25">
      <c r="A4230" s="29" t="s">
        <v>4421</v>
      </c>
    </row>
    <row r="4231" spans="1:1" x14ac:dyDescent="0.25">
      <c r="A4231" s="29" t="s">
        <v>4422</v>
      </c>
    </row>
    <row r="4232" spans="1:1" x14ac:dyDescent="0.25">
      <c r="A4232" s="29" t="s">
        <v>4423</v>
      </c>
    </row>
    <row r="4233" spans="1:1" x14ac:dyDescent="0.25">
      <c r="A4233" s="29" t="s">
        <v>4424</v>
      </c>
    </row>
    <row r="4234" spans="1:1" x14ac:dyDescent="0.25">
      <c r="A4234" s="29" t="s">
        <v>4425</v>
      </c>
    </row>
    <row r="4235" spans="1:1" x14ac:dyDescent="0.25">
      <c r="A4235" s="29" t="s">
        <v>4426</v>
      </c>
    </row>
    <row r="4236" spans="1:1" x14ac:dyDescent="0.25">
      <c r="A4236" s="29" t="s">
        <v>4427</v>
      </c>
    </row>
    <row r="4237" spans="1:1" x14ac:dyDescent="0.25">
      <c r="A4237" s="29" t="s">
        <v>4428</v>
      </c>
    </row>
    <row r="4238" spans="1:1" x14ac:dyDescent="0.25">
      <c r="A4238" s="29" t="s">
        <v>4429</v>
      </c>
    </row>
    <row r="4239" spans="1:1" x14ac:dyDescent="0.25">
      <c r="A4239" s="29" t="s">
        <v>4430</v>
      </c>
    </row>
    <row r="4240" spans="1:1" x14ac:dyDescent="0.25">
      <c r="A4240" s="29" t="s">
        <v>4431</v>
      </c>
    </row>
    <row r="4241" spans="1:1" x14ac:dyDescent="0.25">
      <c r="A4241" s="29" t="s">
        <v>4432</v>
      </c>
    </row>
    <row r="4242" spans="1:1" x14ac:dyDescent="0.25">
      <c r="A4242" s="29" t="s">
        <v>4433</v>
      </c>
    </row>
    <row r="4243" spans="1:1" x14ac:dyDescent="0.25">
      <c r="A4243" s="29" t="s">
        <v>4434</v>
      </c>
    </row>
    <row r="4244" spans="1:1" x14ac:dyDescent="0.25">
      <c r="A4244" s="29" t="s">
        <v>4435</v>
      </c>
    </row>
    <row r="4245" spans="1:1" x14ac:dyDescent="0.25">
      <c r="A4245" s="29" t="s">
        <v>4436</v>
      </c>
    </row>
    <row r="4246" spans="1:1" x14ac:dyDescent="0.25">
      <c r="A4246" s="29" t="s">
        <v>4437</v>
      </c>
    </row>
    <row r="4247" spans="1:1" x14ac:dyDescent="0.25">
      <c r="A4247" s="29" t="s">
        <v>4438</v>
      </c>
    </row>
    <row r="4248" spans="1:1" x14ac:dyDescent="0.25">
      <c r="A4248" s="29" t="s">
        <v>4439</v>
      </c>
    </row>
    <row r="4249" spans="1:1" x14ac:dyDescent="0.25">
      <c r="A4249" s="29" t="s">
        <v>4440</v>
      </c>
    </row>
    <row r="4250" spans="1:1" x14ac:dyDescent="0.25">
      <c r="A4250" s="29" t="s">
        <v>4441</v>
      </c>
    </row>
    <row r="4251" spans="1:1" x14ac:dyDescent="0.25">
      <c r="A4251" s="29" t="s">
        <v>4442</v>
      </c>
    </row>
    <row r="4252" spans="1:1" x14ac:dyDescent="0.25">
      <c r="A4252" s="29" t="s">
        <v>4443</v>
      </c>
    </row>
    <row r="4253" spans="1:1" x14ac:dyDescent="0.25">
      <c r="A4253" s="29" t="s">
        <v>4444</v>
      </c>
    </row>
    <row r="4254" spans="1:1" x14ac:dyDescent="0.25">
      <c r="A4254" s="29" t="s">
        <v>4445</v>
      </c>
    </row>
    <row r="4255" spans="1:1" x14ac:dyDescent="0.25">
      <c r="A4255" s="29" t="s">
        <v>4446</v>
      </c>
    </row>
    <row r="4256" spans="1:1" x14ac:dyDescent="0.25">
      <c r="A4256" s="29" t="s">
        <v>4447</v>
      </c>
    </row>
    <row r="4257" spans="1:1" x14ac:dyDescent="0.25">
      <c r="A4257" s="29" t="s">
        <v>4448</v>
      </c>
    </row>
    <row r="4258" spans="1:1" x14ac:dyDescent="0.25">
      <c r="A4258" s="29" t="s">
        <v>4449</v>
      </c>
    </row>
    <row r="4259" spans="1:1" x14ac:dyDescent="0.25">
      <c r="A4259" s="29" t="s">
        <v>4450</v>
      </c>
    </row>
    <row r="4260" spans="1:1" x14ac:dyDescent="0.25">
      <c r="A4260" s="29" t="s">
        <v>4451</v>
      </c>
    </row>
    <row r="4261" spans="1:1" x14ac:dyDescent="0.25">
      <c r="A4261" s="29" t="s">
        <v>4452</v>
      </c>
    </row>
    <row r="4262" spans="1:1" x14ac:dyDescent="0.25">
      <c r="A4262" s="29" t="s">
        <v>4453</v>
      </c>
    </row>
    <row r="4263" spans="1:1" x14ac:dyDescent="0.25">
      <c r="A4263" s="29" t="s">
        <v>4454</v>
      </c>
    </row>
    <row r="4264" spans="1:1" x14ac:dyDescent="0.25">
      <c r="A4264" s="29" t="s">
        <v>4455</v>
      </c>
    </row>
    <row r="4265" spans="1:1" x14ac:dyDescent="0.25">
      <c r="A4265" s="29" t="s">
        <v>4456</v>
      </c>
    </row>
    <row r="4266" spans="1:1" x14ac:dyDescent="0.25">
      <c r="A4266" s="29" t="s">
        <v>4457</v>
      </c>
    </row>
    <row r="4267" spans="1:1" x14ac:dyDescent="0.25">
      <c r="A4267" s="29" t="s">
        <v>4458</v>
      </c>
    </row>
    <row r="4268" spans="1:1" x14ac:dyDescent="0.25">
      <c r="A4268" s="29" t="s">
        <v>4459</v>
      </c>
    </row>
    <row r="4269" spans="1:1" x14ac:dyDescent="0.25">
      <c r="A4269" s="29" t="s">
        <v>4460</v>
      </c>
    </row>
    <row r="4270" spans="1:1" x14ac:dyDescent="0.25">
      <c r="A4270" s="29" t="s">
        <v>4461</v>
      </c>
    </row>
    <row r="4271" spans="1:1" x14ac:dyDescent="0.25">
      <c r="A4271" s="29" t="s">
        <v>4462</v>
      </c>
    </row>
    <row r="4272" spans="1:1" x14ac:dyDescent="0.25">
      <c r="A4272" s="29" t="s">
        <v>4463</v>
      </c>
    </row>
    <row r="4273" spans="1:1" x14ac:dyDescent="0.25">
      <c r="A4273" s="29" t="s">
        <v>4464</v>
      </c>
    </row>
    <row r="4274" spans="1:1" x14ac:dyDescent="0.25">
      <c r="A4274" s="29" t="s">
        <v>4465</v>
      </c>
    </row>
    <row r="4275" spans="1:1" x14ac:dyDescent="0.25">
      <c r="A4275" s="29" t="s">
        <v>4466</v>
      </c>
    </row>
    <row r="4276" spans="1:1" x14ac:dyDescent="0.25">
      <c r="A4276" s="29" t="s">
        <v>4467</v>
      </c>
    </row>
    <row r="4277" spans="1:1" x14ac:dyDescent="0.25">
      <c r="A4277" s="29" t="s">
        <v>4468</v>
      </c>
    </row>
    <row r="4278" spans="1:1" x14ac:dyDescent="0.25">
      <c r="A4278" s="29" t="s">
        <v>4469</v>
      </c>
    </row>
    <row r="4279" spans="1:1" x14ac:dyDescent="0.25">
      <c r="A4279" s="29" t="s">
        <v>4470</v>
      </c>
    </row>
    <row r="4280" spans="1:1" x14ac:dyDescent="0.25">
      <c r="A4280" s="29" t="s">
        <v>4471</v>
      </c>
    </row>
    <row r="4281" spans="1:1" x14ac:dyDescent="0.25">
      <c r="A4281" s="29" t="s">
        <v>4472</v>
      </c>
    </row>
    <row r="4282" spans="1:1" x14ac:dyDescent="0.25">
      <c r="A4282" s="29" t="s">
        <v>4473</v>
      </c>
    </row>
    <row r="4283" spans="1:1" x14ac:dyDescent="0.25">
      <c r="A4283" s="29" t="s">
        <v>4474</v>
      </c>
    </row>
    <row r="4284" spans="1:1" x14ac:dyDescent="0.25">
      <c r="A4284" s="29" t="s">
        <v>4475</v>
      </c>
    </row>
    <row r="4285" spans="1:1" x14ac:dyDescent="0.25">
      <c r="A4285" s="29" t="s">
        <v>4476</v>
      </c>
    </row>
    <row r="4286" spans="1:1" x14ac:dyDescent="0.25">
      <c r="A4286" s="29" t="s">
        <v>4477</v>
      </c>
    </row>
    <row r="4287" spans="1:1" x14ac:dyDescent="0.25">
      <c r="A4287" s="29" t="s">
        <v>4478</v>
      </c>
    </row>
    <row r="4288" spans="1:1" x14ac:dyDescent="0.25">
      <c r="A4288" s="29" t="s">
        <v>4479</v>
      </c>
    </row>
    <row r="4289" spans="1:1" x14ac:dyDescent="0.25">
      <c r="A4289" s="29" t="s">
        <v>4480</v>
      </c>
    </row>
    <row r="4290" spans="1:1" x14ac:dyDescent="0.25">
      <c r="A4290" s="29" t="s">
        <v>4481</v>
      </c>
    </row>
    <row r="4291" spans="1:1" x14ac:dyDescent="0.25">
      <c r="A4291" s="29" t="s">
        <v>4482</v>
      </c>
    </row>
    <row r="4292" spans="1:1" x14ac:dyDescent="0.25">
      <c r="A4292" s="29" t="s">
        <v>4483</v>
      </c>
    </row>
    <row r="4293" spans="1:1" x14ac:dyDescent="0.25">
      <c r="A4293" s="29" t="s">
        <v>4484</v>
      </c>
    </row>
    <row r="4294" spans="1:1" x14ac:dyDescent="0.25">
      <c r="A4294" s="29" t="s">
        <v>4485</v>
      </c>
    </row>
    <row r="4295" spans="1:1" x14ac:dyDescent="0.25">
      <c r="A4295" s="29" t="s">
        <v>4486</v>
      </c>
    </row>
    <row r="4296" spans="1:1" x14ac:dyDescent="0.25">
      <c r="A4296" s="29" t="s">
        <v>4487</v>
      </c>
    </row>
    <row r="4297" spans="1:1" x14ac:dyDescent="0.25">
      <c r="A4297" s="29" t="s">
        <v>4488</v>
      </c>
    </row>
    <row r="4298" spans="1:1" x14ac:dyDescent="0.25">
      <c r="A4298" s="29" t="s">
        <v>4489</v>
      </c>
    </row>
    <row r="4299" spans="1:1" x14ac:dyDescent="0.25">
      <c r="A4299" s="29" t="s">
        <v>4490</v>
      </c>
    </row>
    <row r="4300" spans="1:1" x14ac:dyDescent="0.25">
      <c r="A4300" s="29" t="s">
        <v>4491</v>
      </c>
    </row>
    <row r="4301" spans="1:1" x14ac:dyDescent="0.25">
      <c r="A4301" s="29" t="s">
        <v>4492</v>
      </c>
    </row>
    <row r="4302" spans="1:1" x14ac:dyDescent="0.25">
      <c r="A4302" s="29" t="s">
        <v>4493</v>
      </c>
    </row>
    <row r="4303" spans="1:1" x14ac:dyDescent="0.25">
      <c r="A4303" s="29" t="s">
        <v>4494</v>
      </c>
    </row>
    <row r="4304" spans="1:1" x14ac:dyDescent="0.25">
      <c r="A4304" s="29" t="s">
        <v>4495</v>
      </c>
    </row>
    <row r="4305" spans="1:1" x14ac:dyDescent="0.25">
      <c r="A4305" s="29" t="s">
        <v>4496</v>
      </c>
    </row>
    <row r="4306" spans="1:1" x14ac:dyDescent="0.25">
      <c r="A4306" s="29" t="s">
        <v>4497</v>
      </c>
    </row>
    <row r="4307" spans="1:1" x14ac:dyDescent="0.25">
      <c r="A4307" s="29" t="s">
        <v>4498</v>
      </c>
    </row>
    <row r="4308" spans="1:1" x14ac:dyDescent="0.25">
      <c r="A4308" s="29" t="s">
        <v>4499</v>
      </c>
    </row>
    <row r="4309" spans="1:1" x14ac:dyDescent="0.25">
      <c r="A4309" s="29" t="s">
        <v>4500</v>
      </c>
    </row>
    <row r="4310" spans="1:1" x14ac:dyDescent="0.25">
      <c r="A4310" s="29" t="s">
        <v>4501</v>
      </c>
    </row>
    <row r="4311" spans="1:1" x14ac:dyDescent="0.25">
      <c r="A4311" s="29" t="s">
        <v>4502</v>
      </c>
    </row>
    <row r="4312" spans="1:1" x14ac:dyDescent="0.25">
      <c r="A4312" s="29" t="s">
        <v>4503</v>
      </c>
    </row>
    <row r="4313" spans="1:1" x14ac:dyDescent="0.25">
      <c r="A4313" s="29" t="s">
        <v>4504</v>
      </c>
    </row>
    <row r="4314" spans="1:1" x14ac:dyDescent="0.25">
      <c r="A4314" s="29" t="s">
        <v>4505</v>
      </c>
    </row>
    <row r="4315" spans="1:1" x14ac:dyDescent="0.25">
      <c r="A4315" s="29" t="s">
        <v>4506</v>
      </c>
    </row>
    <row r="4316" spans="1:1" x14ac:dyDescent="0.25">
      <c r="A4316" s="29" t="s">
        <v>4507</v>
      </c>
    </row>
    <row r="4317" spans="1:1" x14ac:dyDescent="0.25">
      <c r="A4317" s="29" t="s">
        <v>4508</v>
      </c>
    </row>
    <row r="4318" spans="1:1" x14ac:dyDescent="0.25">
      <c r="A4318" s="29" t="s">
        <v>4509</v>
      </c>
    </row>
    <row r="4319" spans="1:1" x14ac:dyDescent="0.25">
      <c r="A4319" s="29" t="s">
        <v>4510</v>
      </c>
    </row>
    <row r="4320" spans="1:1" x14ac:dyDescent="0.25">
      <c r="A4320" s="29" t="s">
        <v>4511</v>
      </c>
    </row>
    <row r="4321" spans="1:1" x14ac:dyDescent="0.25">
      <c r="A4321" s="29" t="s">
        <v>4512</v>
      </c>
    </row>
    <row r="4322" spans="1:1" x14ac:dyDescent="0.25">
      <c r="A4322" s="29" t="s">
        <v>4513</v>
      </c>
    </row>
    <row r="4323" spans="1:1" x14ac:dyDescent="0.25">
      <c r="A4323" s="29" t="s">
        <v>4514</v>
      </c>
    </row>
    <row r="4324" spans="1:1" x14ac:dyDescent="0.25">
      <c r="A4324" s="29" t="s">
        <v>4515</v>
      </c>
    </row>
    <row r="4325" spans="1:1" x14ac:dyDescent="0.25">
      <c r="A4325" s="29" t="s">
        <v>4516</v>
      </c>
    </row>
    <row r="4326" spans="1:1" x14ac:dyDescent="0.25">
      <c r="A4326" s="29" t="s">
        <v>4517</v>
      </c>
    </row>
    <row r="4327" spans="1:1" x14ac:dyDescent="0.25">
      <c r="A4327" s="29" t="s">
        <v>4518</v>
      </c>
    </row>
    <row r="4328" spans="1:1" x14ac:dyDescent="0.25">
      <c r="A4328" s="29" t="s">
        <v>4519</v>
      </c>
    </row>
    <row r="4329" spans="1:1" x14ac:dyDescent="0.25">
      <c r="A4329" s="29" t="s">
        <v>4520</v>
      </c>
    </row>
    <row r="4330" spans="1:1" x14ac:dyDescent="0.25">
      <c r="A4330" s="29" t="s">
        <v>4521</v>
      </c>
    </row>
    <row r="4331" spans="1:1" x14ac:dyDescent="0.25">
      <c r="A4331" s="29" t="s">
        <v>4522</v>
      </c>
    </row>
    <row r="4332" spans="1:1" x14ac:dyDescent="0.25">
      <c r="A4332" s="29" t="s">
        <v>4523</v>
      </c>
    </row>
    <row r="4333" spans="1:1" x14ac:dyDescent="0.25">
      <c r="A4333" s="29" t="s">
        <v>4524</v>
      </c>
    </row>
    <row r="4334" spans="1:1" x14ac:dyDescent="0.25">
      <c r="A4334" s="29" t="s">
        <v>4525</v>
      </c>
    </row>
    <row r="4335" spans="1:1" x14ac:dyDescent="0.25">
      <c r="A4335" s="29" t="s">
        <v>4526</v>
      </c>
    </row>
    <row r="4336" spans="1:1" x14ac:dyDescent="0.25">
      <c r="A4336" s="29" t="s">
        <v>4527</v>
      </c>
    </row>
    <row r="4337" spans="1:1" x14ac:dyDescent="0.25">
      <c r="A4337" s="29" t="s">
        <v>4528</v>
      </c>
    </row>
    <row r="4338" spans="1:1" x14ac:dyDescent="0.25">
      <c r="A4338" s="29" t="s">
        <v>4529</v>
      </c>
    </row>
    <row r="4339" spans="1:1" x14ac:dyDescent="0.25">
      <c r="A4339" s="123" t="s">
        <v>4530</v>
      </c>
    </row>
    <row r="4340" spans="1:1" x14ac:dyDescent="0.25">
      <c r="A4340" s="123" t="s">
        <v>4531</v>
      </c>
    </row>
    <row r="4341" spans="1:1" x14ac:dyDescent="0.25">
      <c r="A4341" s="123" t="s">
        <v>4532</v>
      </c>
    </row>
    <row r="4342" spans="1:1" x14ac:dyDescent="0.25">
      <c r="A4342" s="124" t="s">
        <v>4533</v>
      </c>
    </row>
    <row r="4343" spans="1:1" x14ac:dyDescent="0.25">
      <c r="A4343" s="124" t="s">
        <v>4534</v>
      </c>
    </row>
    <row r="4344" spans="1:1" x14ac:dyDescent="0.25">
      <c r="A4344" s="123" t="s">
        <v>4535</v>
      </c>
    </row>
    <row r="4345" spans="1:1" x14ac:dyDescent="0.25">
      <c r="A4345" s="29" t="s">
        <v>4536</v>
      </c>
    </row>
    <row r="4346" spans="1:1" x14ac:dyDescent="0.25">
      <c r="A4346" s="123" t="s">
        <v>4537</v>
      </c>
    </row>
    <row r="4347" spans="1:1" x14ac:dyDescent="0.25">
      <c r="A4347" s="123" t="s">
        <v>4538</v>
      </c>
    </row>
    <row r="4348" spans="1:1" x14ac:dyDescent="0.25">
      <c r="A4348" s="123" t="s">
        <v>4539</v>
      </c>
    </row>
    <row r="4349" spans="1:1" x14ac:dyDescent="0.25">
      <c r="A4349" s="124" t="s">
        <v>4540</v>
      </c>
    </row>
    <row r="4350" spans="1:1" x14ac:dyDescent="0.25">
      <c r="A4350" s="124" t="s">
        <v>4541</v>
      </c>
    </row>
    <row r="4351" spans="1:1" x14ac:dyDescent="0.25">
      <c r="A4351" s="123" t="s">
        <v>4542</v>
      </c>
    </row>
    <row r="4352" spans="1:1" x14ac:dyDescent="0.25">
      <c r="A4352" s="29" t="s">
        <v>4543</v>
      </c>
    </row>
    <row r="4353" spans="1:1" x14ac:dyDescent="0.25">
      <c r="A4353" s="123" t="s">
        <v>4544</v>
      </c>
    </row>
    <row r="4354" spans="1:1" x14ac:dyDescent="0.25">
      <c r="A4354" s="123" t="s">
        <v>4545</v>
      </c>
    </row>
    <row r="4355" spans="1:1" x14ac:dyDescent="0.25">
      <c r="A4355" s="123" t="s">
        <v>4546</v>
      </c>
    </row>
    <row r="4356" spans="1:1" x14ac:dyDescent="0.25">
      <c r="A4356" s="124" t="s">
        <v>4547</v>
      </c>
    </row>
    <row r="4357" spans="1:1" x14ac:dyDescent="0.25">
      <c r="A4357" s="124" t="s">
        <v>4548</v>
      </c>
    </row>
    <row r="4358" spans="1:1" x14ac:dyDescent="0.25">
      <c r="A4358" s="123" t="s">
        <v>4549</v>
      </c>
    </row>
    <row r="4359" spans="1:1" x14ac:dyDescent="0.25">
      <c r="A4359" s="29" t="s">
        <v>4550</v>
      </c>
    </row>
    <row r="4360" spans="1:1" x14ac:dyDescent="0.25">
      <c r="A4360" s="123" t="s">
        <v>4551</v>
      </c>
    </row>
    <row r="4361" spans="1:1" x14ac:dyDescent="0.25">
      <c r="A4361" s="123" t="s">
        <v>4552</v>
      </c>
    </row>
    <row r="4362" spans="1:1" x14ac:dyDescent="0.25">
      <c r="A4362" s="123" t="s">
        <v>4553</v>
      </c>
    </row>
    <row r="4363" spans="1:1" x14ac:dyDescent="0.25">
      <c r="A4363" s="124" t="s">
        <v>4554</v>
      </c>
    </row>
    <row r="4364" spans="1:1" x14ac:dyDescent="0.25">
      <c r="A4364" s="124" t="s">
        <v>4555</v>
      </c>
    </row>
    <row r="4365" spans="1:1" x14ac:dyDescent="0.25">
      <c r="A4365" s="123" t="s">
        <v>4556</v>
      </c>
    </row>
    <row r="4366" spans="1:1" x14ac:dyDescent="0.25">
      <c r="A4366" s="29" t="s">
        <v>4557</v>
      </c>
    </row>
    <row r="4367" spans="1:1" x14ac:dyDescent="0.25">
      <c r="A4367" s="123" t="s">
        <v>4558</v>
      </c>
    </row>
    <row r="4368" spans="1:1" x14ac:dyDescent="0.25">
      <c r="A4368" s="123" t="s">
        <v>4559</v>
      </c>
    </row>
    <row r="4369" spans="1:1" x14ac:dyDescent="0.25">
      <c r="A4369" s="123" t="s">
        <v>4560</v>
      </c>
    </row>
    <row r="4370" spans="1:1" x14ac:dyDescent="0.25">
      <c r="A4370" s="124" t="s">
        <v>4561</v>
      </c>
    </row>
    <row r="4371" spans="1:1" x14ac:dyDescent="0.25">
      <c r="A4371" s="124" t="s">
        <v>4562</v>
      </c>
    </row>
    <row r="4372" spans="1:1" x14ac:dyDescent="0.25">
      <c r="A4372" s="123" t="s">
        <v>4563</v>
      </c>
    </row>
    <row r="4373" spans="1:1" x14ac:dyDescent="0.25">
      <c r="A4373" s="29" t="s">
        <v>4564</v>
      </c>
    </row>
    <row r="4374" spans="1:1" x14ac:dyDescent="0.25">
      <c r="A4374" s="123" t="s">
        <v>4565</v>
      </c>
    </row>
    <row r="4375" spans="1:1" x14ac:dyDescent="0.25">
      <c r="A4375" s="123" t="s">
        <v>4566</v>
      </c>
    </row>
    <row r="4376" spans="1:1" x14ac:dyDescent="0.25">
      <c r="A4376" s="123" t="s">
        <v>4567</v>
      </c>
    </row>
    <row r="4377" spans="1:1" x14ac:dyDescent="0.25">
      <c r="A4377" s="124" t="s">
        <v>4568</v>
      </c>
    </row>
    <row r="4378" spans="1:1" x14ac:dyDescent="0.25">
      <c r="A4378" s="124" t="s">
        <v>4569</v>
      </c>
    </row>
    <row r="4379" spans="1:1" x14ac:dyDescent="0.25">
      <c r="A4379" s="123" t="s">
        <v>4570</v>
      </c>
    </row>
    <row r="4380" spans="1:1" x14ac:dyDescent="0.25">
      <c r="A4380" s="29" t="s">
        <v>4571</v>
      </c>
    </row>
    <row r="4381" spans="1:1" x14ac:dyDescent="0.25">
      <c r="A4381" s="123" t="s">
        <v>4572</v>
      </c>
    </row>
    <row r="4382" spans="1:1" x14ac:dyDescent="0.25">
      <c r="A4382" s="123" t="s">
        <v>4573</v>
      </c>
    </row>
    <row r="4383" spans="1:1" x14ac:dyDescent="0.25">
      <c r="A4383" s="123" t="s">
        <v>4574</v>
      </c>
    </row>
    <row r="4384" spans="1:1" x14ac:dyDescent="0.25">
      <c r="A4384" s="124" t="s">
        <v>4575</v>
      </c>
    </row>
    <row r="4385" spans="1:1" x14ac:dyDescent="0.25">
      <c r="A4385" s="124" t="s">
        <v>4576</v>
      </c>
    </row>
    <row r="4386" spans="1:1" x14ac:dyDescent="0.25">
      <c r="A4386" s="123" t="s">
        <v>4577</v>
      </c>
    </row>
    <row r="4387" spans="1:1" x14ac:dyDescent="0.25">
      <c r="A4387" s="29" t="s">
        <v>4578</v>
      </c>
    </row>
    <row r="4388" spans="1:1" x14ac:dyDescent="0.25">
      <c r="A4388" s="123" t="s">
        <v>4579</v>
      </c>
    </row>
    <row r="4389" spans="1:1" x14ac:dyDescent="0.25">
      <c r="A4389" s="123" t="s">
        <v>4580</v>
      </c>
    </row>
    <row r="4390" spans="1:1" x14ac:dyDescent="0.25">
      <c r="A4390" s="123" t="s">
        <v>4581</v>
      </c>
    </row>
    <row r="4391" spans="1:1" x14ac:dyDescent="0.25">
      <c r="A4391" s="124" t="s">
        <v>4582</v>
      </c>
    </row>
    <row r="4392" spans="1:1" x14ac:dyDescent="0.25">
      <c r="A4392" s="124" t="s">
        <v>4583</v>
      </c>
    </row>
    <row r="4393" spans="1:1" x14ac:dyDescent="0.25">
      <c r="A4393" s="123" t="s">
        <v>4584</v>
      </c>
    </row>
    <row r="4394" spans="1:1" x14ac:dyDescent="0.25">
      <c r="A4394" s="29" t="s">
        <v>4585</v>
      </c>
    </row>
    <row r="4395" spans="1:1" x14ac:dyDescent="0.25">
      <c r="A4395" s="29" t="s">
        <v>4586</v>
      </c>
    </row>
    <row r="4396" spans="1:1" x14ac:dyDescent="0.25">
      <c r="A4396" s="29" t="s">
        <v>4587</v>
      </c>
    </row>
    <row r="4397" spans="1:1" x14ac:dyDescent="0.25">
      <c r="A4397" s="29" t="s">
        <v>4588</v>
      </c>
    </row>
    <row r="4398" spans="1:1" x14ac:dyDescent="0.25">
      <c r="A4398" s="29" t="s">
        <v>4589</v>
      </c>
    </row>
    <row r="4399" spans="1:1" x14ac:dyDescent="0.25">
      <c r="A4399" s="29" t="s">
        <v>4590</v>
      </c>
    </row>
    <row r="4400" spans="1:1" x14ac:dyDescent="0.25">
      <c r="A4400" s="29" t="s">
        <v>4591</v>
      </c>
    </row>
    <row r="4401" spans="1:1" x14ac:dyDescent="0.25">
      <c r="A4401" s="29" t="s">
        <v>4592</v>
      </c>
    </row>
    <row r="4402" spans="1:1" x14ac:dyDescent="0.25">
      <c r="A4402" s="29" t="s">
        <v>4593</v>
      </c>
    </row>
    <row r="4403" spans="1:1" x14ac:dyDescent="0.25">
      <c r="A4403" s="29" t="s">
        <v>4594</v>
      </c>
    </row>
    <row r="4404" spans="1:1" x14ac:dyDescent="0.25">
      <c r="A4404" s="29" t="s">
        <v>4595</v>
      </c>
    </row>
    <row r="4405" spans="1:1" x14ac:dyDescent="0.25">
      <c r="A4405" s="29" t="s">
        <v>4596</v>
      </c>
    </row>
    <row r="4406" spans="1:1" x14ac:dyDescent="0.25">
      <c r="A4406" s="29" t="s">
        <v>4597</v>
      </c>
    </row>
    <row r="4407" spans="1:1" x14ac:dyDescent="0.25">
      <c r="A4407" s="29" t="s">
        <v>4598</v>
      </c>
    </row>
    <row r="4408" spans="1:1" x14ac:dyDescent="0.25">
      <c r="A4408" s="29" t="s">
        <v>4599</v>
      </c>
    </row>
    <row r="4409" spans="1:1" x14ac:dyDescent="0.25">
      <c r="A4409" s="29" t="s">
        <v>4600</v>
      </c>
    </row>
    <row r="4410" spans="1:1" x14ac:dyDescent="0.25">
      <c r="A4410" s="29" t="s">
        <v>4601</v>
      </c>
    </row>
    <row r="4411" spans="1:1" x14ac:dyDescent="0.25">
      <c r="A4411" s="29" t="s">
        <v>4602</v>
      </c>
    </row>
    <row r="4412" spans="1:1" x14ac:dyDescent="0.25">
      <c r="A4412" s="29" t="s">
        <v>4603</v>
      </c>
    </row>
    <row r="4413" spans="1:1" x14ac:dyDescent="0.25">
      <c r="A4413" s="29" t="s">
        <v>4604</v>
      </c>
    </row>
    <row r="4414" spans="1:1" x14ac:dyDescent="0.25">
      <c r="A4414" s="29" t="s">
        <v>4605</v>
      </c>
    </row>
    <row r="4415" spans="1:1" x14ac:dyDescent="0.25">
      <c r="A4415" s="29" t="s">
        <v>4606</v>
      </c>
    </row>
    <row r="4416" spans="1:1" x14ac:dyDescent="0.25">
      <c r="A4416" s="29" t="s">
        <v>4607</v>
      </c>
    </row>
    <row r="4417" spans="1:1" x14ac:dyDescent="0.25">
      <c r="A4417" s="29" t="s">
        <v>4608</v>
      </c>
    </row>
    <row r="4418" spans="1:1" x14ac:dyDescent="0.25">
      <c r="A4418" s="29" t="s">
        <v>4609</v>
      </c>
    </row>
    <row r="4419" spans="1:1" x14ac:dyDescent="0.25">
      <c r="A4419" s="29" t="s">
        <v>4610</v>
      </c>
    </row>
    <row r="4420" spans="1:1" x14ac:dyDescent="0.25">
      <c r="A4420" s="29" t="s">
        <v>4611</v>
      </c>
    </row>
    <row r="4421" spans="1:1" x14ac:dyDescent="0.25">
      <c r="A4421" s="29" t="s">
        <v>4612</v>
      </c>
    </row>
    <row r="4422" spans="1:1" x14ac:dyDescent="0.25">
      <c r="A4422" s="29" t="s">
        <v>4613</v>
      </c>
    </row>
    <row r="4423" spans="1:1" x14ac:dyDescent="0.25">
      <c r="A4423" s="29" t="s">
        <v>4614</v>
      </c>
    </row>
    <row r="4424" spans="1:1" x14ac:dyDescent="0.25">
      <c r="A4424" s="29" t="s">
        <v>4615</v>
      </c>
    </row>
    <row r="4425" spans="1:1" x14ac:dyDescent="0.25">
      <c r="A4425" s="29" t="s">
        <v>4616</v>
      </c>
    </row>
    <row r="4426" spans="1:1" x14ac:dyDescent="0.25">
      <c r="A4426" s="29" t="s">
        <v>4617</v>
      </c>
    </row>
    <row r="4427" spans="1:1" x14ac:dyDescent="0.25">
      <c r="A4427" s="29" t="s">
        <v>4618</v>
      </c>
    </row>
    <row r="4428" spans="1:1" x14ac:dyDescent="0.25">
      <c r="A4428" s="29" t="s">
        <v>4619</v>
      </c>
    </row>
    <row r="4429" spans="1:1" x14ac:dyDescent="0.25">
      <c r="A4429" s="29" t="s">
        <v>4620</v>
      </c>
    </row>
    <row r="4430" spans="1:1" x14ac:dyDescent="0.25">
      <c r="A4430" s="29" t="s">
        <v>4621</v>
      </c>
    </row>
    <row r="4431" spans="1:1" x14ac:dyDescent="0.25">
      <c r="A4431" s="29" t="s">
        <v>4622</v>
      </c>
    </row>
    <row r="4432" spans="1:1" x14ac:dyDescent="0.25">
      <c r="A4432" s="29" t="s">
        <v>4623</v>
      </c>
    </row>
    <row r="4433" spans="1:1" x14ac:dyDescent="0.25">
      <c r="A4433" s="29" t="s">
        <v>4624</v>
      </c>
    </row>
    <row r="4434" spans="1:1" x14ac:dyDescent="0.25">
      <c r="A4434" s="29" t="s">
        <v>4625</v>
      </c>
    </row>
    <row r="4435" spans="1:1" x14ac:dyDescent="0.25">
      <c r="A4435" s="29" t="s">
        <v>4626</v>
      </c>
    </row>
    <row r="4436" spans="1:1" x14ac:dyDescent="0.25">
      <c r="A4436" s="29" t="s">
        <v>4627</v>
      </c>
    </row>
    <row r="4437" spans="1:1" x14ac:dyDescent="0.25">
      <c r="A4437" s="29" t="s">
        <v>4628</v>
      </c>
    </row>
    <row r="4438" spans="1:1" x14ac:dyDescent="0.25">
      <c r="A4438" s="29" t="s">
        <v>4629</v>
      </c>
    </row>
    <row r="4439" spans="1:1" x14ac:dyDescent="0.25">
      <c r="A4439" s="29" t="s">
        <v>4630</v>
      </c>
    </row>
    <row r="4440" spans="1:1" x14ac:dyDescent="0.25">
      <c r="A4440" s="29" t="s">
        <v>4631</v>
      </c>
    </row>
    <row r="4441" spans="1:1" x14ac:dyDescent="0.25">
      <c r="A4441" s="29" t="s">
        <v>4632</v>
      </c>
    </row>
    <row r="4442" spans="1:1" x14ac:dyDescent="0.25">
      <c r="A4442" s="29" t="s">
        <v>4633</v>
      </c>
    </row>
    <row r="4443" spans="1:1" x14ac:dyDescent="0.25">
      <c r="A4443" s="29" t="s">
        <v>4634</v>
      </c>
    </row>
    <row r="4444" spans="1:1" x14ac:dyDescent="0.25">
      <c r="A4444" s="29" t="s">
        <v>4635</v>
      </c>
    </row>
    <row r="4445" spans="1:1" x14ac:dyDescent="0.25">
      <c r="A4445" s="29" t="s">
        <v>4636</v>
      </c>
    </row>
    <row r="4446" spans="1:1" x14ac:dyDescent="0.25">
      <c r="A4446" s="29" t="s">
        <v>4637</v>
      </c>
    </row>
    <row r="4447" spans="1:1" x14ac:dyDescent="0.25">
      <c r="A4447" s="29" t="s">
        <v>4638</v>
      </c>
    </row>
    <row r="4448" spans="1:1" x14ac:dyDescent="0.25">
      <c r="A4448" s="29" t="s">
        <v>4639</v>
      </c>
    </row>
    <row r="4449" spans="1:1" x14ac:dyDescent="0.25">
      <c r="A4449" s="29" t="s">
        <v>4640</v>
      </c>
    </row>
    <row r="4450" spans="1:1" x14ac:dyDescent="0.25">
      <c r="A4450" s="29" t="s">
        <v>4641</v>
      </c>
    </row>
    <row r="4451" spans="1:1" x14ac:dyDescent="0.25">
      <c r="A4451" s="29" t="s">
        <v>4642</v>
      </c>
    </row>
    <row r="4452" spans="1:1" x14ac:dyDescent="0.25">
      <c r="A4452" s="29" t="s">
        <v>4643</v>
      </c>
    </row>
    <row r="4453" spans="1:1" x14ac:dyDescent="0.25">
      <c r="A4453" s="29" t="s">
        <v>4644</v>
      </c>
    </row>
    <row r="4454" spans="1:1" x14ac:dyDescent="0.25">
      <c r="A4454" s="29" t="s">
        <v>4645</v>
      </c>
    </row>
    <row r="4455" spans="1:1" x14ac:dyDescent="0.25">
      <c r="A4455" s="29" t="s">
        <v>4646</v>
      </c>
    </row>
    <row r="4456" spans="1:1" x14ac:dyDescent="0.25">
      <c r="A4456" s="29" t="s">
        <v>4647</v>
      </c>
    </row>
    <row r="4457" spans="1:1" x14ac:dyDescent="0.25">
      <c r="A4457" s="29" t="s">
        <v>4648</v>
      </c>
    </row>
    <row r="4458" spans="1:1" x14ac:dyDescent="0.25">
      <c r="A4458" s="29" t="s">
        <v>4649</v>
      </c>
    </row>
    <row r="4459" spans="1:1" x14ac:dyDescent="0.25">
      <c r="A4459" s="29" t="s">
        <v>4650</v>
      </c>
    </row>
    <row r="4460" spans="1:1" x14ac:dyDescent="0.25">
      <c r="A4460" s="29" t="s">
        <v>4651</v>
      </c>
    </row>
    <row r="4461" spans="1:1" x14ac:dyDescent="0.25">
      <c r="A4461" s="29" t="s">
        <v>4652</v>
      </c>
    </row>
    <row r="4462" spans="1:1" x14ac:dyDescent="0.25">
      <c r="A4462" s="29" t="s">
        <v>4653</v>
      </c>
    </row>
    <row r="4463" spans="1:1" x14ac:dyDescent="0.25">
      <c r="A4463" s="29" t="s">
        <v>4654</v>
      </c>
    </row>
    <row r="4464" spans="1:1" x14ac:dyDescent="0.25">
      <c r="A4464" s="29" t="s">
        <v>4655</v>
      </c>
    </row>
    <row r="4465" spans="1:1" x14ac:dyDescent="0.25">
      <c r="A4465" s="29" t="s">
        <v>4656</v>
      </c>
    </row>
    <row r="4466" spans="1:1" x14ac:dyDescent="0.25">
      <c r="A4466" s="29" t="s">
        <v>4657</v>
      </c>
    </row>
    <row r="4467" spans="1:1" x14ac:dyDescent="0.25">
      <c r="A4467" s="29" t="s">
        <v>4658</v>
      </c>
    </row>
    <row r="4468" spans="1:1" x14ac:dyDescent="0.25">
      <c r="A4468" s="29" t="s">
        <v>4659</v>
      </c>
    </row>
    <row r="4469" spans="1:1" x14ac:dyDescent="0.25">
      <c r="A4469" s="29" t="s">
        <v>4660</v>
      </c>
    </row>
    <row r="4470" spans="1:1" x14ac:dyDescent="0.25">
      <c r="A4470" s="29" t="s">
        <v>4661</v>
      </c>
    </row>
    <row r="4471" spans="1:1" x14ac:dyDescent="0.25">
      <c r="A4471" s="29" t="s">
        <v>4662</v>
      </c>
    </row>
    <row r="4472" spans="1:1" x14ac:dyDescent="0.25">
      <c r="A4472" s="29" t="s">
        <v>4663</v>
      </c>
    </row>
    <row r="4473" spans="1:1" x14ac:dyDescent="0.25">
      <c r="A4473" s="29" t="s">
        <v>4664</v>
      </c>
    </row>
    <row r="4474" spans="1:1" x14ac:dyDescent="0.25">
      <c r="A4474" s="29" t="s">
        <v>4665</v>
      </c>
    </row>
    <row r="4475" spans="1:1" x14ac:dyDescent="0.25">
      <c r="A4475" s="29" t="s">
        <v>4666</v>
      </c>
    </row>
    <row r="4476" spans="1:1" x14ac:dyDescent="0.25">
      <c r="A4476" s="29" t="s">
        <v>4667</v>
      </c>
    </row>
    <row r="4477" spans="1:1" x14ac:dyDescent="0.25">
      <c r="A4477" s="29" t="s">
        <v>4668</v>
      </c>
    </row>
    <row r="4478" spans="1:1" x14ac:dyDescent="0.25">
      <c r="A4478" s="29" t="s">
        <v>4669</v>
      </c>
    </row>
    <row r="4479" spans="1:1" x14ac:dyDescent="0.25">
      <c r="A4479" s="29" t="s">
        <v>4670</v>
      </c>
    </row>
    <row r="4480" spans="1:1" x14ac:dyDescent="0.25">
      <c r="A4480" s="29" t="s">
        <v>4671</v>
      </c>
    </row>
    <row r="4481" spans="1:1" x14ac:dyDescent="0.25">
      <c r="A4481" s="29" t="s">
        <v>4672</v>
      </c>
    </row>
    <row r="4482" spans="1:1" x14ac:dyDescent="0.25">
      <c r="A4482" s="29" t="s">
        <v>4673</v>
      </c>
    </row>
    <row r="4483" spans="1:1" x14ac:dyDescent="0.25">
      <c r="A4483" s="29" t="s">
        <v>4674</v>
      </c>
    </row>
    <row r="4484" spans="1:1" x14ac:dyDescent="0.25">
      <c r="A4484" s="29" t="s">
        <v>4675</v>
      </c>
    </row>
    <row r="4485" spans="1:1" x14ac:dyDescent="0.25">
      <c r="A4485" s="29" t="s">
        <v>4676</v>
      </c>
    </row>
    <row r="4486" spans="1:1" x14ac:dyDescent="0.25">
      <c r="A4486" s="29" t="s">
        <v>4677</v>
      </c>
    </row>
    <row r="4487" spans="1:1" x14ac:dyDescent="0.25">
      <c r="A4487" s="29" t="s">
        <v>4678</v>
      </c>
    </row>
    <row r="4488" spans="1:1" x14ac:dyDescent="0.25">
      <c r="A4488" s="29" t="s">
        <v>4679</v>
      </c>
    </row>
    <row r="4489" spans="1:1" x14ac:dyDescent="0.25">
      <c r="A4489" s="29" t="s">
        <v>4680</v>
      </c>
    </row>
    <row r="4490" spans="1:1" x14ac:dyDescent="0.25">
      <c r="A4490" s="29" t="s">
        <v>4681</v>
      </c>
    </row>
    <row r="4491" spans="1:1" x14ac:dyDescent="0.25">
      <c r="A4491" s="29" t="s">
        <v>4682</v>
      </c>
    </row>
    <row r="4492" spans="1:1" x14ac:dyDescent="0.25">
      <c r="A4492" s="29" t="s">
        <v>4683</v>
      </c>
    </row>
    <row r="4493" spans="1:1" x14ac:dyDescent="0.25">
      <c r="A4493" s="29" t="s">
        <v>4684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528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6" t="s">
        <v>57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19" t="s">
        <v>26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20"/>
      <c r="M2" s="121" t="s">
        <v>27</v>
      </c>
      <c r="N2" s="121"/>
      <c r="O2" s="121"/>
      <c r="P2" s="121"/>
      <c r="Q2" s="121"/>
      <c r="R2" s="121" t="s">
        <v>28</v>
      </c>
      <c r="S2" s="121"/>
      <c r="T2" s="121"/>
      <c r="U2" s="121"/>
      <c r="V2" s="121"/>
      <c r="W2" s="121"/>
      <c r="X2" s="121"/>
      <c r="Y2" s="98" t="s">
        <v>41</v>
      </c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122"/>
      <c r="AM2" s="122"/>
      <c r="AN2" s="122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3"/>
      <c r="Q5" s="16"/>
      <c r="R5" s="2"/>
      <c r="S5" s="2"/>
      <c r="T5" s="2"/>
      <c r="U5" s="2"/>
      <c r="V5" s="2"/>
      <c r="W5" s="2"/>
      <c r="X5" s="2"/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3"/>
      <c r="Q6" s="16"/>
      <c r="R6" s="2"/>
      <c r="S6" s="2"/>
      <c r="T6" s="2"/>
      <c r="U6" s="2"/>
      <c r="V6" s="2"/>
      <c r="W6" s="2"/>
      <c r="X6" s="2"/>
      <c r="Y6" s="16"/>
      <c r="Z6" s="22"/>
      <c r="AA6" s="16"/>
      <c r="AB6" s="2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187</v>
      </c>
      <c r="K7" s="2" t="s">
        <v>25</v>
      </c>
      <c r="L7" s="2">
        <v>132757294</v>
      </c>
      <c r="M7" s="16"/>
      <c r="N7" s="16"/>
      <c r="O7" s="16"/>
      <c r="P7" s="23"/>
      <c r="Q7" s="16"/>
      <c r="R7" s="2">
        <v>862</v>
      </c>
      <c r="S7" s="2" t="s">
        <v>203</v>
      </c>
      <c r="T7" s="2">
        <v>0</v>
      </c>
      <c r="U7" s="2">
        <v>113</v>
      </c>
      <c r="V7" s="2">
        <v>0</v>
      </c>
      <c r="W7" s="2">
        <v>0</v>
      </c>
      <c r="X7" s="2">
        <v>0</v>
      </c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187</v>
      </c>
      <c r="K8" s="2" t="s">
        <v>25</v>
      </c>
      <c r="L8" s="2">
        <v>132757294</v>
      </c>
      <c r="M8" s="16"/>
      <c r="N8" s="16"/>
      <c r="O8" s="16"/>
      <c r="P8" s="23"/>
      <c r="Q8" s="16"/>
      <c r="R8" s="2">
        <v>862</v>
      </c>
      <c r="S8" s="2" t="s">
        <v>204</v>
      </c>
      <c r="T8" s="2">
        <v>0</v>
      </c>
      <c r="U8" s="2">
        <v>113</v>
      </c>
      <c r="V8" s="2">
        <v>0</v>
      </c>
      <c r="W8" s="2">
        <v>0</v>
      </c>
      <c r="X8" s="2">
        <v>0</v>
      </c>
      <c r="Y8" s="16"/>
      <c r="Z8" s="22"/>
      <c r="AA8" s="16"/>
      <c r="AB8" s="2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187</v>
      </c>
      <c r="K9" s="2" t="s">
        <v>25</v>
      </c>
      <c r="L9" s="2">
        <v>132757294</v>
      </c>
      <c r="M9" s="16"/>
      <c r="N9" s="16"/>
      <c r="O9" s="16"/>
      <c r="P9" s="23"/>
      <c r="Q9" s="16"/>
      <c r="R9" s="2">
        <v>862</v>
      </c>
      <c r="S9" s="2" t="s">
        <v>204</v>
      </c>
      <c r="T9" s="2">
        <v>0</v>
      </c>
      <c r="U9" s="2">
        <v>113</v>
      </c>
      <c r="V9" s="2">
        <v>0</v>
      </c>
      <c r="W9" s="2">
        <v>0</v>
      </c>
      <c r="X9" s="2">
        <v>0</v>
      </c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187</v>
      </c>
      <c r="K10" s="2" t="s">
        <v>25</v>
      </c>
      <c r="L10" s="2">
        <v>132757294</v>
      </c>
      <c r="M10" s="16"/>
      <c r="N10" s="16"/>
      <c r="O10" s="16"/>
      <c r="P10" s="23"/>
      <c r="Q10" s="16"/>
      <c r="R10" s="2">
        <v>863</v>
      </c>
      <c r="S10" s="2" t="s">
        <v>203</v>
      </c>
      <c r="T10" s="2">
        <v>0</v>
      </c>
      <c r="U10" s="2">
        <v>-114</v>
      </c>
      <c r="V10" s="2">
        <v>0</v>
      </c>
      <c r="W10" s="2">
        <v>0</v>
      </c>
      <c r="X10" s="2">
        <v>0</v>
      </c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187</v>
      </c>
      <c r="K11" s="2" t="s">
        <v>25</v>
      </c>
      <c r="L11" s="2">
        <v>132757294</v>
      </c>
      <c r="M11" s="16"/>
      <c r="N11" s="16"/>
      <c r="O11" s="16"/>
      <c r="P11" s="23"/>
      <c r="Q11" s="16"/>
      <c r="R11" s="2">
        <v>863</v>
      </c>
      <c r="S11" s="2" t="s">
        <v>204</v>
      </c>
      <c r="T11" s="2">
        <v>0</v>
      </c>
      <c r="U11" s="2">
        <v>114</v>
      </c>
      <c r="V11" s="2">
        <v>0</v>
      </c>
      <c r="W11" s="2">
        <v>0</v>
      </c>
      <c r="X11" s="2">
        <v>0</v>
      </c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187</v>
      </c>
      <c r="K12" s="2" t="s">
        <v>25</v>
      </c>
      <c r="L12" s="2">
        <v>132757294</v>
      </c>
      <c r="M12" s="16"/>
      <c r="N12" s="16"/>
      <c r="O12" s="16"/>
      <c r="P12" s="23"/>
      <c r="Q12" s="16"/>
      <c r="R12" s="2">
        <v>863</v>
      </c>
      <c r="S12" s="2" t="s">
        <v>204</v>
      </c>
      <c r="T12" s="2">
        <v>0</v>
      </c>
      <c r="U12" s="2">
        <v>114</v>
      </c>
      <c r="V12" s="2">
        <v>0</v>
      </c>
      <c r="W12" s="2">
        <v>0</v>
      </c>
      <c r="X12" s="2">
        <v>0</v>
      </c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187</v>
      </c>
      <c r="K13" s="2" t="s">
        <v>25</v>
      </c>
      <c r="L13" s="2">
        <v>132757294</v>
      </c>
      <c r="M13" s="16"/>
      <c r="N13" s="16"/>
      <c r="O13" s="16"/>
      <c r="P13" s="23"/>
      <c r="Q13" s="16"/>
      <c r="R13" s="2">
        <v>864</v>
      </c>
      <c r="S13" s="2" t="s">
        <v>203</v>
      </c>
      <c r="T13" s="2">
        <v>0</v>
      </c>
      <c r="U13" s="2">
        <v>89</v>
      </c>
      <c r="V13" s="2">
        <v>0</v>
      </c>
      <c r="W13" s="2">
        <v>0</v>
      </c>
      <c r="X13" s="2">
        <v>0</v>
      </c>
      <c r="Y13" s="16"/>
      <c r="Z13" s="22"/>
      <c r="AA13" s="16"/>
      <c r="AB13" s="2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187</v>
      </c>
      <c r="K14" s="2" t="s">
        <v>25</v>
      </c>
      <c r="L14" s="2">
        <v>132757294</v>
      </c>
      <c r="M14" s="16"/>
      <c r="N14" s="16"/>
      <c r="O14" s="16"/>
      <c r="P14" s="23"/>
      <c r="Q14" s="16"/>
      <c r="R14" s="2">
        <v>862</v>
      </c>
      <c r="S14" s="2" t="s">
        <v>205</v>
      </c>
      <c r="T14" s="2">
        <v>0</v>
      </c>
      <c r="U14" s="2">
        <v>113</v>
      </c>
      <c r="V14" s="2">
        <v>0</v>
      </c>
      <c r="W14" s="2">
        <v>0</v>
      </c>
      <c r="X14" s="2">
        <v>0</v>
      </c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187</v>
      </c>
      <c r="K15" s="2" t="s">
        <v>25</v>
      </c>
      <c r="L15" s="2">
        <v>132757294</v>
      </c>
      <c r="M15" s="16"/>
      <c r="N15" s="16"/>
      <c r="O15" s="16"/>
      <c r="P15" s="23"/>
      <c r="Q15" s="16"/>
      <c r="R15" s="2">
        <v>862</v>
      </c>
      <c r="S15" s="2" t="s">
        <v>206</v>
      </c>
      <c r="T15" s="2">
        <v>0</v>
      </c>
      <c r="U15" s="2">
        <v>113</v>
      </c>
      <c r="V15" s="2">
        <v>0</v>
      </c>
      <c r="W15" s="2">
        <v>0</v>
      </c>
      <c r="X15" s="2">
        <v>0</v>
      </c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187</v>
      </c>
      <c r="K16" s="2" t="s">
        <v>25</v>
      </c>
      <c r="L16" s="2">
        <v>132757294</v>
      </c>
      <c r="M16" s="16"/>
      <c r="N16" s="16"/>
      <c r="O16" s="16"/>
      <c r="P16" s="23"/>
      <c r="Q16" s="16"/>
      <c r="R16" s="2">
        <v>864</v>
      </c>
      <c r="S16" s="2" t="s">
        <v>204</v>
      </c>
      <c r="T16" s="2">
        <v>0</v>
      </c>
      <c r="U16" s="2">
        <v>89</v>
      </c>
      <c r="V16" s="2">
        <v>0</v>
      </c>
      <c r="W16" s="2">
        <v>0</v>
      </c>
      <c r="X16" s="2">
        <v>0</v>
      </c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187</v>
      </c>
      <c r="K17" s="2" t="s">
        <v>25</v>
      </c>
      <c r="L17" s="2">
        <v>132757294</v>
      </c>
      <c r="M17" s="16"/>
      <c r="N17" s="16"/>
      <c r="O17" s="16"/>
      <c r="P17" s="23"/>
      <c r="Q17" s="16"/>
      <c r="R17" s="2">
        <v>863</v>
      </c>
      <c r="S17" s="2" t="s">
        <v>205</v>
      </c>
      <c r="T17" s="2">
        <v>0</v>
      </c>
      <c r="U17" s="2">
        <v>114</v>
      </c>
      <c r="V17" s="2">
        <v>0</v>
      </c>
      <c r="W17" s="2">
        <v>0</v>
      </c>
      <c r="X17" s="2">
        <v>0</v>
      </c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187</v>
      </c>
      <c r="K18" s="2" t="s">
        <v>25</v>
      </c>
      <c r="L18" s="2">
        <v>132757294</v>
      </c>
      <c r="M18" s="16"/>
      <c r="N18" s="16"/>
      <c r="O18" s="16"/>
      <c r="P18" s="23"/>
      <c r="Q18" s="16"/>
      <c r="R18" s="2">
        <v>863</v>
      </c>
      <c r="S18" s="2" t="s">
        <v>206</v>
      </c>
      <c r="T18" s="2">
        <v>0</v>
      </c>
      <c r="U18" s="2">
        <v>114</v>
      </c>
      <c r="V18" s="2">
        <v>0</v>
      </c>
      <c r="W18" s="2">
        <v>0</v>
      </c>
      <c r="X18" s="2">
        <v>0</v>
      </c>
      <c r="Y18" s="16"/>
      <c r="Z18" s="22"/>
      <c r="AA18" s="16"/>
      <c r="AB18" s="2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187</v>
      </c>
      <c r="K19" s="2" t="s">
        <v>25</v>
      </c>
      <c r="L19" s="2">
        <v>132757294</v>
      </c>
      <c r="M19" s="16"/>
      <c r="N19" s="16"/>
      <c r="O19" s="16"/>
      <c r="P19" s="23"/>
      <c r="Q19" s="16"/>
      <c r="R19" s="2">
        <v>864</v>
      </c>
      <c r="S19" s="2" t="s">
        <v>204</v>
      </c>
      <c r="T19" s="2">
        <v>0</v>
      </c>
      <c r="U19" s="2">
        <v>89</v>
      </c>
      <c r="V19" s="2">
        <v>0</v>
      </c>
      <c r="W19" s="2">
        <v>0</v>
      </c>
      <c r="X19" s="2">
        <v>0</v>
      </c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187</v>
      </c>
      <c r="K20" s="2" t="s">
        <v>25</v>
      </c>
      <c r="L20" s="2">
        <v>132757294</v>
      </c>
      <c r="M20" s="16"/>
      <c r="N20" s="16"/>
      <c r="O20" s="16"/>
      <c r="P20" s="23"/>
      <c r="Q20" s="16"/>
      <c r="R20" s="2">
        <v>865</v>
      </c>
      <c r="S20" s="2" t="s">
        <v>203</v>
      </c>
      <c r="T20" s="2">
        <v>0</v>
      </c>
      <c r="U20" s="2">
        <v>-88</v>
      </c>
      <c r="V20" s="2">
        <v>0</v>
      </c>
      <c r="W20" s="2">
        <v>0</v>
      </c>
      <c r="X20" s="2">
        <v>0</v>
      </c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187</v>
      </c>
      <c r="K21" s="2" t="s">
        <v>25</v>
      </c>
      <c r="L21" s="2">
        <v>132757294</v>
      </c>
      <c r="M21" s="16"/>
      <c r="N21" s="16"/>
      <c r="O21" s="16"/>
      <c r="P21" s="23"/>
      <c r="Q21" s="16"/>
      <c r="R21" s="2">
        <v>865</v>
      </c>
      <c r="S21" s="2" t="s">
        <v>204</v>
      </c>
      <c r="T21" s="2">
        <v>0</v>
      </c>
      <c r="U21" s="2">
        <v>88</v>
      </c>
      <c r="V21" s="2">
        <v>0</v>
      </c>
      <c r="W21" s="2">
        <v>0</v>
      </c>
      <c r="X21" s="2">
        <v>0</v>
      </c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187</v>
      </c>
      <c r="K22" s="2" t="s">
        <v>25</v>
      </c>
      <c r="L22" s="2">
        <v>132757294</v>
      </c>
      <c r="M22" s="16"/>
      <c r="N22" s="16"/>
      <c r="O22" s="16"/>
      <c r="P22" s="23"/>
      <c r="Q22" s="16"/>
      <c r="R22" s="2">
        <v>865</v>
      </c>
      <c r="S22" s="2" t="s">
        <v>204</v>
      </c>
      <c r="T22" s="2">
        <v>0</v>
      </c>
      <c r="U22" s="2">
        <v>88</v>
      </c>
      <c r="V22" s="2">
        <v>0</v>
      </c>
      <c r="W22" s="2">
        <v>0</v>
      </c>
      <c r="X22" s="2">
        <v>0</v>
      </c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187</v>
      </c>
      <c r="K23" s="2" t="s">
        <v>25</v>
      </c>
      <c r="L23" s="2">
        <v>132757294</v>
      </c>
      <c r="M23" s="16"/>
      <c r="N23" s="16"/>
      <c r="O23" s="16"/>
      <c r="P23" s="23"/>
      <c r="Q23" s="16"/>
      <c r="R23" s="2">
        <v>866</v>
      </c>
      <c r="S23" s="2" t="s">
        <v>203</v>
      </c>
      <c r="T23" s="2">
        <v>0</v>
      </c>
      <c r="U23" s="2">
        <v>72</v>
      </c>
      <c r="V23" s="2">
        <v>0</v>
      </c>
      <c r="W23" s="2">
        <v>0</v>
      </c>
      <c r="X23" s="2">
        <v>0</v>
      </c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187</v>
      </c>
      <c r="K24" s="2" t="s">
        <v>25</v>
      </c>
      <c r="L24" s="2">
        <v>132757294</v>
      </c>
      <c r="M24" s="16"/>
      <c r="N24" s="16"/>
      <c r="O24" s="16"/>
      <c r="P24" s="23"/>
      <c r="Q24" s="16"/>
      <c r="R24" s="2">
        <v>864</v>
      </c>
      <c r="S24" s="2" t="s">
        <v>205</v>
      </c>
      <c r="T24" s="2">
        <v>0</v>
      </c>
      <c r="U24" s="2">
        <v>89</v>
      </c>
      <c r="V24" s="2">
        <v>0</v>
      </c>
      <c r="W24" s="2">
        <v>0</v>
      </c>
      <c r="X24" s="2">
        <v>0</v>
      </c>
      <c r="Y24" s="16"/>
      <c r="Z24" s="22"/>
      <c r="AA24" s="16"/>
      <c r="AB24" s="2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187</v>
      </c>
      <c r="K25" s="2" t="s">
        <v>25</v>
      </c>
      <c r="L25" s="2">
        <v>132757294</v>
      </c>
      <c r="M25" s="16"/>
      <c r="N25" s="16"/>
      <c r="O25" s="16"/>
      <c r="P25" s="23"/>
      <c r="Q25" s="16"/>
      <c r="R25" s="2">
        <v>864</v>
      </c>
      <c r="S25" s="2" t="s">
        <v>206</v>
      </c>
      <c r="T25" s="2">
        <v>0</v>
      </c>
      <c r="U25" s="2">
        <v>89</v>
      </c>
      <c r="V25" s="2">
        <v>0</v>
      </c>
      <c r="W25" s="2">
        <v>0</v>
      </c>
      <c r="X25" s="2">
        <v>0</v>
      </c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187</v>
      </c>
      <c r="K26" s="2" t="s">
        <v>25</v>
      </c>
      <c r="L26" s="2">
        <v>132757294</v>
      </c>
      <c r="M26" s="16"/>
      <c r="N26" s="16"/>
      <c r="O26" s="16"/>
      <c r="P26" s="23"/>
      <c r="Q26" s="16"/>
      <c r="R26" s="2">
        <v>866</v>
      </c>
      <c r="S26" s="2" t="s">
        <v>204</v>
      </c>
      <c r="T26" s="2">
        <v>0</v>
      </c>
      <c r="U26" s="2">
        <v>72</v>
      </c>
      <c r="V26" s="2">
        <v>0</v>
      </c>
      <c r="W26" s="2">
        <v>0</v>
      </c>
      <c r="X26" s="2">
        <v>0</v>
      </c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187</v>
      </c>
      <c r="K27" s="2" t="s">
        <v>25</v>
      </c>
      <c r="L27" s="2">
        <v>132757294</v>
      </c>
      <c r="M27" s="16"/>
      <c r="N27" s="16"/>
      <c r="O27" s="16"/>
      <c r="P27" s="23"/>
      <c r="Q27" s="16"/>
      <c r="R27" s="2">
        <v>865</v>
      </c>
      <c r="S27" s="2" t="s">
        <v>205</v>
      </c>
      <c r="T27" s="2">
        <v>0</v>
      </c>
      <c r="U27" s="2">
        <v>88</v>
      </c>
      <c r="V27" s="2">
        <v>0</v>
      </c>
      <c r="W27" s="2">
        <v>0</v>
      </c>
      <c r="X27" s="2">
        <v>0</v>
      </c>
      <c r="Y27" s="16"/>
      <c r="Z27" s="22"/>
      <c r="AA27" s="16"/>
      <c r="AB27" s="2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187</v>
      </c>
      <c r="K28" s="2" t="s">
        <v>25</v>
      </c>
      <c r="L28" s="2">
        <v>132757294</v>
      </c>
      <c r="M28" s="16"/>
      <c r="N28" s="16"/>
      <c r="O28" s="16"/>
      <c r="P28" s="23"/>
      <c r="Q28" s="16"/>
      <c r="R28" s="2">
        <v>865</v>
      </c>
      <c r="S28" s="2" t="s">
        <v>206</v>
      </c>
      <c r="T28" s="2">
        <v>0</v>
      </c>
      <c r="U28" s="2">
        <v>88</v>
      </c>
      <c r="V28" s="2">
        <v>0</v>
      </c>
      <c r="W28" s="2">
        <v>0</v>
      </c>
      <c r="X28" s="2">
        <v>0</v>
      </c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187</v>
      </c>
      <c r="K29" s="2" t="s">
        <v>25</v>
      </c>
      <c r="L29" s="2">
        <v>132757294</v>
      </c>
      <c r="M29" s="16"/>
      <c r="N29" s="16"/>
      <c r="O29" s="16"/>
      <c r="P29" s="23"/>
      <c r="Q29" s="16"/>
      <c r="R29" s="2">
        <v>866</v>
      </c>
      <c r="S29" s="2" t="s">
        <v>204</v>
      </c>
      <c r="T29" s="2">
        <v>0</v>
      </c>
      <c r="U29" s="2">
        <v>72</v>
      </c>
      <c r="V29" s="2">
        <v>0</v>
      </c>
      <c r="W29" s="2">
        <v>0</v>
      </c>
      <c r="X29" s="2">
        <v>0</v>
      </c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187</v>
      </c>
      <c r="K30" s="2" t="s">
        <v>25</v>
      </c>
      <c r="L30" s="2">
        <v>132757294</v>
      </c>
      <c r="M30" s="16"/>
      <c r="N30" s="16"/>
      <c r="O30" s="16"/>
      <c r="P30" s="23"/>
      <c r="Q30" s="16"/>
      <c r="R30" s="2">
        <v>867</v>
      </c>
      <c r="S30" s="2" t="s">
        <v>203</v>
      </c>
      <c r="T30" s="2">
        <v>0</v>
      </c>
      <c r="U30" s="2">
        <v>-72</v>
      </c>
      <c r="V30" s="2">
        <v>0</v>
      </c>
      <c r="W30" s="2">
        <v>0</v>
      </c>
      <c r="X30" s="2">
        <v>0</v>
      </c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187</v>
      </c>
      <c r="K31" s="2" t="s">
        <v>25</v>
      </c>
      <c r="L31" s="2">
        <v>132757294</v>
      </c>
      <c r="M31" s="16"/>
      <c r="N31" s="16"/>
      <c r="O31" s="16"/>
      <c r="P31" s="23"/>
      <c r="Q31" s="16"/>
      <c r="R31" s="2">
        <v>867</v>
      </c>
      <c r="S31" s="2" t="s">
        <v>204</v>
      </c>
      <c r="T31" s="2">
        <v>0</v>
      </c>
      <c r="U31" s="2">
        <v>72</v>
      </c>
      <c r="V31" s="2">
        <v>0</v>
      </c>
      <c r="W31" s="2">
        <v>0</v>
      </c>
      <c r="X31" s="2">
        <v>0</v>
      </c>
      <c r="Y31" s="16"/>
      <c r="Z31" s="22"/>
      <c r="AA31" s="16"/>
      <c r="AB31" s="2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187</v>
      </c>
      <c r="K32" s="2" t="s">
        <v>25</v>
      </c>
      <c r="L32" s="2">
        <v>132757294</v>
      </c>
      <c r="M32" s="16"/>
      <c r="N32" s="16"/>
      <c r="O32" s="16"/>
      <c r="P32" s="23"/>
      <c r="Q32" s="16"/>
      <c r="R32" s="2">
        <v>867</v>
      </c>
      <c r="S32" s="2" t="s">
        <v>204</v>
      </c>
      <c r="T32" s="2">
        <v>0</v>
      </c>
      <c r="U32" s="2">
        <v>72</v>
      </c>
      <c r="V32" s="2">
        <v>0</v>
      </c>
      <c r="W32" s="2">
        <v>0</v>
      </c>
      <c r="X32" s="2">
        <v>0</v>
      </c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187</v>
      </c>
      <c r="K33" s="2" t="s">
        <v>25</v>
      </c>
      <c r="L33" s="2">
        <v>132757294</v>
      </c>
      <c r="M33" s="16"/>
      <c r="N33" s="16"/>
      <c r="O33" s="16"/>
      <c r="P33" s="23"/>
      <c r="Q33" s="16"/>
      <c r="R33" s="2">
        <v>868</v>
      </c>
      <c r="S33" s="2" t="s">
        <v>203</v>
      </c>
      <c r="T33" s="2">
        <v>0</v>
      </c>
      <c r="U33" s="2">
        <v>68</v>
      </c>
      <c r="V33" s="2">
        <v>0</v>
      </c>
      <c r="W33" s="2">
        <v>0</v>
      </c>
      <c r="X33" s="2">
        <v>0</v>
      </c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187</v>
      </c>
      <c r="K34" s="2" t="s">
        <v>25</v>
      </c>
      <c r="L34" s="2">
        <v>132757294</v>
      </c>
      <c r="M34" s="16"/>
      <c r="N34" s="16"/>
      <c r="O34" s="16"/>
      <c r="P34" s="23"/>
      <c r="Q34" s="16"/>
      <c r="R34" s="2">
        <v>866</v>
      </c>
      <c r="S34" s="2" t="s">
        <v>205</v>
      </c>
      <c r="T34" s="2">
        <v>0</v>
      </c>
      <c r="U34" s="2">
        <v>72</v>
      </c>
      <c r="V34" s="2">
        <v>0</v>
      </c>
      <c r="W34" s="2">
        <v>0</v>
      </c>
      <c r="X34" s="2">
        <v>0</v>
      </c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187</v>
      </c>
      <c r="K35" s="2" t="s">
        <v>25</v>
      </c>
      <c r="L35" s="2">
        <v>132757294</v>
      </c>
      <c r="M35" s="16"/>
      <c r="N35" s="16"/>
      <c r="O35" s="16"/>
      <c r="P35" s="23"/>
      <c r="Q35" s="16"/>
      <c r="R35" s="2">
        <v>866</v>
      </c>
      <c r="S35" s="2" t="s">
        <v>206</v>
      </c>
      <c r="T35" s="2">
        <v>0</v>
      </c>
      <c r="U35" s="2">
        <v>72</v>
      </c>
      <c r="V35" s="2">
        <v>0</v>
      </c>
      <c r="W35" s="2">
        <v>0</v>
      </c>
      <c r="X35" s="2">
        <v>0</v>
      </c>
      <c r="Y35" s="16"/>
      <c r="Z35" s="22"/>
      <c r="AA35" s="16"/>
      <c r="AB35" s="2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187</v>
      </c>
      <c r="K36" s="2" t="s">
        <v>25</v>
      </c>
      <c r="L36" s="2">
        <v>132757294</v>
      </c>
      <c r="M36" s="16"/>
      <c r="N36" s="16"/>
      <c r="O36" s="16"/>
      <c r="P36" s="23"/>
      <c r="Q36" s="16"/>
      <c r="R36" s="2">
        <v>868</v>
      </c>
      <c r="S36" s="2" t="s">
        <v>204</v>
      </c>
      <c r="T36" s="2">
        <v>0</v>
      </c>
      <c r="U36" s="2">
        <v>68</v>
      </c>
      <c r="V36" s="2">
        <v>0</v>
      </c>
      <c r="W36" s="2">
        <v>0</v>
      </c>
      <c r="X36" s="2">
        <v>0</v>
      </c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187</v>
      </c>
      <c r="K37" s="2" t="s">
        <v>25</v>
      </c>
      <c r="L37" s="2">
        <v>132757294</v>
      </c>
      <c r="M37" s="16"/>
      <c r="N37" s="16"/>
      <c r="O37" s="16"/>
      <c r="P37" s="23"/>
      <c r="Q37" s="16"/>
      <c r="R37" s="2">
        <v>867</v>
      </c>
      <c r="S37" s="2" t="s">
        <v>205</v>
      </c>
      <c r="T37" s="2">
        <v>0</v>
      </c>
      <c r="U37" s="2">
        <v>72</v>
      </c>
      <c r="V37" s="2">
        <v>0</v>
      </c>
      <c r="W37" s="2">
        <v>0</v>
      </c>
      <c r="X37" s="2">
        <v>0</v>
      </c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187</v>
      </c>
      <c r="K38" s="2" t="s">
        <v>25</v>
      </c>
      <c r="L38" s="2">
        <v>132757294</v>
      </c>
      <c r="M38" s="16"/>
      <c r="N38" s="16"/>
      <c r="O38" s="16"/>
      <c r="P38" s="23"/>
      <c r="Q38" s="16"/>
      <c r="R38" s="2">
        <v>867</v>
      </c>
      <c r="S38" s="2" t="s">
        <v>206</v>
      </c>
      <c r="T38" s="2">
        <v>0</v>
      </c>
      <c r="U38" s="2">
        <v>72</v>
      </c>
      <c r="V38" s="2">
        <v>0</v>
      </c>
      <c r="W38" s="2">
        <v>0</v>
      </c>
      <c r="X38" s="2">
        <v>0</v>
      </c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187</v>
      </c>
      <c r="K39" s="2" t="s">
        <v>25</v>
      </c>
      <c r="L39" s="2">
        <v>132757294</v>
      </c>
      <c r="M39" s="16"/>
      <c r="N39" s="16"/>
      <c r="O39" s="16"/>
      <c r="P39" s="23"/>
      <c r="Q39" s="16"/>
      <c r="R39" s="2">
        <v>868</v>
      </c>
      <c r="S39" s="2" t="s">
        <v>204</v>
      </c>
      <c r="T39" s="2">
        <v>0</v>
      </c>
      <c r="U39" s="2">
        <v>68</v>
      </c>
      <c r="V39" s="2">
        <v>0</v>
      </c>
      <c r="W39" s="2">
        <v>0</v>
      </c>
      <c r="X39" s="2">
        <v>0</v>
      </c>
      <c r="Y39" s="16"/>
      <c r="Z39" s="22"/>
      <c r="AA39" s="16"/>
      <c r="AB39" s="2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187</v>
      </c>
      <c r="K40" s="2" t="s">
        <v>25</v>
      </c>
      <c r="L40" s="2">
        <v>132757294</v>
      </c>
      <c r="M40" s="16"/>
      <c r="N40" s="16"/>
      <c r="O40" s="16"/>
      <c r="P40" s="23"/>
      <c r="Q40" s="16"/>
      <c r="R40" s="2">
        <v>869</v>
      </c>
      <c r="S40" s="2" t="s">
        <v>203</v>
      </c>
      <c r="T40" s="2">
        <v>0</v>
      </c>
      <c r="U40" s="2">
        <v>-68</v>
      </c>
      <c r="V40" s="2">
        <v>0</v>
      </c>
      <c r="W40" s="2">
        <v>0</v>
      </c>
      <c r="X40" s="2">
        <v>0</v>
      </c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187</v>
      </c>
      <c r="K41" s="2" t="s">
        <v>25</v>
      </c>
      <c r="L41" s="2">
        <v>132757294</v>
      </c>
      <c r="M41" s="16"/>
      <c r="N41" s="16"/>
      <c r="O41" s="16"/>
      <c r="P41" s="23"/>
      <c r="Q41" s="16"/>
      <c r="R41" s="2">
        <v>869</v>
      </c>
      <c r="S41" s="2" t="s">
        <v>204</v>
      </c>
      <c r="T41" s="2">
        <v>0</v>
      </c>
      <c r="U41" s="2">
        <v>68</v>
      </c>
      <c r="V41" s="2">
        <v>0</v>
      </c>
      <c r="W41" s="2">
        <v>0</v>
      </c>
      <c r="X41" s="2">
        <v>0</v>
      </c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187</v>
      </c>
      <c r="K42" s="2" t="s">
        <v>25</v>
      </c>
      <c r="L42" s="2">
        <v>132757294</v>
      </c>
      <c r="M42" s="16"/>
      <c r="N42" s="16"/>
      <c r="O42" s="16"/>
      <c r="P42" s="23"/>
      <c r="Q42" s="16"/>
      <c r="R42" s="2">
        <v>869</v>
      </c>
      <c r="S42" s="2" t="s">
        <v>204</v>
      </c>
      <c r="T42" s="2">
        <v>0</v>
      </c>
      <c r="U42" s="2">
        <v>68</v>
      </c>
      <c r="V42" s="2">
        <v>0</v>
      </c>
      <c r="W42" s="2">
        <v>0</v>
      </c>
      <c r="X42" s="2">
        <v>0</v>
      </c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187</v>
      </c>
      <c r="K43" s="2" t="s">
        <v>25</v>
      </c>
      <c r="L43" s="2">
        <v>132757294</v>
      </c>
      <c r="M43" s="16"/>
      <c r="N43" s="16"/>
      <c r="O43" s="16"/>
      <c r="P43" s="23"/>
      <c r="Q43" s="16"/>
      <c r="R43" s="2">
        <v>870</v>
      </c>
      <c r="S43" s="2" t="s">
        <v>203</v>
      </c>
      <c r="T43" s="2">
        <v>0</v>
      </c>
      <c r="U43" s="2">
        <v>64</v>
      </c>
      <c r="V43" s="2">
        <v>0</v>
      </c>
      <c r="W43" s="2">
        <v>0</v>
      </c>
      <c r="X43" s="2">
        <v>0</v>
      </c>
      <c r="Y43" s="16"/>
      <c r="Z43" s="22"/>
      <c r="AA43" s="16"/>
      <c r="AB43" s="2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187</v>
      </c>
      <c r="K44" s="2" t="s">
        <v>25</v>
      </c>
      <c r="L44" s="2">
        <v>132757294</v>
      </c>
      <c r="M44" s="16"/>
      <c r="N44" s="16"/>
      <c r="O44" s="16"/>
      <c r="P44" s="23"/>
      <c r="Q44" s="16"/>
      <c r="R44" s="2">
        <v>871</v>
      </c>
      <c r="S44" s="2" t="s">
        <v>203</v>
      </c>
      <c r="T44" s="2">
        <v>0</v>
      </c>
      <c r="U44" s="2">
        <v>-64</v>
      </c>
      <c r="V44" s="2">
        <v>0</v>
      </c>
      <c r="W44" s="2">
        <v>0</v>
      </c>
      <c r="X44" s="2">
        <v>0</v>
      </c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187</v>
      </c>
      <c r="K45" s="2" t="s">
        <v>25</v>
      </c>
      <c r="L45" s="2">
        <v>132757294</v>
      </c>
      <c r="M45" s="16"/>
      <c r="N45" s="16"/>
      <c r="O45" s="16"/>
      <c r="P45" s="23"/>
      <c r="Q45" s="16"/>
      <c r="R45" s="2">
        <v>868</v>
      </c>
      <c r="S45" s="2" t="s">
        <v>205</v>
      </c>
      <c r="T45" s="2">
        <v>0</v>
      </c>
      <c r="U45" s="2">
        <v>68</v>
      </c>
      <c r="V45" s="2">
        <v>0</v>
      </c>
      <c r="W45" s="2">
        <v>0</v>
      </c>
      <c r="X45" s="2">
        <v>0</v>
      </c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187</v>
      </c>
      <c r="K46" s="2" t="s">
        <v>25</v>
      </c>
      <c r="L46" s="2">
        <v>132757294</v>
      </c>
      <c r="M46" s="16"/>
      <c r="N46" s="16"/>
      <c r="O46" s="16"/>
      <c r="P46" s="23"/>
      <c r="Q46" s="16"/>
      <c r="R46" s="2">
        <v>868</v>
      </c>
      <c r="S46" s="2" t="s">
        <v>206</v>
      </c>
      <c r="T46" s="2">
        <v>0</v>
      </c>
      <c r="U46" s="2">
        <v>68</v>
      </c>
      <c r="V46" s="2">
        <v>0</v>
      </c>
      <c r="W46" s="2">
        <v>0</v>
      </c>
      <c r="X46" s="2">
        <v>0</v>
      </c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 t="s">
        <v>15</v>
      </c>
      <c r="B47" s="2" t="s">
        <v>24</v>
      </c>
      <c r="C47" s="2">
        <v>20150316</v>
      </c>
      <c r="D47" s="15">
        <v>0</v>
      </c>
      <c r="E47" s="2"/>
      <c r="F47" s="2">
        <v>62500</v>
      </c>
      <c r="G47" s="2" t="s">
        <v>17</v>
      </c>
      <c r="H47" s="2"/>
      <c r="I47" s="2" t="s">
        <v>16</v>
      </c>
      <c r="J47" s="2" t="s">
        <v>187</v>
      </c>
      <c r="K47" s="2" t="s">
        <v>25</v>
      </c>
      <c r="L47" s="2">
        <v>132757294</v>
      </c>
      <c r="M47" s="16"/>
      <c r="N47" s="16"/>
      <c r="O47" s="16"/>
      <c r="P47" s="23"/>
      <c r="Q47" s="16"/>
      <c r="R47" s="2">
        <v>870</v>
      </c>
      <c r="S47" s="2" t="s">
        <v>204</v>
      </c>
      <c r="T47" s="2">
        <v>0</v>
      </c>
      <c r="U47" s="2">
        <v>64</v>
      </c>
      <c r="V47" s="2">
        <v>0</v>
      </c>
      <c r="W47" s="2">
        <v>0</v>
      </c>
      <c r="X47" s="2">
        <v>0</v>
      </c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 t="s">
        <v>15</v>
      </c>
      <c r="B48" s="2" t="s">
        <v>24</v>
      </c>
      <c r="C48" s="2">
        <v>20150316</v>
      </c>
      <c r="D48" s="15">
        <v>0</v>
      </c>
      <c r="E48" s="2"/>
      <c r="F48" s="2">
        <v>62500</v>
      </c>
      <c r="G48" s="2" t="s">
        <v>17</v>
      </c>
      <c r="H48" s="2"/>
      <c r="I48" s="2" t="s">
        <v>16</v>
      </c>
      <c r="J48" s="2" t="s">
        <v>187</v>
      </c>
      <c r="K48" s="2" t="s">
        <v>25</v>
      </c>
      <c r="L48" s="2">
        <v>132757294</v>
      </c>
      <c r="M48" s="16"/>
      <c r="N48" s="16"/>
      <c r="O48" s="16"/>
      <c r="P48" s="23"/>
      <c r="Q48" s="16"/>
      <c r="R48" s="2">
        <v>869</v>
      </c>
      <c r="S48" s="2" t="s">
        <v>205</v>
      </c>
      <c r="T48" s="2">
        <v>0</v>
      </c>
      <c r="U48" s="2">
        <v>68</v>
      </c>
      <c r="V48" s="2">
        <v>0</v>
      </c>
      <c r="W48" s="2">
        <v>0</v>
      </c>
      <c r="X48" s="2">
        <v>0</v>
      </c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 t="s">
        <v>15</v>
      </c>
      <c r="B49" s="2" t="s">
        <v>24</v>
      </c>
      <c r="C49" s="2">
        <v>20150316</v>
      </c>
      <c r="D49" s="15">
        <v>0</v>
      </c>
      <c r="E49" s="2"/>
      <c r="F49" s="2">
        <v>62500</v>
      </c>
      <c r="G49" s="2" t="s">
        <v>17</v>
      </c>
      <c r="H49" s="2"/>
      <c r="I49" s="2" t="s">
        <v>16</v>
      </c>
      <c r="J49" s="2" t="s">
        <v>187</v>
      </c>
      <c r="K49" s="2" t="s">
        <v>25</v>
      </c>
      <c r="L49" s="2">
        <v>132757294</v>
      </c>
      <c r="M49" s="16"/>
      <c r="N49" s="16"/>
      <c r="O49" s="16"/>
      <c r="P49" s="23"/>
      <c r="Q49" s="16"/>
      <c r="R49" s="2">
        <v>869</v>
      </c>
      <c r="S49" s="2" t="s">
        <v>206</v>
      </c>
      <c r="T49" s="2">
        <v>0</v>
      </c>
      <c r="U49" s="2">
        <v>68</v>
      </c>
      <c r="V49" s="2">
        <v>0</v>
      </c>
      <c r="W49" s="2">
        <v>0</v>
      </c>
      <c r="X49" s="2">
        <v>0</v>
      </c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 t="s">
        <v>15</v>
      </c>
      <c r="B50" s="2" t="s">
        <v>24</v>
      </c>
      <c r="C50" s="2">
        <v>20150316</v>
      </c>
      <c r="D50" s="15">
        <v>0</v>
      </c>
      <c r="E50" s="2"/>
      <c r="F50" s="2">
        <v>62500</v>
      </c>
      <c r="G50" s="2" t="s">
        <v>17</v>
      </c>
      <c r="H50" s="2"/>
      <c r="I50" s="2" t="s">
        <v>16</v>
      </c>
      <c r="J50" s="2" t="s">
        <v>187</v>
      </c>
      <c r="K50" s="2" t="s">
        <v>25</v>
      </c>
      <c r="L50" s="2">
        <v>132757294</v>
      </c>
      <c r="M50" s="16"/>
      <c r="N50" s="16"/>
      <c r="O50" s="16"/>
      <c r="P50" s="23"/>
      <c r="Q50" s="16"/>
      <c r="R50" s="2">
        <v>870</v>
      </c>
      <c r="S50" s="2" t="s">
        <v>204</v>
      </c>
      <c r="T50" s="2">
        <v>0</v>
      </c>
      <c r="U50" s="2">
        <v>64</v>
      </c>
      <c r="V50" s="2">
        <v>0</v>
      </c>
      <c r="W50" s="2">
        <v>0</v>
      </c>
      <c r="X50" s="2">
        <v>0</v>
      </c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 t="s">
        <v>15</v>
      </c>
      <c r="B51" s="2" t="s">
        <v>24</v>
      </c>
      <c r="C51" s="2">
        <v>20150316</v>
      </c>
      <c r="D51" s="15">
        <v>0</v>
      </c>
      <c r="E51" s="2"/>
      <c r="F51" s="2">
        <v>62500</v>
      </c>
      <c r="G51" s="2" t="s">
        <v>17</v>
      </c>
      <c r="H51" s="2"/>
      <c r="I51" s="2" t="s">
        <v>16</v>
      </c>
      <c r="J51" s="2" t="s">
        <v>187</v>
      </c>
      <c r="K51" s="2" t="s">
        <v>25</v>
      </c>
      <c r="L51" s="2">
        <v>132757294</v>
      </c>
      <c r="M51" s="16"/>
      <c r="N51" s="16"/>
      <c r="O51" s="16"/>
      <c r="P51" s="23"/>
      <c r="Q51" s="16"/>
      <c r="R51" s="2">
        <v>871</v>
      </c>
      <c r="S51" s="2" t="s">
        <v>204</v>
      </c>
      <c r="T51" s="2">
        <v>0</v>
      </c>
      <c r="U51" s="2">
        <v>64</v>
      </c>
      <c r="V51" s="2">
        <v>0</v>
      </c>
      <c r="W51" s="2">
        <v>0</v>
      </c>
      <c r="X51" s="2">
        <v>0</v>
      </c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 t="s">
        <v>15</v>
      </c>
      <c r="B52" s="2" t="s">
        <v>24</v>
      </c>
      <c r="C52" s="2">
        <v>20150316</v>
      </c>
      <c r="D52" s="15">
        <v>0</v>
      </c>
      <c r="E52" s="2"/>
      <c r="F52" s="2">
        <v>62500</v>
      </c>
      <c r="G52" s="2" t="s">
        <v>17</v>
      </c>
      <c r="H52" s="2"/>
      <c r="I52" s="2" t="s">
        <v>16</v>
      </c>
      <c r="J52" s="2" t="s">
        <v>187</v>
      </c>
      <c r="K52" s="2" t="s">
        <v>25</v>
      </c>
      <c r="L52" s="2">
        <v>132757294</v>
      </c>
      <c r="M52" s="16"/>
      <c r="N52" s="16"/>
      <c r="O52" s="16"/>
      <c r="P52" s="23"/>
      <c r="Q52" s="16"/>
      <c r="R52" s="2">
        <v>871</v>
      </c>
      <c r="S52" s="2" t="s">
        <v>204</v>
      </c>
      <c r="T52" s="2">
        <v>0</v>
      </c>
      <c r="U52" s="2">
        <v>64</v>
      </c>
      <c r="V52" s="2">
        <v>0</v>
      </c>
      <c r="W52" s="2">
        <v>0</v>
      </c>
      <c r="X52" s="2">
        <v>0</v>
      </c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 t="s">
        <v>15</v>
      </c>
      <c r="B53" s="2" t="s">
        <v>24</v>
      </c>
      <c r="C53" s="2">
        <v>20150316</v>
      </c>
      <c r="D53" s="15">
        <v>0</v>
      </c>
      <c r="E53" s="2"/>
      <c r="F53" s="2">
        <v>62500</v>
      </c>
      <c r="G53" s="2" t="s">
        <v>17</v>
      </c>
      <c r="H53" s="2"/>
      <c r="I53" s="2" t="s">
        <v>16</v>
      </c>
      <c r="J53" s="2" t="s">
        <v>187</v>
      </c>
      <c r="K53" s="2" t="s">
        <v>25</v>
      </c>
      <c r="L53" s="2">
        <v>132757294</v>
      </c>
      <c r="M53" s="16"/>
      <c r="N53" s="16"/>
      <c r="O53" s="16"/>
      <c r="P53" s="23"/>
      <c r="Q53" s="16"/>
      <c r="R53" s="2">
        <v>872</v>
      </c>
      <c r="S53" s="2" t="s">
        <v>203</v>
      </c>
      <c r="T53" s="2">
        <v>0</v>
      </c>
      <c r="U53" s="2">
        <v>61</v>
      </c>
      <c r="V53" s="2">
        <v>0</v>
      </c>
      <c r="W53" s="2">
        <v>0</v>
      </c>
      <c r="X53" s="2">
        <v>0</v>
      </c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 t="s">
        <v>15</v>
      </c>
      <c r="B54" s="2" t="s">
        <v>24</v>
      </c>
      <c r="C54" s="2">
        <v>20150316</v>
      </c>
      <c r="D54" s="15">
        <v>0</v>
      </c>
      <c r="E54" s="2"/>
      <c r="F54" s="2">
        <v>62500</v>
      </c>
      <c r="G54" s="2" t="s">
        <v>17</v>
      </c>
      <c r="H54" s="2"/>
      <c r="I54" s="2" t="s">
        <v>16</v>
      </c>
      <c r="J54" s="2" t="s">
        <v>187</v>
      </c>
      <c r="K54" s="2" t="s">
        <v>25</v>
      </c>
      <c r="L54" s="2">
        <v>132757294</v>
      </c>
      <c r="M54" s="16"/>
      <c r="N54" s="16"/>
      <c r="O54" s="16"/>
      <c r="P54" s="23"/>
      <c r="Q54" s="16"/>
      <c r="R54" s="2">
        <v>870</v>
      </c>
      <c r="S54" s="2" t="s">
        <v>205</v>
      </c>
      <c r="T54" s="2">
        <v>0</v>
      </c>
      <c r="U54" s="2">
        <v>64</v>
      </c>
      <c r="V54" s="2">
        <v>0</v>
      </c>
      <c r="W54" s="2">
        <v>0</v>
      </c>
      <c r="X54" s="2">
        <v>0</v>
      </c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 t="s">
        <v>15</v>
      </c>
      <c r="B55" s="2" t="s">
        <v>24</v>
      </c>
      <c r="C55" s="2">
        <v>20150316</v>
      </c>
      <c r="D55" s="15">
        <v>0</v>
      </c>
      <c r="E55" s="2"/>
      <c r="F55" s="2">
        <v>62500</v>
      </c>
      <c r="G55" s="2" t="s">
        <v>17</v>
      </c>
      <c r="H55" s="2"/>
      <c r="I55" s="2" t="s">
        <v>16</v>
      </c>
      <c r="J55" s="2" t="s">
        <v>187</v>
      </c>
      <c r="K55" s="2" t="s">
        <v>25</v>
      </c>
      <c r="L55" s="2">
        <v>132757294</v>
      </c>
      <c r="M55" s="16"/>
      <c r="N55" s="16"/>
      <c r="O55" s="16"/>
      <c r="P55" s="23"/>
      <c r="Q55" s="16"/>
      <c r="R55" s="2">
        <v>870</v>
      </c>
      <c r="S55" s="2" t="s">
        <v>206</v>
      </c>
      <c r="T55" s="2">
        <v>0</v>
      </c>
      <c r="U55" s="2">
        <v>64</v>
      </c>
      <c r="V55" s="2">
        <v>0</v>
      </c>
      <c r="W55" s="2">
        <v>0</v>
      </c>
      <c r="X55" s="2">
        <v>0</v>
      </c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 t="s">
        <v>15</v>
      </c>
      <c r="B56" s="2" t="s">
        <v>24</v>
      </c>
      <c r="C56" s="2">
        <v>20150316</v>
      </c>
      <c r="D56" s="15">
        <v>0</v>
      </c>
      <c r="E56" s="2"/>
      <c r="F56" s="2">
        <v>62500</v>
      </c>
      <c r="G56" s="2" t="s">
        <v>17</v>
      </c>
      <c r="H56" s="2"/>
      <c r="I56" s="2" t="s">
        <v>16</v>
      </c>
      <c r="J56" s="2" t="s">
        <v>187</v>
      </c>
      <c r="K56" s="2" t="s">
        <v>25</v>
      </c>
      <c r="L56" s="2">
        <v>132757294</v>
      </c>
      <c r="M56" s="16"/>
      <c r="N56" s="16"/>
      <c r="O56" s="16"/>
      <c r="P56" s="23"/>
      <c r="Q56" s="16"/>
      <c r="R56" s="2">
        <v>872</v>
      </c>
      <c r="S56" s="2" t="s">
        <v>204</v>
      </c>
      <c r="T56" s="2">
        <v>0</v>
      </c>
      <c r="U56" s="2">
        <v>61</v>
      </c>
      <c r="V56" s="2">
        <v>0</v>
      </c>
      <c r="W56" s="2">
        <v>0</v>
      </c>
      <c r="X56" s="2">
        <v>0</v>
      </c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 t="s">
        <v>15</v>
      </c>
      <c r="B57" s="2" t="s">
        <v>24</v>
      </c>
      <c r="C57" s="2">
        <v>20150316</v>
      </c>
      <c r="D57" s="15">
        <v>0</v>
      </c>
      <c r="E57" s="2"/>
      <c r="F57" s="2">
        <v>62500</v>
      </c>
      <c r="G57" s="2" t="s">
        <v>17</v>
      </c>
      <c r="H57" s="2"/>
      <c r="I57" s="2" t="s">
        <v>16</v>
      </c>
      <c r="J57" s="2" t="s">
        <v>187</v>
      </c>
      <c r="K57" s="2" t="s">
        <v>25</v>
      </c>
      <c r="L57" s="2">
        <v>132757294</v>
      </c>
      <c r="M57" s="16"/>
      <c r="N57" s="16"/>
      <c r="O57" s="16"/>
      <c r="P57" s="23"/>
      <c r="Q57" s="16"/>
      <c r="R57" s="2">
        <v>871</v>
      </c>
      <c r="S57" s="2" t="s">
        <v>205</v>
      </c>
      <c r="T57" s="2">
        <v>0</v>
      </c>
      <c r="U57" s="2">
        <v>64</v>
      </c>
      <c r="V57" s="2">
        <v>0</v>
      </c>
      <c r="W57" s="2">
        <v>0</v>
      </c>
      <c r="X57" s="2">
        <v>0</v>
      </c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 t="s">
        <v>15</v>
      </c>
      <c r="B58" s="2" t="s">
        <v>24</v>
      </c>
      <c r="C58" s="2">
        <v>20150316</v>
      </c>
      <c r="D58" s="15">
        <v>0</v>
      </c>
      <c r="E58" s="2"/>
      <c r="F58" s="2">
        <v>62500</v>
      </c>
      <c r="G58" s="2" t="s">
        <v>17</v>
      </c>
      <c r="H58" s="2"/>
      <c r="I58" s="2" t="s">
        <v>16</v>
      </c>
      <c r="J58" s="2" t="s">
        <v>187</v>
      </c>
      <c r="K58" s="2" t="s">
        <v>25</v>
      </c>
      <c r="L58" s="2">
        <v>132757294</v>
      </c>
      <c r="M58" s="16"/>
      <c r="N58" s="16"/>
      <c r="O58" s="16"/>
      <c r="P58" s="23"/>
      <c r="Q58" s="16"/>
      <c r="R58" s="2">
        <v>871</v>
      </c>
      <c r="S58" s="2" t="s">
        <v>206</v>
      </c>
      <c r="T58" s="2">
        <v>0</v>
      </c>
      <c r="U58" s="2">
        <v>64</v>
      </c>
      <c r="V58" s="2">
        <v>0</v>
      </c>
      <c r="W58" s="2">
        <v>0</v>
      </c>
      <c r="X58" s="2">
        <v>0</v>
      </c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 t="s">
        <v>15</v>
      </c>
      <c r="B59" s="2" t="s">
        <v>24</v>
      </c>
      <c r="C59" s="2">
        <v>20150316</v>
      </c>
      <c r="D59" s="15">
        <v>0</v>
      </c>
      <c r="E59" s="2"/>
      <c r="F59" s="2">
        <v>62500</v>
      </c>
      <c r="G59" s="2" t="s">
        <v>17</v>
      </c>
      <c r="H59" s="2"/>
      <c r="I59" s="2" t="s">
        <v>16</v>
      </c>
      <c r="J59" s="2" t="s">
        <v>187</v>
      </c>
      <c r="K59" s="2" t="s">
        <v>25</v>
      </c>
      <c r="L59" s="2">
        <v>132757294</v>
      </c>
      <c r="M59" s="16"/>
      <c r="N59" s="16"/>
      <c r="O59" s="16"/>
      <c r="P59" s="23"/>
      <c r="Q59" s="16"/>
      <c r="R59" s="2">
        <v>872</v>
      </c>
      <c r="S59" s="2" t="s">
        <v>204</v>
      </c>
      <c r="T59" s="2">
        <v>0</v>
      </c>
      <c r="U59" s="2">
        <v>61</v>
      </c>
      <c r="V59" s="2">
        <v>0</v>
      </c>
      <c r="W59" s="2">
        <v>0</v>
      </c>
      <c r="X59" s="2">
        <v>0</v>
      </c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 t="s">
        <v>15</v>
      </c>
      <c r="B60" s="2" t="s">
        <v>24</v>
      </c>
      <c r="C60" s="2">
        <v>20150316</v>
      </c>
      <c r="D60" s="15">
        <v>0</v>
      </c>
      <c r="E60" s="2"/>
      <c r="F60" s="2">
        <v>62500</v>
      </c>
      <c r="G60" s="2" t="s">
        <v>17</v>
      </c>
      <c r="H60" s="2"/>
      <c r="I60" s="2" t="s">
        <v>16</v>
      </c>
      <c r="J60" s="2" t="s">
        <v>187</v>
      </c>
      <c r="K60" s="2" t="s">
        <v>25</v>
      </c>
      <c r="L60" s="2">
        <v>132757294</v>
      </c>
      <c r="M60" s="16"/>
      <c r="N60" s="16"/>
      <c r="O60" s="16"/>
      <c r="P60" s="23"/>
      <c r="Q60" s="16"/>
      <c r="R60" s="2">
        <v>873</v>
      </c>
      <c r="S60" s="2" t="s">
        <v>203</v>
      </c>
      <c r="T60" s="2">
        <v>0</v>
      </c>
      <c r="U60" s="2">
        <v>-61</v>
      </c>
      <c r="V60" s="2">
        <v>0</v>
      </c>
      <c r="W60" s="2">
        <v>0</v>
      </c>
      <c r="X60" s="2">
        <v>0</v>
      </c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 t="s">
        <v>15</v>
      </c>
      <c r="B61" s="2" t="s">
        <v>24</v>
      </c>
      <c r="C61" s="2">
        <v>20150316</v>
      </c>
      <c r="D61" s="15">
        <v>0</v>
      </c>
      <c r="E61" s="2"/>
      <c r="F61" s="2">
        <v>62500</v>
      </c>
      <c r="G61" s="2" t="s">
        <v>17</v>
      </c>
      <c r="H61" s="2"/>
      <c r="I61" s="2" t="s">
        <v>16</v>
      </c>
      <c r="J61" s="2" t="s">
        <v>187</v>
      </c>
      <c r="K61" s="2" t="s">
        <v>25</v>
      </c>
      <c r="L61" s="2">
        <v>132757294</v>
      </c>
      <c r="M61" s="16"/>
      <c r="N61" s="16"/>
      <c r="O61" s="16"/>
      <c r="P61" s="23"/>
      <c r="Q61" s="16"/>
      <c r="R61" s="2">
        <v>873</v>
      </c>
      <c r="S61" s="2" t="s">
        <v>204</v>
      </c>
      <c r="T61" s="2">
        <v>0</v>
      </c>
      <c r="U61" s="2">
        <v>61</v>
      </c>
      <c r="V61" s="2">
        <v>0</v>
      </c>
      <c r="W61" s="2">
        <v>0</v>
      </c>
      <c r="X61" s="2">
        <v>0</v>
      </c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 t="s">
        <v>15</v>
      </c>
      <c r="B62" s="2" t="s">
        <v>24</v>
      </c>
      <c r="C62" s="2">
        <v>20150316</v>
      </c>
      <c r="D62" s="15">
        <v>0</v>
      </c>
      <c r="E62" s="2"/>
      <c r="F62" s="2">
        <v>62500</v>
      </c>
      <c r="G62" s="2" t="s">
        <v>17</v>
      </c>
      <c r="H62" s="2"/>
      <c r="I62" s="2" t="s">
        <v>16</v>
      </c>
      <c r="J62" s="2" t="s">
        <v>187</v>
      </c>
      <c r="K62" s="2" t="s">
        <v>25</v>
      </c>
      <c r="L62" s="2">
        <v>132757294</v>
      </c>
      <c r="M62" s="16"/>
      <c r="N62" s="16"/>
      <c r="O62" s="16"/>
      <c r="P62" s="23"/>
      <c r="Q62" s="16"/>
      <c r="R62" s="2">
        <v>873</v>
      </c>
      <c r="S62" s="2" t="s">
        <v>204</v>
      </c>
      <c r="T62" s="2">
        <v>0</v>
      </c>
      <c r="U62" s="2">
        <v>61</v>
      </c>
      <c r="V62" s="2">
        <v>0</v>
      </c>
      <c r="W62" s="2">
        <v>0</v>
      </c>
      <c r="X62" s="2">
        <v>0</v>
      </c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 t="s">
        <v>15</v>
      </c>
      <c r="B63" s="2" t="s">
        <v>24</v>
      </c>
      <c r="C63" s="2">
        <v>20150316</v>
      </c>
      <c r="D63" s="15">
        <v>0</v>
      </c>
      <c r="E63" s="2"/>
      <c r="F63" s="2">
        <v>62500</v>
      </c>
      <c r="G63" s="2" t="s">
        <v>17</v>
      </c>
      <c r="H63" s="2"/>
      <c r="I63" s="2" t="s">
        <v>16</v>
      </c>
      <c r="J63" s="2" t="s">
        <v>187</v>
      </c>
      <c r="K63" s="2" t="s">
        <v>25</v>
      </c>
      <c r="L63" s="2">
        <v>132757294</v>
      </c>
      <c r="M63" s="16"/>
      <c r="N63" s="16"/>
      <c r="O63" s="16"/>
      <c r="P63" s="23"/>
      <c r="Q63" s="16"/>
      <c r="R63" s="2">
        <v>874</v>
      </c>
      <c r="S63" s="2" t="s">
        <v>203</v>
      </c>
      <c r="T63" s="2">
        <v>0</v>
      </c>
      <c r="U63" s="2">
        <v>57</v>
      </c>
      <c r="V63" s="2">
        <v>0</v>
      </c>
      <c r="W63" s="2">
        <v>0</v>
      </c>
      <c r="X63" s="2">
        <v>0</v>
      </c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 t="s">
        <v>15</v>
      </c>
      <c r="B64" s="2" t="s">
        <v>24</v>
      </c>
      <c r="C64" s="2">
        <v>20150316</v>
      </c>
      <c r="D64" s="15">
        <v>0</v>
      </c>
      <c r="E64" s="2"/>
      <c r="F64" s="2">
        <v>62500</v>
      </c>
      <c r="G64" s="2" t="s">
        <v>17</v>
      </c>
      <c r="H64" s="2"/>
      <c r="I64" s="2" t="s">
        <v>16</v>
      </c>
      <c r="J64" s="2" t="s">
        <v>187</v>
      </c>
      <c r="K64" s="2" t="s">
        <v>25</v>
      </c>
      <c r="L64" s="2">
        <v>132757294</v>
      </c>
      <c r="M64" s="16"/>
      <c r="N64" s="16"/>
      <c r="O64" s="16"/>
      <c r="P64" s="23"/>
      <c r="Q64" s="16"/>
      <c r="R64" s="2">
        <v>872</v>
      </c>
      <c r="S64" s="2" t="s">
        <v>205</v>
      </c>
      <c r="T64" s="2">
        <v>0</v>
      </c>
      <c r="U64" s="2">
        <v>61</v>
      </c>
      <c r="V64" s="2">
        <v>0</v>
      </c>
      <c r="W64" s="2">
        <v>0</v>
      </c>
      <c r="X64" s="2">
        <v>0</v>
      </c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 t="s">
        <v>15</v>
      </c>
      <c r="B65" s="2" t="s">
        <v>24</v>
      </c>
      <c r="C65" s="2">
        <v>20150316</v>
      </c>
      <c r="D65" s="15">
        <v>0</v>
      </c>
      <c r="E65" s="2"/>
      <c r="F65" s="2">
        <v>62500</v>
      </c>
      <c r="G65" s="2" t="s">
        <v>17</v>
      </c>
      <c r="H65" s="2"/>
      <c r="I65" s="2" t="s">
        <v>16</v>
      </c>
      <c r="J65" s="2" t="s">
        <v>187</v>
      </c>
      <c r="K65" s="2" t="s">
        <v>25</v>
      </c>
      <c r="L65" s="2">
        <v>132757294</v>
      </c>
      <c r="M65" s="16"/>
      <c r="N65" s="16"/>
      <c r="O65" s="16"/>
      <c r="P65" s="23"/>
      <c r="Q65" s="16"/>
      <c r="R65" s="2">
        <v>872</v>
      </c>
      <c r="S65" s="2" t="s">
        <v>206</v>
      </c>
      <c r="T65" s="2">
        <v>0</v>
      </c>
      <c r="U65" s="2">
        <v>61</v>
      </c>
      <c r="V65" s="2">
        <v>0</v>
      </c>
      <c r="W65" s="2">
        <v>0</v>
      </c>
      <c r="X65" s="2">
        <v>0</v>
      </c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 t="s">
        <v>15</v>
      </c>
      <c r="B66" s="2" t="s">
        <v>24</v>
      </c>
      <c r="C66" s="2">
        <v>20150316</v>
      </c>
      <c r="D66" s="15">
        <v>0</v>
      </c>
      <c r="E66" s="2"/>
      <c r="F66" s="2">
        <v>62500</v>
      </c>
      <c r="G66" s="2" t="s">
        <v>17</v>
      </c>
      <c r="H66" s="2"/>
      <c r="I66" s="2" t="s">
        <v>16</v>
      </c>
      <c r="J66" s="2" t="s">
        <v>187</v>
      </c>
      <c r="K66" s="2" t="s">
        <v>25</v>
      </c>
      <c r="L66" s="2">
        <v>132757294</v>
      </c>
      <c r="M66" s="16"/>
      <c r="N66" s="16"/>
      <c r="O66" s="16"/>
      <c r="P66" s="23"/>
      <c r="Q66" s="16"/>
      <c r="R66" s="2">
        <v>874</v>
      </c>
      <c r="S66" s="2" t="s">
        <v>204</v>
      </c>
      <c r="T66" s="2">
        <v>0</v>
      </c>
      <c r="U66" s="2">
        <v>57</v>
      </c>
      <c r="V66" s="2">
        <v>0</v>
      </c>
      <c r="W66" s="2">
        <v>0</v>
      </c>
      <c r="X66" s="2">
        <v>0</v>
      </c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 t="s">
        <v>15</v>
      </c>
      <c r="B67" s="2" t="s">
        <v>24</v>
      </c>
      <c r="C67" s="2">
        <v>20150316</v>
      </c>
      <c r="D67" s="15">
        <v>0</v>
      </c>
      <c r="E67" s="2"/>
      <c r="F67" s="2">
        <v>62500</v>
      </c>
      <c r="G67" s="2" t="s">
        <v>17</v>
      </c>
      <c r="H67" s="2"/>
      <c r="I67" s="2" t="s">
        <v>16</v>
      </c>
      <c r="J67" s="2" t="s">
        <v>187</v>
      </c>
      <c r="K67" s="2" t="s">
        <v>25</v>
      </c>
      <c r="L67" s="2">
        <v>132757294</v>
      </c>
      <c r="M67" s="16"/>
      <c r="N67" s="16"/>
      <c r="O67" s="16"/>
      <c r="P67" s="23"/>
      <c r="Q67" s="16"/>
      <c r="R67" s="2">
        <v>873</v>
      </c>
      <c r="S67" s="2" t="s">
        <v>205</v>
      </c>
      <c r="T67" s="2">
        <v>0</v>
      </c>
      <c r="U67" s="2">
        <v>61</v>
      </c>
      <c r="V67" s="2">
        <v>0</v>
      </c>
      <c r="W67" s="2">
        <v>0</v>
      </c>
      <c r="X67" s="2">
        <v>0</v>
      </c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 t="s">
        <v>15</v>
      </c>
      <c r="B68" s="2" t="s">
        <v>24</v>
      </c>
      <c r="C68" s="2">
        <v>20150316</v>
      </c>
      <c r="D68" s="15">
        <v>0</v>
      </c>
      <c r="E68" s="2"/>
      <c r="F68" s="2">
        <v>62500</v>
      </c>
      <c r="G68" s="2" t="s">
        <v>17</v>
      </c>
      <c r="H68" s="2"/>
      <c r="I68" s="2" t="s">
        <v>16</v>
      </c>
      <c r="J68" s="2" t="s">
        <v>187</v>
      </c>
      <c r="K68" s="2" t="s">
        <v>25</v>
      </c>
      <c r="L68" s="2">
        <v>132757294</v>
      </c>
      <c r="M68" s="16"/>
      <c r="N68" s="16"/>
      <c r="O68" s="16"/>
      <c r="P68" s="23"/>
      <c r="Q68" s="16"/>
      <c r="R68" s="2">
        <v>873</v>
      </c>
      <c r="S68" s="2" t="s">
        <v>206</v>
      </c>
      <c r="T68" s="2">
        <v>0</v>
      </c>
      <c r="U68" s="2">
        <v>61</v>
      </c>
      <c r="V68" s="2">
        <v>0</v>
      </c>
      <c r="W68" s="2">
        <v>0</v>
      </c>
      <c r="X68" s="2">
        <v>0</v>
      </c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 t="s">
        <v>15</v>
      </c>
      <c r="B69" s="2" t="s">
        <v>24</v>
      </c>
      <c r="C69" s="2">
        <v>20150316</v>
      </c>
      <c r="D69" s="15">
        <v>0</v>
      </c>
      <c r="E69" s="2"/>
      <c r="F69" s="2">
        <v>62500</v>
      </c>
      <c r="G69" s="2" t="s">
        <v>17</v>
      </c>
      <c r="H69" s="2"/>
      <c r="I69" s="2" t="s">
        <v>16</v>
      </c>
      <c r="J69" s="2" t="s">
        <v>187</v>
      </c>
      <c r="K69" s="2" t="s">
        <v>25</v>
      </c>
      <c r="L69" s="2">
        <v>132757294</v>
      </c>
      <c r="M69" s="16"/>
      <c r="N69" s="16"/>
      <c r="O69" s="16"/>
      <c r="P69" s="23"/>
      <c r="Q69" s="16"/>
      <c r="R69" s="2">
        <v>874</v>
      </c>
      <c r="S69" s="2" t="s">
        <v>204</v>
      </c>
      <c r="T69" s="2">
        <v>0</v>
      </c>
      <c r="U69" s="2">
        <v>57</v>
      </c>
      <c r="V69" s="2">
        <v>0</v>
      </c>
      <c r="W69" s="2">
        <v>0</v>
      </c>
      <c r="X69" s="2">
        <v>0</v>
      </c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 t="s">
        <v>15</v>
      </c>
      <c r="B70" s="2" t="s">
        <v>24</v>
      </c>
      <c r="C70" s="2">
        <v>20150316</v>
      </c>
      <c r="D70" s="15">
        <v>0</v>
      </c>
      <c r="E70" s="2"/>
      <c r="F70" s="2">
        <v>62500</v>
      </c>
      <c r="G70" s="2" t="s">
        <v>17</v>
      </c>
      <c r="H70" s="2"/>
      <c r="I70" s="2" t="s">
        <v>16</v>
      </c>
      <c r="J70" s="2" t="s">
        <v>187</v>
      </c>
      <c r="K70" s="2" t="s">
        <v>25</v>
      </c>
      <c r="L70" s="2">
        <v>132757294</v>
      </c>
      <c r="M70" s="16"/>
      <c r="N70" s="16"/>
      <c r="O70" s="16"/>
      <c r="P70" s="23"/>
      <c r="Q70" s="16"/>
      <c r="R70" s="2">
        <v>875</v>
      </c>
      <c r="S70" s="2" t="s">
        <v>203</v>
      </c>
      <c r="T70" s="2">
        <v>0</v>
      </c>
      <c r="U70" s="2">
        <v>-57</v>
      </c>
      <c r="V70" s="2">
        <v>0</v>
      </c>
      <c r="W70" s="2">
        <v>0</v>
      </c>
      <c r="X70" s="2">
        <v>0</v>
      </c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 t="s">
        <v>15</v>
      </c>
      <c r="B71" s="2" t="s">
        <v>24</v>
      </c>
      <c r="C71" s="2">
        <v>20150316</v>
      </c>
      <c r="D71" s="15">
        <v>0</v>
      </c>
      <c r="E71" s="2"/>
      <c r="F71" s="2">
        <v>62500</v>
      </c>
      <c r="G71" s="2" t="s">
        <v>17</v>
      </c>
      <c r="H71" s="2"/>
      <c r="I71" s="2" t="s">
        <v>16</v>
      </c>
      <c r="J71" s="2" t="s">
        <v>187</v>
      </c>
      <c r="K71" s="2" t="s">
        <v>25</v>
      </c>
      <c r="L71" s="2">
        <v>132757294</v>
      </c>
      <c r="M71" s="16"/>
      <c r="N71" s="16"/>
      <c r="O71" s="16"/>
      <c r="P71" s="23"/>
      <c r="Q71" s="16"/>
      <c r="R71" s="2">
        <v>875</v>
      </c>
      <c r="S71" s="2" t="s">
        <v>204</v>
      </c>
      <c r="T71" s="2">
        <v>0</v>
      </c>
      <c r="U71" s="2">
        <v>57</v>
      </c>
      <c r="V71" s="2">
        <v>0</v>
      </c>
      <c r="W71" s="2">
        <v>0</v>
      </c>
      <c r="X71" s="2">
        <v>0</v>
      </c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 t="s">
        <v>15</v>
      </c>
      <c r="B72" s="2" t="s">
        <v>24</v>
      </c>
      <c r="C72" s="2">
        <v>20150316</v>
      </c>
      <c r="D72" s="15">
        <v>0</v>
      </c>
      <c r="E72" s="2"/>
      <c r="F72" s="2">
        <v>62500</v>
      </c>
      <c r="G72" s="2" t="s">
        <v>17</v>
      </c>
      <c r="H72" s="2"/>
      <c r="I72" s="2" t="s">
        <v>16</v>
      </c>
      <c r="J72" s="2" t="s">
        <v>187</v>
      </c>
      <c r="K72" s="2" t="s">
        <v>25</v>
      </c>
      <c r="L72" s="2">
        <v>132757294</v>
      </c>
      <c r="M72" s="16"/>
      <c r="N72" s="16"/>
      <c r="O72" s="16"/>
      <c r="P72" s="23"/>
      <c r="Q72" s="16"/>
      <c r="R72" s="2">
        <v>875</v>
      </c>
      <c r="S72" s="2" t="s">
        <v>204</v>
      </c>
      <c r="T72" s="2">
        <v>0</v>
      </c>
      <c r="U72" s="2">
        <v>57</v>
      </c>
      <c r="V72" s="2">
        <v>0</v>
      </c>
      <c r="W72" s="2">
        <v>0</v>
      </c>
      <c r="X72" s="2">
        <v>0</v>
      </c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 t="s">
        <v>15</v>
      </c>
      <c r="B73" s="2" t="s">
        <v>24</v>
      </c>
      <c r="C73" s="2">
        <v>20150316</v>
      </c>
      <c r="D73" s="15">
        <v>0</v>
      </c>
      <c r="E73" s="2"/>
      <c r="F73" s="2">
        <v>62500</v>
      </c>
      <c r="G73" s="2" t="s">
        <v>17</v>
      </c>
      <c r="H73" s="2"/>
      <c r="I73" s="2" t="s">
        <v>16</v>
      </c>
      <c r="J73" s="2" t="s">
        <v>187</v>
      </c>
      <c r="K73" s="2" t="s">
        <v>25</v>
      </c>
      <c r="L73" s="2">
        <v>132757294</v>
      </c>
      <c r="M73" s="16"/>
      <c r="N73" s="16"/>
      <c r="O73" s="16"/>
      <c r="P73" s="23"/>
      <c r="Q73" s="16"/>
      <c r="R73" s="2">
        <v>876</v>
      </c>
      <c r="S73" s="2" t="s">
        <v>203</v>
      </c>
      <c r="T73" s="2">
        <v>0</v>
      </c>
      <c r="U73" s="2">
        <v>55</v>
      </c>
      <c r="V73" s="2">
        <v>0</v>
      </c>
      <c r="W73" s="2">
        <v>0</v>
      </c>
      <c r="X73" s="2">
        <v>0</v>
      </c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 t="s">
        <v>15</v>
      </c>
      <c r="B74" s="2" t="s">
        <v>24</v>
      </c>
      <c r="C74" s="2">
        <v>20150316</v>
      </c>
      <c r="D74" s="15">
        <v>0</v>
      </c>
      <c r="E74" s="2"/>
      <c r="F74" s="2">
        <v>62500</v>
      </c>
      <c r="G74" s="2" t="s">
        <v>17</v>
      </c>
      <c r="H74" s="2"/>
      <c r="I74" s="2" t="s">
        <v>16</v>
      </c>
      <c r="J74" s="2" t="s">
        <v>187</v>
      </c>
      <c r="K74" s="2" t="s">
        <v>25</v>
      </c>
      <c r="L74" s="2">
        <v>132757294</v>
      </c>
      <c r="M74" s="16"/>
      <c r="N74" s="16"/>
      <c r="O74" s="16"/>
      <c r="P74" s="23"/>
      <c r="Q74" s="16"/>
      <c r="R74" s="2">
        <v>874</v>
      </c>
      <c r="S74" s="2" t="s">
        <v>205</v>
      </c>
      <c r="T74" s="2">
        <v>0</v>
      </c>
      <c r="U74" s="2">
        <v>57</v>
      </c>
      <c r="V74" s="2">
        <v>0</v>
      </c>
      <c r="W74" s="2">
        <v>0</v>
      </c>
      <c r="X74" s="2">
        <v>0</v>
      </c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 t="s">
        <v>15</v>
      </c>
      <c r="B75" s="2" t="s">
        <v>24</v>
      </c>
      <c r="C75" s="2">
        <v>20150316</v>
      </c>
      <c r="D75" s="15">
        <v>0</v>
      </c>
      <c r="E75" s="2"/>
      <c r="F75" s="2">
        <v>62500</v>
      </c>
      <c r="G75" s="2" t="s">
        <v>17</v>
      </c>
      <c r="H75" s="2"/>
      <c r="I75" s="2" t="s">
        <v>16</v>
      </c>
      <c r="J75" s="2" t="s">
        <v>187</v>
      </c>
      <c r="K75" s="2" t="s">
        <v>25</v>
      </c>
      <c r="L75" s="2">
        <v>132757294</v>
      </c>
      <c r="M75" s="16"/>
      <c r="N75" s="16"/>
      <c r="O75" s="16"/>
      <c r="P75" s="23"/>
      <c r="Q75" s="16"/>
      <c r="R75" s="2">
        <v>874</v>
      </c>
      <c r="S75" s="2" t="s">
        <v>206</v>
      </c>
      <c r="T75" s="2">
        <v>0</v>
      </c>
      <c r="U75" s="2">
        <v>57</v>
      </c>
      <c r="V75" s="2">
        <v>0</v>
      </c>
      <c r="W75" s="2">
        <v>0</v>
      </c>
      <c r="X75" s="2">
        <v>0</v>
      </c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 t="s">
        <v>15</v>
      </c>
      <c r="B76" s="2" t="s">
        <v>24</v>
      </c>
      <c r="C76" s="2">
        <v>20150316</v>
      </c>
      <c r="D76" s="15">
        <v>0</v>
      </c>
      <c r="E76" s="2"/>
      <c r="F76" s="2">
        <v>62500</v>
      </c>
      <c r="G76" s="2" t="s">
        <v>17</v>
      </c>
      <c r="H76" s="2"/>
      <c r="I76" s="2" t="s">
        <v>16</v>
      </c>
      <c r="J76" s="2" t="s">
        <v>187</v>
      </c>
      <c r="K76" s="2" t="s">
        <v>25</v>
      </c>
      <c r="L76" s="2">
        <v>132757294</v>
      </c>
      <c r="M76" s="16"/>
      <c r="N76" s="16"/>
      <c r="O76" s="16"/>
      <c r="P76" s="23"/>
      <c r="Q76" s="16"/>
      <c r="R76" s="2">
        <v>876</v>
      </c>
      <c r="S76" s="2" t="s">
        <v>204</v>
      </c>
      <c r="T76" s="2">
        <v>0</v>
      </c>
      <c r="U76" s="2">
        <v>55</v>
      </c>
      <c r="V76" s="2">
        <v>0</v>
      </c>
      <c r="W76" s="2">
        <v>0</v>
      </c>
      <c r="X76" s="2">
        <v>0</v>
      </c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 t="s">
        <v>15</v>
      </c>
      <c r="B77" s="2" t="s">
        <v>24</v>
      </c>
      <c r="C77" s="2">
        <v>20150316</v>
      </c>
      <c r="D77" s="15">
        <v>0</v>
      </c>
      <c r="E77" s="2"/>
      <c r="F77" s="2">
        <v>62500</v>
      </c>
      <c r="G77" s="2" t="s">
        <v>17</v>
      </c>
      <c r="H77" s="2"/>
      <c r="I77" s="2" t="s">
        <v>16</v>
      </c>
      <c r="J77" s="2" t="s">
        <v>187</v>
      </c>
      <c r="K77" s="2" t="s">
        <v>25</v>
      </c>
      <c r="L77" s="2">
        <v>132757294</v>
      </c>
      <c r="M77" s="16"/>
      <c r="N77" s="16"/>
      <c r="O77" s="16"/>
      <c r="P77" s="23"/>
      <c r="Q77" s="16"/>
      <c r="R77" s="2">
        <v>875</v>
      </c>
      <c r="S77" s="2" t="s">
        <v>205</v>
      </c>
      <c r="T77" s="2">
        <v>0</v>
      </c>
      <c r="U77" s="2">
        <v>57</v>
      </c>
      <c r="V77" s="2">
        <v>0</v>
      </c>
      <c r="W77" s="2">
        <v>0</v>
      </c>
      <c r="X77" s="2">
        <v>0</v>
      </c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 t="s">
        <v>15</v>
      </c>
      <c r="B78" s="2" t="s">
        <v>24</v>
      </c>
      <c r="C78" s="2">
        <v>20150316</v>
      </c>
      <c r="D78" s="15">
        <v>0</v>
      </c>
      <c r="E78" s="2"/>
      <c r="F78" s="2">
        <v>62500</v>
      </c>
      <c r="G78" s="2" t="s">
        <v>17</v>
      </c>
      <c r="H78" s="2"/>
      <c r="I78" s="2" t="s">
        <v>16</v>
      </c>
      <c r="J78" s="2" t="s">
        <v>187</v>
      </c>
      <c r="K78" s="2" t="s">
        <v>25</v>
      </c>
      <c r="L78" s="2">
        <v>132757294</v>
      </c>
      <c r="M78" s="16"/>
      <c r="N78" s="16"/>
      <c r="O78" s="16"/>
      <c r="P78" s="23"/>
      <c r="Q78" s="16"/>
      <c r="R78" s="2">
        <v>875</v>
      </c>
      <c r="S78" s="2" t="s">
        <v>206</v>
      </c>
      <c r="T78" s="2">
        <v>0</v>
      </c>
      <c r="U78" s="2">
        <v>57</v>
      </c>
      <c r="V78" s="2">
        <v>0</v>
      </c>
      <c r="W78" s="2">
        <v>0</v>
      </c>
      <c r="X78" s="2">
        <v>0</v>
      </c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 t="s">
        <v>15</v>
      </c>
      <c r="B79" s="2" t="s">
        <v>24</v>
      </c>
      <c r="C79" s="2">
        <v>20150316</v>
      </c>
      <c r="D79" s="15">
        <v>0</v>
      </c>
      <c r="E79" s="2"/>
      <c r="F79" s="2">
        <v>62500</v>
      </c>
      <c r="G79" s="2" t="s">
        <v>17</v>
      </c>
      <c r="H79" s="2"/>
      <c r="I79" s="2" t="s">
        <v>16</v>
      </c>
      <c r="J79" s="2" t="s">
        <v>187</v>
      </c>
      <c r="K79" s="2" t="s">
        <v>25</v>
      </c>
      <c r="L79" s="2">
        <v>132757294</v>
      </c>
      <c r="M79" s="16"/>
      <c r="N79" s="16"/>
      <c r="O79" s="16"/>
      <c r="P79" s="23"/>
      <c r="Q79" s="16"/>
      <c r="R79" s="2">
        <v>876</v>
      </c>
      <c r="S79" s="2" t="s">
        <v>204</v>
      </c>
      <c r="T79" s="2">
        <v>0</v>
      </c>
      <c r="U79" s="2">
        <v>55</v>
      </c>
      <c r="V79" s="2">
        <v>0</v>
      </c>
      <c r="W79" s="2">
        <v>0</v>
      </c>
      <c r="X79" s="2">
        <v>0</v>
      </c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 t="s">
        <v>15</v>
      </c>
      <c r="B80" s="2" t="s">
        <v>24</v>
      </c>
      <c r="C80" s="2">
        <v>20150316</v>
      </c>
      <c r="D80" s="15">
        <v>0</v>
      </c>
      <c r="E80" s="2"/>
      <c r="F80" s="2">
        <v>62500</v>
      </c>
      <c r="G80" s="2" t="s">
        <v>17</v>
      </c>
      <c r="H80" s="2"/>
      <c r="I80" s="2" t="s">
        <v>16</v>
      </c>
      <c r="J80" s="2" t="s">
        <v>187</v>
      </c>
      <c r="K80" s="2" t="s">
        <v>25</v>
      </c>
      <c r="L80" s="2">
        <v>132757294</v>
      </c>
      <c r="M80" s="16"/>
      <c r="N80" s="16"/>
      <c r="O80" s="16"/>
      <c r="P80" s="23"/>
      <c r="Q80" s="16"/>
      <c r="R80" s="2">
        <v>877</v>
      </c>
      <c r="S80" s="2" t="s">
        <v>203</v>
      </c>
      <c r="T80" s="2">
        <v>0</v>
      </c>
      <c r="U80" s="2">
        <v>-56</v>
      </c>
      <c r="V80" s="2">
        <v>0</v>
      </c>
      <c r="W80" s="2">
        <v>0</v>
      </c>
      <c r="X80" s="2">
        <v>0</v>
      </c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 t="s">
        <v>15</v>
      </c>
      <c r="B81" s="2" t="s">
        <v>24</v>
      </c>
      <c r="C81" s="2">
        <v>20150316</v>
      </c>
      <c r="D81" s="15">
        <v>0</v>
      </c>
      <c r="E81" s="2"/>
      <c r="F81" s="2">
        <v>62500</v>
      </c>
      <c r="G81" s="2" t="s">
        <v>17</v>
      </c>
      <c r="H81" s="2"/>
      <c r="I81" s="2" t="s">
        <v>16</v>
      </c>
      <c r="J81" s="2" t="s">
        <v>187</v>
      </c>
      <c r="K81" s="2" t="s">
        <v>25</v>
      </c>
      <c r="L81" s="2">
        <v>132757294</v>
      </c>
      <c r="M81" s="16"/>
      <c r="N81" s="16"/>
      <c r="O81" s="16"/>
      <c r="P81" s="23"/>
      <c r="Q81" s="16"/>
      <c r="R81" s="2">
        <v>877</v>
      </c>
      <c r="S81" s="2" t="s">
        <v>204</v>
      </c>
      <c r="T81" s="2">
        <v>0</v>
      </c>
      <c r="U81" s="2">
        <v>56</v>
      </c>
      <c r="V81" s="2">
        <v>0</v>
      </c>
      <c r="W81" s="2">
        <v>0</v>
      </c>
      <c r="X81" s="2">
        <v>0</v>
      </c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 t="s">
        <v>15</v>
      </c>
      <c r="B82" s="2" t="s">
        <v>24</v>
      </c>
      <c r="C82" s="2">
        <v>20150316</v>
      </c>
      <c r="D82" s="15">
        <v>0</v>
      </c>
      <c r="E82" s="2"/>
      <c r="F82" s="2">
        <v>62500</v>
      </c>
      <c r="G82" s="2" t="s">
        <v>17</v>
      </c>
      <c r="H82" s="2"/>
      <c r="I82" s="2" t="s">
        <v>16</v>
      </c>
      <c r="J82" s="2" t="s">
        <v>187</v>
      </c>
      <c r="K82" s="2" t="s">
        <v>25</v>
      </c>
      <c r="L82" s="2">
        <v>132757294</v>
      </c>
      <c r="M82" s="16"/>
      <c r="N82" s="16"/>
      <c r="O82" s="16"/>
      <c r="P82" s="23"/>
      <c r="Q82" s="16"/>
      <c r="R82" s="2">
        <v>877</v>
      </c>
      <c r="S82" s="2" t="s">
        <v>204</v>
      </c>
      <c r="T82" s="2">
        <v>0</v>
      </c>
      <c r="U82" s="2">
        <v>56</v>
      </c>
      <c r="V82" s="2">
        <v>0</v>
      </c>
      <c r="W82" s="2">
        <v>0</v>
      </c>
      <c r="X82" s="2">
        <v>0</v>
      </c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 t="s">
        <v>15</v>
      </c>
      <c r="B83" s="2" t="s">
        <v>24</v>
      </c>
      <c r="C83" s="2">
        <v>20150316</v>
      </c>
      <c r="D83" s="15">
        <v>0</v>
      </c>
      <c r="E83" s="2"/>
      <c r="F83" s="2">
        <v>62500</v>
      </c>
      <c r="G83" s="2" t="s">
        <v>17</v>
      </c>
      <c r="H83" s="2"/>
      <c r="I83" s="2" t="s">
        <v>16</v>
      </c>
      <c r="J83" s="2" t="s">
        <v>187</v>
      </c>
      <c r="K83" s="2" t="s">
        <v>25</v>
      </c>
      <c r="L83" s="2">
        <v>132757294</v>
      </c>
      <c r="M83" s="16"/>
      <c r="N83" s="16"/>
      <c r="O83" s="16"/>
      <c r="P83" s="23"/>
      <c r="Q83" s="16"/>
      <c r="R83" s="2">
        <v>878</v>
      </c>
      <c r="S83" s="2" t="s">
        <v>203</v>
      </c>
      <c r="T83" s="2">
        <v>0</v>
      </c>
      <c r="U83" s="2">
        <v>57</v>
      </c>
      <c r="V83" s="2">
        <v>0</v>
      </c>
      <c r="W83" s="2">
        <v>0</v>
      </c>
      <c r="X83" s="2">
        <v>0</v>
      </c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 t="s">
        <v>15</v>
      </c>
      <c r="B84" s="2" t="s">
        <v>24</v>
      </c>
      <c r="C84" s="2">
        <v>20150316</v>
      </c>
      <c r="D84" s="15">
        <v>0</v>
      </c>
      <c r="E84" s="2"/>
      <c r="F84" s="2">
        <v>62500</v>
      </c>
      <c r="G84" s="2" t="s">
        <v>17</v>
      </c>
      <c r="H84" s="2"/>
      <c r="I84" s="2" t="s">
        <v>16</v>
      </c>
      <c r="J84" s="2" t="s">
        <v>187</v>
      </c>
      <c r="K84" s="2" t="s">
        <v>25</v>
      </c>
      <c r="L84" s="2">
        <v>132757294</v>
      </c>
      <c r="M84" s="16"/>
      <c r="N84" s="16"/>
      <c r="O84" s="16"/>
      <c r="P84" s="23"/>
      <c r="Q84" s="16"/>
      <c r="R84" s="2">
        <v>876</v>
      </c>
      <c r="S84" s="2" t="s">
        <v>205</v>
      </c>
      <c r="T84" s="2">
        <v>0</v>
      </c>
      <c r="U84" s="2">
        <v>55</v>
      </c>
      <c r="V84" s="2">
        <v>0</v>
      </c>
      <c r="W84" s="2">
        <v>0</v>
      </c>
      <c r="X84" s="2">
        <v>0</v>
      </c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 t="s">
        <v>15</v>
      </c>
      <c r="B85" s="2" t="s">
        <v>24</v>
      </c>
      <c r="C85" s="2">
        <v>20150316</v>
      </c>
      <c r="D85" s="15">
        <v>0</v>
      </c>
      <c r="E85" s="2"/>
      <c r="F85" s="2">
        <v>62500</v>
      </c>
      <c r="G85" s="2" t="s">
        <v>17</v>
      </c>
      <c r="H85" s="2"/>
      <c r="I85" s="2" t="s">
        <v>16</v>
      </c>
      <c r="J85" s="2" t="s">
        <v>187</v>
      </c>
      <c r="K85" s="2" t="s">
        <v>25</v>
      </c>
      <c r="L85" s="2">
        <v>132757294</v>
      </c>
      <c r="M85" s="16"/>
      <c r="N85" s="16"/>
      <c r="O85" s="16"/>
      <c r="P85" s="23"/>
      <c r="Q85" s="16"/>
      <c r="R85" s="2">
        <v>876</v>
      </c>
      <c r="S85" s="2" t="s">
        <v>206</v>
      </c>
      <c r="T85" s="2">
        <v>0</v>
      </c>
      <c r="U85" s="2">
        <v>55</v>
      </c>
      <c r="V85" s="2">
        <v>0</v>
      </c>
      <c r="W85" s="2">
        <v>0</v>
      </c>
      <c r="X85" s="2">
        <v>0</v>
      </c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 t="s">
        <v>15</v>
      </c>
      <c r="B86" s="2" t="s">
        <v>24</v>
      </c>
      <c r="C86" s="2">
        <v>20150316</v>
      </c>
      <c r="D86" s="15">
        <v>0</v>
      </c>
      <c r="E86" s="2"/>
      <c r="F86" s="2">
        <v>62500</v>
      </c>
      <c r="G86" s="2" t="s">
        <v>17</v>
      </c>
      <c r="H86" s="2"/>
      <c r="I86" s="2" t="s">
        <v>16</v>
      </c>
      <c r="J86" s="2" t="s">
        <v>187</v>
      </c>
      <c r="K86" s="2" t="s">
        <v>25</v>
      </c>
      <c r="L86" s="2">
        <v>132757294</v>
      </c>
      <c r="M86" s="16"/>
      <c r="N86" s="16"/>
      <c r="O86" s="16"/>
      <c r="P86" s="23"/>
      <c r="Q86" s="16"/>
      <c r="R86" s="2">
        <v>878</v>
      </c>
      <c r="S86" s="2" t="s">
        <v>204</v>
      </c>
      <c r="T86" s="2">
        <v>0</v>
      </c>
      <c r="U86" s="2">
        <v>57</v>
      </c>
      <c r="V86" s="2">
        <v>0</v>
      </c>
      <c r="W86" s="2">
        <v>0</v>
      </c>
      <c r="X86" s="2">
        <v>0</v>
      </c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 t="s">
        <v>15</v>
      </c>
      <c r="B87" s="2" t="s">
        <v>24</v>
      </c>
      <c r="C87" s="2">
        <v>20150316</v>
      </c>
      <c r="D87" s="15">
        <v>0</v>
      </c>
      <c r="E87" s="2"/>
      <c r="F87" s="2">
        <v>62500</v>
      </c>
      <c r="G87" s="2" t="s">
        <v>17</v>
      </c>
      <c r="H87" s="2"/>
      <c r="I87" s="2" t="s">
        <v>16</v>
      </c>
      <c r="J87" s="2" t="s">
        <v>187</v>
      </c>
      <c r="K87" s="2" t="s">
        <v>25</v>
      </c>
      <c r="L87" s="2">
        <v>132757294</v>
      </c>
      <c r="M87" s="16"/>
      <c r="N87" s="16"/>
      <c r="O87" s="16"/>
      <c r="P87" s="23"/>
      <c r="Q87" s="16"/>
      <c r="R87" s="2">
        <v>878</v>
      </c>
      <c r="S87" s="2" t="s">
        <v>204</v>
      </c>
      <c r="T87" s="2">
        <v>0</v>
      </c>
      <c r="U87" s="2">
        <v>57</v>
      </c>
      <c r="V87" s="2">
        <v>0</v>
      </c>
      <c r="W87" s="2">
        <v>0</v>
      </c>
      <c r="X87" s="2">
        <v>0</v>
      </c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 t="s">
        <v>15</v>
      </c>
      <c r="B88" s="2" t="s">
        <v>24</v>
      </c>
      <c r="C88" s="2">
        <v>20150316</v>
      </c>
      <c r="D88" s="15">
        <v>0</v>
      </c>
      <c r="E88" s="2"/>
      <c r="F88" s="2">
        <v>62500</v>
      </c>
      <c r="G88" s="2" t="s">
        <v>17</v>
      </c>
      <c r="H88" s="2"/>
      <c r="I88" s="2" t="s">
        <v>16</v>
      </c>
      <c r="J88" s="2" t="s">
        <v>187</v>
      </c>
      <c r="K88" s="2" t="s">
        <v>25</v>
      </c>
      <c r="L88" s="2">
        <v>132757294</v>
      </c>
      <c r="M88" s="16"/>
      <c r="N88" s="16"/>
      <c r="O88" s="16"/>
      <c r="P88" s="23"/>
      <c r="Q88" s="16"/>
      <c r="R88" s="2">
        <v>879</v>
      </c>
      <c r="S88" s="2" t="s">
        <v>203</v>
      </c>
      <c r="T88" s="2">
        <v>0</v>
      </c>
      <c r="U88" s="2">
        <v>55</v>
      </c>
      <c r="V88" s="2">
        <v>0</v>
      </c>
      <c r="W88" s="2">
        <v>0</v>
      </c>
      <c r="X88" s="2">
        <v>0</v>
      </c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 t="s">
        <v>15</v>
      </c>
      <c r="B89" s="2" t="s">
        <v>24</v>
      </c>
      <c r="C89" s="2">
        <v>20150316</v>
      </c>
      <c r="D89" s="15">
        <v>0</v>
      </c>
      <c r="E89" s="2"/>
      <c r="F89" s="2">
        <v>62500</v>
      </c>
      <c r="G89" s="2" t="s">
        <v>17</v>
      </c>
      <c r="H89" s="2"/>
      <c r="I89" s="2" t="s">
        <v>16</v>
      </c>
      <c r="J89" s="2" t="s">
        <v>187</v>
      </c>
      <c r="K89" s="2" t="s">
        <v>25</v>
      </c>
      <c r="L89" s="2">
        <v>132757294</v>
      </c>
      <c r="M89" s="16"/>
      <c r="N89" s="16"/>
      <c r="O89" s="16"/>
      <c r="P89" s="23"/>
      <c r="Q89" s="16"/>
      <c r="R89" s="2">
        <v>878</v>
      </c>
      <c r="S89" s="2" t="s">
        <v>205</v>
      </c>
      <c r="T89" s="2">
        <v>0</v>
      </c>
      <c r="U89" s="2">
        <v>57</v>
      </c>
      <c r="V89" s="2">
        <v>0</v>
      </c>
      <c r="W89" s="2">
        <v>0</v>
      </c>
      <c r="X89" s="2">
        <v>0</v>
      </c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 t="s">
        <v>15</v>
      </c>
      <c r="B90" s="2" t="s">
        <v>24</v>
      </c>
      <c r="C90" s="2">
        <v>20150316</v>
      </c>
      <c r="D90" s="15">
        <v>0</v>
      </c>
      <c r="E90" s="2"/>
      <c r="F90" s="2">
        <v>62500</v>
      </c>
      <c r="G90" s="2" t="s">
        <v>17</v>
      </c>
      <c r="H90" s="2"/>
      <c r="I90" s="2" t="s">
        <v>16</v>
      </c>
      <c r="J90" s="2" t="s">
        <v>187</v>
      </c>
      <c r="K90" s="2" t="s">
        <v>25</v>
      </c>
      <c r="L90" s="2">
        <v>132757294</v>
      </c>
      <c r="M90" s="16"/>
      <c r="N90" s="16"/>
      <c r="O90" s="16"/>
      <c r="P90" s="23"/>
      <c r="Q90" s="16"/>
      <c r="R90" s="2">
        <v>878</v>
      </c>
      <c r="S90" s="2" t="s">
        <v>206</v>
      </c>
      <c r="T90" s="2">
        <v>0</v>
      </c>
      <c r="U90" s="2">
        <v>57</v>
      </c>
      <c r="V90" s="2">
        <v>0</v>
      </c>
      <c r="W90" s="2">
        <v>0</v>
      </c>
      <c r="X90" s="2">
        <v>0</v>
      </c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 t="s">
        <v>15</v>
      </c>
      <c r="B91" s="2" t="s">
        <v>24</v>
      </c>
      <c r="C91" s="2">
        <v>20150316</v>
      </c>
      <c r="D91" s="15">
        <v>0</v>
      </c>
      <c r="E91" s="2"/>
      <c r="F91" s="2">
        <v>62500</v>
      </c>
      <c r="G91" s="2" t="s">
        <v>17</v>
      </c>
      <c r="H91" s="2"/>
      <c r="I91" s="2" t="s">
        <v>16</v>
      </c>
      <c r="J91" s="2" t="s">
        <v>187</v>
      </c>
      <c r="K91" s="2" t="s">
        <v>25</v>
      </c>
      <c r="L91" s="2">
        <v>132757294</v>
      </c>
      <c r="M91" s="16"/>
      <c r="N91" s="16"/>
      <c r="O91" s="16"/>
      <c r="P91" s="23"/>
      <c r="Q91" s="16"/>
      <c r="R91" s="2">
        <v>879</v>
      </c>
      <c r="S91" s="2" t="s">
        <v>204</v>
      </c>
      <c r="T91" s="2">
        <v>0</v>
      </c>
      <c r="U91" s="2">
        <v>55</v>
      </c>
      <c r="V91" s="2">
        <v>0</v>
      </c>
      <c r="W91" s="2">
        <v>0</v>
      </c>
      <c r="X91" s="2">
        <v>0</v>
      </c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 t="s">
        <v>15</v>
      </c>
      <c r="B92" s="2" t="s">
        <v>24</v>
      </c>
      <c r="C92" s="2">
        <v>20150316</v>
      </c>
      <c r="D92" s="15">
        <v>0</v>
      </c>
      <c r="E92" s="2"/>
      <c r="F92" s="2">
        <v>62500</v>
      </c>
      <c r="G92" s="2" t="s">
        <v>17</v>
      </c>
      <c r="H92" s="2"/>
      <c r="I92" s="2" t="s">
        <v>16</v>
      </c>
      <c r="J92" s="2" t="s">
        <v>187</v>
      </c>
      <c r="K92" s="2" t="s">
        <v>25</v>
      </c>
      <c r="L92" s="2">
        <v>132757294</v>
      </c>
      <c r="M92" s="16"/>
      <c r="N92" s="16"/>
      <c r="O92" s="16"/>
      <c r="P92" s="23"/>
      <c r="Q92" s="16"/>
      <c r="R92" s="2">
        <v>879</v>
      </c>
      <c r="S92" s="2" t="s">
        <v>204</v>
      </c>
      <c r="T92" s="2">
        <v>0</v>
      </c>
      <c r="U92" s="2">
        <v>55</v>
      </c>
      <c r="V92" s="2">
        <v>0</v>
      </c>
      <c r="W92" s="2">
        <v>0</v>
      </c>
      <c r="X92" s="2">
        <v>0</v>
      </c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 t="s">
        <v>15</v>
      </c>
      <c r="B93" s="2" t="s">
        <v>24</v>
      </c>
      <c r="C93" s="2">
        <v>20150316</v>
      </c>
      <c r="D93" s="15">
        <v>0</v>
      </c>
      <c r="E93" s="2"/>
      <c r="F93" s="2">
        <v>62500</v>
      </c>
      <c r="G93" s="2" t="s">
        <v>17</v>
      </c>
      <c r="H93" s="2"/>
      <c r="I93" s="2" t="s">
        <v>16</v>
      </c>
      <c r="J93" s="2" t="s">
        <v>187</v>
      </c>
      <c r="K93" s="2" t="s">
        <v>25</v>
      </c>
      <c r="L93" s="2">
        <v>132757294</v>
      </c>
      <c r="M93" s="16"/>
      <c r="N93" s="16"/>
      <c r="O93" s="16"/>
      <c r="P93" s="23"/>
      <c r="Q93" s="16"/>
      <c r="R93" s="2">
        <v>880</v>
      </c>
      <c r="S93" s="2" t="s">
        <v>203</v>
      </c>
      <c r="T93" s="2">
        <v>0</v>
      </c>
      <c r="U93" s="2">
        <v>-54</v>
      </c>
      <c r="V93" s="2">
        <v>0</v>
      </c>
      <c r="W93" s="2">
        <v>0</v>
      </c>
      <c r="X93" s="2">
        <v>0</v>
      </c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 t="s">
        <v>15</v>
      </c>
      <c r="B94" s="2" t="s">
        <v>24</v>
      </c>
      <c r="C94" s="2">
        <v>20150316</v>
      </c>
      <c r="D94" s="15">
        <v>0</v>
      </c>
      <c r="E94" s="2"/>
      <c r="F94" s="2">
        <v>62500</v>
      </c>
      <c r="G94" s="2" t="s">
        <v>17</v>
      </c>
      <c r="H94" s="2"/>
      <c r="I94" s="2" t="s">
        <v>16</v>
      </c>
      <c r="J94" s="2" t="s">
        <v>187</v>
      </c>
      <c r="K94" s="2" t="s">
        <v>25</v>
      </c>
      <c r="L94" s="2">
        <v>132757294</v>
      </c>
      <c r="M94" s="16"/>
      <c r="N94" s="16"/>
      <c r="O94" s="16"/>
      <c r="P94" s="23"/>
      <c r="Q94" s="16"/>
      <c r="R94" s="2">
        <v>877</v>
      </c>
      <c r="S94" s="2" t="s">
        <v>205</v>
      </c>
      <c r="T94" s="2">
        <v>0</v>
      </c>
      <c r="U94" s="2">
        <v>56</v>
      </c>
      <c r="V94" s="2">
        <v>0</v>
      </c>
      <c r="W94" s="2">
        <v>0</v>
      </c>
      <c r="X94" s="2">
        <v>0</v>
      </c>
      <c r="Y94" s="16"/>
      <c r="Z94" s="22"/>
      <c r="AA94" s="16"/>
      <c r="AB94" s="23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  <row r="95" spans="1:40" x14ac:dyDescent="0.25">
      <c r="A95" t="s">
        <v>15</v>
      </c>
      <c r="B95" t="s">
        <v>24</v>
      </c>
      <c r="C95">
        <v>20150316</v>
      </c>
      <c r="D95">
        <v>0</v>
      </c>
      <c r="F95">
        <v>62500</v>
      </c>
      <c r="G95" t="s">
        <v>17</v>
      </c>
      <c r="I95" t="s">
        <v>16</v>
      </c>
      <c r="J95" t="s">
        <v>187</v>
      </c>
      <c r="K95" t="s">
        <v>25</v>
      </c>
      <c r="L95">
        <v>132757294</v>
      </c>
      <c r="R95">
        <v>877</v>
      </c>
      <c r="S95" t="s">
        <v>206</v>
      </c>
      <c r="T95">
        <v>0</v>
      </c>
      <c r="U95">
        <v>56</v>
      </c>
      <c r="V95">
        <v>0</v>
      </c>
      <c r="W95">
        <v>0</v>
      </c>
      <c r="X95">
        <v>0</v>
      </c>
    </row>
    <row r="96" spans="1:40" x14ac:dyDescent="0.25">
      <c r="A96" t="s">
        <v>15</v>
      </c>
      <c r="B96" t="s">
        <v>24</v>
      </c>
      <c r="C96">
        <v>20150316</v>
      </c>
      <c r="D96">
        <v>0</v>
      </c>
      <c r="F96">
        <v>62500</v>
      </c>
      <c r="G96" t="s">
        <v>17</v>
      </c>
      <c r="I96" t="s">
        <v>16</v>
      </c>
      <c r="J96" t="s">
        <v>187</v>
      </c>
      <c r="K96" t="s">
        <v>25</v>
      </c>
      <c r="L96">
        <v>132757294</v>
      </c>
      <c r="R96">
        <v>880</v>
      </c>
      <c r="S96" t="s">
        <v>204</v>
      </c>
      <c r="T96">
        <v>0</v>
      </c>
      <c r="U96">
        <v>54</v>
      </c>
      <c r="V96">
        <v>0</v>
      </c>
      <c r="W96">
        <v>0</v>
      </c>
      <c r="X96">
        <v>0</v>
      </c>
    </row>
    <row r="97" spans="1:24" x14ac:dyDescent="0.25">
      <c r="A97" t="s">
        <v>15</v>
      </c>
      <c r="B97" t="s">
        <v>24</v>
      </c>
      <c r="C97">
        <v>20150316</v>
      </c>
      <c r="D97">
        <v>0</v>
      </c>
      <c r="F97">
        <v>62500</v>
      </c>
      <c r="G97" t="s">
        <v>17</v>
      </c>
      <c r="I97" t="s">
        <v>16</v>
      </c>
      <c r="J97" t="s">
        <v>187</v>
      </c>
      <c r="K97" t="s">
        <v>25</v>
      </c>
      <c r="L97">
        <v>132757294</v>
      </c>
      <c r="R97">
        <v>880</v>
      </c>
      <c r="S97" t="s">
        <v>204</v>
      </c>
      <c r="T97">
        <v>0</v>
      </c>
      <c r="U97">
        <v>54</v>
      </c>
      <c r="V97">
        <v>0</v>
      </c>
      <c r="W97">
        <v>0</v>
      </c>
      <c r="X97">
        <v>0</v>
      </c>
    </row>
    <row r="98" spans="1:24" x14ac:dyDescent="0.25">
      <c r="A98" t="s">
        <v>15</v>
      </c>
      <c r="B98" t="s">
        <v>24</v>
      </c>
      <c r="C98">
        <v>20150316</v>
      </c>
      <c r="D98">
        <v>0</v>
      </c>
      <c r="F98">
        <v>62500</v>
      </c>
      <c r="G98" t="s">
        <v>17</v>
      </c>
      <c r="I98" t="s">
        <v>16</v>
      </c>
      <c r="J98" t="s">
        <v>187</v>
      </c>
      <c r="K98" t="s">
        <v>25</v>
      </c>
      <c r="L98">
        <v>132757294</v>
      </c>
      <c r="R98">
        <v>881</v>
      </c>
      <c r="S98" t="s">
        <v>203</v>
      </c>
      <c r="T98">
        <v>0</v>
      </c>
      <c r="U98">
        <v>53</v>
      </c>
      <c r="V98">
        <v>0</v>
      </c>
      <c r="W98">
        <v>0</v>
      </c>
      <c r="X98">
        <v>0</v>
      </c>
    </row>
    <row r="99" spans="1:24" x14ac:dyDescent="0.25">
      <c r="A99" t="s">
        <v>15</v>
      </c>
      <c r="B99" t="s">
        <v>24</v>
      </c>
      <c r="C99">
        <v>20150316</v>
      </c>
      <c r="D99">
        <v>0</v>
      </c>
      <c r="F99">
        <v>62500</v>
      </c>
      <c r="G99" t="s">
        <v>17</v>
      </c>
      <c r="I99" t="s">
        <v>16</v>
      </c>
      <c r="J99" t="s">
        <v>187</v>
      </c>
      <c r="K99" t="s">
        <v>25</v>
      </c>
      <c r="L99">
        <v>132757294</v>
      </c>
      <c r="R99">
        <v>879</v>
      </c>
      <c r="S99" t="s">
        <v>205</v>
      </c>
      <c r="T99">
        <v>0</v>
      </c>
      <c r="U99">
        <v>55</v>
      </c>
      <c r="V99">
        <v>0</v>
      </c>
      <c r="W99">
        <v>0</v>
      </c>
      <c r="X99">
        <v>0</v>
      </c>
    </row>
    <row r="100" spans="1:24" x14ac:dyDescent="0.25">
      <c r="A100" t="s">
        <v>15</v>
      </c>
      <c r="B100" t="s">
        <v>24</v>
      </c>
      <c r="C100">
        <v>20150316</v>
      </c>
      <c r="D100">
        <v>0</v>
      </c>
      <c r="F100">
        <v>62500</v>
      </c>
      <c r="G100" t="s">
        <v>17</v>
      </c>
      <c r="I100" t="s">
        <v>16</v>
      </c>
      <c r="J100" t="s">
        <v>187</v>
      </c>
      <c r="K100" t="s">
        <v>25</v>
      </c>
      <c r="L100">
        <v>132757294</v>
      </c>
      <c r="R100">
        <v>879</v>
      </c>
      <c r="S100" t="s">
        <v>206</v>
      </c>
      <c r="T100">
        <v>0</v>
      </c>
      <c r="U100">
        <v>55</v>
      </c>
      <c r="V100">
        <v>0</v>
      </c>
      <c r="W100">
        <v>0</v>
      </c>
      <c r="X100">
        <v>0</v>
      </c>
    </row>
    <row r="101" spans="1:24" x14ac:dyDescent="0.25">
      <c r="A101" t="s">
        <v>15</v>
      </c>
      <c r="B101" t="s">
        <v>24</v>
      </c>
      <c r="C101">
        <v>20150316</v>
      </c>
      <c r="D101">
        <v>0</v>
      </c>
      <c r="F101">
        <v>62500</v>
      </c>
      <c r="G101" t="s">
        <v>17</v>
      </c>
      <c r="I101" t="s">
        <v>16</v>
      </c>
      <c r="J101" t="s">
        <v>187</v>
      </c>
      <c r="K101" t="s">
        <v>25</v>
      </c>
      <c r="L101">
        <v>132757294</v>
      </c>
      <c r="R101">
        <v>881</v>
      </c>
      <c r="S101" t="s">
        <v>204</v>
      </c>
      <c r="T101">
        <v>0</v>
      </c>
      <c r="U101">
        <v>53</v>
      </c>
      <c r="V101">
        <v>0</v>
      </c>
      <c r="W101">
        <v>0</v>
      </c>
      <c r="X101">
        <v>0</v>
      </c>
    </row>
    <row r="102" spans="1:24" x14ac:dyDescent="0.25">
      <c r="A102" t="s">
        <v>15</v>
      </c>
      <c r="B102" t="s">
        <v>24</v>
      </c>
      <c r="C102">
        <v>20150316</v>
      </c>
      <c r="D102">
        <v>0</v>
      </c>
      <c r="F102">
        <v>62500</v>
      </c>
      <c r="G102" t="s">
        <v>17</v>
      </c>
      <c r="I102" t="s">
        <v>16</v>
      </c>
      <c r="J102" t="s">
        <v>187</v>
      </c>
      <c r="K102" t="s">
        <v>25</v>
      </c>
      <c r="L102">
        <v>132757294</v>
      </c>
      <c r="R102">
        <v>881</v>
      </c>
      <c r="S102" t="s">
        <v>204</v>
      </c>
      <c r="T102">
        <v>0</v>
      </c>
      <c r="U102">
        <v>53</v>
      </c>
      <c r="V102">
        <v>0</v>
      </c>
      <c r="W102">
        <v>0</v>
      </c>
      <c r="X102">
        <v>0</v>
      </c>
    </row>
    <row r="103" spans="1:24" x14ac:dyDescent="0.25">
      <c r="A103" t="s">
        <v>15</v>
      </c>
      <c r="B103" t="s">
        <v>24</v>
      </c>
      <c r="C103">
        <v>20150316</v>
      </c>
      <c r="D103">
        <v>0</v>
      </c>
      <c r="F103">
        <v>62500</v>
      </c>
      <c r="G103" t="s">
        <v>17</v>
      </c>
      <c r="I103" t="s">
        <v>16</v>
      </c>
      <c r="J103" t="s">
        <v>187</v>
      </c>
      <c r="K103" t="s">
        <v>25</v>
      </c>
      <c r="L103">
        <v>132757294</v>
      </c>
      <c r="R103">
        <v>882</v>
      </c>
      <c r="S103" t="s">
        <v>203</v>
      </c>
      <c r="T103">
        <v>0</v>
      </c>
      <c r="U103">
        <v>-53</v>
      </c>
      <c r="V103">
        <v>0</v>
      </c>
      <c r="W103">
        <v>0</v>
      </c>
      <c r="X103">
        <v>0</v>
      </c>
    </row>
    <row r="104" spans="1:24" x14ac:dyDescent="0.25">
      <c r="A104" t="s">
        <v>15</v>
      </c>
      <c r="B104" t="s">
        <v>24</v>
      </c>
      <c r="C104">
        <v>20150316</v>
      </c>
      <c r="D104">
        <v>0</v>
      </c>
      <c r="F104">
        <v>62500</v>
      </c>
      <c r="G104" t="s">
        <v>17</v>
      </c>
      <c r="I104" t="s">
        <v>16</v>
      </c>
      <c r="J104" t="s">
        <v>187</v>
      </c>
      <c r="K104" t="s">
        <v>25</v>
      </c>
      <c r="L104">
        <v>132757294</v>
      </c>
      <c r="R104">
        <v>880</v>
      </c>
      <c r="S104" t="s">
        <v>205</v>
      </c>
      <c r="T104">
        <v>0</v>
      </c>
      <c r="U104">
        <v>54</v>
      </c>
      <c r="V104">
        <v>0</v>
      </c>
      <c r="W104">
        <v>0</v>
      </c>
      <c r="X104">
        <v>0</v>
      </c>
    </row>
    <row r="105" spans="1:24" x14ac:dyDescent="0.25">
      <c r="A105" t="s">
        <v>15</v>
      </c>
      <c r="B105" t="s">
        <v>24</v>
      </c>
      <c r="C105">
        <v>20150316</v>
      </c>
      <c r="D105">
        <v>0</v>
      </c>
      <c r="F105">
        <v>62500</v>
      </c>
      <c r="G105" t="s">
        <v>17</v>
      </c>
      <c r="I105" t="s">
        <v>16</v>
      </c>
      <c r="J105" t="s">
        <v>187</v>
      </c>
      <c r="K105" t="s">
        <v>25</v>
      </c>
      <c r="L105">
        <v>132757294</v>
      </c>
      <c r="R105">
        <v>880</v>
      </c>
      <c r="S105" t="s">
        <v>206</v>
      </c>
      <c r="T105">
        <v>0</v>
      </c>
      <c r="U105">
        <v>54</v>
      </c>
      <c r="V105">
        <v>0</v>
      </c>
      <c r="W105">
        <v>0</v>
      </c>
      <c r="X105">
        <v>0</v>
      </c>
    </row>
    <row r="106" spans="1:24" x14ac:dyDescent="0.25">
      <c r="A106" t="s">
        <v>15</v>
      </c>
      <c r="B106" t="s">
        <v>24</v>
      </c>
      <c r="C106">
        <v>20150316</v>
      </c>
      <c r="D106">
        <v>0</v>
      </c>
      <c r="F106">
        <v>62500</v>
      </c>
      <c r="G106" t="s">
        <v>17</v>
      </c>
      <c r="I106" t="s">
        <v>16</v>
      </c>
      <c r="J106" t="s">
        <v>187</v>
      </c>
      <c r="K106" t="s">
        <v>25</v>
      </c>
      <c r="L106">
        <v>132757294</v>
      </c>
      <c r="R106">
        <v>882</v>
      </c>
      <c r="S106" t="s">
        <v>204</v>
      </c>
      <c r="T106">
        <v>0</v>
      </c>
      <c r="U106">
        <v>53</v>
      </c>
      <c r="V106">
        <v>0</v>
      </c>
      <c r="W106">
        <v>0</v>
      </c>
      <c r="X106">
        <v>0</v>
      </c>
    </row>
    <row r="107" spans="1:24" x14ac:dyDescent="0.25">
      <c r="A107" t="s">
        <v>15</v>
      </c>
      <c r="B107" t="s">
        <v>24</v>
      </c>
      <c r="C107">
        <v>20150316</v>
      </c>
      <c r="D107">
        <v>0</v>
      </c>
      <c r="F107">
        <v>62500</v>
      </c>
      <c r="G107" t="s">
        <v>17</v>
      </c>
      <c r="I107" t="s">
        <v>16</v>
      </c>
      <c r="J107" t="s">
        <v>187</v>
      </c>
      <c r="K107" t="s">
        <v>25</v>
      </c>
      <c r="L107">
        <v>132757294</v>
      </c>
      <c r="R107">
        <v>882</v>
      </c>
      <c r="S107" t="s">
        <v>204</v>
      </c>
      <c r="T107">
        <v>0</v>
      </c>
      <c r="U107">
        <v>53</v>
      </c>
      <c r="V107">
        <v>0</v>
      </c>
      <c r="W107">
        <v>0</v>
      </c>
      <c r="X107">
        <v>0</v>
      </c>
    </row>
    <row r="108" spans="1:24" x14ac:dyDescent="0.25">
      <c r="A108" t="s">
        <v>15</v>
      </c>
      <c r="B108" t="s">
        <v>24</v>
      </c>
      <c r="C108">
        <v>20150316</v>
      </c>
      <c r="D108">
        <v>0</v>
      </c>
      <c r="F108">
        <v>62500</v>
      </c>
      <c r="G108" t="s">
        <v>17</v>
      </c>
      <c r="I108" t="s">
        <v>16</v>
      </c>
      <c r="J108" t="s">
        <v>187</v>
      </c>
      <c r="K108" t="s">
        <v>25</v>
      </c>
      <c r="L108">
        <v>132757294</v>
      </c>
      <c r="R108">
        <v>883</v>
      </c>
      <c r="S108" t="s">
        <v>203</v>
      </c>
      <c r="T108">
        <v>0</v>
      </c>
      <c r="U108">
        <v>53</v>
      </c>
      <c r="V108">
        <v>0</v>
      </c>
      <c r="W108">
        <v>0</v>
      </c>
      <c r="X108">
        <v>0</v>
      </c>
    </row>
    <row r="109" spans="1:24" x14ac:dyDescent="0.25">
      <c r="A109" t="s">
        <v>15</v>
      </c>
      <c r="B109" t="s">
        <v>24</v>
      </c>
      <c r="C109">
        <v>20150316</v>
      </c>
      <c r="D109">
        <v>0</v>
      </c>
      <c r="F109">
        <v>62500</v>
      </c>
      <c r="G109" t="s">
        <v>17</v>
      </c>
      <c r="I109" t="s">
        <v>16</v>
      </c>
      <c r="J109" t="s">
        <v>187</v>
      </c>
      <c r="K109" t="s">
        <v>25</v>
      </c>
      <c r="L109">
        <v>132757294</v>
      </c>
      <c r="R109">
        <v>881</v>
      </c>
      <c r="S109" t="s">
        <v>205</v>
      </c>
      <c r="T109">
        <v>0</v>
      </c>
      <c r="U109">
        <v>53</v>
      </c>
      <c r="V109">
        <v>0</v>
      </c>
      <c r="W109">
        <v>0</v>
      </c>
      <c r="X109">
        <v>0</v>
      </c>
    </row>
    <row r="110" spans="1:24" x14ac:dyDescent="0.25">
      <c r="A110" t="s">
        <v>15</v>
      </c>
      <c r="B110" t="s">
        <v>24</v>
      </c>
      <c r="C110">
        <v>20150316</v>
      </c>
      <c r="D110">
        <v>0</v>
      </c>
      <c r="F110">
        <v>62500</v>
      </c>
      <c r="G110" t="s">
        <v>17</v>
      </c>
      <c r="I110" t="s">
        <v>16</v>
      </c>
      <c r="J110" t="s">
        <v>187</v>
      </c>
      <c r="K110" t="s">
        <v>25</v>
      </c>
      <c r="L110">
        <v>132757294</v>
      </c>
      <c r="R110">
        <v>881</v>
      </c>
      <c r="S110" t="s">
        <v>206</v>
      </c>
      <c r="T110">
        <v>0</v>
      </c>
      <c r="U110">
        <v>53</v>
      </c>
      <c r="V110">
        <v>0</v>
      </c>
      <c r="W110">
        <v>0</v>
      </c>
      <c r="X110">
        <v>0</v>
      </c>
    </row>
    <row r="111" spans="1:24" x14ac:dyDescent="0.25">
      <c r="A111" t="s">
        <v>15</v>
      </c>
      <c r="B111" t="s">
        <v>24</v>
      </c>
      <c r="C111">
        <v>20150316</v>
      </c>
      <c r="D111">
        <v>0</v>
      </c>
      <c r="F111">
        <v>62500</v>
      </c>
      <c r="G111" t="s">
        <v>17</v>
      </c>
      <c r="I111" t="s">
        <v>16</v>
      </c>
      <c r="J111" t="s">
        <v>187</v>
      </c>
      <c r="K111" t="s">
        <v>25</v>
      </c>
      <c r="L111">
        <v>132757294</v>
      </c>
      <c r="R111">
        <v>883</v>
      </c>
      <c r="S111" t="s">
        <v>204</v>
      </c>
      <c r="T111">
        <v>0</v>
      </c>
      <c r="U111">
        <v>53</v>
      </c>
      <c r="V111">
        <v>0</v>
      </c>
      <c r="W111">
        <v>0</v>
      </c>
      <c r="X111">
        <v>0</v>
      </c>
    </row>
    <row r="112" spans="1:24" x14ac:dyDescent="0.25">
      <c r="A112" t="s">
        <v>15</v>
      </c>
      <c r="B112" t="s">
        <v>24</v>
      </c>
      <c r="C112">
        <v>20150316</v>
      </c>
      <c r="D112">
        <v>0</v>
      </c>
      <c r="F112">
        <v>62500</v>
      </c>
      <c r="G112" t="s">
        <v>17</v>
      </c>
      <c r="I112" t="s">
        <v>16</v>
      </c>
      <c r="J112" t="s">
        <v>187</v>
      </c>
      <c r="K112" t="s">
        <v>25</v>
      </c>
      <c r="L112">
        <v>132757294</v>
      </c>
      <c r="R112">
        <v>883</v>
      </c>
      <c r="S112" t="s">
        <v>204</v>
      </c>
      <c r="T112">
        <v>0</v>
      </c>
      <c r="U112">
        <v>53</v>
      </c>
      <c r="V112">
        <v>0</v>
      </c>
      <c r="W112">
        <v>0</v>
      </c>
      <c r="X112">
        <v>0</v>
      </c>
    </row>
    <row r="113" spans="1:24" x14ac:dyDescent="0.25">
      <c r="A113" t="s">
        <v>15</v>
      </c>
      <c r="B113" t="s">
        <v>24</v>
      </c>
      <c r="C113">
        <v>20150316</v>
      </c>
      <c r="D113">
        <v>0</v>
      </c>
      <c r="F113">
        <v>62500</v>
      </c>
      <c r="G113" t="s">
        <v>17</v>
      </c>
      <c r="I113" t="s">
        <v>16</v>
      </c>
      <c r="J113" t="s">
        <v>187</v>
      </c>
      <c r="K113" t="s">
        <v>25</v>
      </c>
      <c r="L113">
        <v>132757294</v>
      </c>
      <c r="R113">
        <v>884</v>
      </c>
      <c r="S113" t="s">
        <v>203</v>
      </c>
      <c r="T113">
        <v>0</v>
      </c>
      <c r="U113">
        <v>53</v>
      </c>
      <c r="V113">
        <v>0</v>
      </c>
      <c r="W113">
        <v>0</v>
      </c>
      <c r="X113">
        <v>0</v>
      </c>
    </row>
    <row r="114" spans="1:24" x14ac:dyDescent="0.25">
      <c r="A114" t="s">
        <v>15</v>
      </c>
      <c r="B114" t="s">
        <v>24</v>
      </c>
      <c r="C114">
        <v>20150316</v>
      </c>
      <c r="D114">
        <v>0</v>
      </c>
      <c r="F114">
        <v>62500</v>
      </c>
      <c r="G114" t="s">
        <v>17</v>
      </c>
      <c r="I114" t="s">
        <v>16</v>
      </c>
      <c r="J114" t="s">
        <v>187</v>
      </c>
      <c r="K114" t="s">
        <v>25</v>
      </c>
      <c r="L114">
        <v>132757294</v>
      </c>
      <c r="R114">
        <v>883</v>
      </c>
      <c r="S114" t="s">
        <v>205</v>
      </c>
      <c r="T114">
        <v>0</v>
      </c>
      <c r="U114">
        <v>53</v>
      </c>
      <c r="V114">
        <v>0</v>
      </c>
      <c r="W114">
        <v>0</v>
      </c>
      <c r="X114">
        <v>0</v>
      </c>
    </row>
    <row r="115" spans="1:24" x14ac:dyDescent="0.25">
      <c r="A115" t="s">
        <v>15</v>
      </c>
      <c r="B115" t="s">
        <v>24</v>
      </c>
      <c r="C115">
        <v>20150316</v>
      </c>
      <c r="D115">
        <v>0</v>
      </c>
      <c r="F115">
        <v>62500</v>
      </c>
      <c r="G115" t="s">
        <v>17</v>
      </c>
      <c r="I115" t="s">
        <v>16</v>
      </c>
      <c r="J115" t="s">
        <v>187</v>
      </c>
      <c r="K115" t="s">
        <v>25</v>
      </c>
      <c r="L115">
        <v>132757294</v>
      </c>
      <c r="R115">
        <v>883</v>
      </c>
      <c r="S115" t="s">
        <v>206</v>
      </c>
      <c r="T115">
        <v>0</v>
      </c>
      <c r="U115">
        <v>53</v>
      </c>
      <c r="V115">
        <v>0</v>
      </c>
      <c r="W115">
        <v>0</v>
      </c>
      <c r="X115">
        <v>0</v>
      </c>
    </row>
    <row r="116" spans="1:24" x14ac:dyDescent="0.25">
      <c r="A116" t="s">
        <v>15</v>
      </c>
      <c r="B116" t="s">
        <v>24</v>
      </c>
      <c r="C116">
        <v>20150316</v>
      </c>
      <c r="D116">
        <v>0</v>
      </c>
      <c r="F116">
        <v>62500</v>
      </c>
      <c r="G116" t="s">
        <v>17</v>
      </c>
      <c r="I116" t="s">
        <v>16</v>
      </c>
      <c r="J116" t="s">
        <v>187</v>
      </c>
      <c r="K116" t="s">
        <v>25</v>
      </c>
      <c r="L116">
        <v>132757294</v>
      </c>
      <c r="R116">
        <v>884</v>
      </c>
      <c r="S116" t="s">
        <v>204</v>
      </c>
      <c r="T116">
        <v>0</v>
      </c>
      <c r="U116">
        <v>53</v>
      </c>
      <c r="V116">
        <v>0</v>
      </c>
      <c r="W116">
        <v>0</v>
      </c>
      <c r="X116">
        <v>0</v>
      </c>
    </row>
    <row r="117" spans="1:24" x14ac:dyDescent="0.25">
      <c r="A117" t="s">
        <v>15</v>
      </c>
      <c r="B117" t="s">
        <v>24</v>
      </c>
      <c r="C117">
        <v>20150316</v>
      </c>
      <c r="D117">
        <v>0</v>
      </c>
      <c r="F117">
        <v>62500</v>
      </c>
      <c r="G117" t="s">
        <v>17</v>
      </c>
      <c r="I117" t="s">
        <v>16</v>
      </c>
      <c r="J117" t="s">
        <v>187</v>
      </c>
      <c r="K117" t="s">
        <v>25</v>
      </c>
      <c r="L117">
        <v>132757294</v>
      </c>
      <c r="R117">
        <v>884</v>
      </c>
      <c r="S117" t="s">
        <v>204</v>
      </c>
      <c r="T117">
        <v>0</v>
      </c>
      <c r="U117">
        <v>53</v>
      </c>
      <c r="V117">
        <v>0</v>
      </c>
      <c r="W117">
        <v>0</v>
      </c>
      <c r="X117">
        <v>0</v>
      </c>
    </row>
    <row r="118" spans="1:24" x14ac:dyDescent="0.25">
      <c r="A118" t="s">
        <v>15</v>
      </c>
      <c r="B118" t="s">
        <v>24</v>
      </c>
      <c r="C118">
        <v>20150316</v>
      </c>
      <c r="D118">
        <v>0</v>
      </c>
      <c r="F118">
        <v>62500</v>
      </c>
      <c r="G118" t="s">
        <v>17</v>
      </c>
      <c r="I118" t="s">
        <v>16</v>
      </c>
      <c r="J118" t="s">
        <v>187</v>
      </c>
      <c r="K118" t="s">
        <v>25</v>
      </c>
      <c r="L118">
        <v>132757294</v>
      </c>
      <c r="R118">
        <v>885</v>
      </c>
      <c r="S118" t="s">
        <v>203</v>
      </c>
      <c r="T118">
        <v>0</v>
      </c>
      <c r="U118">
        <v>53</v>
      </c>
      <c r="V118">
        <v>0</v>
      </c>
      <c r="W118">
        <v>0</v>
      </c>
      <c r="X118">
        <v>0</v>
      </c>
    </row>
    <row r="119" spans="1:24" x14ac:dyDescent="0.25">
      <c r="A119" t="s">
        <v>15</v>
      </c>
      <c r="B119" t="s">
        <v>24</v>
      </c>
      <c r="C119">
        <v>20150316</v>
      </c>
      <c r="D119">
        <v>0</v>
      </c>
      <c r="F119">
        <v>62500</v>
      </c>
      <c r="G119" t="s">
        <v>17</v>
      </c>
      <c r="I119" t="s">
        <v>16</v>
      </c>
      <c r="J119" t="s">
        <v>187</v>
      </c>
      <c r="K119" t="s">
        <v>25</v>
      </c>
      <c r="L119">
        <v>132757294</v>
      </c>
      <c r="R119">
        <v>884</v>
      </c>
      <c r="S119" t="s">
        <v>205</v>
      </c>
      <c r="T119">
        <v>0</v>
      </c>
      <c r="U119">
        <v>53</v>
      </c>
      <c r="V119">
        <v>0</v>
      </c>
      <c r="W119">
        <v>0</v>
      </c>
      <c r="X119">
        <v>0</v>
      </c>
    </row>
    <row r="120" spans="1:24" x14ac:dyDescent="0.25">
      <c r="A120" t="s">
        <v>15</v>
      </c>
      <c r="B120" t="s">
        <v>24</v>
      </c>
      <c r="C120">
        <v>20150316</v>
      </c>
      <c r="D120">
        <v>0</v>
      </c>
      <c r="F120">
        <v>62500</v>
      </c>
      <c r="G120" t="s">
        <v>17</v>
      </c>
      <c r="I120" t="s">
        <v>16</v>
      </c>
      <c r="J120" t="s">
        <v>187</v>
      </c>
      <c r="K120" t="s">
        <v>25</v>
      </c>
      <c r="L120">
        <v>132757294</v>
      </c>
      <c r="R120">
        <v>884</v>
      </c>
      <c r="S120" t="s">
        <v>206</v>
      </c>
      <c r="T120">
        <v>0</v>
      </c>
      <c r="U120">
        <v>53</v>
      </c>
      <c r="V120">
        <v>0</v>
      </c>
      <c r="W120">
        <v>0</v>
      </c>
      <c r="X120">
        <v>0</v>
      </c>
    </row>
    <row r="121" spans="1:24" x14ac:dyDescent="0.25">
      <c r="A121" t="s">
        <v>15</v>
      </c>
      <c r="B121" t="s">
        <v>24</v>
      </c>
      <c r="C121">
        <v>20150316</v>
      </c>
      <c r="D121">
        <v>0</v>
      </c>
      <c r="F121">
        <v>62500</v>
      </c>
      <c r="G121" t="s">
        <v>17</v>
      </c>
      <c r="I121" t="s">
        <v>16</v>
      </c>
      <c r="J121" t="s">
        <v>187</v>
      </c>
      <c r="K121" t="s">
        <v>25</v>
      </c>
      <c r="L121">
        <v>132757294</v>
      </c>
      <c r="R121">
        <v>885</v>
      </c>
      <c r="S121" t="s">
        <v>204</v>
      </c>
      <c r="T121">
        <v>0</v>
      </c>
      <c r="U121">
        <v>53</v>
      </c>
      <c r="V121">
        <v>0</v>
      </c>
      <c r="W121">
        <v>0</v>
      </c>
      <c r="X121">
        <v>0</v>
      </c>
    </row>
    <row r="122" spans="1:24" x14ac:dyDescent="0.25">
      <c r="A122" t="s">
        <v>15</v>
      </c>
      <c r="B122" t="s">
        <v>24</v>
      </c>
      <c r="C122">
        <v>20150316</v>
      </c>
      <c r="D122">
        <v>0</v>
      </c>
      <c r="F122">
        <v>62500</v>
      </c>
      <c r="G122" t="s">
        <v>17</v>
      </c>
      <c r="I122" t="s">
        <v>16</v>
      </c>
      <c r="J122" t="s">
        <v>187</v>
      </c>
      <c r="K122" t="s">
        <v>25</v>
      </c>
      <c r="L122">
        <v>132757294</v>
      </c>
      <c r="R122">
        <v>885</v>
      </c>
      <c r="S122" t="s">
        <v>204</v>
      </c>
      <c r="T122">
        <v>0</v>
      </c>
      <c r="U122">
        <v>53</v>
      </c>
      <c r="V122">
        <v>0</v>
      </c>
      <c r="W122">
        <v>0</v>
      </c>
      <c r="X122">
        <v>0</v>
      </c>
    </row>
    <row r="123" spans="1:24" x14ac:dyDescent="0.25">
      <c r="A123" t="s">
        <v>15</v>
      </c>
      <c r="B123" t="s">
        <v>24</v>
      </c>
      <c r="C123">
        <v>20150316</v>
      </c>
      <c r="D123">
        <v>0</v>
      </c>
      <c r="F123">
        <v>62500</v>
      </c>
      <c r="G123" t="s">
        <v>17</v>
      </c>
      <c r="I123" t="s">
        <v>16</v>
      </c>
      <c r="J123" t="s">
        <v>187</v>
      </c>
      <c r="K123" t="s">
        <v>25</v>
      </c>
      <c r="L123">
        <v>132757294</v>
      </c>
      <c r="R123">
        <v>886</v>
      </c>
      <c r="S123" t="s">
        <v>203</v>
      </c>
      <c r="T123">
        <v>0</v>
      </c>
      <c r="U123">
        <v>53</v>
      </c>
      <c r="V123">
        <v>0</v>
      </c>
      <c r="W123">
        <v>0</v>
      </c>
      <c r="X123">
        <v>0</v>
      </c>
    </row>
    <row r="124" spans="1:24" x14ac:dyDescent="0.25">
      <c r="A124" t="s">
        <v>15</v>
      </c>
      <c r="B124" t="s">
        <v>24</v>
      </c>
      <c r="C124">
        <v>20150316</v>
      </c>
      <c r="D124">
        <v>0</v>
      </c>
      <c r="F124">
        <v>62500</v>
      </c>
      <c r="G124" t="s">
        <v>17</v>
      </c>
      <c r="I124" t="s">
        <v>16</v>
      </c>
      <c r="J124" t="s">
        <v>187</v>
      </c>
      <c r="K124" t="s">
        <v>25</v>
      </c>
      <c r="L124">
        <v>132757294</v>
      </c>
      <c r="R124">
        <v>885</v>
      </c>
      <c r="S124" t="s">
        <v>205</v>
      </c>
      <c r="T124">
        <v>0</v>
      </c>
      <c r="U124">
        <v>53</v>
      </c>
      <c r="V124">
        <v>0</v>
      </c>
      <c r="W124">
        <v>0</v>
      </c>
      <c r="X124">
        <v>0</v>
      </c>
    </row>
    <row r="125" spans="1:24" x14ac:dyDescent="0.25">
      <c r="A125" t="s">
        <v>15</v>
      </c>
      <c r="B125" t="s">
        <v>24</v>
      </c>
      <c r="C125">
        <v>20150316</v>
      </c>
      <c r="D125">
        <v>0</v>
      </c>
      <c r="F125">
        <v>62500</v>
      </c>
      <c r="G125" t="s">
        <v>17</v>
      </c>
      <c r="I125" t="s">
        <v>16</v>
      </c>
      <c r="J125" t="s">
        <v>187</v>
      </c>
      <c r="K125" t="s">
        <v>25</v>
      </c>
      <c r="L125">
        <v>132757294</v>
      </c>
      <c r="R125">
        <v>885</v>
      </c>
      <c r="S125" t="s">
        <v>206</v>
      </c>
      <c r="T125">
        <v>0</v>
      </c>
      <c r="U125">
        <v>53</v>
      </c>
      <c r="V125">
        <v>0</v>
      </c>
      <c r="W125">
        <v>0</v>
      </c>
      <c r="X125">
        <v>0</v>
      </c>
    </row>
    <row r="126" spans="1:24" x14ac:dyDescent="0.25">
      <c r="A126" t="s">
        <v>15</v>
      </c>
      <c r="B126" t="s">
        <v>24</v>
      </c>
      <c r="C126">
        <v>20150316</v>
      </c>
      <c r="D126">
        <v>0</v>
      </c>
      <c r="F126">
        <v>62500</v>
      </c>
      <c r="G126" t="s">
        <v>17</v>
      </c>
      <c r="I126" t="s">
        <v>16</v>
      </c>
      <c r="J126" t="s">
        <v>187</v>
      </c>
      <c r="K126" t="s">
        <v>25</v>
      </c>
      <c r="L126">
        <v>132757294</v>
      </c>
      <c r="R126">
        <v>886</v>
      </c>
      <c r="S126" t="s">
        <v>204</v>
      </c>
      <c r="T126">
        <v>0</v>
      </c>
      <c r="U126">
        <v>53</v>
      </c>
      <c r="V126">
        <v>0</v>
      </c>
      <c r="W126">
        <v>0</v>
      </c>
      <c r="X126">
        <v>0</v>
      </c>
    </row>
    <row r="127" spans="1:24" x14ac:dyDescent="0.25">
      <c r="A127" t="s">
        <v>15</v>
      </c>
      <c r="B127" t="s">
        <v>24</v>
      </c>
      <c r="C127">
        <v>20150316</v>
      </c>
      <c r="D127">
        <v>0</v>
      </c>
      <c r="F127">
        <v>62500</v>
      </c>
      <c r="G127" t="s">
        <v>17</v>
      </c>
      <c r="I127" t="s">
        <v>16</v>
      </c>
      <c r="J127" t="s">
        <v>187</v>
      </c>
      <c r="K127" t="s">
        <v>25</v>
      </c>
      <c r="L127">
        <v>132757294</v>
      </c>
      <c r="R127">
        <v>886</v>
      </c>
      <c r="S127" t="s">
        <v>204</v>
      </c>
      <c r="T127">
        <v>0</v>
      </c>
      <c r="U127">
        <v>53</v>
      </c>
      <c r="V127">
        <v>0</v>
      </c>
      <c r="W127">
        <v>0</v>
      </c>
      <c r="X127">
        <v>0</v>
      </c>
    </row>
    <row r="128" spans="1:24" x14ac:dyDescent="0.25">
      <c r="A128" t="s">
        <v>15</v>
      </c>
      <c r="B128" t="s">
        <v>24</v>
      </c>
      <c r="C128">
        <v>20150316</v>
      </c>
      <c r="D128">
        <v>0</v>
      </c>
      <c r="F128">
        <v>62500</v>
      </c>
      <c r="G128" t="s">
        <v>17</v>
      </c>
      <c r="I128" t="s">
        <v>16</v>
      </c>
      <c r="J128" t="s">
        <v>187</v>
      </c>
      <c r="K128" t="s">
        <v>25</v>
      </c>
      <c r="L128">
        <v>132757294</v>
      </c>
      <c r="R128">
        <v>887</v>
      </c>
      <c r="S128" t="s">
        <v>203</v>
      </c>
      <c r="T128">
        <v>0</v>
      </c>
      <c r="U128">
        <v>-53</v>
      </c>
      <c r="V128">
        <v>0</v>
      </c>
      <c r="W128">
        <v>0</v>
      </c>
      <c r="X128">
        <v>0</v>
      </c>
    </row>
    <row r="129" spans="1:24" x14ac:dyDescent="0.25">
      <c r="A129" t="s">
        <v>15</v>
      </c>
      <c r="B129" t="s">
        <v>24</v>
      </c>
      <c r="C129">
        <v>20150316</v>
      </c>
      <c r="D129">
        <v>0</v>
      </c>
      <c r="F129">
        <v>62500</v>
      </c>
      <c r="G129" t="s">
        <v>17</v>
      </c>
      <c r="I129" t="s">
        <v>16</v>
      </c>
      <c r="J129" t="s">
        <v>187</v>
      </c>
      <c r="K129" t="s">
        <v>25</v>
      </c>
      <c r="L129">
        <v>132757294</v>
      </c>
      <c r="R129">
        <v>882</v>
      </c>
      <c r="S129" t="s">
        <v>205</v>
      </c>
      <c r="T129">
        <v>0</v>
      </c>
      <c r="U129">
        <v>53</v>
      </c>
      <c r="V129">
        <v>0</v>
      </c>
      <c r="W129">
        <v>0</v>
      </c>
      <c r="X129">
        <v>0</v>
      </c>
    </row>
    <row r="130" spans="1:24" x14ac:dyDescent="0.25">
      <c r="A130" t="s">
        <v>15</v>
      </c>
      <c r="B130" t="s">
        <v>24</v>
      </c>
      <c r="C130">
        <v>20150316</v>
      </c>
      <c r="D130">
        <v>0</v>
      </c>
      <c r="F130">
        <v>62500</v>
      </c>
      <c r="G130" t="s">
        <v>17</v>
      </c>
      <c r="I130" t="s">
        <v>16</v>
      </c>
      <c r="J130" t="s">
        <v>187</v>
      </c>
      <c r="K130" t="s">
        <v>25</v>
      </c>
      <c r="L130">
        <v>132757294</v>
      </c>
      <c r="R130">
        <v>882</v>
      </c>
      <c r="S130" t="s">
        <v>206</v>
      </c>
      <c r="T130">
        <v>0</v>
      </c>
      <c r="U130">
        <v>53</v>
      </c>
      <c r="V130">
        <v>0</v>
      </c>
      <c r="W130">
        <v>0</v>
      </c>
      <c r="X130">
        <v>0</v>
      </c>
    </row>
    <row r="131" spans="1:24" x14ac:dyDescent="0.25">
      <c r="A131" t="s">
        <v>15</v>
      </c>
      <c r="B131" t="s">
        <v>24</v>
      </c>
      <c r="C131">
        <v>20150316</v>
      </c>
      <c r="D131">
        <v>0</v>
      </c>
      <c r="F131">
        <v>62500</v>
      </c>
      <c r="G131" t="s">
        <v>17</v>
      </c>
      <c r="I131" t="s">
        <v>16</v>
      </c>
      <c r="J131" t="s">
        <v>187</v>
      </c>
      <c r="K131" t="s">
        <v>25</v>
      </c>
      <c r="L131">
        <v>132757294</v>
      </c>
      <c r="R131">
        <v>887</v>
      </c>
      <c r="S131" t="s">
        <v>204</v>
      </c>
      <c r="T131">
        <v>0</v>
      </c>
      <c r="U131">
        <v>53</v>
      </c>
      <c r="V131">
        <v>0</v>
      </c>
      <c r="W131">
        <v>0</v>
      </c>
      <c r="X131">
        <v>0</v>
      </c>
    </row>
    <row r="132" spans="1:24" x14ac:dyDescent="0.25">
      <c r="A132" t="s">
        <v>15</v>
      </c>
      <c r="B132" t="s">
        <v>24</v>
      </c>
      <c r="C132">
        <v>20150316</v>
      </c>
      <c r="D132">
        <v>0</v>
      </c>
      <c r="F132">
        <v>62500</v>
      </c>
      <c r="G132" t="s">
        <v>17</v>
      </c>
      <c r="I132" t="s">
        <v>16</v>
      </c>
      <c r="J132" t="s">
        <v>187</v>
      </c>
      <c r="K132" t="s">
        <v>25</v>
      </c>
      <c r="L132">
        <v>132757294</v>
      </c>
      <c r="R132">
        <v>887</v>
      </c>
      <c r="S132" t="s">
        <v>204</v>
      </c>
      <c r="T132">
        <v>0</v>
      </c>
      <c r="U132">
        <v>53</v>
      </c>
      <c r="V132">
        <v>0</v>
      </c>
      <c r="W132">
        <v>0</v>
      </c>
      <c r="X132">
        <v>0</v>
      </c>
    </row>
    <row r="133" spans="1:24" x14ac:dyDescent="0.25">
      <c r="A133" t="s">
        <v>15</v>
      </c>
      <c r="B133" t="s">
        <v>24</v>
      </c>
      <c r="C133">
        <v>20150316</v>
      </c>
      <c r="D133">
        <v>0</v>
      </c>
      <c r="F133">
        <v>62500</v>
      </c>
      <c r="G133" t="s">
        <v>17</v>
      </c>
      <c r="I133" t="s">
        <v>16</v>
      </c>
      <c r="J133" t="s">
        <v>187</v>
      </c>
      <c r="K133" t="s">
        <v>25</v>
      </c>
      <c r="L133">
        <v>132757294</v>
      </c>
      <c r="R133">
        <v>888</v>
      </c>
      <c r="S133" t="s">
        <v>203</v>
      </c>
      <c r="T133">
        <v>0</v>
      </c>
      <c r="U133">
        <v>52</v>
      </c>
      <c r="V133">
        <v>0</v>
      </c>
      <c r="W133">
        <v>0</v>
      </c>
      <c r="X133">
        <v>0</v>
      </c>
    </row>
    <row r="134" spans="1:24" x14ac:dyDescent="0.25">
      <c r="A134" t="s">
        <v>15</v>
      </c>
      <c r="B134" t="s">
        <v>24</v>
      </c>
      <c r="C134">
        <v>20150316</v>
      </c>
      <c r="D134">
        <v>0</v>
      </c>
      <c r="F134">
        <v>62500</v>
      </c>
      <c r="G134" t="s">
        <v>17</v>
      </c>
      <c r="I134" t="s">
        <v>16</v>
      </c>
      <c r="J134" t="s">
        <v>187</v>
      </c>
      <c r="K134" t="s">
        <v>25</v>
      </c>
      <c r="L134">
        <v>132757294</v>
      </c>
      <c r="R134">
        <v>886</v>
      </c>
      <c r="S134" t="s">
        <v>205</v>
      </c>
      <c r="T134">
        <v>0</v>
      </c>
      <c r="U134">
        <v>53</v>
      </c>
      <c r="V134">
        <v>0</v>
      </c>
      <c r="W134">
        <v>0</v>
      </c>
      <c r="X134">
        <v>0</v>
      </c>
    </row>
    <row r="135" spans="1:24" x14ac:dyDescent="0.25">
      <c r="A135" t="s">
        <v>15</v>
      </c>
      <c r="B135" t="s">
        <v>24</v>
      </c>
      <c r="C135">
        <v>20150316</v>
      </c>
      <c r="D135">
        <v>0</v>
      </c>
      <c r="F135">
        <v>62500</v>
      </c>
      <c r="G135" t="s">
        <v>17</v>
      </c>
      <c r="I135" t="s">
        <v>16</v>
      </c>
      <c r="J135" t="s">
        <v>187</v>
      </c>
      <c r="K135" t="s">
        <v>25</v>
      </c>
      <c r="L135">
        <v>132757294</v>
      </c>
      <c r="R135">
        <v>886</v>
      </c>
      <c r="S135" t="s">
        <v>206</v>
      </c>
      <c r="T135">
        <v>0</v>
      </c>
      <c r="U135">
        <v>53</v>
      </c>
      <c r="V135">
        <v>0</v>
      </c>
      <c r="W135">
        <v>0</v>
      </c>
      <c r="X135">
        <v>0</v>
      </c>
    </row>
    <row r="136" spans="1:24" x14ac:dyDescent="0.25">
      <c r="A136" t="s">
        <v>15</v>
      </c>
      <c r="B136" t="s">
        <v>24</v>
      </c>
      <c r="C136">
        <v>20150316</v>
      </c>
      <c r="D136">
        <v>0</v>
      </c>
      <c r="F136">
        <v>62500</v>
      </c>
      <c r="G136" t="s">
        <v>17</v>
      </c>
      <c r="I136" t="s">
        <v>16</v>
      </c>
      <c r="J136" t="s">
        <v>187</v>
      </c>
      <c r="K136" t="s">
        <v>25</v>
      </c>
      <c r="L136">
        <v>132757294</v>
      </c>
      <c r="R136">
        <v>888</v>
      </c>
      <c r="S136" t="s">
        <v>204</v>
      </c>
      <c r="T136">
        <v>0</v>
      </c>
      <c r="U136">
        <v>52</v>
      </c>
      <c r="V136">
        <v>0</v>
      </c>
      <c r="W136">
        <v>0</v>
      </c>
      <c r="X136">
        <v>0</v>
      </c>
    </row>
    <row r="137" spans="1:24" x14ac:dyDescent="0.25">
      <c r="A137" t="s">
        <v>15</v>
      </c>
      <c r="B137" t="s">
        <v>24</v>
      </c>
      <c r="C137">
        <v>20150316</v>
      </c>
      <c r="D137">
        <v>0</v>
      </c>
      <c r="F137">
        <v>62500</v>
      </c>
      <c r="G137" t="s">
        <v>17</v>
      </c>
      <c r="I137" t="s">
        <v>16</v>
      </c>
      <c r="J137" t="s">
        <v>187</v>
      </c>
      <c r="K137" t="s">
        <v>25</v>
      </c>
      <c r="L137">
        <v>132757294</v>
      </c>
      <c r="R137">
        <v>888</v>
      </c>
      <c r="S137" t="s">
        <v>204</v>
      </c>
      <c r="T137">
        <v>0</v>
      </c>
      <c r="U137">
        <v>52</v>
      </c>
      <c r="V137">
        <v>0</v>
      </c>
      <c r="W137">
        <v>0</v>
      </c>
      <c r="X137">
        <v>0</v>
      </c>
    </row>
    <row r="138" spans="1:24" x14ac:dyDescent="0.25">
      <c r="A138" t="s">
        <v>15</v>
      </c>
      <c r="B138" t="s">
        <v>24</v>
      </c>
      <c r="C138">
        <v>20150316</v>
      </c>
      <c r="D138">
        <v>0</v>
      </c>
      <c r="F138">
        <v>62500</v>
      </c>
      <c r="G138" t="s">
        <v>17</v>
      </c>
      <c r="I138" t="s">
        <v>16</v>
      </c>
      <c r="J138" t="s">
        <v>187</v>
      </c>
      <c r="K138" t="s">
        <v>25</v>
      </c>
      <c r="L138">
        <v>132757294</v>
      </c>
      <c r="R138">
        <v>889</v>
      </c>
      <c r="S138" t="s">
        <v>203</v>
      </c>
      <c r="T138">
        <v>0</v>
      </c>
      <c r="U138">
        <v>52</v>
      </c>
      <c r="V138">
        <v>0</v>
      </c>
      <c r="W138">
        <v>0</v>
      </c>
      <c r="X138">
        <v>0</v>
      </c>
    </row>
    <row r="139" spans="1:24" x14ac:dyDescent="0.25">
      <c r="A139" t="s">
        <v>15</v>
      </c>
      <c r="B139" t="s">
        <v>24</v>
      </c>
      <c r="C139">
        <v>20150316</v>
      </c>
      <c r="D139">
        <v>0</v>
      </c>
      <c r="F139">
        <v>62500</v>
      </c>
      <c r="G139" t="s">
        <v>17</v>
      </c>
      <c r="I139" t="s">
        <v>16</v>
      </c>
      <c r="J139" t="s">
        <v>187</v>
      </c>
      <c r="K139" t="s">
        <v>25</v>
      </c>
      <c r="L139">
        <v>132757294</v>
      </c>
      <c r="R139">
        <v>888</v>
      </c>
      <c r="S139" t="s">
        <v>205</v>
      </c>
      <c r="T139">
        <v>0</v>
      </c>
      <c r="U139">
        <v>52</v>
      </c>
      <c r="V139">
        <v>0</v>
      </c>
      <c r="W139">
        <v>0</v>
      </c>
      <c r="X139">
        <v>0</v>
      </c>
    </row>
    <row r="140" spans="1:24" x14ac:dyDescent="0.25">
      <c r="A140" t="s">
        <v>15</v>
      </c>
      <c r="B140" t="s">
        <v>24</v>
      </c>
      <c r="C140">
        <v>20150316</v>
      </c>
      <c r="D140">
        <v>0</v>
      </c>
      <c r="F140">
        <v>62500</v>
      </c>
      <c r="G140" t="s">
        <v>17</v>
      </c>
      <c r="I140" t="s">
        <v>16</v>
      </c>
      <c r="J140" t="s">
        <v>187</v>
      </c>
      <c r="K140" t="s">
        <v>25</v>
      </c>
      <c r="L140">
        <v>132757294</v>
      </c>
      <c r="R140">
        <v>888</v>
      </c>
      <c r="S140" t="s">
        <v>206</v>
      </c>
      <c r="T140">
        <v>0</v>
      </c>
      <c r="U140">
        <v>52</v>
      </c>
      <c r="V140">
        <v>0</v>
      </c>
      <c r="W140">
        <v>0</v>
      </c>
      <c r="X140">
        <v>0</v>
      </c>
    </row>
    <row r="141" spans="1:24" x14ac:dyDescent="0.25">
      <c r="A141" t="s">
        <v>15</v>
      </c>
      <c r="B141" t="s">
        <v>24</v>
      </c>
      <c r="C141">
        <v>20150316</v>
      </c>
      <c r="D141">
        <v>0</v>
      </c>
      <c r="F141">
        <v>62500</v>
      </c>
      <c r="G141" t="s">
        <v>17</v>
      </c>
      <c r="I141" t="s">
        <v>16</v>
      </c>
      <c r="J141" t="s">
        <v>187</v>
      </c>
      <c r="K141" t="s">
        <v>25</v>
      </c>
      <c r="L141">
        <v>132757294</v>
      </c>
      <c r="R141">
        <v>889</v>
      </c>
      <c r="S141" t="s">
        <v>204</v>
      </c>
      <c r="T141">
        <v>0</v>
      </c>
      <c r="U141">
        <v>52</v>
      </c>
      <c r="V141">
        <v>0</v>
      </c>
      <c r="W141">
        <v>0</v>
      </c>
      <c r="X141">
        <v>0</v>
      </c>
    </row>
    <row r="142" spans="1:24" x14ac:dyDescent="0.25">
      <c r="A142" t="s">
        <v>15</v>
      </c>
      <c r="B142" t="s">
        <v>24</v>
      </c>
      <c r="C142">
        <v>20150316</v>
      </c>
      <c r="D142">
        <v>0</v>
      </c>
      <c r="F142">
        <v>62500</v>
      </c>
      <c r="G142" t="s">
        <v>17</v>
      </c>
      <c r="I142" t="s">
        <v>16</v>
      </c>
      <c r="J142" t="s">
        <v>187</v>
      </c>
      <c r="K142" t="s">
        <v>25</v>
      </c>
      <c r="L142">
        <v>132757294</v>
      </c>
      <c r="R142">
        <v>889</v>
      </c>
      <c r="S142" t="s">
        <v>204</v>
      </c>
      <c r="T142">
        <v>0</v>
      </c>
      <c r="U142">
        <v>52</v>
      </c>
      <c r="V142">
        <v>0</v>
      </c>
      <c r="W142">
        <v>0</v>
      </c>
      <c r="X142">
        <v>0</v>
      </c>
    </row>
    <row r="143" spans="1:24" x14ac:dyDescent="0.25">
      <c r="A143" t="s">
        <v>15</v>
      </c>
      <c r="B143" t="s">
        <v>24</v>
      </c>
      <c r="C143">
        <v>20150316</v>
      </c>
      <c r="D143">
        <v>0</v>
      </c>
      <c r="F143">
        <v>62500</v>
      </c>
      <c r="G143" t="s">
        <v>17</v>
      </c>
      <c r="I143" t="s">
        <v>16</v>
      </c>
      <c r="J143" t="s">
        <v>187</v>
      </c>
      <c r="K143" t="s">
        <v>25</v>
      </c>
      <c r="L143">
        <v>132757294</v>
      </c>
      <c r="R143">
        <v>890</v>
      </c>
      <c r="S143" t="s">
        <v>203</v>
      </c>
      <c r="T143">
        <v>0</v>
      </c>
      <c r="U143">
        <v>52</v>
      </c>
      <c r="V143">
        <v>0</v>
      </c>
      <c r="W143">
        <v>0</v>
      </c>
      <c r="X143">
        <v>0</v>
      </c>
    </row>
    <row r="144" spans="1:24" x14ac:dyDescent="0.25">
      <c r="A144" t="s">
        <v>15</v>
      </c>
      <c r="B144" t="s">
        <v>24</v>
      </c>
      <c r="C144">
        <v>20150316</v>
      </c>
      <c r="D144">
        <v>0</v>
      </c>
      <c r="F144">
        <v>62500</v>
      </c>
      <c r="G144" t="s">
        <v>17</v>
      </c>
      <c r="I144" t="s">
        <v>16</v>
      </c>
      <c r="J144" t="s">
        <v>187</v>
      </c>
      <c r="K144" t="s">
        <v>25</v>
      </c>
      <c r="L144">
        <v>132757294</v>
      </c>
      <c r="R144">
        <v>889</v>
      </c>
      <c r="S144" t="s">
        <v>205</v>
      </c>
      <c r="T144">
        <v>0</v>
      </c>
      <c r="U144">
        <v>52</v>
      </c>
      <c r="V144">
        <v>0</v>
      </c>
      <c r="W144">
        <v>0</v>
      </c>
      <c r="X144">
        <v>0</v>
      </c>
    </row>
    <row r="145" spans="1:24" x14ac:dyDescent="0.25">
      <c r="A145" t="s">
        <v>15</v>
      </c>
      <c r="B145" t="s">
        <v>24</v>
      </c>
      <c r="C145">
        <v>20150316</v>
      </c>
      <c r="D145">
        <v>0</v>
      </c>
      <c r="F145">
        <v>62500</v>
      </c>
      <c r="G145" t="s">
        <v>17</v>
      </c>
      <c r="I145" t="s">
        <v>16</v>
      </c>
      <c r="J145" t="s">
        <v>187</v>
      </c>
      <c r="K145" t="s">
        <v>25</v>
      </c>
      <c r="L145">
        <v>132757294</v>
      </c>
      <c r="R145">
        <v>889</v>
      </c>
      <c r="S145" t="s">
        <v>206</v>
      </c>
      <c r="T145">
        <v>0</v>
      </c>
      <c r="U145">
        <v>52</v>
      </c>
      <c r="V145">
        <v>0</v>
      </c>
      <c r="W145">
        <v>0</v>
      </c>
      <c r="X145">
        <v>0</v>
      </c>
    </row>
    <row r="146" spans="1:24" x14ac:dyDescent="0.25">
      <c r="A146" t="s">
        <v>15</v>
      </c>
      <c r="B146" t="s">
        <v>24</v>
      </c>
      <c r="C146">
        <v>20150316</v>
      </c>
      <c r="D146">
        <v>0</v>
      </c>
      <c r="F146">
        <v>62500</v>
      </c>
      <c r="G146" t="s">
        <v>17</v>
      </c>
      <c r="I146" t="s">
        <v>16</v>
      </c>
      <c r="J146" t="s">
        <v>187</v>
      </c>
      <c r="K146" t="s">
        <v>25</v>
      </c>
      <c r="L146">
        <v>132757294</v>
      </c>
      <c r="R146">
        <v>890</v>
      </c>
      <c r="S146" t="s">
        <v>204</v>
      </c>
      <c r="T146">
        <v>0</v>
      </c>
      <c r="U146">
        <v>52</v>
      </c>
      <c r="V146">
        <v>0</v>
      </c>
      <c r="W146">
        <v>0</v>
      </c>
      <c r="X146">
        <v>0</v>
      </c>
    </row>
    <row r="147" spans="1:24" x14ac:dyDescent="0.25">
      <c r="A147" t="s">
        <v>15</v>
      </c>
      <c r="B147" t="s">
        <v>24</v>
      </c>
      <c r="C147">
        <v>20150316</v>
      </c>
      <c r="D147">
        <v>0</v>
      </c>
      <c r="F147">
        <v>62500</v>
      </c>
      <c r="G147" t="s">
        <v>17</v>
      </c>
      <c r="I147" t="s">
        <v>16</v>
      </c>
      <c r="J147" t="s">
        <v>187</v>
      </c>
      <c r="K147" t="s">
        <v>25</v>
      </c>
      <c r="L147">
        <v>132757294</v>
      </c>
      <c r="R147">
        <v>890</v>
      </c>
      <c r="S147" t="s">
        <v>204</v>
      </c>
      <c r="T147">
        <v>0</v>
      </c>
      <c r="U147">
        <v>52</v>
      </c>
      <c r="V147">
        <v>0</v>
      </c>
      <c r="W147">
        <v>0</v>
      </c>
      <c r="X147">
        <v>0</v>
      </c>
    </row>
    <row r="148" spans="1:24" x14ac:dyDescent="0.25">
      <c r="A148" t="s">
        <v>15</v>
      </c>
      <c r="B148" t="s">
        <v>24</v>
      </c>
      <c r="C148">
        <v>20150316</v>
      </c>
      <c r="D148">
        <v>0</v>
      </c>
      <c r="F148">
        <v>62500</v>
      </c>
      <c r="G148" t="s">
        <v>17</v>
      </c>
      <c r="I148" t="s">
        <v>16</v>
      </c>
      <c r="J148" t="s">
        <v>187</v>
      </c>
      <c r="K148" t="s">
        <v>25</v>
      </c>
      <c r="L148">
        <v>132757294</v>
      </c>
      <c r="R148">
        <v>891</v>
      </c>
      <c r="S148" t="s">
        <v>203</v>
      </c>
      <c r="T148">
        <v>0</v>
      </c>
      <c r="U148">
        <v>52</v>
      </c>
      <c r="V148">
        <v>0</v>
      </c>
      <c r="W148">
        <v>0</v>
      </c>
      <c r="X148">
        <v>0</v>
      </c>
    </row>
    <row r="149" spans="1:24" x14ac:dyDescent="0.25">
      <c r="A149" t="s">
        <v>15</v>
      </c>
      <c r="B149" t="s">
        <v>24</v>
      </c>
      <c r="C149">
        <v>20150316</v>
      </c>
      <c r="D149">
        <v>0</v>
      </c>
      <c r="F149">
        <v>62500</v>
      </c>
      <c r="G149" t="s">
        <v>17</v>
      </c>
      <c r="I149" t="s">
        <v>16</v>
      </c>
      <c r="J149" t="s">
        <v>187</v>
      </c>
      <c r="K149" t="s">
        <v>25</v>
      </c>
      <c r="L149">
        <v>132757294</v>
      </c>
      <c r="R149">
        <v>890</v>
      </c>
      <c r="S149" t="s">
        <v>205</v>
      </c>
      <c r="T149">
        <v>0</v>
      </c>
      <c r="U149">
        <v>52</v>
      </c>
      <c r="V149">
        <v>0</v>
      </c>
      <c r="W149">
        <v>0</v>
      </c>
      <c r="X149">
        <v>0</v>
      </c>
    </row>
    <row r="150" spans="1:24" x14ac:dyDescent="0.25">
      <c r="A150" t="s">
        <v>15</v>
      </c>
      <c r="B150" t="s">
        <v>24</v>
      </c>
      <c r="C150">
        <v>20150316</v>
      </c>
      <c r="D150">
        <v>0</v>
      </c>
      <c r="F150">
        <v>62500</v>
      </c>
      <c r="G150" t="s">
        <v>17</v>
      </c>
      <c r="I150" t="s">
        <v>16</v>
      </c>
      <c r="J150" t="s">
        <v>187</v>
      </c>
      <c r="K150" t="s">
        <v>25</v>
      </c>
      <c r="L150">
        <v>132757294</v>
      </c>
      <c r="R150">
        <v>890</v>
      </c>
      <c r="S150" t="s">
        <v>206</v>
      </c>
      <c r="T150">
        <v>0</v>
      </c>
      <c r="U150">
        <v>52</v>
      </c>
      <c r="V150">
        <v>0</v>
      </c>
      <c r="W150">
        <v>0</v>
      </c>
      <c r="X150">
        <v>0</v>
      </c>
    </row>
    <row r="151" spans="1:24" x14ac:dyDescent="0.25">
      <c r="A151" t="s">
        <v>15</v>
      </c>
      <c r="B151" t="s">
        <v>24</v>
      </c>
      <c r="C151">
        <v>20150316</v>
      </c>
      <c r="D151">
        <v>0</v>
      </c>
      <c r="F151">
        <v>62500</v>
      </c>
      <c r="G151" t="s">
        <v>17</v>
      </c>
      <c r="I151" t="s">
        <v>16</v>
      </c>
      <c r="J151" t="s">
        <v>187</v>
      </c>
      <c r="K151" t="s">
        <v>25</v>
      </c>
      <c r="L151">
        <v>132757294</v>
      </c>
      <c r="R151">
        <v>891</v>
      </c>
      <c r="S151" t="s">
        <v>204</v>
      </c>
      <c r="T151">
        <v>0</v>
      </c>
      <c r="U151">
        <v>52</v>
      </c>
      <c r="V151">
        <v>0</v>
      </c>
      <c r="W151">
        <v>0</v>
      </c>
      <c r="X151">
        <v>0</v>
      </c>
    </row>
    <row r="152" spans="1:24" x14ac:dyDescent="0.25">
      <c r="A152" t="s">
        <v>15</v>
      </c>
      <c r="B152" t="s">
        <v>24</v>
      </c>
      <c r="C152">
        <v>20150316</v>
      </c>
      <c r="D152">
        <v>0</v>
      </c>
      <c r="F152">
        <v>62500</v>
      </c>
      <c r="G152" t="s">
        <v>17</v>
      </c>
      <c r="I152" t="s">
        <v>16</v>
      </c>
      <c r="J152" t="s">
        <v>187</v>
      </c>
      <c r="K152" t="s">
        <v>25</v>
      </c>
      <c r="L152">
        <v>132757294</v>
      </c>
      <c r="R152">
        <v>891</v>
      </c>
      <c r="S152" t="s">
        <v>204</v>
      </c>
      <c r="T152">
        <v>0</v>
      </c>
      <c r="U152">
        <v>52</v>
      </c>
      <c r="V152">
        <v>0</v>
      </c>
      <c r="W152">
        <v>0</v>
      </c>
      <c r="X152">
        <v>0</v>
      </c>
    </row>
    <row r="153" spans="1:24" x14ac:dyDescent="0.25">
      <c r="A153" t="s">
        <v>15</v>
      </c>
      <c r="B153" t="s">
        <v>24</v>
      </c>
      <c r="C153">
        <v>20150316</v>
      </c>
      <c r="D153">
        <v>0</v>
      </c>
      <c r="F153">
        <v>62500</v>
      </c>
      <c r="G153" t="s">
        <v>17</v>
      </c>
      <c r="I153" t="s">
        <v>16</v>
      </c>
      <c r="J153" t="s">
        <v>187</v>
      </c>
      <c r="K153" t="s">
        <v>25</v>
      </c>
      <c r="L153">
        <v>132757294</v>
      </c>
      <c r="R153">
        <v>892</v>
      </c>
      <c r="S153" t="s">
        <v>203</v>
      </c>
      <c r="T153">
        <v>0</v>
      </c>
      <c r="U153">
        <v>52</v>
      </c>
      <c r="V153">
        <v>0</v>
      </c>
      <c r="W153">
        <v>0</v>
      </c>
      <c r="X153">
        <v>0</v>
      </c>
    </row>
    <row r="154" spans="1:24" x14ac:dyDescent="0.25">
      <c r="A154" t="s">
        <v>15</v>
      </c>
      <c r="B154" t="s">
        <v>24</v>
      </c>
      <c r="C154">
        <v>20150316</v>
      </c>
      <c r="D154">
        <v>0</v>
      </c>
      <c r="F154">
        <v>62500</v>
      </c>
      <c r="G154" t="s">
        <v>17</v>
      </c>
      <c r="I154" t="s">
        <v>16</v>
      </c>
      <c r="J154" t="s">
        <v>187</v>
      </c>
      <c r="K154" t="s">
        <v>25</v>
      </c>
      <c r="L154">
        <v>132757294</v>
      </c>
      <c r="R154">
        <v>891</v>
      </c>
      <c r="S154" t="s">
        <v>205</v>
      </c>
      <c r="T154">
        <v>0</v>
      </c>
      <c r="U154">
        <v>52</v>
      </c>
      <c r="V154">
        <v>0</v>
      </c>
      <c r="W154">
        <v>0</v>
      </c>
      <c r="X154">
        <v>0</v>
      </c>
    </row>
    <row r="155" spans="1:24" x14ac:dyDescent="0.25">
      <c r="A155" t="s">
        <v>15</v>
      </c>
      <c r="B155" t="s">
        <v>24</v>
      </c>
      <c r="C155">
        <v>20150316</v>
      </c>
      <c r="D155">
        <v>0</v>
      </c>
      <c r="F155">
        <v>62500</v>
      </c>
      <c r="G155" t="s">
        <v>17</v>
      </c>
      <c r="I155" t="s">
        <v>16</v>
      </c>
      <c r="J155" t="s">
        <v>187</v>
      </c>
      <c r="K155" t="s">
        <v>25</v>
      </c>
      <c r="L155">
        <v>132757294</v>
      </c>
      <c r="R155">
        <v>891</v>
      </c>
      <c r="S155" t="s">
        <v>206</v>
      </c>
      <c r="T155">
        <v>0</v>
      </c>
      <c r="U155">
        <v>52</v>
      </c>
      <c r="V155">
        <v>0</v>
      </c>
      <c r="W155">
        <v>0</v>
      </c>
      <c r="X155">
        <v>0</v>
      </c>
    </row>
    <row r="156" spans="1:24" x14ac:dyDescent="0.25">
      <c r="A156" t="s">
        <v>15</v>
      </c>
      <c r="B156" t="s">
        <v>24</v>
      </c>
      <c r="C156">
        <v>20150316</v>
      </c>
      <c r="D156">
        <v>0</v>
      </c>
      <c r="F156">
        <v>62500</v>
      </c>
      <c r="G156" t="s">
        <v>17</v>
      </c>
      <c r="I156" t="s">
        <v>16</v>
      </c>
      <c r="J156" t="s">
        <v>187</v>
      </c>
      <c r="K156" t="s">
        <v>25</v>
      </c>
      <c r="L156">
        <v>132757294</v>
      </c>
      <c r="R156">
        <v>892</v>
      </c>
      <c r="S156" t="s">
        <v>204</v>
      </c>
      <c r="T156">
        <v>0</v>
      </c>
      <c r="U156">
        <v>52</v>
      </c>
      <c r="V156">
        <v>0</v>
      </c>
      <c r="W156">
        <v>0</v>
      </c>
      <c r="X156">
        <v>0</v>
      </c>
    </row>
    <row r="157" spans="1:24" x14ac:dyDescent="0.25">
      <c r="A157" t="s">
        <v>15</v>
      </c>
      <c r="B157" t="s">
        <v>24</v>
      </c>
      <c r="C157">
        <v>20150316</v>
      </c>
      <c r="D157">
        <v>0</v>
      </c>
      <c r="F157">
        <v>62500</v>
      </c>
      <c r="G157" t="s">
        <v>17</v>
      </c>
      <c r="I157" t="s">
        <v>16</v>
      </c>
      <c r="J157" t="s">
        <v>187</v>
      </c>
      <c r="K157" t="s">
        <v>25</v>
      </c>
      <c r="L157">
        <v>132757294</v>
      </c>
      <c r="R157">
        <v>892</v>
      </c>
      <c r="S157" t="s">
        <v>204</v>
      </c>
      <c r="T157">
        <v>0</v>
      </c>
      <c r="U157">
        <v>52</v>
      </c>
      <c r="V157">
        <v>0</v>
      </c>
      <c r="W157">
        <v>0</v>
      </c>
      <c r="X157">
        <v>0</v>
      </c>
    </row>
    <row r="158" spans="1:24" x14ac:dyDescent="0.25">
      <c r="A158" t="s">
        <v>15</v>
      </c>
      <c r="B158" t="s">
        <v>24</v>
      </c>
      <c r="C158">
        <v>20150316</v>
      </c>
      <c r="D158">
        <v>0</v>
      </c>
      <c r="F158">
        <v>62500</v>
      </c>
      <c r="G158" t="s">
        <v>17</v>
      </c>
      <c r="I158" t="s">
        <v>16</v>
      </c>
      <c r="J158" t="s">
        <v>187</v>
      </c>
      <c r="K158" t="s">
        <v>25</v>
      </c>
      <c r="L158">
        <v>132757294</v>
      </c>
      <c r="R158">
        <v>893</v>
      </c>
      <c r="S158" t="s">
        <v>203</v>
      </c>
      <c r="T158">
        <v>0</v>
      </c>
      <c r="U158">
        <v>-51</v>
      </c>
      <c r="V158">
        <v>0</v>
      </c>
      <c r="W158">
        <v>0</v>
      </c>
      <c r="X158">
        <v>0</v>
      </c>
    </row>
    <row r="159" spans="1:24" x14ac:dyDescent="0.25">
      <c r="A159" t="s">
        <v>15</v>
      </c>
      <c r="B159" t="s">
        <v>24</v>
      </c>
      <c r="C159">
        <v>20150316</v>
      </c>
      <c r="D159">
        <v>0</v>
      </c>
      <c r="F159">
        <v>62500</v>
      </c>
      <c r="G159" t="s">
        <v>17</v>
      </c>
      <c r="I159" t="s">
        <v>16</v>
      </c>
      <c r="J159" t="s">
        <v>187</v>
      </c>
      <c r="K159" t="s">
        <v>25</v>
      </c>
      <c r="L159">
        <v>132757294</v>
      </c>
      <c r="R159">
        <v>887</v>
      </c>
      <c r="S159" t="s">
        <v>205</v>
      </c>
      <c r="T159">
        <v>0</v>
      </c>
      <c r="U159">
        <v>53</v>
      </c>
      <c r="V159">
        <v>0</v>
      </c>
      <c r="W159">
        <v>0</v>
      </c>
      <c r="X159">
        <v>0</v>
      </c>
    </row>
    <row r="160" spans="1:24" x14ac:dyDescent="0.25">
      <c r="A160" t="s">
        <v>15</v>
      </c>
      <c r="B160" t="s">
        <v>24</v>
      </c>
      <c r="C160">
        <v>20150316</v>
      </c>
      <c r="D160">
        <v>0</v>
      </c>
      <c r="F160">
        <v>62500</v>
      </c>
      <c r="G160" t="s">
        <v>17</v>
      </c>
      <c r="I160" t="s">
        <v>16</v>
      </c>
      <c r="J160" t="s">
        <v>187</v>
      </c>
      <c r="K160" t="s">
        <v>25</v>
      </c>
      <c r="L160">
        <v>132757294</v>
      </c>
      <c r="R160">
        <v>887</v>
      </c>
      <c r="S160" t="s">
        <v>206</v>
      </c>
      <c r="T160">
        <v>0</v>
      </c>
      <c r="U160">
        <v>53</v>
      </c>
      <c r="V160">
        <v>0</v>
      </c>
      <c r="W160">
        <v>0</v>
      </c>
      <c r="X160">
        <v>0</v>
      </c>
    </row>
    <row r="161" spans="1:24" x14ac:dyDescent="0.25">
      <c r="A161" t="s">
        <v>15</v>
      </c>
      <c r="B161" t="s">
        <v>24</v>
      </c>
      <c r="C161">
        <v>20150316</v>
      </c>
      <c r="D161">
        <v>0</v>
      </c>
      <c r="F161">
        <v>62500</v>
      </c>
      <c r="G161" t="s">
        <v>17</v>
      </c>
      <c r="I161" t="s">
        <v>16</v>
      </c>
      <c r="J161" t="s">
        <v>187</v>
      </c>
      <c r="K161" t="s">
        <v>25</v>
      </c>
      <c r="L161">
        <v>132757294</v>
      </c>
      <c r="R161">
        <v>893</v>
      </c>
      <c r="S161" t="s">
        <v>204</v>
      </c>
      <c r="T161">
        <v>0</v>
      </c>
      <c r="U161">
        <v>51</v>
      </c>
      <c r="V161">
        <v>0</v>
      </c>
      <c r="W161">
        <v>0</v>
      </c>
      <c r="X161">
        <v>0</v>
      </c>
    </row>
    <row r="162" spans="1:24" x14ac:dyDescent="0.25">
      <c r="A162" t="s">
        <v>15</v>
      </c>
      <c r="B162" t="s">
        <v>24</v>
      </c>
      <c r="C162">
        <v>20150316</v>
      </c>
      <c r="D162">
        <v>0</v>
      </c>
      <c r="F162">
        <v>62500</v>
      </c>
      <c r="G162" t="s">
        <v>17</v>
      </c>
      <c r="I162" t="s">
        <v>16</v>
      </c>
      <c r="J162" t="s">
        <v>187</v>
      </c>
      <c r="K162" t="s">
        <v>25</v>
      </c>
      <c r="L162">
        <v>132757294</v>
      </c>
      <c r="R162">
        <v>893</v>
      </c>
      <c r="S162" t="s">
        <v>204</v>
      </c>
      <c r="T162">
        <v>0</v>
      </c>
      <c r="U162">
        <v>51</v>
      </c>
      <c r="V162">
        <v>0</v>
      </c>
      <c r="W162">
        <v>0</v>
      </c>
      <c r="X162">
        <v>0</v>
      </c>
    </row>
    <row r="163" spans="1:24" x14ac:dyDescent="0.25">
      <c r="A163" t="s">
        <v>15</v>
      </c>
      <c r="B163" t="s">
        <v>24</v>
      </c>
      <c r="C163">
        <v>20150316</v>
      </c>
      <c r="D163">
        <v>0</v>
      </c>
      <c r="F163">
        <v>62500</v>
      </c>
      <c r="G163" t="s">
        <v>17</v>
      </c>
      <c r="I163" t="s">
        <v>16</v>
      </c>
      <c r="J163" t="s">
        <v>187</v>
      </c>
      <c r="K163" t="s">
        <v>25</v>
      </c>
      <c r="L163">
        <v>132757294</v>
      </c>
      <c r="R163">
        <v>894</v>
      </c>
      <c r="S163" t="s">
        <v>203</v>
      </c>
      <c r="T163">
        <v>0</v>
      </c>
      <c r="U163">
        <v>52</v>
      </c>
      <c r="V163">
        <v>0</v>
      </c>
      <c r="W163">
        <v>0</v>
      </c>
      <c r="X163">
        <v>0</v>
      </c>
    </row>
    <row r="164" spans="1:24" x14ac:dyDescent="0.25">
      <c r="A164" t="s">
        <v>15</v>
      </c>
      <c r="B164" t="s">
        <v>24</v>
      </c>
      <c r="C164">
        <v>20150316</v>
      </c>
      <c r="D164">
        <v>0</v>
      </c>
      <c r="F164">
        <v>62500</v>
      </c>
      <c r="G164" t="s">
        <v>17</v>
      </c>
      <c r="I164" t="s">
        <v>16</v>
      </c>
      <c r="J164" t="s">
        <v>187</v>
      </c>
      <c r="K164" t="s">
        <v>25</v>
      </c>
      <c r="L164">
        <v>132757294</v>
      </c>
      <c r="R164">
        <v>892</v>
      </c>
      <c r="S164" t="s">
        <v>205</v>
      </c>
      <c r="T164">
        <v>0</v>
      </c>
      <c r="U164">
        <v>52</v>
      </c>
      <c r="V164">
        <v>0</v>
      </c>
      <c r="W164">
        <v>0</v>
      </c>
      <c r="X164">
        <v>0</v>
      </c>
    </row>
    <row r="165" spans="1:24" x14ac:dyDescent="0.25">
      <c r="A165" t="s">
        <v>15</v>
      </c>
      <c r="B165" t="s">
        <v>24</v>
      </c>
      <c r="C165">
        <v>20150316</v>
      </c>
      <c r="D165">
        <v>0</v>
      </c>
      <c r="F165">
        <v>62500</v>
      </c>
      <c r="G165" t="s">
        <v>17</v>
      </c>
      <c r="I165" t="s">
        <v>16</v>
      </c>
      <c r="J165" t="s">
        <v>187</v>
      </c>
      <c r="K165" t="s">
        <v>25</v>
      </c>
      <c r="L165">
        <v>132757294</v>
      </c>
      <c r="R165">
        <v>892</v>
      </c>
      <c r="S165" t="s">
        <v>206</v>
      </c>
      <c r="T165">
        <v>0</v>
      </c>
      <c r="U165">
        <v>52</v>
      </c>
      <c r="V165">
        <v>0</v>
      </c>
      <c r="W165">
        <v>0</v>
      </c>
      <c r="X165">
        <v>0</v>
      </c>
    </row>
    <row r="166" spans="1:24" x14ac:dyDescent="0.25">
      <c r="A166" t="s">
        <v>15</v>
      </c>
      <c r="B166" t="s">
        <v>24</v>
      </c>
      <c r="C166">
        <v>20150316</v>
      </c>
      <c r="D166">
        <v>0</v>
      </c>
      <c r="F166">
        <v>62500</v>
      </c>
      <c r="G166" t="s">
        <v>17</v>
      </c>
      <c r="I166" t="s">
        <v>16</v>
      </c>
      <c r="J166" t="s">
        <v>187</v>
      </c>
      <c r="K166" t="s">
        <v>25</v>
      </c>
      <c r="L166">
        <v>132757294</v>
      </c>
      <c r="R166">
        <v>894</v>
      </c>
      <c r="S166" t="s">
        <v>204</v>
      </c>
      <c r="T166">
        <v>0</v>
      </c>
      <c r="U166">
        <v>52</v>
      </c>
      <c r="V166">
        <v>0</v>
      </c>
      <c r="W166">
        <v>0</v>
      </c>
      <c r="X166">
        <v>0</v>
      </c>
    </row>
    <row r="167" spans="1:24" x14ac:dyDescent="0.25">
      <c r="A167" t="s">
        <v>15</v>
      </c>
      <c r="B167" t="s">
        <v>24</v>
      </c>
      <c r="C167">
        <v>20150316</v>
      </c>
      <c r="D167">
        <v>0</v>
      </c>
      <c r="F167">
        <v>62500</v>
      </c>
      <c r="G167" t="s">
        <v>17</v>
      </c>
      <c r="I167" t="s">
        <v>16</v>
      </c>
      <c r="J167" t="s">
        <v>187</v>
      </c>
      <c r="K167" t="s">
        <v>25</v>
      </c>
      <c r="L167">
        <v>132757294</v>
      </c>
      <c r="R167">
        <v>894</v>
      </c>
      <c r="S167" t="s">
        <v>204</v>
      </c>
      <c r="T167">
        <v>0</v>
      </c>
      <c r="U167">
        <v>52</v>
      </c>
      <c r="V167">
        <v>0</v>
      </c>
      <c r="W167">
        <v>0</v>
      </c>
      <c r="X167">
        <v>0</v>
      </c>
    </row>
    <row r="168" spans="1:24" x14ac:dyDescent="0.25">
      <c r="A168" t="s">
        <v>15</v>
      </c>
      <c r="B168" t="s">
        <v>24</v>
      </c>
      <c r="C168">
        <v>20150316</v>
      </c>
      <c r="D168">
        <v>0</v>
      </c>
      <c r="F168">
        <v>62500</v>
      </c>
      <c r="G168" t="s">
        <v>17</v>
      </c>
      <c r="I168" t="s">
        <v>16</v>
      </c>
      <c r="J168" t="s">
        <v>187</v>
      </c>
      <c r="K168" t="s">
        <v>25</v>
      </c>
      <c r="L168">
        <v>132757294</v>
      </c>
      <c r="R168">
        <v>895</v>
      </c>
      <c r="S168" t="s">
        <v>203</v>
      </c>
      <c r="T168">
        <v>0</v>
      </c>
      <c r="U168">
        <v>52</v>
      </c>
      <c r="V168">
        <v>0</v>
      </c>
      <c r="W168">
        <v>0</v>
      </c>
      <c r="X168">
        <v>0</v>
      </c>
    </row>
    <row r="169" spans="1:24" x14ac:dyDescent="0.25">
      <c r="A169" t="s">
        <v>15</v>
      </c>
      <c r="B169" t="s">
        <v>24</v>
      </c>
      <c r="C169">
        <v>20150316</v>
      </c>
      <c r="D169">
        <v>0</v>
      </c>
      <c r="F169">
        <v>62500</v>
      </c>
      <c r="G169" t="s">
        <v>17</v>
      </c>
      <c r="I169" t="s">
        <v>16</v>
      </c>
      <c r="J169" t="s">
        <v>187</v>
      </c>
      <c r="K169" t="s">
        <v>25</v>
      </c>
      <c r="L169">
        <v>132757294</v>
      </c>
      <c r="R169">
        <v>894</v>
      </c>
      <c r="S169" t="s">
        <v>205</v>
      </c>
      <c r="T169">
        <v>0</v>
      </c>
      <c r="U169">
        <v>52</v>
      </c>
      <c r="V169">
        <v>0</v>
      </c>
      <c r="W169">
        <v>0</v>
      </c>
      <c r="X169">
        <v>0</v>
      </c>
    </row>
    <row r="170" spans="1:24" x14ac:dyDescent="0.25">
      <c r="A170" t="s">
        <v>15</v>
      </c>
      <c r="B170" t="s">
        <v>24</v>
      </c>
      <c r="C170">
        <v>20150316</v>
      </c>
      <c r="D170">
        <v>0</v>
      </c>
      <c r="F170">
        <v>62500</v>
      </c>
      <c r="G170" t="s">
        <v>17</v>
      </c>
      <c r="I170" t="s">
        <v>16</v>
      </c>
      <c r="J170" t="s">
        <v>187</v>
      </c>
      <c r="K170" t="s">
        <v>25</v>
      </c>
      <c r="L170">
        <v>132757294</v>
      </c>
      <c r="R170">
        <v>894</v>
      </c>
      <c r="S170" t="s">
        <v>206</v>
      </c>
      <c r="T170">
        <v>0</v>
      </c>
      <c r="U170">
        <v>52</v>
      </c>
      <c r="V170">
        <v>0</v>
      </c>
      <c r="W170">
        <v>0</v>
      </c>
      <c r="X170">
        <v>0</v>
      </c>
    </row>
    <row r="171" spans="1:24" x14ac:dyDescent="0.25">
      <c r="A171" t="s">
        <v>15</v>
      </c>
      <c r="B171" t="s">
        <v>24</v>
      </c>
      <c r="C171">
        <v>20150316</v>
      </c>
      <c r="D171">
        <v>0</v>
      </c>
      <c r="F171">
        <v>62500</v>
      </c>
      <c r="G171" t="s">
        <v>17</v>
      </c>
      <c r="I171" t="s">
        <v>16</v>
      </c>
      <c r="J171" t="s">
        <v>187</v>
      </c>
      <c r="K171" t="s">
        <v>25</v>
      </c>
      <c r="L171">
        <v>132757294</v>
      </c>
      <c r="R171">
        <v>895</v>
      </c>
      <c r="S171" t="s">
        <v>204</v>
      </c>
      <c r="T171">
        <v>0</v>
      </c>
      <c r="U171">
        <v>52</v>
      </c>
      <c r="V171">
        <v>0</v>
      </c>
      <c r="W171">
        <v>0</v>
      </c>
      <c r="X171">
        <v>0</v>
      </c>
    </row>
    <row r="172" spans="1:24" x14ac:dyDescent="0.25">
      <c r="A172" t="s">
        <v>15</v>
      </c>
      <c r="B172" t="s">
        <v>24</v>
      </c>
      <c r="C172">
        <v>20150316</v>
      </c>
      <c r="D172">
        <v>0</v>
      </c>
      <c r="F172">
        <v>62500</v>
      </c>
      <c r="G172" t="s">
        <v>17</v>
      </c>
      <c r="I172" t="s">
        <v>16</v>
      </c>
      <c r="J172" t="s">
        <v>187</v>
      </c>
      <c r="K172" t="s">
        <v>25</v>
      </c>
      <c r="L172">
        <v>132757294</v>
      </c>
      <c r="R172">
        <v>895</v>
      </c>
      <c r="S172" t="s">
        <v>204</v>
      </c>
      <c r="T172">
        <v>0</v>
      </c>
      <c r="U172">
        <v>52</v>
      </c>
      <c r="V172">
        <v>0</v>
      </c>
      <c r="W172">
        <v>0</v>
      </c>
      <c r="X172">
        <v>0</v>
      </c>
    </row>
    <row r="173" spans="1:24" x14ac:dyDescent="0.25">
      <c r="A173" t="s">
        <v>15</v>
      </c>
      <c r="B173" t="s">
        <v>24</v>
      </c>
      <c r="C173">
        <v>20150316</v>
      </c>
      <c r="D173">
        <v>0</v>
      </c>
      <c r="F173">
        <v>62500</v>
      </c>
      <c r="G173" t="s">
        <v>17</v>
      </c>
      <c r="I173" t="s">
        <v>16</v>
      </c>
      <c r="J173" t="s">
        <v>187</v>
      </c>
      <c r="K173" t="s">
        <v>25</v>
      </c>
      <c r="L173">
        <v>132757294</v>
      </c>
      <c r="R173">
        <v>896</v>
      </c>
      <c r="S173" t="s">
        <v>203</v>
      </c>
      <c r="T173">
        <v>0</v>
      </c>
      <c r="U173">
        <v>51</v>
      </c>
      <c r="V173">
        <v>0</v>
      </c>
      <c r="W173">
        <v>0</v>
      </c>
      <c r="X173">
        <v>0</v>
      </c>
    </row>
    <row r="174" spans="1:24" x14ac:dyDescent="0.25">
      <c r="A174" t="s">
        <v>15</v>
      </c>
      <c r="B174" t="s">
        <v>24</v>
      </c>
      <c r="C174">
        <v>20150316</v>
      </c>
      <c r="D174">
        <v>0</v>
      </c>
      <c r="F174">
        <v>62500</v>
      </c>
      <c r="G174" t="s">
        <v>17</v>
      </c>
      <c r="I174" t="s">
        <v>16</v>
      </c>
      <c r="J174" t="s">
        <v>187</v>
      </c>
      <c r="K174" t="s">
        <v>25</v>
      </c>
      <c r="L174">
        <v>132757294</v>
      </c>
      <c r="R174">
        <v>895</v>
      </c>
      <c r="S174" t="s">
        <v>205</v>
      </c>
      <c r="T174">
        <v>0</v>
      </c>
      <c r="U174">
        <v>52</v>
      </c>
      <c r="V174">
        <v>0</v>
      </c>
      <c r="W174">
        <v>0</v>
      </c>
      <c r="X174">
        <v>0</v>
      </c>
    </row>
    <row r="175" spans="1:24" x14ac:dyDescent="0.25">
      <c r="A175" t="s">
        <v>15</v>
      </c>
      <c r="B175" t="s">
        <v>24</v>
      </c>
      <c r="C175">
        <v>20150316</v>
      </c>
      <c r="D175">
        <v>0</v>
      </c>
      <c r="F175">
        <v>62500</v>
      </c>
      <c r="G175" t="s">
        <v>17</v>
      </c>
      <c r="I175" t="s">
        <v>16</v>
      </c>
      <c r="J175" t="s">
        <v>187</v>
      </c>
      <c r="K175" t="s">
        <v>25</v>
      </c>
      <c r="L175">
        <v>132757294</v>
      </c>
      <c r="R175">
        <v>895</v>
      </c>
      <c r="S175" t="s">
        <v>206</v>
      </c>
      <c r="T175">
        <v>0</v>
      </c>
      <c r="U175">
        <v>52</v>
      </c>
      <c r="V175">
        <v>0</v>
      </c>
      <c r="W175">
        <v>0</v>
      </c>
      <c r="X175">
        <v>0</v>
      </c>
    </row>
    <row r="176" spans="1:24" x14ac:dyDescent="0.25">
      <c r="A176" t="s">
        <v>15</v>
      </c>
      <c r="B176" t="s">
        <v>24</v>
      </c>
      <c r="C176">
        <v>20150316</v>
      </c>
      <c r="D176">
        <v>0</v>
      </c>
      <c r="F176">
        <v>62500</v>
      </c>
      <c r="G176" t="s">
        <v>17</v>
      </c>
      <c r="I176" t="s">
        <v>16</v>
      </c>
      <c r="J176" t="s">
        <v>187</v>
      </c>
      <c r="K176" t="s">
        <v>25</v>
      </c>
      <c r="L176">
        <v>132757294</v>
      </c>
      <c r="R176">
        <v>896</v>
      </c>
      <c r="S176" t="s">
        <v>204</v>
      </c>
      <c r="T176">
        <v>0</v>
      </c>
      <c r="U176">
        <v>51</v>
      </c>
      <c r="V176">
        <v>0</v>
      </c>
      <c r="W176">
        <v>0</v>
      </c>
      <c r="X176">
        <v>0</v>
      </c>
    </row>
    <row r="177" spans="1:24" x14ac:dyDescent="0.25">
      <c r="A177" t="s">
        <v>15</v>
      </c>
      <c r="B177" t="s">
        <v>24</v>
      </c>
      <c r="C177">
        <v>20150316</v>
      </c>
      <c r="D177">
        <v>0</v>
      </c>
      <c r="F177">
        <v>62500</v>
      </c>
      <c r="G177" t="s">
        <v>17</v>
      </c>
      <c r="I177" t="s">
        <v>16</v>
      </c>
      <c r="J177" t="s">
        <v>187</v>
      </c>
      <c r="K177" t="s">
        <v>25</v>
      </c>
      <c r="L177">
        <v>132757294</v>
      </c>
      <c r="R177">
        <v>896</v>
      </c>
      <c r="S177" t="s">
        <v>204</v>
      </c>
      <c r="T177">
        <v>0</v>
      </c>
      <c r="U177">
        <v>51</v>
      </c>
      <c r="V177">
        <v>0</v>
      </c>
      <c r="W177">
        <v>0</v>
      </c>
      <c r="X177">
        <v>0</v>
      </c>
    </row>
    <row r="178" spans="1:24" x14ac:dyDescent="0.25">
      <c r="A178" t="s">
        <v>15</v>
      </c>
      <c r="B178" t="s">
        <v>24</v>
      </c>
      <c r="C178">
        <v>20150316</v>
      </c>
      <c r="D178">
        <v>0</v>
      </c>
      <c r="F178">
        <v>62500</v>
      </c>
      <c r="G178" t="s">
        <v>17</v>
      </c>
      <c r="I178" t="s">
        <v>16</v>
      </c>
      <c r="J178" t="s">
        <v>187</v>
      </c>
      <c r="K178" t="s">
        <v>25</v>
      </c>
      <c r="L178">
        <v>132757294</v>
      </c>
      <c r="R178">
        <v>897</v>
      </c>
      <c r="S178" t="s">
        <v>203</v>
      </c>
      <c r="T178">
        <v>0</v>
      </c>
      <c r="U178">
        <v>52</v>
      </c>
      <c r="V178">
        <v>0</v>
      </c>
      <c r="W178">
        <v>0</v>
      </c>
      <c r="X178">
        <v>0</v>
      </c>
    </row>
    <row r="179" spans="1:24" x14ac:dyDescent="0.25">
      <c r="A179" t="s">
        <v>15</v>
      </c>
      <c r="B179" t="s">
        <v>24</v>
      </c>
      <c r="C179">
        <v>20150316</v>
      </c>
      <c r="D179">
        <v>0</v>
      </c>
      <c r="F179">
        <v>62500</v>
      </c>
      <c r="G179" t="s">
        <v>17</v>
      </c>
      <c r="I179" t="s">
        <v>16</v>
      </c>
      <c r="J179" t="s">
        <v>187</v>
      </c>
      <c r="K179" t="s">
        <v>25</v>
      </c>
      <c r="L179">
        <v>132757294</v>
      </c>
      <c r="R179">
        <v>896</v>
      </c>
      <c r="S179" t="s">
        <v>205</v>
      </c>
      <c r="T179">
        <v>0</v>
      </c>
      <c r="U179">
        <v>51</v>
      </c>
      <c r="V179">
        <v>0</v>
      </c>
      <c r="W179">
        <v>0</v>
      </c>
      <c r="X179">
        <v>0</v>
      </c>
    </row>
    <row r="180" spans="1:24" x14ac:dyDescent="0.25">
      <c r="A180" t="s">
        <v>15</v>
      </c>
      <c r="B180" t="s">
        <v>24</v>
      </c>
      <c r="C180">
        <v>20150316</v>
      </c>
      <c r="D180">
        <v>0</v>
      </c>
      <c r="F180">
        <v>62500</v>
      </c>
      <c r="G180" t="s">
        <v>17</v>
      </c>
      <c r="I180" t="s">
        <v>16</v>
      </c>
      <c r="J180" t="s">
        <v>187</v>
      </c>
      <c r="K180" t="s">
        <v>25</v>
      </c>
      <c r="L180">
        <v>132757294</v>
      </c>
      <c r="R180">
        <v>896</v>
      </c>
      <c r="S180" t="s">
        <v>206</v>
      </c>
      <c r="T180">
        <v>0</v>
      </c>
      <c r="U180">
        <v>51</v>
      </c>
      <c r="V180">
        <v>0</v>
      </c>
      <c r="W180">
        <v>0</v>
      </c>
      <c r="X180">
        <v>0</v>
      </c>
    </row>
    <row r="181" spans="1:24" x14ac:dyDescent="0.25">
      <c r="A181" t="s">
        <v>15</v>
      </c>
      <c r="B181" t="s">
        <v>24</v>
      </c>
      <c r="C181">
        <v>20150316</v>
      </c>
      <c r="D181">
        <v>0</v>
      </c>
      <c r="F181">
        <v>62500</v>
      </c>
      <c r="G181" t="s">
        <v>17</v>
      </c>
      <c r="I181" t="s">
        <v>16</v>
      </c>
      <c r="J181" t="s">
        <v>187</v>
      </c>
      <c r="K181" t="s">
        <v>25</v>
      </c>
      <c r="L181">
        <v>132757294</v>
      </c>
      <c r="R181">
        <v>897</v>
      </c>
      <c r="S181" t="s">
        <v>204</v>
      </c>
      <c r="T181">
        <v>0</v>
      </c>
      <c r="U181">
        <v>52</v>
      </c>
      <c r="V181">
        <v>0</v>
      </c>
      <c r="W181">
        <v>0</v>
      </c>
      <c r="X181">
        <v>0</v>
      </c>
    </row>
    <row r="182" spans="1:24" x14ac:dyDescent="0.25">
      <c r="A182" t="s">
        <v>15</v>
      </c>
      <c r="B182" t="s">
        <v>24</v>
      </c>
      <c r="C182">
        <v>20150316</v>
      </c>
      <c r="D182">
        <v>0</v>
      </c>
      <c r="F182">
        <v>62500</v>
      </c>
      <c r="G182" t="s">
        <v>17</v>
      </c>
      <c r="I182" t="s">
        <v>16</v>
      </c>
      <c r="J182" t="s">
        <v>187</v>
      </c>
      <c r="K182" t="s">
        <v>25</v>
      </c>
      <c r="L182">
        <v>132757294</v>
      </c>
      <c r="R182">
        <v>897</v>
      </c>
      <c r="S182" t="s">
        <v>204</v>
      </c>
      <c r="T182">
        <v>0</v>
      </c>
      <c r="U182">
        <v>52</v>
      </c>
      <c r="V182">
        <v>0</v>
      </c>
      <c r="W182">
        <v>0</v>
      </c>
      <c r="X182">
        <v>0</v>
      </c>
    </row>
    <row r="183" spans="1:24" x14ac:dyDescent="0.25">
      <c r="A183" t="s">
        <v>15</v>
      </c>
      <c r="B183" t="s">
        <v>24</v>
      </c>
      <c r="C183">
        <v>20150316</v>
      </c>
      <c r="D183">
        <v>0</v>
      </c>
      <c r="F183">
        <v>62500</v>
      </c>
      <c r="G183" t="s">
        <v>17</v>
      </c>
      <c r="I183" t="s">
        <v>16</v>
      </c>
      <c r="J183" t="s">
        <v>187</v>
      </c>
      <c r="K183" t="s">
        <v>25</v>
      </c>
      <c r="L183">
        <v>132757294</v>
      </c>
      <c r="R183">
        <v>898</v>
      </c>
      <c r="S183" t="s">
        <v>203</v>
      </c>
      <c r="T183">
        <v>0</v>
      </c>
      <c r="U183">
        <v>52</v>
      </c>
      <c r="V183">
        <v>0</v>
      </c>
      <c r="W183">
        <v>0</v>
      </c>
      <c r="X183">
        <v>0</v>
      </c>
    </row>
    <row r="184" spans="1:24" x14ac:dyDescent="0.25">
      <c r="A184" t="s">
        <v>15</v>
      </c>
      <c r="B184" t="s">
        <v>24</v>
      </c>
      <c r="C184">
        <v>20150316</v>
      </c>
      <c r="D184">
        <v>0</v>
      </c>
      <c r="F184">
        <v>62500</v>
      </c>
      <c r="G184" t="s">
        <v>17</v>
      </c>
      <c r="I184" t="s">
        <v>16</v>
      </c>
      <c r="J184" t="s">
        <v>187</v>
      </c>
      <c r="K184" t="s">
        <v>25</v>
      </c>
      <c r="L184">
        <v>132757294</v>
      </c>
      <c r="R184">
        <v>897</v>
      </c>
      <c r="S184" t="s">
        <v>205</v>
      </c>
      <c r="T184">
        <v>0</v>
      </c>
      <c r="U184">
        <v>52</v>
      </c>
      <c r="V184">
        <v>0</v>
      </c>
      <c r="W184">
        <v>0</v>
      </c>
      <c r="X184">
        <v>0</v>
      </c>
    </row>
    <row r="185" spans="1:24" x14ac:dyDescent="0.25">
      <c r="A185" t="s">
        <v>15</v>
      </c>
      <c r="B185" t="s">
        <v>24</v>
      </c>
      <c r="C185">
        <v>20150316</v>
      </c>
      <c r="D185">
        <v>0</v>
      </c>
      <c r="F185">
        <v>62500</v>
      </c>
      <c r="G185" t="s">
        <v>17</v>
      </c>
      <c r="I185" t="s">
        <v>16</v>
      </c>
      <c r="J185" t="s">
        <v>187</v>
      </c>
      <c r="K185" t="s">
        <v>25</v>
      </c>
      <c r="L185">
        <v>132757294</v>
      </c>
      <c r="R185">
        <v>897</v>
      </c>
      <c r="S185" t="s">
        <v>206</v>
      </c>
      <c r="T185">
        <v>0</v>
      </c>
      <c r="U185">
        <v>52</v>
      </c>
      <c r="V185">
        <v>0</v>
      </c>
      <c r="W185">
        <v>0</v>
      </c>
      <c r="X185">
        <v>0</v>
      </c>
    </row>
    <row r="186" spans="1:24" x14ac:dyDescent="0.25">
      <c r="A186" t="s">
        <v>15</v>
      </c>
      <c r="B186" t="s">
        <v>24</v>
      </c>
      <c r="C186">
        <v>20150316</v>
      </c>
      <c r="D186">
        <v>0</v>
      </c>
      <c r="F186">
        <v>62500</v>
      </c>
      <c r="G186" t="s">
        <v>17</v>
      </c>
      <c r="I186" t="s">
        <v>16</v>
      </c>
      <c r="J186" t="s">
        <v>187</v>
      </c>
      <c r="K186" t="s">
        <v>25</v>
      </c>
      <c r="L186">
        <v>132757294</v>
      </c>
      <c r="R186">
        <v>898</v>
      </c>
      <c r="S186" t="s">
        <v>204</v>
      </c>
      <c r="T186">
        <v>0</v>
      </c>
      <c r="U186">
        <v>52</v>
      </c>
      <c r="V186">
        <v>0</v>
      </c>
      <c r="W186">
        <v>0</v>
      </c>
      <c r="X186">
        <v>0</v>
      </c>
    </row>
    <row r="187" spans="1:24" x14ac:dyDescent="0.25">
      <c r="A187" t="s">
        <v>15</v>
      </c>
      <c r="B187" t="s">
        <v>24</v>
      </c>
      <c r="C187">
        <v>20150316</v>
      </c>
      <c r="D187">
        <v>0</v>
      </c>
      <c r="F187">
        <v>62500</v>
      </c>
      <c r="G187" t="s">
        <v>17</v>
      </c>
      <c r="I187" t="s">
        <v>16</v>
      </c>
      <c r="J187" t="s">
        <v>187</v>
      </c>
      <c r="K187" t="s">
        <v>25</v>
      </c>
      <c r="L187">
        <v>132757294</v>
      </c>
      <c r="R187">
        <v>898</v>
      </c>
      <c r="S187" t="s">
        <v>204</v>
      </c>
      <c r="T187">
        <v>0</v>
      </c>
      <c r="U187">
        <v>52</v>
      </c>
      <c r="V187">
        <v>0</v>
      </c>
      <c r="W187">
        <v>0</v>
      </c>
      <c r="X187">
        <v>0</v>
      </c>
    </row>
    <row r="188" spans="1:24" x14ac:dyDescent="0.25">
      <c r="A188" t="s">
        <v>15</v>
      </c>
      <c r="B188" t="s">
        <v>24</v>
      </c>
      <c r="C188">
        <v>20150316</v>
      </c>
      <c r="D188">
        <v>0</v>
      </c>
      <c r="F188">
        <v>62500</v>
      </c>
      <c r="G188" t="s">
        <v>17</v>
      </c>
      <c r="I188" t="s">
        <v>16</v>
      </c>
      <c r="J188" t="s">
        <v>187</v>
      </c>
      <c r="K188" t="s">
        <v>25</v>
      </c>
      <c r="L188">
        <v>132757294</v>
      </c>
      <c r="R188">
        <v>899</v>
      </c>
      <c r="S188" t="s">
        <v>203</v>
      </c>
      <c r="T188">
        <v>0</v>
      </c>
      <c r="U188">
        <v>-51</v>
      </c>
      <c r="V188">
        <v>0</v>
      </c>
      <c r="W188">
        <v>0</v>
      </c>
      <c r="X188">
        <v>0</v>
      </c>
    </row>
    <row r="189" spans="1:24" x14ac:dyDescent="0.25">
      <c r="A189" t="s">
        <v>15</v>
      </c>
      <c r="B189" t="s">
        <v>24</v>
      </c>
      <c r="C189">
        <v>20150316</v>
      </c>
      <c r="D189">
        <v>0</v>
      </c>
      <c r="F189">
        <v>62500</v>
      </c>
      <c r="G189" t="s">
        <v>17</v>
      </c>
      <c r="I189" t="s">
        <v>16</v>
      </c>
      <c r="J189" t="s">
        <v>187</v>
      </c>
      <c r="K189" t="s">
        <v>25</v>
      </c>
      <c r="L189">
        <v>132757294</v>
      </c>
      <c r="R189">
        <v>893</v>
      </c>
      <c r="S189" t="s">
        <v>205</v>
      </c>
      <c r="T189">
        <v>0</v>
      </c>
      <c r="U189">
        <v>51</v>
      </c>
      <c r="V189">
        <v>0</v>
      </c>
      <c r="W189">
        <v>0</v>
      </c>
      <c r="X189">
        <v>0</v>
      </c>
    </row>
    <row r="190" spans="1:24" x14ac:dyDescent="0.25">
      <c r="A190" t="s">
        <v>15</v>
      </c>
      <c r="B190" t="s">
        <v>24</v>
      </c>
      <c r="C190">
        <v>20150316</v>
      </c>
      <c r="D190">
        <v>0</v>
      </c>
      <c r="F190">
        <v>62500</v>
      </c>
      <c r="G190" t="s">
        <v>17</v>
      </c>
      <c r="I190" t="s">
        <v>16</v>
      </c>
      <c r="J190" t="s">
        <v>187</v>
      </c>
      <c r="K190" t="s">
        <v>25</v>
      </c>
      <c r="L190">
        <v>132757294</v>
      </c>
      <c r="R190">
        <v>893</v>
      </c>
      <c r="S190" t="s">
        <v>206</v>
      </c>
      <c r="T190">
        <v>0</v>
      </c>
      <c r="U190">
        <v>51</v>
      </c>
      <c r="V190">
        <v>0</v>
      </c>
      <c r="W190">
        <v>0</v>
      </c>
      <c r="X190">
        <v>0</v>
      </c>
    </row>
    <row r="191" spans="1:24" x14ac:dyDescent="0.25">
      <c r="A191" t="s">
        <v>15</v>
      </c>
      <c r="B191" t="s">
        <v>24</v>
      </c>
      <c r="C191">
        <v>20150316</v>
      </c>
      <c r="D191">
        <v>0</v>
      </c>
      <c r="F191">
        <v>62500</v>
      </c>
      <c r="G191" t="s">
        <v>17</v>
      </c>
      <c r="I191" t="s">
        <v>16</v>
      </c>
      <c r="J191" t="s">
        <v>187</v>
      </c>
      <c r="K191" t="s">
        <v>25</v>
      </c>
      <c r="L191">
        <v>132757294</v>
      </c>
      <c r="R191">
        <v>899</v>
      </c>
      <c r="S191" t="s">
        <v>204</v>
      </c>
      <c r="T191">
        <v>0</v>
      </c>
      <c r="U191">
        <v>51</v>
      </c>
      <c r="V191">
        <v>0</v>
      </c>
      <c r="W191">
        <v>0</v>
      </c>
      <c r="X191">
        <v>0</v>
      </c>
    </row>
    <row r="192" spans="1:24" x14ac:dyDescent="0.25">
      <c r="A192" t="s">
        <v>15</v>
      </c>
      <c r="B192" t="s">
        <v>24</v>
      </c>
      <c r="C192">
        <v>20150316</v>
      </c>
      <c r="D192">
        <v>0</v>
      </c>
      <c r="F192">
        <v>62500</v>
      </c>
      <c r="G192" t="s">
        <v>17</v>
      </c>
      <c r="I192" t="s">
        <v>16</v>
      </c>
      <c r="J192" t="s">
        <v>187</v>
      </c>
      <c r="K192" t="s">
        <v>25</v>
      </c>
      <c r="L192">
        <v>132757294</v>
      </c>
      <c r="R192">
        <v>899</v>
      </c>
      <c r="S192" t="s">
        <v>204</v>
      </c>
      <c r="T192">
        <v>0</v>
      </c>
      <c r="U192">
        <v>51</v>
      </c>
      <c r="V192">
        <v>0</v>
      </c>
      <c r="W192">
        <v>0</v>
      </c>
      <c r="X192">
        <v>0</v>
      </c>
    </row>
    <row r="193" spans="1:24" x14ac:dyDescent="0.25">
      <c r="A193" t="s">
        <v>15</v>
      </c>
      <c r="B193" t="s">
        <v>24</v>
      </c>
      <c r="C193">
        <v>20150316</v>
      </c>
      <c r="D193">
        <v>0</v>
      </c>
      <c r="F193">
        <v>62500</v>
      </c>
      <c r="G193" t="s">
        <v>17</v>
      </c>
      <c r="I193" t="s">
        <v>16</v>
      </c>
      <c r="J193" t="s">
        <v>187</v>
      </c>
      <c r="K193" t="s">
        <v>25</v>
      </c>
      <c r="L193">
        <v>132757294</v>
      </c>
      <c r="R193">
        <v>900</v>
      </c>
      <c r="S193" t="s">
        <v>203</v>
      </c>
      <c r="T193">
        <v>0</v>
      </c>
      <c r="U193">
        <v>51</v>
      </c>
      <c r="V193">
        <v>0</v>
      </c>
      <c r="W193">
        <v>0</v>
      </c>
      <c r="X193">
        <v>0</v>
      </c>
    </row>
    <row r="194" spans="1:24" x14ac:dyDescent="0.25">
      <c r="A194" t="s">
        <v>15</v>
      </c>
      <c r="B194" t="s">
        <v>24</v>
      </c>
      <c r="C194">
        <v>20150316</v>
      </c>
      <c r="D194">
        <v>0</v>
      </c>
      <c r="F194">
        <v>62500</v>
      </c>
      <c r="G194" t="s">
        <v>17</v>
      </c>
      <c r="I194" t="s">
        <v>16</v>
      </c>
      <c r="J194" t="s">
        <v>187</v>
      </c>
      <c r="K194" t="s">
        <v>25</v>
      </c>
      <c r="L194">
        <v>132757294</v>
      </c>
      <c r="R194">
        <v>898</v>
      </c>
      <c r="S194" t="s">
        <v>205</v>
      </c>
      <c r="T194">
        <v>0</v>
      </c>
      <c r="U194">
        <v>52</v>
      </c>
      <c r="V194">
        <v>0</v>
      </c>
      <c r="W194">
        <v>0</v>
      </c>
      <c r="X194">
        <v>0</v>
      </c>
    </row>
    <row r="195" spans="1:24" x14ac:dyDescent="0.25">
      <c r="A195" t="s">
        <v>15</v>
      </c>
      <c r="B195" t="s">
        <v>24</v>
      </c>
      <c r="C195">
        <v>20150316</v>
      </c>
      <c r="D195">
        <v>0</v>
      </c>
      <c r="F195">
        <v>62500</v>
      </c>
      <c r="G195" t="s">
        <v>17</v>
      </c>
      <c r="I195" t="s">
        <v>16</v>
      </c>
      <c r="J195" t="s">
        <v>187</v>
      </c>
      <c r="K195" t="s">
        <v>25</v>
      </c>
      <c r="L195">
        <v>132757294</v>
      </c>
      <c r="R195">
        <v>898</v>
      </c>
      <c r="S195" t="s">
        <v>206</v>
      </c>
      <c r="T195">
        <v>0</v>
      </c>
      <c r="U195">
        <v>52</v>
      </c>
      <c r="V195">
        <v>0</v>
      </c>
      <c r="W195">
        <v>0</v>
      </c>
      <c r="X195">
        <v>0</v>
      </c>
    </row>
    <row r="196" spans="1:24" x14ac:dyDescent="0.25">
      <c r="A196" t="s">
        <v>15</v>
      </c>
      <c r="B196" t="s">
        <v>24</v>
      </c>
      <c r="C196">
        <v>20150316</v>
      </c>
      <c r="D196">
        <v>0</v>
      </c>
      <c r="F196">
        <v>62500</v>
      </c>
      <c r="G196" t="s">
        <v>17</v>
      </c>
      <c r="I196" t="s">
        <v>16</v>
      </c>
      <c r="J196" t="s">
        <v>187</v>
      </c>
      <c r="K196" t="s">
        <v>25</v>
      </c>
      <c r="L196">
        <v>132757294</v>
      </c>
      <c r="R196">
        <v>900</v>
      </c>
      <c r="S196" t="s">
        <v>204</v>
      </c>
      <c r="T196">
        <v>0</v>
      </c>
      <c r="U196">
        <v>51</v>
      </c>
      <c r="V196">
        <v>0</v>
      </c>
      <c r="W196">
        <v>0</v>
      </c>
      <c r="X196">
        <v>0</v>
      </c>
    </row>
    <row r="197" spans="1:24" x14ac:dyDescent="0.25">
      <c r="A197" t="s">
        <v>15</v>
      </c>
      <c r="B197" t="s">
        <v>24</v>
      </c>
      <c r="C197">
        <v>20150316</v>
      </c>
      <c r="D197">
        <v>0</v>
      </c>
      <c r="F197">
        <v>62500</v>
      </c>
      <c r="G197" t="s">
        <v>17</v>
      </c>
      <c r="I197" t="s">
        <v>16</v>
      </c>
      <c r="J197" t="s">
        <v>187</v>
      </c>
      <c r="K197" t="s">
        <v>25</v>
      </c>
      <c r="L197">
        <v>132757294</v>
      </c>
      <c r="R197">
        <v>900</v>
      </c>
      <c r="S197" t="s">
        <v>204</v>
      </c>
      <c r="T197">
        <v>0</v>
      </c>
      <c r="U197">
        <v>51</v>
      </c>
      <c r="V197">
        <v>0</v>
      </c>
      <c r="W197">
        <v>0</v>
      </c>
      <c r="X197">
        <v>0</v>
      </c>
    </row>
    <row r="198" spans="1:24" x14ac:dyDescent="0.25">
      <c r="A198" t="s">
        <v>15</v>
      </c>
      <c r="B198" t="s">
        <v>24</v>
      </c>
      <c r="C198">
        <v>20150316</v>
      </c>
      <c r="D198">
        <v>0</v>
      </c>
      <c r="F198">
        <v>62500</v>
      </c>
      <c r="G198" t="s">
        <v>17</v>
      </c>
      <c r="I198" t="s">
        <v>16</v>
      </c>
      <c r="J198" t="s">
        <v>187</v>
      </c>
      <c r="K198" t="s">
        <v>25</v>
      </c>
      <c r="L198">
        <v>132757294</v>
      </c>
      <c r="R198">
        <v>901</v>
      </c>
      <c r="S198" t="s">
        <v>203</v>
      </c>
      <c r="T198">
        <v>0</v>
      </c>
      <c r="U198">
        <v>50</v>
      </c>
      <c r="V198">
        <v>0</v>
      </c>
      <c r="W198">
        <v>0</v>
      </c>
      <c r="X198">
        <v>0</v>
      </c>
    </row>
    <row r="199" spans="1:24" x14ac:dyDescent="0.25">
      <c r="A199" t="s">
        <v>15</v>
      </c>
      <c r="B199" t="s">
        <v>24</v>
      </c>
      <c r="C199">
        <v>20150316</v>
      </c>
      <c r="D199">
        <v>0</v>
      </c>
      <c r="F199">
        <v>62500</v>
      </c>
      <c r="G199" t="s">
        <v>17</v>
      </c>
      <c r="I199" t="s">
        <v>16</v>
      </c>
      <c r="J199" t="s">
        <v>187</v>
      </c>
      <c r="K199" t="s">
        <v>25</v>
      </c>
      <c r="L199">
        <v>132757294</v>
      </c>
      <c r="R199">
        <v>900</v>
      </c>
      <c r="S199" t="s">
        <v>205</v>
      </c>
      <c r="T199">
        <v>0</v>
      </c>
      <c r="U199">
        <v>51</v>
      </c>
      <c r="V199">
        <v>0</v>
      </c>
      <c r="W199">
        <v>0</v>
      </c>
      <c r="X199">
        <v>0</v>
      </c>
    </row>
    <row r="200" spans="1:24" x14ac:dyDescent="0.25">
      <c r="A200" t="s">
        <v>15</v>
      </c>
      <c r="B200" t="s">
        <v>24</v>
      </c>
      <c r="C200">
        <v>20150316</v>
      </c>
      <c r="D200">
        <v>0</v>
      </c>
      <c r="F200">
        <v>62500</v>
      </c>
      <c r="G200" t="s">
        <v>17</v>
      </c>
      <c r="I200" t="s">
        <v>16</v>
      </c>
      <c r="J200" t="s">
        <v>187</v>
      </c>
      <c r="K200" t="s">
        <v>25</v>
      </c>
      <c r="L200">
        <v>132757294</v>
      </c>
      <c r="R200">
        <v>900</v>
      </c>
      <c r="S200" t="s">
        <v>206</v>
      </c>
      <c r="T200">
        <v>0</v>
      </c>
      <c r="U200">
        <v>51</v>
      </c>
      <c r="V200">
        <v>0</v>
      </c>
      <c r="W200">
        <v>0</v>
      </c>
      <c r="X200">
        <v>0</v>
      </c>
    </row>
    <row r="201" spans="1:24" x14ac:dyDescent="0.25">
      <c r="A201" t="s">
        <v>15</v>
      </c>
      <c r="B201" t="s">
        <v>24</v>
      </c>
      <c r="C201">
        <v>20150316</v>
      </c>
      <c r="D201">
        <v>0</v>
      </c>
      <c r="F201">
        <v>62500</v>
      </c>
      <c r="G201" t="s">
        <v>17</v>
      </c>
      <c r="I201" t="s">
        <v>16</v>
      </c>
      <c r="J201" t="s">
        <v>187</v>
      </c>
      <c r="K201" t="s">
        <v>25</v>
      </c>
      <c r="L201">
        <v>132757294</v>
      </c>
      <c r="R201">
        <v>901</v>
      </c>
      <c r="S201" t="s">
        <v>204</v>
      </c>
      <c r="T201">
        <v>0</v>
      </c>
      <c r="U201">
        <v>50</v>
      </c>
      <c r="V201">
        <v>0</v>
      </c>
      <c r="W201">
        <v>0</v>
      </c>
      <c r="X201">
        <v>0</v>
      </c>
    </row>
    <row r="202" spans="1:24" x14ac:dyDescent="0.25">
      <c r="A202" t="s">
        <v>15</v>
      </c>
      <c r="B202" t="s">
        <v>24</v>
      </c>
      <c r="C202">
        <v>20150316</v>
      </c>
      <c r="D202">
        <v>0</v>
      </c>
      <c r="F202">
        <v>62500</v>
      </c>
      <c r="G202" t="s">
        <v>17</v>
      </c>
      <c r="I202" t="s">
        <v>16</v>
      </c>
      <c r="J202" t="s">
        <v>187</v>
      </c>
      <c r="K202" t="s">
        <v>25</v>
      </c>
      <c r="L202">
        <v>132757294</v>
      </c>
      <c r="R202">
        <v>901</v>
      </c>
      <c r="S202" t="s">
        <v>204</v>
      </c>
      <c r="T202">
        <v>0</v>
      </c>
      <c r="U202">
        <v>50</v>
      </c>
      <c r="V202">
        <v>0</v>
      </c>
      <c r="W202">
        <v>0</v>
      </c>
      <c r="X202">
        <v>0</v>
      </c>
    </row>
    <row r="203" spans="1:24" x14ac:dyDescent="0.25">
      <c r="A203" t="s">
        <v>15</v>
      </c>
      <c r="B203" t="s">
        <v>24</v>
      </c>
      <c r="C203">
        <v>20150316</v>
      </c>
      <c r="D203">
        <v>0</v>
      </c>
      <c r="F203">
        <v>62500</v>
      </c>
      <c r="G203" t="s">
        <v>17</v>
      </c>
      <c r="I203" t="s">
        <v>16</v>
      </c>
      <c r="J203" t="s">
        <v>187</v>
      </c>
      <c r="K203" t="s">
        <v>25</v>
      </c>
      <c r="L203">
        <v>132757294</v>
      </c>
      <c r="R203">
        <v>902</v>
      </c>
      <c r="S203" t="s">
        <v>203</v>
      </c>
      <c r="T203">
        <v>0</v>
      </c>
      <c r="U203">
        <v>50</v>
      </c>
      <c r="V203">
        <v>0</v>
      </c>
      <c r="W203">
        <v>0</v>
      </c>
      <c r="X203">
        <v>0</v>
      </c>
    </row>
    <row r="204" spans="1:24" x14ac:dyDescent="0.25">
      <c r="A204" t="s">
        <v>15</v>
      </c>
      <c r="B204" t="s">
        <v>24</v>
      </c>
      <c r="C204">
        <v>20150316</v>
      </c>
      <c r="D204">
        <v>0</v>
      </c>
      <c r="F204">
        <v>62500</v>
      </c>
      <c r="G204" t="s">
        <v>17</v>
      </c>
      <c r="I204" t="s">
        <v>16</v>
      </c>
      <c r="J204" t="s">
        <v>187</v>
      </c>
      <c r="K204" t="s">
        <v>25</v>
      </c>
      <c r="L204">
        <v>132757294</v>
      </c>
      <c r="R204">
        <v>901</v>
      </c>
      <c r="S204" t="s">
        <v>205</v>
      </c>
      <c r="T204">
        <v>0</v>
      </c>
      <c r="U204">
        <v>50</v>
      </c>
      <c r="V204">
        <v>0</v>
      </c>
      <c r="W204">
        <v>0</v>
      </c>
      <c r="X204">
        <v>0</v>
      </c>
    </row>
    <row r="205" spans="1:24" x14ac:dyDescent="0.25">
      <c r="A205" t="s">
        <v>15</v>
      </c>
      <c r="B205" t="s">
        <v>24</v>
      </c>
      <c r="C205">
        <v>20150316</v>
      </c>
      <c r="D205">
        <v>0</v>
      </c>
      <c r="F205">
        <v>62500</v>
      </c>
      <c r="G205" t="s">
        <v>17</v>
      </c>
      <c r="I205" t="s">
        <v>16</v>
      </c>
      <c r="J205" t="s">
        <v>187</v>
      </c>
      <c r="K205" t="s">
        <v>25</v>
      </c>
      <c r="L205">
        <v>132757294</v>
      </c>
      <c r="R205">
        <v>901</v>
      </c>
      <c r="S205" t="s">
        <v>206</v>
      </c>
      <c r="T205">
        <v>0</v>
      </c>
      <c r="U205">
        <v>50</v>
      </c>
      <c r="V205">
        <v>0</v>
      </c>
      <c r="W205">
        <v>0</v>
      </c>
      <c r="X205">
        <v>0</v>
      </c>
    </row>
    <row r="206" spans="1:24" x14ac:dyDescent="0.25">
      <c r="A206" t="s">
        <v>15</v>
      </c>
      <c r="B206" t="s">
        <v>24</v>
      </c>
      <c r="C206">
        <v>20150316</v>
      </c>
      <c r="D206">
        <v>0</v>
      </c>
      <c r="F206">
        <v>62500</v>
      </c>
      <c r="G206" t="s">
        <v>17</v>
      </c>
      <c r="I206" t="s">
        <v>16</v>
      </c>
      <c r="J206" t="s">
        <v>187</v>
      </c>
      <c r="K206" t="s">
        <v>25</v>
      </c>
      <c r="L206">
        <v>132757294</v>
      </c>
      <c r="R206">
        <v>902</v>
      </c>
      <c r="S206" t="s">
        <v>204</v>
      </c>
      <c r="T206">
        <v>0</v>
      </c>
      <c r="U206">
        <v>50</v>
      </c>
      <c r="V206">
        <v>0</v>
      </c>
      <c r="W206">
        <v>0</v>
      </c>
      <c r="X206">
        <v>0</v>
      </c>
    </row>
    <row r="207" spans="1:24" x14ac:dyDescent="0.25">
      <c r="A207" t="s">
        <v>15</v>
      </c>
      <c r="B207" t="s">
        <v>24</v>
      </c>
      <c r="C207">
        <v>20150316</v>
      </c>
      <c r="D207">
        <v>0</v>
      </c>
      <c r="F207">
        <v>62500</v>
      </c>
      <c r="G207" t="s">
        <v>17</v>
      </c>
      <c r="I207" t="s">
        <v>16</v>
      </c>
      <c r="J207" t="s">
        <v>187</v>
      </c>
      <c r="K207" t="s">
        <v>25</v>
      </c>
      <c r="L207">
        <v>132757294</v>
      </c>
      <c r="R207">
        <v>902</v>
      </c>
      <c r="S207" t="s">
        <v>204</v>
      </c>
      <c r="T207">
        <v>0</v>
      </c>
      <c r="U207">
        <v>50</v>
      </c>
      <c r="V207">
        <v>0</v>
      </c>
      <c r="W207">
        <v>0</v>
      </c>
      <c r="X207">
        <v>0</v>
      </c>
    </row>
    <row r="208" spans="1:24" x14ac:dyDescent="0.25">
      <c r="A208" t="s">
        <v>15</v>
      </c>
      <c r="B208" t="s">
        <v>24</v>
      </c>
      <c r="C208">
        <v>20150316</v>
      </c>
      <c r="D208">
        <v>0</v>
      </c>
      <c r="F208">
        <v>62500</v>
      </c>
      <c r="G208" t="s">
        <v>17</v>
      </c>
      <c r="I208" t="s">
        <v>16</v>
      </c>
      <c r="J208" t="s">
        <v>187</v>
      </c>
      <c r="K208" t="s">
        <v>25</v>
      </c>
      <c r="L208">
        <v>132757294</v>
      </c>
      <c r="R208">
        <v>903</v>
      </c>
      <c r="S208" t="s">
        <v>203</v>
      </c>
      <c r="T208">
        <v>0</v>
      </c>
      <c r="U208">
        <v>50</v>
      </c>
      <c r="V208">
        <v>0</v>
      </c>
      <c r="W208">
        <v>0</v>
      </c>
      <c r="X208">
        <v>0</v>
      </c>
    </row>
    <row r="209" spans="1:24" x14ac:dyDescent="0.25">
      <c r="A209" t="s">
        <v>15</v>
      </c>
      <c r="B209" t="s">
        <v>24</v>
      </c>
      <c r="C209">
        <v>20150316</v>
      </c>
      <c r="D209">
        <v>0</v>
      </c>
      <c r="F209">
        <v>62500</v>
      </c>
      <c r="G209" t="s">
        <v>17</v>
      </c>
      <c r="I209" t="s">
        <v>16</v>
      </c>
      <c r="J209" t="s">
        <v>187</v>
      </c>
      <c r="K209" t="s">
        <v>25</v>
      </c>
      <c r="L209">
        <v>132757294</v>
      </c>
      <c r="R209">
        <v>902</v>
      </c>
      <c r="S209" t="s">
        <v>205</v>
      </c>
      <c r="T209">
        <v>0</v>
      </c>
      <c r="U209">
        <v>50</v>
      </c>
      <c r="V209">
        <v>0</v>
      </c>
      <c r="W209">
        <v>0</v>
      </c>
      <c r="X209">
        <v>0</v>
      </c>
    </row>
    <row r="210" spans="1:24" x14ac:dyDescent="0.25">
      <c r="A210" t="s">
        <v>15</v>
      </c>
      <c r="B210" t="s">
        <v>24</v>
      </c>
      <c r="C210">
        <v>20150316</v>
      </c>
      <c r="D210">
        <v>0</v>
      </c>
      <c r="F210">
        <v>62500</v>
      </c>
      <c r="G210" t="s">
        <v>17</v>
      </c>
      <c r="I210" t="s">
        <v>16</v>
      </c>
      <c r="J210" t="s">
        <v>187</v>
      </c>
      <c r="K210" t="s">
        <v>25</v>
      </c>
      <c r="L210">
        <v>132757294</v>
      </c>
      <c r="R210">
        <v>902</v>
      </c>
      <c r="S210" t="s">
        <v>206</v>
      </c>
      <c r="T210">
        <v>0</v>
      </c>
      <c r="U210">
        <v>50</v>
      </c>
      <c r="V210">
        <v>0</v>
      </c>
      <c r="W210">
        <v>0</v>
      </c>
      <c r="X210">
        <v>0</v>
      </c>
    </row>
    <row r="211" spans="1:24" x14ac:dyDescent="0.25">
      <c r="A211" t="s">
        <v>15</v>
      </c>
      <c r="B211" t="s">
        <v>24</v>
      </c>
      <c r="C211">
        <v>20150316</v>
      </c>
      <c r="D211">
        <v>0</v>
      </c>
      <c r="F211">
        <v>62500</v>
      </c>
      <c r="G211" t="s">
        <v>17</v>
      </c>
      <c r="I211" t="s">
        <v>16</v>
      </c>
      <c r="J211" t="s">
        <v>187</v>
      </c>
      <c r="K211" t="s">
        <v>25</v>
      </c>
      <c r="L211">
        <v>132757294</v>
      </c>
      <c r="R211">
        <v>903</v>
      </c>
      <c r="S211" t="s">
        <v>204</v>
      </c>
      <c r="T211">
        <v>0</v>
      </c>
      <c r="U211">
        <v>50</v>
      </c>
      <c r="V211">
        <v>0</v>
      </c>
      <c r="W211">
        <v>0</v>
      </c>
      <c r="X211">
        <v>0</v>
      </c>
    </row>
    <row r="212" spans="1:24" x14ac:dyDescent="0.25">
      <c r="A212" t="s">
        <v>15</v>
      </c>
      <c r="B212" t="s">
        <v>24</v>
      </c>
      <c r="C212">
        <v>20150316</v>
      </c>
      <c r="D212">
        <v>0</v>
      </c>
      <c r="F212">
        <v>62500</v>
      </c>
      <c r="G212" t="s">
        <v>17</v>
      </c>
      <c r="I212" t="s">
        <v>16</v>
      </c>
      <c r="J212" t="s">
        <v>187</v>
      </c>
      <c r="K212" t="s">
        <v>25</v>
      </c>
      <c r="L212">
        <v>132757294</v>
      </c>
      <c r="R212">
        <v>903</v>
      </c>
      <c r="S212" t="s">
        <v>204</v>
      </c>
      <c r="T212">
        <v>0</v>
      </c>
      <c r="U212">
        <v>50</v>
      </c>
      <c r="V212">
        <v>0</v>
      </c>
      <c r="W212">
        <v>0</v>
      </c>
      <c r="X212">
        <v>0</v>
      </c>
    </row>
    <row r="213" spans="1:24" x14ac:dyDescent="0.25">
      <c r="A213" t="s">
        <v>15</v>
      </c>
      <c r="B213" t="s">
        <v>24</v>
      </c>
      <c r="C213">
        <v>20150316</v>
      </c>
      <c r="D213">
        <v>0</v>
      </c>
      <c r="F213">
        <v>62500</v>
      </c>
      <c r="G213" t="s">
        <v>17</v>
      </c>
      <c r="I213" t="s">
        <v>16</v>
      </c>
      <c r="J213" t="s">
        <v>187</v>
      </c>
      <c r="K213" t="s">
        <v>25</v>
      </c>
      <c r="L213">
        <v>132757294</v>
      </c>
      <c r="R213">
        <v>904</v>
      </c>
      <c r="S213" t="s">
        <v>203</v>
      </c>
      <c r="T213">
        <v>0</v>
      </c>
      <c r="U213">
        <v>51</v>
      </c>
      <c r="V213">
        <v>0</v>
      </c>
      <c r="W213">
        <v>0</v>
      </c>
      <c r="X213">
        <v>0</v>
      </c>
    </row>
    <row r="214" spans="1:24" x14ac:dyDescent="0.25">
      <c r="A214" t="s">
        <v>15</v>
      </c>
      <c r="B214" t="s">
        <v>24</v>
      </c>
      <c r="C214">
        <v>20150316</v>
      </c>
      <c r="D214">
        <v>0</v>
      </c>
      <c r="F214">
        <v>62500</v>
      </c>
      <c r="G214" t="s">
        <v>17</v>
      </c>
      <c r="I214" t="s">
        <v>16</v>
      </c>
      <c r="J214" t="s">
        <v>187</v>
      </c>
      <c r="K214" t="s">
        <v>25</v>
      </c>
      <c r="L214">
        <v>132757294</v>
      </c>
      <c r="R214">
        <v>903</v>
      </c>
      <c r="S214" t="s">
        <v>205</v>
      </c>
      <c r="T214">
        <v>0</v>
      </c>
      <c r="U214">
        <v>50</v>
      </c>
      <c r="V214">
        <v>0</v>
      </c>
      <c r="W214">
        <v>0</v>
      </c>
      <c r="X214">
        <v>0</v>
      </c>
    </row>
    <row r="215" spans="1:24" x14ac:dyDescent="0.25">
      <c r="A215" t="s">
        <v>15</v>
      </c>
      <c r="B215" t="s">
        <v>24</v>
      </c>
      <c r="C215">
        <v>20150316</v>
      </c>
      <c r="D215">
        <v>0</v>
      </c>
      <c r="F215">
        <v>62500</v>
      </c>
      <c r="G215" t="s">
        <v>17</v>
      </c>
      <c r="I215" t="s">
        <v>16</v>
      </c>
      <c r="J215" t="s">
        <v>187</v>
      </c>
      <c r="K215" t="s">
        <v>25</v>
      </c>
      <c r="L215">
        <v>132757294</v>
      </c>
      <c r="R215">
        <v>903</v>
      </c>
      <c r="S215" t="s">
        <v>206</v>
      </c>
      <c r="T215">
        <v>0</v>
      </c>
      <c r="U215">
        <v>50</v>
      </c>
      <c r="V215">
        <v>0</v>
      </c>
      <c r="W215">
        <v>0</v>
      </c>
      <c r="X215">
        <v>0</v>
      </c>
    </row>
    <row r="216" spans="1:24" x14ac:dyDescent="0.25">
      <c r="A216" t="s">
        <v>15</v>
      </c>
      <c r="B216" t="s">
        <v>24</v>
      </c>
      <c r="C216">
        <v>20150316</v>
      </c>
      <c r="D216">
        <v>0</v>
      </c>
      <c r="F216">
        <v>62500</v>
      </c>
      <c r="G216" t="s">
        <v>17</v>
      </c>
      <c r="I216" t="s">
        <v>16</v>
      </c>
      <c r="J216" t="s">
        <v>187</v>
      </c>
      <c r="K216" t="s">
        <v>25</v>
      </c>
      <c r="L216">
        <v>132757294</v>
      </c>
      <c r="R216">
        <v>904</v>
      </c>
      <c r="S216" t="s">
        <v>204</v>
      </c>
      <c r="T216">
        <v>0</v>
      </c>
      <c r="U216">
        <v>51</v>
      </c>
      <c r="V216">
        <v>0</v>
      </c>
      <c r="W216">
        <v>0</v>
      </c>
      <c r="X216">
        <v>0</v>
      </c>
    </row>
    <row r="217" spans="1:24" x14ac:dyDescent="0.25">
      <c r="A217" t="s">
        <v>15</v>
      </c>
      <c r="B217" t="s">
        <v>24</v>
      </c>
      <c r="C217">
        <v>20150316</v>
      </c>
      <c r="D217">
        <v>0</v>
      </c>
      <c r="F217">
        <v>62500</v>
      </c>
      <c r="G217" t="s">
        <v>17</v>
      </c>
      <c r="I217" t="s">
        <v>16</v>
      </c>
      <c r="J217" t="s">
        <v>187</v>
      </c>
      <c r="K217" t="s">
        <v>25</v>
      </c>
      <c r="L217">
        <v>132757294</v>
      </c>
      <c r="R217">
        <v>904</v>
      </c>
      <c r="S217" t="s">
        <v>204</v>
      </c>
      <c r="T217">
        <v>0</v>
      </c>
      <c r="U217">
        <v>51</v>
      </c>
      <c r="V217">
        <v>0</v>
      </c>
      <c r="W217">
        <v>0</v>
      </c>
      <c r="X217">
        <v>0</v>
      </c>
    </row>
    <row r="218" spans="1:24" x14ac:dyDescent="0.25">
      <c r="A218" t="s">
        <v>15</v>
      </c>
      <c r="B218" t="s">
        <v>24</v>
      </c>
      <c r="C218">
        <v>20150316</v>
      </c>
      <c r="D218">
        <v>0</v>
      </c>
      <c r="F218">
        <v>62500</v>
      </c>
      <c r="G218" t="s">
        <v>17</v>
      </c>
      <c r="I218" t="s">
        <v>16</v>
      </c>
      <c r="J218" t="s">
        <v>187</v>
      </c>
      <c r="K218" t="s">
        <v>25</v>
      </c>
      <c r="L218">
        <v>132757294</v>
      </c>
      <c r="R218">
        <v>905</v>
      </c>
      <c r="S218" t="s">
        <v>203</v>
      </c>
      <c r="T218">
        <v>0</v>
      </c>
      <c r="U218">
        <v>49</v>
      </c>
      <c r="V218">
        <v>0</v>
      </c>
      <c r="W218">
        <v>0</v>
      </c>
      <c r="X218">
        <v>0</v>
      </c>
    </row>
    <row r="219" spans="1:24" x14ac:dyDescent="0.25">
      <c r="A219" t="s">
        <v>15</v>
      </c>
      <c r="B219" t="s">
        <v>24</v>
      </c>
      <c r="C219">
        <v>20150316</v>
      </c>
      <c r="D219">
        <v>0</v>
      </c>
      <c r="F219">
        <v>62500</v>
      </c>
      <c r="G219" t="s">
        <v>17</v>
      </c>
      <c r="I219" t="s">
        <v>16</v>
      </c>
      <c r="J219" t="s">
        <v>187</v>
      </c>
      <c r="K219" t="s">
        <v>25</v>
      </c>
      <c r="L219">
        <v>132757294</v>
      </c>
      <c r="R219">
        <v>904</v>
      </c>
      <c r="S219" t="s">
        <v>205</v>
      </c>
      <c r="T219">
        <v>0</v>
      </c>
      <c r="U219">
        <v>51</v>
      </c>
      <c r="V219">
        <v>0</v>
      </c>
      <c r="W219">
        <v>0</v>
      </c>
      <c r="X219">
        <v>0</v>
      </c>
    </row>
    <row r="220" spans="1:24" x14ac:dyDescent="0.25">
      <c r="A220" t="s">
        <v>15</v>
      </c>
      <c r="B220" t="s">
        <v>24</v>
      </c>
      <c r="C220">
        <v>20150316</v>
      </c>
      <c r="D220">
        <v>0</v>
      </c>
      <c r="F220">
        <v>62500</v>
      </c>
      <c r="G220" t="s">
        <v>17</v>
      </c>
      <c r="I220" t="s">
        <v>16</v>
      </c>
      <c r="J220" t="s">
        <v>187</v>
      </c>
      <c r="K220" t="s">
        <v>25</v>
      </c>
      <c r="L220">
        <v>132757294</v>
      </c>
      <c r="R220">
        <v>904</v>
      </c>
      <c r="S220" t="s">
        <v>206</v>
      </c>
      <c r="T220">
        <v>0</v>
      </c>
      <c r="U220">
        <v>51</v>
      </c>
      <c r="V220">
        <v>0</v>
      </c>
      <c r="W220">
        <v>0</v>
      </c>
      <c r="X220">
        <v>0</v>
      </c>
    </row>
    <row r="221" spans="1:24" x14ac:dyDescent="0.25">
      <c r="A221" t="s">
        <v>15</v>
      </c>
      <c r="B221" t="s">
        <v>24</v>
      </c>
      <c r="C221">
        <v>20150316</v>
      </c>
      <c r="D221">
        <v>0</v>
      </c>
      <c r="F221">
        <v>62500</v>
      </c>
      <c r="G221" t="s">
        <v>17</v>
      </c>
      <c r="I221" t="s">
        <v>16</v>
      </c>
      <c r="J221" t="s">
        <v>187</v>
      </c>
      <c r="K221" t="s">
        <v>25</v>
      </c>
      <c r="L221">
        <v>132757294</v>
      </c>
      <c r="R221">
        <v>905</v>
      </c>
      <c r="S221" t="s">
        <v>204</v>
      </c>
      <c r="T221">
        <v>0</v>
      </c>
      <c r="U221">
        <v>49</v>
      </c>
      <c r="V221">
        <v>0</v>
      </c>
      <c r="W221">
        <v>0</v>
      </c>
      <c r="X221">
        <v>0</v>
      </c>
    </row>
    <row r="222" spans="1:24" x14ac:dyDescent="0.25">
      <c r="A222" t="s">
        <v>15</v>
      </c>
      <c r="B222" t="s">
        <v>24</v>
      </c>
      <c r="C222">
        <v>20150316</v>
      </c>
      <c r="D222">
        <v>0</v>
      </c>
      <c r="F222">
        <v>62500</v>
      </c>
      <c r="G222" t="s">
        <v>17</v>
      </c>
      <c r="I222" t="s">
        <v>16</v>
      </c>
      <c r="J222" t="s">
        <v>187</v>
      </c>
      <c r="K222" t="s">
        <v>25</v>
      </c>
      <c r="L222">
        <v>132757294</v>
      </c>
      <c r="R222">
        <v>899</v>
      </c>
      <c r="S222" t="s">
        <v>205</v>
      </c>
      <c r="T222">
        <v>0</v>
      </c>
      <c r="U222">
        <v>51</v>
      </c>
      <c r="V222">
        <v>0</v>
      </c>
      <c r="W222">
        <v>0</v>
      </c>
      <c r="X222">
        <v>0</v>
      </c>
    </row>
    <row r="223" spans="1:24" x14ac:dyDescent="0.25">
      <c r="A223" t="s">
        <v>15</v>
      </c>
      <c r="B223" t="s">
        <v>24</v>
      </c>
      <c r="C223">
        <v>20150316</v>
      </c>
      <c r="D223">
        <v>0</v>
      </c>
      <c r="F223">
        <v>62500</v>
      </c>
      <c r="G223" t="s">
        <v>17</v>
      </c>
      <c r="I223" t="s">
        <v>16</v>
      </c>
      <c r="J223" t="s">
        <v>187</v>
      </c>
      <c r="K223" t="s">
        <v>25</v>
      </c>
      <c r="L223">
        <v>132757294</v>
      </c>
      <c r="R223">
        <v>899</v>
      </c>
      <c r="S223" t="s">
        <v>206</v>
      </c>
      <c r="T223">
        <v>0</v>
      </c>
      <c r="U223">
        <v>51</v>
      </c>
      <c r="V223">
        <v>0</v>
      </c>
      <c r="W223">
        <v>0</v>
      </c>
      <c r="X223">
        <v>0</v>
      </c>
    </row>
    <row r="224" spans="1:24" x14ac:dyDescent="0.25">
      <c r="A224" t="s">
        <v>15</v>
      </c>
      <c r="B224" t="s">
        <v>24</v>
      </c>
      <c r="C224">
        <v>20150316</v>
      </c>
      <c r="D224">
        <v>0</v>
      </c>
      <c r="F224">
        <v>62500</v>
      </c>
      <c r="G224" t="s">
        <v>17</v>
      </c>
      <c r="I224" t="s">
        <v>16</v>
      </c>
      <c r="J224" t="s">
        <v>187</v>
      </c>
      <c r="K224" t="s">
        <v>25</v>
      </c>
      <c r="L224">
        <v>132757294</v>
      </c>
      <c r="R224">
        <v>905</v>
      </c>
      <c r="S224" t="s">
        <v>204</v>
      </c>
      <c r="T224">
        <v>0</v>
      </c>
      <c r="U224">
        <v>49</v>
      </c>
      <c r="V224">
        <v>0</v>
      </c>
      <c r="W224">
        <v>0</v>
      </c>
      <c r="X224">
        <v>0</v>
      </c>
    </row>
    <row r="225" spans="1:24" x14ac:dyDescent="0.25">
      <c r="A225" t="s">
        <v>15</v>
      </c>
      <c r="B225" t="s">
        <v>24</v>
      </c>
      <c r="C225">
        <v>20150316</v>
      </c>
      <c r="D225">
        <v>0</v>
      </c>
      <c r="F225">
        <v>62500</v>
      </c>
      <c r="G225" t="s">
        <v>17</v>
      </c>
      <c r="I225" t="s">
        <v>16</v>
      </c>
      <c r="J225" t="s">
        <v>187</v>
      </c>
      <c r="K225" t="s">
        <v>25</v>
      </c>
      <c r="L225">
        <v>132757294</v>
      </c>
      <c r="R225">
        <v>906</v>
      </c>
      <c r="S225" t="s">
        <v>203</v>
      </c>
      <c r="T225">
        <v>0</v>
      </c>
      <c r="U225">
        <v>-49</v>
      </c>
      <c r="V225">
        <v>0</v>
      </c>
      <c r="W225">
        <v>0</v>
      </c>
      <c r="X225">
        <v>0</v>
      </c>
    </row>
    <row r="226" spans="1:24" x14ac:dyDescent="0.25">
      <c r="A226" t="s">
        <v>15</v>
      </c>
      <c r="B226" t="s">
        <v>24</v>
      </c>
      <c r="C226">
        <v>20150316</v>
      </c>
      <c r="D226">
        <v>0</v>
      </c>
      <c r="F226">
        <v>62500</v>
      </c>
      <c r="G226" t="s">
        <v>17</v>
      </c>
      <c r="I226" t="s">
        <v>16</v>
      </c>
      <c r="J226" t="s">
        <v>187</v>
      </c>
      <c r="K226" t="s">
        <v>25</v>
      </c>
      <c r="L226">
        <v>132757294</v>
      </c>
      <c r="R226">
        <v>906</v>
      </c>
      <c r="S226" t="s">
        <v>204</v>
      </c>
      <c r="T226">
        <v>0</v>
      </c>
      <c r="U226">
        <v>49</v>
      </c>
      <c r="V226">
        <v>0</v>
      </c>
      <c r="W226">
        <v>0</v>
      </c>
      <c r="X226">
        <v>0</v>
      </c>
    </row>
    <row r="227" spans="1:24" x14ac:dyDescent="0.25">
      <c r="A227" t="s">
        <v>15</v>
      </c>
      <c r="B227" t="s">
        <v>24</v>
      </c>
      <c r="C227">
        <v>20150316</v>
      </c>
      <c r="D227">
        <v>0</v>
      </c>
      <c r="F227">
        <v>62500</v>
      </c>
      <c r="G227" t="s">
        <v>17</v>
      </c>
      <c r="I227" t="s">
        <v>16</v>
      </c>
      <c r="J227" t="s">
        <v>187</v>
      </c>
      <c r="K227" t="s">
        <v>25</v>
      </c>
      <c r="L227">
        <v>132757294</v>
      </c>
      <c r="R227">
        <v>906</v>
      </c>
      <c r="S227" t="s">
        <v>204</v>
      </c>
      <c r="T227">
        <v>0</v>
      </c>
      <c r="U227">
        <v>49</v>
      </c>
      <c r="V227">
        <v>0</v>
      </c>
      <c r="W227">
        <v>0</v>
      </c>
      <c r="X227">
        <v>0</v>
      </c>
    </row>
    <row r="228" spans="1:24" x14ac:dyDescent="0.25">
      <c r="A228" t="s">
        <v>15</v>
      </c>
      <c r="B228" t="s">
        <v>24</v>
      </c>
      <c r="C228">
        <v>20150316</v>
      </c>
      <c r="D228">
        <v>0</v>
      </c>
      <c r="F228">
        <v>62500</v>
      </c>
      <c r="G228" t="s">
        <v>17</v>
      </c>
      <c r="I228" t="s">
        <v>16</v>
      </c>
      <c r="J228" t="s">
        <v>187</v>
      </c>
      <c r="K228" t="s">
        <v>25</v>
      </c>
      <c r="L228">
        <v>132757294</v>
      </c>
      <c r="R228">
        <v>907</v>
      </c>
      <c r="S228" t="s">
        <v>203</v>
      </c>
      <c r="T228">
        <v>0</v>
      </c>
      <c r="U228">
        <v>48</v>
      </c>
      <c r="V228">
        <v>0</v>
      </c>
      <c r="W228">
        <v>0</v>
      </c>
      <c r="X228">
        <v>0</v>
      </c>
    </row>
    <row r="229" spans="1:24" x14ac:dyDescent="0.25">
      <c r="A229" t="s">
        <v>15</v>
      </c>
      <c r="B229" t="s">
        <v>24</v>
      </c>
      <c r="C229">
        <v>20150316</v>
      </c>
      <c r="D229">
        <v>0</v>
      </c>
      <c r="F229">
        <v>62500</v>
      </c>
      <c r="G229" t="s">
        <v>17</v>
      </c>
      <c r="I229" t="s">
        <v>16</v>
      </c>
      <c r="J229" t="s">
        <v>187</v>
      </c>
      <c r="K229" t="s">
        <v>25</v>
      </c>
      <c r="L229">
        <v>132757294</v>
      </c>
      <c r="R229">
        <v>905</v>
      </c>
      <c r="S229" t="s">
        <v>205</v>
      </c>
      <c r="T229">
        <v>0</v>
      </c>
      <c r="U229">
        <v>49</v>
      </c>
      <c r="V229">
        <v>0</v>
      </c>
      <c r="W229">
        <v>0</v>
      </c>
      <c r="X229">
        <v>0</v>
      </c>
    </row>
    <row r="230" spans="1:24" x14ac:dyDescent="0.25">
      <c r="A230" t="s">
        <v>15</v>
      </c>
      <c r="B230" t="s">
        <v>24</v>
      </c>
      <c r="C230">
        <v>20150316</v>
      </c>
      <c r="D230">
        <v>0</v>
      </c>
      <c r="F230">
        <v>62500</v>
      </c>
      <c r="G230" t="s">
        <v>17</v>
      </c>
      <c r="I230" t="s">
        <v>16</v>
      </c>
      <c r="J230" t="s">
        <v>187</v>
      </c>
      <c r="K230" t="s">
        <v>25</v>
      </c>
      <c r="L230">
        <v>132757294</v>
      </c>
      <c r="R230">
        <v>905</v>
      </c>
      <c r="S230" t="s">
        <v>206</v>
      </c>
      <c r="T230">
        <v>0</v>
      </c>
      <c r="U230">
        <v>49</v>
      </c>
      <c r="V230">
        <v>0</v>
      </c>
      <c r="W230">
        <v>0</v>
      </c>
      <c r="X230">
        <v>0</v>
      </c>
    </row>
    <row r="231" spans="1:24" x14ac:dyDescent="0.25">
      <c r="A231" t="s">
        <v>15</v>
      </c>
      <c r="B231" t="s">
        <v>24</v>
      </c>
      <c r="C231">
        <v>20150316</v>
      </c>
      <c r="D231">
        <v>0</v>
      </c>
      <c r="F231">
        <v>62500</v>
      </c>
      <c r="G231" t="s">
        <v>17</v>
      </c>
      <c r="I231" t="s">
        <v>16</v>
      </c>
      <c r="J231" t="s">
        <v>187</v>
      </c>
      <c r="K231" t="s">
        <v>25</v>
      </c>
      <c r="L231">
        <v>132757294</v>
      </c>
      <c r="R231">
        <v>907</v>
      </c>
      <c r="S231" t="s">
        <v>204</v>
      </c>
      <c r="T231">
        <v>0</v>
      </c>
      <c r="U231">
        <v>48</v>
      </c>
      <c r="V231">
        <v>0</v>
      </c>
      <c r="W231">
        <v>0</v>
      </c>
      <c r="X231">
        <v>0</v>
      </c>
    </row>
    <row r="232" spans="1:24" x14ac:dyDescent="0.25">
      <c r="A232" t="s">
        <v>15</v>
      </c>
      <c r="B232" t="s">
        <v>24</v>
      </c>
      <c r="C232">
        <v>20150316</v>
      </c>
      <c r="D232">
        <v>0</v>
      </c>
      <c r="F232">
        <v>62500</v>
      </c>
      <c r="G232" t="s">
        <v>17</v>
      </c>
      <c r="I232" t="s">
        <v>16</v>
      </c>
      <c r="J232" t="s">
        <v>187</v>
      </c>
      <c r="K232" t="s">
        <v>25</v>
      </c>
      <c r="L232">
        <v>132757294</v>
      </c>
      <c r="R232">
        <v>907</v>
      </c>
      <c r="S232" t="s">
        <v>204</v>
      </c>
      <c r="T232">
        <v>0</v>
      </c>
      <c r="U232">
        <v>48</v>
      </c>
      <c r="V232">
        <v>0</v>
      </c>
      <c r="W232">
        <v>0</v>
      </c>
      <c r="X232">
        <v>0</v>
      </c>
    </row>
    <row r="233" spans="1:24" x14ac:dyDescent="0.25">
      <c r="A233" t="s">
        <v>15</v>
      </c>
      <c r="B233" t="s">
        <v>24</v>
      </c>
      <c r="C233">
        <v>20150316</v>
      </c>
      <c r="D233">
        <v>0</v>
      </c>
      <c r="F233">
        <v>62500</v>
      </c>
      <c r="G233" t="s">
        <v>17</v>
      </c>
      <c r="I233" t="s">
        <v>16</v>
      </c>
      <c r="J233" t="s">
        <v>187</v>
      </c>
      <c r="K233" t="s">
        <v>25</v>
      </c>
      <c r="L233">
        <v>132757294</v>
      </c>
      <c r="R233">
        <v>908</v>
      </c>
      <c r="S233" t="s">
        <v>203</v>
      </c>
      <c r="T233">
        <v>0</v>
      </c>
      <c r="U233">
        <v>49</v>
      </c>
      <c r="V233">
        <v>0</v>
      </c>
      <c r="W233">
        <v>0</v>
      </c>
      <c r="X233">
        <v>0</v>
      </c>
    </row>
    <row r="234" spans="1:24" x14ac:dyDescent="0.25">
      <c r="A234" t="s">
        <v>15</v>
      </c>
      <c r="B234" t="s">
        <v>24</v>
      </c>
      <c r="C234">
        <v>20150316</v>
      </c>
      <c r="D234">
        <v>0</v>
      </c>
      <c r="F234">
        <v>62500</v>
      </c>
      <c r="G234" t="s">
        <v>17</v>
      </c>
      <c r="I234" t="s">
        <v>16</v>
      </c>
      <c r="J234" t="s">
        <v>187</v>
      </c>
      <c r="K234" t="s">
        <v>25</v>
      </c>
      <c r="L234">
        <v>132757294</v>
      </c>
      <c r="R234">
        <v>907</v>
      </c>
      <c r="S234" t="s">
        <v>205</v>
      </c>
      <c r="T234">
        <v>0</v>
      </c>
      <c r="U234">
        <v>48</v>
      </c>
      <c r="V234">
        <v>0</v>
      </c>
      <c r="W234">
        <v>0</v>
      </c>
      <c r="X234">
        <v>0</v>
      </c>
    </row>
    <row r="235" spans="1:24" x14ac:dyDescent="0.25">
      <c r="A235" t="s">
        <v>15</v>
      </c>
      <c r="B235" t="s">
        <v>24</v>
      </c>
      <c r="C235">
        <v>20150316</v>
      </c>
      <c r="D235">
        <v>0</v>
      </c>
      <c r="F235">
        <v>62500</v>
      </c>
      <c r="G235" t="s">
        <v>17</v>
      </c>
      <c r="I235" t="s">
        <v>16</v>
      </c>
      <c r="J235" t="s">
        <v>187</v>
      </c>
      <c r="K235" t="s">
        <v>25</v>
      </c>
      <c r="L235">
        <v>132757294</v>
      </c>
      <c r="R235">
        <v>907</v>
      </c>
      <c r="S235" t="s">
        <v>206</v>
      </c>
      <c r="T235">
        <v>0</v>
      </c>
      <c r="U235">
        <v>48</v>
      </c>
      <c r="V235">
        <v>0</v>
      </c>
      <c r="W235">
        <v>0</v>
      </c>
      <c r="X235">
        <v>0</v>
      </c>
    </row>
    <row r="236" spans="1:24" x14ac:dyDescent="0.25">
      <c r="A236" t="s">
        <v>15</v>
      </c>
      <c r="B236" t="s">
        <v>24</v>
      </c>
      <c r="C236">
        <v>20150316</v>
      </c>
      <c r="D236">
        <v>0</v>
      </c>
      <c r="F236">
        <v>62500</v>
      </c>
      <c r="G236" t="s">
        <v>17</v>
      </c>
      <c r="I236" t="s">
        <v>16</v>
      </c>
      <c r="J236" t="s">
        <v>187</v>
      </c>
      <c r="K236" t="s">
        <v>25</v>
      </c>
      <c r="L236">
        <v>132757294</v>
      </c>
      <c r="R236">
        <v>908</v>
      </c>
      <c r="S236" t="s">
        <v>204</v>
      </c>
      <c r="T236">
        <v>0</v>
      </c>
      <c r="U236">
        <v>49</v>
      </c>
      <c r="V236">
        <v>0</v>
      </c>
      <c r="W236">
        <v>0</v>
      </c>
      <c r="X236">
        <v>0</v>
      </c>
    </row>
    <row r="237" spans="1:24" x14ac:dyDescent="0.25">
      <c r="A237" t="s">
        <v>15</v>
      </c>
      <c r="B237" t="s">
        <v>24</v>
      </c>
      <c r="C237">
        <v>20150316</v>
      </c>
      <c r="D237">
        <v>0</v>
      </c>
      <c r="F237">
        <v>62500</v>
      </c>
      <c r="G237" t="s">
        <v>17</v>
      </c>
      <c r="I237" t="s">
        <v>16</v>
      </c>
      <c r="J237" t="s">
        <v>187</v>
      </c>
      <c r="K237" t="s">
        <v>25</v>
      </c>
      <c r="L237">
        <v>132757294</v>
      </c>
      <c r="R237">
        <v>908</v>
      </c>
      <c r="S237" t="s">
        <v>204</v>
      </c>
      <c r="T237">
        <v>0</v>
      </c>
      <c r="U237">
        <v>49</v>
      </c>
      <c r="V237">
        <v>0</v>
      </c>
      <c r="W237">
        <v>0</v>
      </c>
      <c r="X237">
        <v>0</v>
      </c>
    </row>
    <row r="238" spans="1:24" x14ac:dyDescent="0.25">
      <c r="A238" t="s">
        <v>15</v>
      </c>
      <c r="B238" t="s">
        <v>24</v>
      </c>
      <c r="C238">
        <v>20150316</v>
      </c>
      <c r="D238">
        <v>0</v>
      </c>
      <c r="F238">
        <v>62500</v>
      </c>
      <c r="G238" t="s">
        <v>17</v>
      </c>
      <c r="I238" t="s">
        <v>16</v>
      </c>
      <c r="J238" t="s">
        <v>187</v>
      </c>
      <c r="K238" t="s">
        <v>25</v>
      </c>
      <c r="L238">
        <v>132757294</v>
      </c>
      <c r="R238">
        <v>909</v>
      </c>
      <c r="S238" t="s">
        <v>203</v>
      </c>
      <c r="T238">
        <v>0</v>
      </c>
      <c r="U238">
        <v>-48</v>
      </c>
      <c r="V238">
        <v>0</v>
      </c>
      <c r="W238">
        <v>0</v>
      </c>
      <c r="X238">
        <v>0</v>
      </c>
    </row>
    <row r="239" spans="1:24" x14ac:dyDescent="0.25">
      <c r="A239" t="s">
        <v>15</v>
      </c>
      <c r="B239" t="s">
        <v>24</v>
      </c>
      <c r="C239">
        <v>20150316</v>
      </c>
      <c r="D239">
        <v>0</v>
      </c>
      <c r="F239">
        <v>62500</v>
      </c>
      <c r="G239" t="s">
        <v>17</v>
      </c>
      <c r="I239" t="s">
        <v>16</v>
      </c>
      <c r="J239" t="s">
        <v>187</v>
      </c>
      <c r="K239" t="s">
        <v>25</v>
      </c>
      <c r="L239">
        <v>132757294</v>
      </c>
      <c r="R239">
        <v>906</v>
      </c>
      <c r="S239" t="s">
        <v>205</v>
      </c>
      <c r="T239">
        <v>0</v>
      </c>
      <c r="U239">
        <v>49</v>
      </c>
      <c r="V239">
        <v>0</v>
      </c>
      <c r="W239">
        <v>0</v>
      </c>
      <c r="X239">
        <v>0</v>
      </c>
    </row>
    <row r="240" spans="1:24" x14ac:dyDescent="0.25">
      <c r="A240" t="s">
        <v>15</v>
      </c>
      <c r="B240" t="s">
        <v>24</v>
      </c>
      <c r="C240">
        <v>20150316</v>
      </c>
      <c r="D240">
        <v>0</v>
      </c>
      <c r="F240">
        <v>62500</v>
      </c>
      <c r="G240" t="s">
        <v>17</v>
      </c>
      <c r="I240" t="s">
        <v>16</v>
      </c>
      <c r="J240" t="s">
        <v>187</v>
      </c>
      <c r="K240" t="s">
        <v>25</v>
      </c>
      <c r="L240">
        <v>132757294</v>
      </c>
      <c r="R240">
        <v>906</v>
      </c>
      <c r="S240" t="s">
        <v>206</v>
      </c>
      <c r="T240">
        <v>0</v>
      </c>
      <c r="U240">
        <v>49</v>
      </c>
      <c r="V240">
        <v>0</v>
      </c>
      <c r="W240">
        <v>0</v>
      </c>
      <c r="X240">
        <v>0</v>
      </c>
    </row>
    <row r="241" spans="1:24" x14ac:dyDescent="0.25">
      <c r="A241" t="s">
        <v>15</v>
      </c>
      <c r="B241" t="s">
        <v>24</v>
      </c>
      <c r="C241">
        <v>20150316</v>
      </c>
      <c r="D241">
        <v>0</v>
      </c>
      <c r="F241">
        <v>62500</v>
      </c>
      <c r="G241" t="s">
        <v>17</v>
      </c>
      <c r="I241" t="s">
        <v>16</v>
      </c>
      <c r="J241" t="s">
        <v>187</v>
      </c>
      <c r="K241" t="s">
        <v>25</v>
      </c>
      <c r="L241">
        <v>132757294</v>
      </c>
      <c r="R241">
        <v>909</v>
      </c>
      <c r="S241" t="s">
        <v>204</v>
      </c>
      <c r="T241">
        <v>0</v>
      </c>
      <c r="U241">
        <v>48</v>
      </c>
      <c r="V241">
        <v>0</v>
      </c>
      <c r="W241">
        <v>0</v>
      </c>
      <c r="X241">
        <v>0</v>
      </c>
    </row>
    <row r="242" spans="1:24" x14ac:dyDescent="0.25">
      <c r="A242" t="s">
        <v>15</v>
      </c>
      <c r="B242" t="s">
        <v>24</v>
      </c>
      <c r="C242">
        <v>20150316</v>
      </c>
      <c r="D242">
        <v>0</v>
      </c>
      <c r="F242">
        <v>62500</v>
      </c>
      <c r="G242" t="s">
        <v>17</v>
      </c>
      <c r="I242" t="s">
        <v>16</v>
      </c>
      <c r="J242" t="s">
        <v>187</v>
      </c>
      <c r="K242" t="s">
        <v>25</v>
      </c>
      <c r="L242">
        <v>132757294</v>
      </c>
      <c r="R242">
        <v>909</v>
      </c>
      <c r="S242" t="s">
        <v>204</v>
      </c>
      <c r="T242">
        <v>0</v>
      </c>
      <c r="U242">
        <v>48</v>
      </c>
      <c r="V242">
        <v>0</v>
      </c>
      <c r="W242">
        <v>0</v>
      </c>
      <c r="X242">
        <v>0</v>
      </c>
    </row>
    <row r="243" spans="1:24" x14ac:dyDescent="0.25">
      <c r="A243" t="s">
        <v>15</v>
      </c>
      <c r="B243" t="s">
        <v>24</v>
      </c>
      <c r="C243">
        <v>20150316</v>
      </c>
      <c r="D243">
        <v>0</v>
      </c>
      <c r="F243">
        <v>62500</v>
      </c>
      <c r="G243" t="s">
        <v>17</v>
      </c>
      <c r="I243" t="s">
        <v>16</v>
      </c>
      <c r="J243" t="s">
        <v>187</v>
      </c>
      <c r="K243" t="s">
        <v>25</v>
      </c>
      <c r="L243">
        <v>132757294</v>
      </c>
      <c r="R243">
        <v>910</v>
      </c>
      <c r="S243" t="s">
        <v>203</v>
      </c>
      <c r="T243">
        <v>0</v>
      </c>
      <c r="U243">
        <v>47</v>
      </c>
      <c r="V243">
        <v>0</v>
      </c>
      <c r="W243">
        <v>0</v>
      </c>
      <c r="X243">
        <v>0</v>
      </c>
    </row>
    <row r="244" spans="1:24" x14ac:dyDescent="0.25">
      <c r="A244" t="s">
        <v>15</v>
      </c>
      <c r="B244" t="s">
        <v>24</v>
      </c>
      <c r="C244">
        <v>20150316</v>
      </c>
      <c r="D244">
        <v>0</v>
      </c>
      <c r="F244">
        <v>62500</v>
      </c>
      <c r="G244" t="s">
        <v>17</v>
      </c>
      <c r="I244" t="s">
        <v>16</v>
      </c>
      <c r="J244" t="s">
        <v>187</v>
      </c>
      <c r="K244" t="s">
        <v>25</v>
      </c>
      <c r="L244">
        <v>132757294</v>
      </c>
      <c r="R244">
        <v>908</v>
      </c>
      <c r="S244" t="s">
        <v>205</v>
      </c>
      <c r="T244">
        <v>0</v>
      </c>
      <c r="U244">
        <v>49</v>
      </c>
      <c r="V244">
        <v>0</v>
      </c>
      <c r="W244">
        <v>0</v>
      </c>
      <c r="X244">
        <v>0</v>
      </c>
    </row>
    <row r="245" spans="1:24" x14ac:dyDescent="0.25">
      <c r="A245" t="s">
        <v>15</v>
      </c>
      <c r="B245" t="s">
        <v>24</v>
      </c>
      <c r="C245">
        <v>20150316</v>
      </c>
      <c r="D245">
        <v>0</v>
      </c>
      <c r="F245">
        <v>62500</v>
      </c>
      <c r="G245" t="s">
        <v>17</v>
      </c>
      <c r="I245" t="s">
        <v>16</v>
      </c>
      <c r="J245" t="s">
        <v>187</v>
      </c>
      <c r="K245" t="s">
        <v>25</v>
      </c>
      <c r="L245">
        <v>132757294</v>
      </c>
      <c r="R245">
        <v>908</v>
      </c>
      <c r="S245" t="s">
        <v>206</v>
      </c>
      <c r="T245">
        <v>0</v>
      </c>
      <c r="U245">
        <v>49</v>
      </c>
      <c r="V245">
        <v>0</v>
      </c>
      <c r="W245">
        <v>0</v>
      </c>
      <c r="X245">
        <v>0</v>
      </c>
    </row>
    <row r="246" spans="1:24" x14ac:dyDescent="0.25">
      <c r="A246" t="s">
        <v>15</v>
      </c>
      <c r="B246" t="s">
        <v>24</v>
      </c>
      <c r="C246">
        <v>20150316</v>
      </c>
      <c r="D246">
        <v>0</v>
      </c>
      <c r="F246">
        <v>62500</v>
      </c>
      <c r="G246" t="s">
        <v>17</v>
      </c>
      <c r="I246" t="s">
        <v>16</v>
      </c>
      <c r="J246" t="s">
        <v>187</v>
      </c>
      <c r="K246" t="s">
        <v>25</v>
      </c>
      <c r="L246">
        <v>132757294</v>
      </c>
      <c r="R246">
        <v>910</v>
      </c>
      <c r="S246" t="s">
        <v>204</v>
      </c>
      <c r="T246">
        <v>0</v>
      </c>
      <c r="U246">
        <v>47</v>
      </c>
      <c r="V246">
        <v>0</v>
      </c>
      <c r="W246">
        <v>0</v>
      </c>
      <c r="X246">
        <v>0</v>
      </c>
    </row>
    <row r="247" spans="1:24" x14ac:dyDescent="0.25">
      <c r="A247" t="s">
        <v>15</v>
      </c>
      <c r="B247" t="s">
        <v>24</v>
      </c>
      <c r="C247">
        <v>20150316</v>
      </c>
      <c r="D247">
        <v>0</v>
      </c>
      <c r="F247">
        <v>62500</v>
      </c>
      <c r="G247" t="s">
        <v>17</v>
      </c>
      <c r="I247" t="s">
        <v>16</v>
      </c>
      <c r="J247" t="s">
        <v>187</v>
      </c>
      <c r="K247" t="s">
        <v>25</v>
      </c>
      <c r="L247">
        <v>132757294</v>
      </c>
      <c r="R247">
        <v>910</v>
      </c>
      <c r="S247" t="s">
        <v>204</v>
      </c>
      <c r="T247">
        <v>0</v>
      </c>
      <c r="U247">
        <v>47</v>
      </c>
      <c r="V247">
        <v>0</v>
      </c>
      <c r="W247">
        <v>0</v>
      </c>
      <c r="X247">
        <v>0</v>
      </c>
    </row>
    <row r="248" spans="1:24" x14ac:dyDescent="0.25">
      <c r="A248" t="s">
        <v>15</v>
      </c>
      <c r="B248" t="s">
        <v>24</v>
      </c>
      <c r="C248">
        <v>20150316</v>
      </c>
      <c r="D248">
        <v>0</v>
      </c>
      <c r="F248">
        <v>62500</v>
      </c>
      <c r="G248" t="s">
        <v>17</v>
      </c>
      <c r="I248" t="s">
        <v>16</v>
      </c>
      <c r="J248" t="s">
        <v>187</v>
      </c>
      <c r="K248" t="s">
        <v>25</v>
      </c>
      <c r="L248">
        <v>132757294</v>
      </c>
      <c r="R248">
        <v>911</v>
      </c>
      <c r="S248" t="s">
        <v>203</v>
      </c>
      <c r="T248">
        <v>0</v>
      </c>
      <c r="U248">
        <v>48</v>
      </c>
      <c r="V248">
        <v>0</v>
      </c>
      <c r="W248">
        <v>0</v>
      </c>
      <c r="X248">
        <v>0</v>
      </c>
    </row>
    <row r="249" spans="1:24" x14ac:dyDescent="0.25">
      <c r="A249" t="s">
        <v>15</v>
      </c>
      <c r="B249" t="s">
        <v>24</v>
      </c>
      <c r="C249">
        <v>20150316</v>
      </c>
      <c r="D249">
        <v>0</v>
      </c>
      <c r="F249">
        <v>62500</v>
      </c>
      <c r="G249" t="s">
        <v>17</v>
      </c>
      <c r="I249" t="s">
        <v>16</v>
      </c>
      <c r="J249" t="s">
        <v>187</v>
      </c>
      <c r="K249" t="s">
        <v>25</v>
      </c>
      <c r="L249">
        <v>132757294</v>
      </c>
      <c r="R249">
        <v>910</v>
      </c>
      <c r="S249" t="s">
        <v>205</v>
      </c>
      <c r="T249">
        <v>0</v>
      </c>
      <c r="U249">
        <v>47</v>
      </c>
      <c r="V249">
        <v>0</v>
      </c>
      <c r="W249">
        <v>0</v>
      </c>
      <c r="X249">
        <v>0</v>
      </c>
    </row>
    <row r="250" spans="1:24" x14ac:dyDescent="0.25">
      <c r="A250" t="s">
        <v>15</v>
      </c>
      <c r="B250" t="s">
        <v>24</v>
      </c>
      <c r="C250">
        <v>20150316</v>
      </c>
      <c r="D250">
        <v>0</v>
      </c>
      <c r="F250">
        <v>62500</v>
      </c>
      <c r="G250" t="s">
        <v>17</v>
      </c>
      <c r="I250" t="s">
        <v>16</v>
      </c>
      <c r="J250" t="s">
        <v>187</v>
      </c>
      <c r="K250" t="s">
        <v>25</v>
      </c>
      <c r="L250">
        <v>132757294</v>
      </c>
      <c r="R250">
        <v>910</v>
      </c>
      <c r="S250" t="s">
        <v>206</v>
      </c>
      <c r="T250">
        <v>0</v>
      </c>
      <c r="U250">
        <v>47</v>
      </c>
      <c r="V250">
        <v>0</v>
      </c>
      <c r="W250">
        <v>0</v>
      </c>
      <c r="X250">
        <v>0</v>
      </c>
    </row>
    <row r="251" spans="1:24" x14ac:dyDescent="0.25">
      <c r="A251" t="s">
        <v>15</v>
      </c>
      <c r="B251" t="s">
        <v>24</v>
      </c>
      <c r="C251">
        <v>20150316</v>
      </c>
      <c r="D251">
        <v>0</v>
      </c>
      <c r="F251">
        <v>62500</v>
      </c>
      <c r="G251" t="s">
        <v>17</v>
      </c>
      <c r="I251" t="s">
        <v>16</v>
      </c>
      <c r="J251" t="s">
        <v>187</v>
      </c>
      <c r="K251" t="s">
        <v>25</v>
      </c>
      <c r="L251">
        <v>132757294</v>
      </c>
      <c r="R251">
        <v>911</v>
      </c>
      <c r="S251" t="s">
        <v>204</v>
      </c>
      <c r="T251">
        <v>0</v>
      </c>
      <c r="U251">
        <v>48</v>
      </c>
      <c r="V251">
        <v>0</v>
      </c>
      <c r="W251">
        <v>0</v>
      </c>
      <c r="X251">
        <v>0</v>
      </c>
    </row>
    <row r="252" spans="1:24" x14ac:dyDescent="0.25">
      <c r="A252" t="s">
        <v>15</v>
      </c>
      <c r="B252" t="s">
        <v>24</v>
      </c>
      <c r="C252">
        <v>20150316</v>
      </c>
      <c r="D252">
        <v>0</v>
      </c>
      <c r="F252">
        <v>62500</v>
      </c>
      <c r="G252" t="s">
        <v>17</v>
      </c>
      <c r="I252" t="s">
        <v>16</v>
      </c>
      <c r="J252" t="s">
        <v>187</v>
      </c>
      <c r="K252" t="s">
        <v>25</v>
      </c>
      <c r="L252">
        <v>132757294</v>
      </c>
      <c r="R252">
        <v>911</v>
      </c>
      <c r="S252" t="s">
        <v>204</v>
      </c>
      <c r="T252">
        <v>0</v>
      </c>
      <c r="U252">
        <v>48</v>
      </c>
      <c r="V252">
        <v>0</v>
      </c>
      <c r="W252">
        <v>0</v>
      </c>
      <c r="X252">
        <v>0</v>
      </c>
    </row>
    <row r="253" spans="1:24" x14ac:dyDescent="0.25">
      <c r="A253" t="s">
        <v>15</v>
      </c>
      <c r="B253" t="s">
        <v>24</v>
      </c>
      <c r="C253">
        <v>20150316</v>
      </c>
      <c r="D253">
        <v>0</v>
      </c>
      <c r="F253">
        <v>62500</v>
      </c>
      <c r="G253" t="s">
        <v>17</v>
      </c>
      <c r="I253" t="s">
        <v>16</v>
      </c>
      <c r="J253" t="s">
        <v>187</v>
      </c>
      <c r="K253" t="s">
        <v>25</v>
      </c>
      <c r="L253">
        <v>132757294</v>
      </c>
      <c r="R253">
        <v>912</v>
      </c>
      <c r="S253" t="s">
        <v>203</v>
      </c>
      <c r="T253">
        <v>0</v>
      </c>
      <c r="U253">
        <v>48</v>
      </c>
      <c r="V253">
        <v>0</v>
      </c>
      <c r="W253">
        <v>0</v>
      </c>
      <c r="X253">
        <v>0</v>
      </c>
    </row>
    <row r="254" spans="1:24" x14ac:dyDescent="0.25">
      <c r="A254" t="s">
        <v>15</v>
      </c>
      <c r="B254" t="s">
        <v>24</v>
      </c>
      <c r="C254">
        <v>20150316</v>
      </c>
      <c r="D254">
        <v>0</v>
      </c>
      <c r="F254">
        <v>62500</v>
      </c>
      <c r="G254" t="s">
        <v>17</v>
      </c>
      <c r="I254" t="s">
        <v>16</v>
      </c>
      <c r="J254" t="s">
        <v>187</v>
      </c>
      <c r="K254" t="s">
        <v>25</v>
      </c>
      <c r="L254">
        <v>132757294</v>
      </c>
      <c r="R254">
        <v>911</v>
      </c>
      <c r="S254" t="s">
        <v>205</v>
      </c>
      <c r="T254">
        <v>0</v>
      </c>
      <c r="U254">
        <v>48</v>
      </c>
      <c r="V254">
        <v>0</v>
      </c>
      <c r="W254">
        <v>0</v>
      </c>
      <c r="X254">
        <v>0</v>
      </c>
    </row>
    <row r="255" spans="1:24" x14ac:dyDescent="0.25">
      <c r="A255" t="s">
        <v>15</v>
      </c>
      <c r="B255" t="s">
        <v>24</v>
      </c>
      <c r="C255">
        <v>20150316</v>
      </c>
      <c r="D255">
        <v>0</v>
      </c>
      <c r="F255">
        <v>62500</v>
      </c>
      <c r="G255" t="s">
        <v>17</v>
      </c>
      <c r="I255" t="s">
        <v>16</v>
      </c>
      <c r="J255" t="s">
        <v>187</v>
      </c>
      <c r="K255" t="s">
        <v>25</v>
      </c>
      <c r="L255">
        <v>132757294</v>
      </c>
      <c r="R255">
        <v>911</v>
      </c>
      <c r="S255" t="s">
        <v>206</v>
      </c>
      <c r="T255">
        <v>0</v>
      </c>
      <c r="U255">
        <v>48</v>
      </c>
      <c r="V255">
        <v>0</v>
      </c>
      <c r="W255">
        <v>0</v>
      </c>
      <c r="X255">
        <v>0</v>
      </c>
    </row>
    <row r="256" spans="1:24" x14ac:dyDescent="0.25">
      <c r="A256" t="s">
        <v>15</v>
      </c>
      <c r="B256" t="s">
        <v>24</v>
      </c>
      <c r="C256">
        <v>20150316</v>
      </c>
      <c r="D256">
        <v>0</v>
      </c>
      <c r="F256">
        <v>62500</v>
      </c>
      <c r="G256" t="s">
        <v>17</v>
      </c>
      <c r="I256" t="s">
        <v>16</v>
      </c>
      <c r="J256" t="s">
        <v>187</v>
      </c>
      <c r="K256" t="s">
        <v>25</v>
      </c>
      <c r="L256">
        <v>132757294</v>
      </c>
      <c r="R256">
        <v>912</v>
      </c>
      <c r="S256" t="s">
        <v>204</v>
      </c>
      <c r="T256">
        <v>0</v>
      </c>
      <c r="U256">
        <v>48</v>
      </c>
      <c r="V256">
        <v>0</v>
      </c>
      <c r="W256">
        <v>0</v>
      </c>
      <c r="X256">
        <v>0</v>
      </c>
    </row>
    <row r="257" spans="1:24" x14ac:dyDescent="0.25">
      <c r="A257" t="s">
        <v>15</v>
      </c>
      <c r="B257" t="s">
        <v>24</v>
      </c>
      <c r="C257">
        <v>20150316</v>
      </c>
      <c r="D257">
        <v>0</v>
      </c>
      <c r="F257">
        <v>62500</v>
      </c>
      <c r="G257" t="s">
        <v>17</v>
      </c>
      <c r="I257" t="s">
        <v>16</v>
      </c>
      <c r="J257" t="s">
        <v>187</v>
      </c>
      <c r="K257" t="s">
        <v>25</v>
      </c>
      <c r="L257">
        <v>132757294</v>
      </c>
      <c r="R257">
        <v>912</v>
      </c>
      <c r="S257" t="s">
        <v>204</v>
      </c>
      <c r="T257">
        <v>0</v>
      </c>
      <c r="U257">
        <v>48</v>
      </c>
      <c r="V257">
        <v>0</v>
      </c>
      <c r="W257">
        <v>0</v>
      </c>
      <c r="X257">
        <v>0</v>
      </c>
    </row>
    <row r="258" spans="1:24" x14ac:dyDescent="0.25">
      <c r="A258" t="s">
        <v>15</v>
      </c>
      <c r="B258" t="s">
        <v>24</v>
      </c>
      <c r="C258">
        <v>20150316</v>
      </c>
      <c r="D258">
        <v>0</v>
      </c>
      <c r="F258">
        <v>62500</v>
      </c>
      <c r="G258" t="s">
        <v>17</v>
      </c>
      <c r="I258" t="s">
        <v>16</v>
      </c>
      <c r="J258" t="s">
        <v>187</v>
      </c>
      <c r="K258" t="s">
        <v>25</v>
      </c>
      <c r="L258">
        <v>132757294</v>
      </c>
      <c r="R258">
        <v>913</v>
      </c>
      <c r="S258" t="s">
        <v>203</v>
      </c>
      <c r="T258">
        <v>0</v>
      </c>
      <c r="U258">
        <v>48</v>
      </c>
      <c r="V258">
        <v>0</v>
      </c>
      <c r="W258">
        <v>0</v>
      </c>
      <c r="X258">
        <v>0</v>
      </c>
    </row>
    <row r="259" spans="1:24" x14ac:dyDescent="0.25">
      <c r="A259" t="s">
        <v>15</v>
      </c>
      <c r="B259" t="s">
        <v>24</v>
      </c>
      <c r="C259">
        <v>20150316</v>
      </c>
      <c r="D259">
        <v>0</v>
      </c>
      <c r="F259">
        <v>62500</v>
      </c>
      <c r="G259" t="s">
        <v>17</v>
      </c>
      <c r="I259" t="s">
        <v>16</v>
      </c>
      <c r="J259" t="s">
        <v>187</v>
      </c>
      <c r="K259" t="s">
        <v>25</v>
      </c>
      <c r="L259">
        <v>132757294</v>
      </c>
      <c r="R259">
        <v>912</v>
      </c>
      <c r="S259" t="s">
        <v>205</v>
      </c>
      <c r="T259">
        <v>0</v>
      </c>
      <c r="U259">
        <v>48</v>
      </c>
      <c r="V259">
        <v>0</v>
      </c>
      <c r="W259">
        <v>0</v>
      </c>
      <c r="X259">
        <v>0</v>
      </c>
    </row>
    <row r="260" spans="1:24" x14ac:dyDescent="0.25">
      <c r="A260" t="s">
        <v>15</v>
      </c>
      <c r="B260" t="s">
        <v>24</v>
      </c>
      <c r="C260">
        <v>20150316</v>
      </c>
      <c r="D260">
        <v>0</v>
      </c>
      <c r="F260">
        <v>62500</v>
      </c>
      <c r="G260" t="s">
        <v>17</v>
      </c>
      <c r="I260" t="s">
        <v>16</v>
      </c>
      <c r="J260" t="s">
        <v>187</v>
      </c>
      <c r="K260" t="s">
        <v>25</v>
      </c>
      <c r="L260">
        <v>132757294</v>
      </c>
      <c r="R260">
        <v>912</v>
      </c>
      <c r="S260" t="s">
        <v>206</v>
      </c>
      <c r="T260">
        <v>0</v>
      </c>
      <c r="U260">
        <v>48</v>
      </c>
      <c r="V260">
        <v>0</v>
      </c>
      <c r="W260">
        <v>0</v>
      </c>
      <c r="X260">
        <v>0</v>
      </c>
    </row>
    <row r="261" spans="1:24" x14ac:dyDescent="0.25">
      <c r="A261" t="s">
        <v>15</v>
      </c>
      <c r="B261" t="s">
        <v>24</v>
      </c>
      <c r="C261">
        <v>20150316</v>
      </c>
      <c r="D261">
        <v>0</v>
      </c>
      <c r="F261">
        <v>62500</v>
      </c>
      <c r="G261" t="s">
        <v>17</v>
      </c>
      <c r="I261" t="s">
        <v>16</v>
      </c>
      <c r="J261" t="s">
        <v>187</v>
      </c>
      <c r="K261" t="s">
        <v>25</v>
      </c>
      <c r="L261">
        <v>132757294</v>
      </c>
      <c r="R261">
        <v>913</v>
      </c>
      <c r="S261" t="s">
        <v>204</v>
      </c>
      <c r="T261">
        <v>0</v>
      </c>
      <c r="U261">
        <v>48</v>
      </c>
      <c r="V261">
        <v>0</v>
      </c>
      <c r="W261">
        <v>0</v>
      </c>
      <c r="X261">
        <v>0</v>
      </c>
    </row>
    <row r="262" spans="1:24" x14ac:dyDescent="0.25">
      <c r="A262" t="s">
        <v>15</v>
      </c>
      <c r="B262" t="s">
        <v>24</v>
      </c>
      <c r="C262">
        <v>20150316</v>
      </c>
      <c r="D262">
        <v>0</v>
      </c>
      <c r="F262">
        <v>62500</v>
      </c>
      <c r="G262" t="s">
        <v>17</v>
      </c>
      <c r="I262" t="s">
        <v>16</v>
      </c>
      <c r="J262" t="s">
        <v>187</v>
      </c>
      <c r="K262" t="s">
        <v>25</v>
      </c>
      <c r="L262">
        <v>132757294</v>
      </c>
      <c r="R262">
        <v>913</v>
      </c>
      <c r="S262" t="s">
        <v>204</v>
      </c>
      <c r="T262">
        <v>0</v>
      </c>
      <c r="U262">
        <v>48</v>
      </c>
      <c r="V262">
        <v>0</v>
      </c>
      <c r="W262">
        <v>0</v>
      </c>
      <c r="X262">
        <v>0</v>
      </c>
    </row>
    <row r="263" spans="1:24" x14ac:dyDescent="0.25">
      <c r="A263" t="s">
        <v>15</v>
      </c>
      <c r="B263" t="s">
        <v>24</v>
      </c>
      <c r="C263">
        <v>20150316</v>
      </c>
      <c r="D263">
        <v>0</v>
      </c>
      <c r="F263">
        <v>62500</v>
      </c>
      <c r="G263" t="s">
        <v>17</v>
      </c>
      <c r="I263" t="s">
        <v>16</v>
      </c>
      <c r="J263" t="s">
        <v>187</v>
      </c>
      <c r="K263" t="s">
        <v>25</v>
      </c>
      <c r="L263">
        <v>132757294</v>
      </c>
      <c r="R263">
        <v>914</v>
      </c>
      <c r="S263" t="s">
        <v>203</v>
      </c>
      <c r="T263">
        <v>0</v>
      </c>
      <c r="U263">
        <v>-47</v>
      </c>
      <c r="V263">
        <v>0</v>
      </c>
      <c r="W263">
        <v>0</v>
      </c>
      <c r="X263">
        <v>0</v>
      </c>
    </row>
    <row r="264" spans="1:24" x14ac:dyDescent="0.25">
      <c r="A264" t="s">
        <v>15</v>
      </c>
      <c r="B264" t="s">
        <v>24</v>
      </c>
      <c r="C264">
        <v>20150316</v>
      </c>
      <c r="D264">
        <v>0</v>
      </c>
      <c r="F264">
        <v>62500</v>
      </c>
      <c r="G264" t="s">
        <v>17</v>
      </c>
      <c r="I264" t="s">
        <v>16</v>
      </c>
      <c r="J264" t="s">
        <v>187</v>
      </c>
      <c r="K264" t="s">
        <v>25</v>
      </c>
      <c r="L264">
        <v>132757294</v>
      </c>
      <c r="R264">
        <v>909</v>
      </c>
      <c r="S264" t="s">
        <v>205</v>
      </c>
      <c r="T264">
        <v>0</v>
      </c>
      <c r="U264">
        <v>48</v>
      </c>
      <c r="V264">
        <v>0</v>
      </c>
      <c r="W264">
        <v>0</v>
      </c>
      <c r="X264">
        <v>0</v>
      </c>
    </row>
    <row r="265" spans="1:24" x14ac:dyDescent="0.25">
      <c r="A265" t="s">
        <v>15</v>
      </c>
      <c r="B265" t="s">
        <v>24</v>
      </c>
      <c r="C265">
        <v>20150316</v>
      </c>
      <c r="D265">
        <v>0</v>
      </c>
      <c r="F265">
        <v>62500</v>
      </c>
      <c r="G265" t="s">
        <v>17</v>
      </c>
      <c r="I265" t="s">
        <v>16</v>
      </c>
      <c r="J265" t="s">
        <v>187</v>
      </c>
      <c r="K265" t="s">
        <v>25</v>
      </c>
      <c r="L265">
        <v>132757294</v>
      </c>
      <c r="R265">
        <v>909</v>
      </c>
      <c r="S265" t="s">
        <v>206</v>
      </c>
      <c r="T265">
        <v>0</v>
      </c>
      <c r="U265">
        <v>48</v>
      </c>
      <c r="V265">
        <v>0</v>
      </c>
      <c r="W265">
        <v>0</v>
      </c>
      <c r="X265">
        <v>0</v>
      </c>
    </row>
    <row r="266" spans="1:24" x14ac:dyDescent="0.25">
      <c r="A266" t="s">
        <v>15</v>
      </c>
      <c r="B266" t="s">
        <v>24</v>
      </c>
      <c r="C266">
        <v>20150316</v>
      </c>
      <c r="D266">
        <v>0</v>
      </c>
      <c r="F266">
        <v>62500</v>
      </c>
      <c r="G266" t="s">
        <v>17</v>
      </c>
      <c r="I266" t="s">
        <v>16</v>
      </c>
      <c r="J266" t="s">
        <v>187</v>
      </c>
      <c r="K266" t="s">
        <v>25</v>
      </c>
      <c r="L266">
        <v>132757294</v>
      </c>
      <c r="R266">
        <v>914</v>
      </c>
      <c r="S266" t="s">
        <v>204</v>
      </c>
      <c r="T266">
        <v>0</v>
      </c>
      <c r="U266">
        <v>47</v>
      </c>
      <c r="V266">
        <v>0</v>
      </c>
      <c r="W266">
        <v>0</v>
      </c>
      <c r="X266">
        <v>0</v>
      </c>
    </row>
    <row r="267" spans="1:24" x14ac:dyDescent="0.25">
      <c r="A267" t="s">
        <v>15</v>
      </c>
      <c r="B267" t="s">
        <v>24</v>
      </c>
      <c r="C267">
        <v>20150316</v>
      </c>
      <c r="D267">
        <v>0</v>
      </c>
      <c r="F267">
        <v>62500</v>
      </c>
      <c r="G267" t="s">
        <v>17</v>
      </c>
      <c r="I267" t="s">
        <v>16</v>
      </c>
      <c r="J267" t="s">
        <v>187</v>
      </c>
      <c r="K267" t="s">
        <v>25</v>
      </c>
      <c r="L267">
        <v>132757294</v>
      </c>
      <c r="R267">
        <v>914</v>
      </c>
      <c r="S267" t="s">
        <v>204</v>
      </c>
      <c r="T267">
        <v>0</v>
      </c>
      <c r="U267">
        <v>47</v>
      </c>
      <c r="V267">
        <v>0</v>
      </c>
      <c r="W267">
        <v>0</v>
      </c>
      <c r="X267">
        <v>0</v>
      </c>
    </row>
    <row r="268" spans="1:24" x14ac:dyDescent="0.25">
      <c r="A268" t="s">
        <v>15</v>
      </c>
      <c r="B268" t="s">
        <v>24</v>
      </c>
      <c r="C268">
        <v>20150316</v>
      </c>
      <c r="D268">
        <v>0</v>
      </c>
      <c r="F268">
        <v>62500</v>
      </c>
      <c r="G268" t="s">
        <v>17</v>
      </c>
      <c r="I268" t="s">
        <v>16</v>
      </c>
      <c r="J268" t="s">
        <v>187</v>
      </c>
      <c r="K268" t="s">
        <v>25</v>
      </c>
      <c r="L268">
        <v>132757294</v>
      </c>
      <c r="R268">
        <v>915</v>
      </c>
      <c r="S268" t="s">
        <v>203</v>
      </c>
      <c r="T268">
        <v>0</v>
      </c>
      <c r="U268">
        <v>48</v>
      </c>
      <c r="V268">
        <v>0</v>
      </c>
      <c r="W268">
        <v>0</v>
      </c>
      <c r="X268">
        <v>0</v>
      </c>
    </row>
    <row r="269" spans="1:24" x14ac:dyDescent="0.25">
      <c r="A269" t="s">
        <v>15</v>
      </c>
      <c r="B269" t="s">
        <v>24</v>
      </c>
      <c r="C269">
        <v>20150316</v>
      </c>
      <c r="D269">
        <v>0</v>
      </c>
      <c r="F269">
        <v>62500</v>
      </c>
      <c r="G269" t="s">
        <v>17</v>
      </c>
      <c r="I269" t="s">
        <v>16</v>
      </c>
      <c r="J269" t="s">
        <v>187</v>
      </c>
      <c r="K269" t="s">
        <v>25</v>
      </c>
      <c r="L269">
        <v>132757294</v>
      </c>
      <c r="R269">
        <v>913</v>
      </c>
      <c r="S269" t="s">
        <v>205</v>
      </c>
      <c r="T269">
        <v>0</v>
      </c>
      <c r="U269">
        <v>48</v>
      </c>
      <c r="V269">
        <v>0</v>
      </c>
      <c r="W269">
        <v>0</v>
      </c>
      <c r="X269">
        <v>0</v>
      </c>
    </row>
    <row r="270" spans="1:24" x14ac:dyDescent="0.25">
      <c r="A270" t="s">
        <v>15</v>
      </c>
      <c r="B270" t="s">
        <v>24</v>
      </c>
      <c r="C270">
        <v>20150316</v>
      </c>
      <c r="D270">
        <v>0</v>
      </c>
      <c r="F270">
        <v>62500</v>
      </c>
      <c r="G270" t="s">
        <v>17</v>
      </c>
      <c r="I270" t="s">
        <v>16</v>
      </c>
      <c r="J270" t="s">
        <v>187</v>
      </c>
      <c r="K270" t="s">
        <v>25</v>
      </c>
      <c r="L270">
        <v>132757294</v>
      </c>
      <c r="R270">
        <v>913</v>
      </c>
      <c r="S270" t="s">
        <v>206</v>
      </c>
      <c r="T270">
        <v>0</v>
      </c>
      <c r="U270">
        <v>48</v>
      </c>
      <c r="V270">
        <v>0</v>
      </c>
      <c r="W270">
        <v>0</v>
      </c>
      <c r="X270">
        <v>0</v>
      </c>
    </row>
    <row r="271" spans="1:24" x14ac:dyDescent="0.25">
      <c r="A271" t="s">
        <v>15</v>
      </c>
      <c r="B271" t="s">
        <v>24</v>
      </c>
      <c r="C271">
        <v>20150316</v>
      </c>
      <c r="D271">
        <v>0</v>
      </c>
      <c r="F271">
        <v>62500</v>
      </c>
      <c r="G271" t="s">
        <v>17</v>
      </c>
      <c r="I271" t="s">
        <v>16</v>
      </c>
      <c r="J271" t="s">
        <v>187</v>
      </c>
      <c r="K271" t="s">
        <v>25</v>
      </c>
      <c r="L271">
        <v>132757294</v>
      </c>
      <c r="R271">
        <v>915</v>
      </c>
      <c r="S271" t="s">
        <v>204</v>
      </c>
      <c r="T271">
        <v>0</v>
      </c>
      <c r="U271">
        <v>48</v>
      </c>
      <c r="V271">
        <v>0</v>
      </c>
      <c r="W271">
        <v>0</v>
      </c>
      <c r="X271">
        <v>0</v>
      </c>
    </row>
    <row r="272" spans="1:24" x14ac:dyDescent="0.25">
      <c r="A272" t="s">
        <v>15</v>
      </c>
      <c r="B272" t="s">
        <v>24</v>
      </c>
      <c r="C272">
        <v>20150316</v>
      </c>
      <c r="D272">
        <v>0</v>
      </c>
      <c r="F272">
        <v>62500</v>
      </c>
      <c r="G272" t="s">
        <v>17</v>
      </c>
      <c r="I272" t="s">
        <v>16</v>
      </c>
      <c r="J272" t="s">
        <v>187</v>
      </c>
      <c r="K272" t="s">
        <v>25</v>
      </c>
      <c r="L272">
        <v>132757294</v>
      </c>
      <c r="R272">
        <v>915</v>
      </c>
      <c r="S272" t="s">
        <v>204</v>
      </c>
      <c r="T272">
        <v>0</v>
      </c>
      <c r="U272">
        <v>48</v>
      </c>
      <c r="V272">
        <v>0</v>
      </c>
      <c r="W272">
        <v>0</v>
      </c>
      <c r="X272">
        <v>0</v>
      </c>
    </row>
    <row r="273" spans="1:24" x14ac:dyDescent="0.25">
      <c r="A273" t="s">
        <v>15</v>
      </c>
      <c r="B273" t="s">
        <v>24</v>
      </c>
      <c r="C273">
        <v>20150316</v>
      </c>
      <c r="D273">
        <v>0</v>
      </c>
      <c r="F273">
        <v>62500</v>
      </c>
      <c r="G273" t="s">
        <v>17</v>
      </c>
      <c r="I273" t="s">
        <v>16</v>
      </c>
      <c r="J273" t="s">
        <v>187</v>
      </c>
      <c r="K273" t="s">
        <v>25</v>
      </c>
      <c r="L273">
        <v>132757294</v>
      </c>
      <c r="R273">
        <v>916</v>
      </c>
      <c r="S273" t="s">
        <v>203</v>
      </c>
      <c r="T273">
        <v>0</v>
      </c>
      <c r="U273">
        <v>49</v>
      </c>
      <c r="V273">
        <v>0</v>
      </c>
      <c r="W273">
        <v>0</v>
      </c>
      <c r="X273">
        <v>0</v>
      </c>
    </row>
    <row r="274" spans="1:24" x14ac:dyDescent="0.25">
      <c r="A274" t="s">
        <v>15</v>
      </c>
      <c r="B274" t="s">
        <v>24</v>
      </c>
      <c r="C274">
        <v>20150316</v>
      </c>
      <c r="D274">
        <v>0</v>
      </c>
      <c r="F274">
        <v>62500</v>
      </c>
      <c r="G274" t="s">
        <v>17</v>
      </c>
      <c r="I274" t="s">
        <v>16</v>
      </c>
      <c r="J274" t="s">
        <v>187</v>
      </c>
      <c r="K274" t="s">
        <v>25</v>
      </c>
      <c r="L274">
        <v>132757294</v>
      </c>
      <c r="R274">
        <v>915</v>
      </c>
      <c r="S274" t="s">
        <v>205</v>
      </c>
      <c r="T274">
        <v>0</v>
      </c>
      <c r="U274">
        <v>48</v>
      </c>
      <c r="V274">
        <v>0</v>
      </c>
      <c r="W274">
        <v>0</v>
      </c>
      <c r="X274">
        <v>0</v>
      </c>
    </row>
    <row r="275" spans="1:24" x14ac:dyDescent="0.25">
      <c r="A275" t="s">
        <v>15</v>
      </c>
      <c r="B275" t="s">
        <v>24</v>
      </c>
      <c r="C275">
        <v>20150316</v>
      </c>
      <c r="D275">
        <v>0</v>
      </c>
      <c r="F275">
        <v>62500</v>
      </c>
      <c r="G275" t="s">
        <v>17</v>
      </c>
      <c r="I275" t="s">
        <v>16</v>
      </c>
      <c r="J275" t="s">
        <v>187</v>
      </c>
      <c r="K275" t="s">
        <v>25</v>
      </c>
      <c r="L275">
        <v>132757294</v>
      </c>
      <c r="R275">
        <v>915</v>
      </c>
      <c r="S275" t="s">
        <v>206</v>
      </c>
      <c r="T275">
        <v>0</v>
      </c>
      <c r="U275">
        <v>48</v>
      </c>
      <c r="V275">
        <v>0</v>
      </c>
      <c r="W275">
        <v>0</v>
      </c>
      <c r="X275">
        <v>0</v>
      </c>
    </row>
    <row r="276" spans="1:24" x14ac:dyDescent="0.25">
      <c r="A276" t="s">
        <v>15</v>
      </c>
      <c r="B276" t="s">
        <v>24</v>
      </c>
      <c r="C276">
        <v>20150316</v>
      </c>
      <c r="D276">
        <v>0</v>
      </c>
      <c r="F276">
        <v>62500</v>
      </c>
      <c r="G276" t="s">
        <v>17</v>
      </c>
      <c r="I276" t="s">
        <v>16</v>
      </c>
      <c r="J276" t="s">
        <v>187</v>
      </c>
      <c r="K276" t="s">
        <v>25</v>
      </c>
      <c r="L276">
        <v>132757294</v>
      </c>
      <c r="R276">
        <v>916</v>
      </c>
      <c r="S276" t="s">
        <v>204</v>
      </c>
      <c r="T276">
        <v>0</v>
      </c>
      <c r="U276">
        <v>49</v>
      </c>
      <c r="V276">
        <v>0</v>
      </c>
      <c r="W276">
        <v>0</v>
      </c>
      <c r="X276">
        <v>0</v>
      </c>
    </row>
    <row r="277" spans="1:24" x14ac:dyDescent="0.25">
      <c r="A277" t="s">
        <v>15</v>
      </c>
      <c r="B277" t="s">
        <v>24</v>
      </c>
      <c r="C277">
        <v>20150316</v>
      </c>
      <c r="D277">
        <v>0</v>
      </c>
      <c r="F277">
        <v>62500</v>
      </c>
      <c r="G277" t="s">
        <v>17</v>
      </c>
      <c r="I277" t="s">
        <v>16</v>
      </c>
      <c r="J277" t="s">
        <v>187</v>
      </c>
      <c r="K277" t="s">
        <v>25</v>
      </c>
      <c r="L277">
        <v>132757294</v>
      </c>
      <c r="R277">
        <v>914</v>
      </c>
      <c r="S277" t="s">
        <v>205</v>
      </c>
      <c r="T277">
        <v>0</v>
      </c>
      <c r="U277">
        <v>47</v>
      </c>
      <c r="V277">
        <v>0</v>
      </c>
      <c r="W277">
        <v>0</v>
      </c>
      <c r="X277">
        <v>0</v>
      </c>
    </row>
    <row r="278" spans="1:24" x14ac:dyDescent="0.25">
      <c r="A278" t="s">
        <v>15</v>
      </c>
      <c r="B278" t="s">
        <v>24</v>
      </c>
      <c r="C278">
        <v>20150316</v>
      </c>
      <c r="D278">
        <v>0</v>
      </c>
      <c r="F278">
        <v>62500</v>
      </c>
      <c r="G278" t="s">
        <v>17</v>
      </c>
      <c r="I278" t="s">
        <v>16</v>
      </c>
      <c r="J278" t="s">
        <v>187</v>
      </c>
      <c r="K278" t="s">
        <v>25</v>
      </c>
      <c r="L278">
        <v>132757294</v>
      </c>
      <c r="R278">
        <v>914</v>
      </c>
      <c r="S278" t="s">
        <v>206</v>
      </c>
      <c r="T278">
        <v>0</v>
      </c>
      <c r="U278">
        <v>47</v>
      </c>
      <c r="V278">
        <v>0</v>
      </c>
      <c r="W278">
        <v>0</v>
      </c>
      <c r="X278">
        <v>0</v>
      </c>
    </row>
    <row r="279" spans="1:24" x14ac:dyDescent="0.25">
      <c r="A279" t="s">
        <v>15</v>
      </c>
      <c r="B279" t="s">
        <v>24</v>
      </c>
      <c r="C279">
        <v>20150316</v>
      </c>
      <c r="D279">
        <v>0</v>
      </c>
      <c r="F279">
        <v>62500</v>
      </c>
      <c r="G279" t="s">
        <v>17</v>
      </c>
      <c r="I279" t="s">
        <v>16</v>
      </c>
      <c r="J279" t="s">
        <v>187</v>
      </c>
      <c r="K279" t="s">
        <v>25</v>
      </c>
      <c r="L279">
        <v>132757294</v>
      </c>
      <c r="R279">
        <v>916</v>
      </c>
      <c r="S279" t="s">
        <v>204</v>
      </c>
      <c r="T279">
        <v>0</v>
      </c>
      <c r="U279">
        <v>49</v>
      </c>
      <c r="V279">
        <v>0</v>
      </c>
      <c r="W279">
        <v>0</v>
      </c>
      <c r="X279">
        <v>0</v>
      </c>
    </row>
    <row r="280" spans="1:24" x14ac:dyDescent="0.25">
      <c r="A280" t="s">
        <v>15</v>
      </c>
      <c r="B280" t="s">
        <v>24</v>
      </c>
      <c r="C280">
        <v>20150316</v>
      </c>
      <c r="D280">
        <v>0</v>
      </c>
      <c r="F280">
        <v>62500</v>
      </c>
      <c r="G280" t="s">
        <v>17</v>
      </c>
      <c r="I280" t="s">
        <v>16</v>
      </c>
      <c r="J280" t="s">
        <v>187</v>
      </c>
      <c r="K280" t="s">
        <v>25</v>
      </c>
      <c r="L280">
        <v>132757294</v>
      </c>
      <c r="R280">
        <v>917</v>
      </c>
      <c r="S280" t="s">
        <v>203</v>
      </c>
      <c r="T280">
        <v>0</v>
      </c>
      <c r="U280">
        <v>-49</v>
      </c>
      <c r="V280">
        <v>0</v>
      </c>
      <c r="W280">
        <v>0</v>
      </c>
      <c r="X280">
        <v>0</v>
      </c>
    </row>
    <row r="281" spans="1:24" x14ac:dyDescent="0.25">
      <c r="A281" t="s">
        <v>15</v>
      </c>
      <c r="B281" t="s">
        <v>24</v>
      </c>
      <c r="C281">
        <v>20150316</v>
      </c>
      <c r="D281">
        <v>0</v>
      </c>
      <c r="F281">
        <v>62500</v>
      </c>
      <c r="G281" t="s">
        <v>17</v>
      </c>
      <c r="I281" t="s">
        <v>16</v>
      </c>
      <c r="J281" t="s">
        <v>187</v>
      </c>
      <c r="K281" t="s">
        <v>25</v>
      </c>
      <c r="L281">
        <v>132757294</v>
      </c>
      <c r="R281">
        <v>917</v>
      </c>
      <c r="S281" t="s">
        <v>204</v>
      </c>
      <c r="T281">
        <v>0</v>
      </c>
      <c r="U281">
        <v>49</v>
      </c>
      <c r="V281">
        <v>0</v>
      </c>
      <c r="W281">
        <v>0</v>
      </c>
      <c r="X281">
        <v>0</v>
      </c>
    </row>
    <row r="282" spans="1:24" x14ac:dyDescent="0.25">
      <c r="A282" t="s">
        <v>15</v>
      </c>
      <c r="B282" t="s">
        <v>24</v>
      </c>
      <c r="C282">
        <v>20150316</v>
      </c>
      <c r="D282">
        <v>0</v>
      </c>
      <c r="F282">
        <v>62500</v>
      </c>
      <c r="G282" t="s">
        <v>17</v>
      </c>
      <c r="I282" t="s">
        <v>16</v>
      </c>
      <c r="J282" t="s">
        <v>187</v>
      </c>
      <c r="K282" t="s">
        <v>25</v>
      </c>
      <c r="L282">
        <v>132757294</v>
      </c>
      <c r="R282">
        <v>917</v>
      </c>
      <c r="S282" t="s">
        <v>204</v>
      </c>
      <c r="T282">
        <v>0</v>
      </c>
      <c r="U282">
        <v>49</v>
      </c>
      <c r="V282">
        <v>0</v>
      </c>
      <c r="W282">
        <v>0</v>
      </c>
      <c r="X282">
        <v>0</v>
      </c>
    </row>
    <row r="283" spans="1:24" x14ac:dyDescent="0.25">
      <c r="A283" t="s">
        <v>15</v>
      </c>
      <c r="B283" t="s">
        <v>24</v>
      </c>
      <c r="C283">
        <v>20150316</v>
      </c>
      <c r="D283">
        <v>0</v>
      </c>
      <c r="F283">
        <v>62500</v>
      </c>
      <c r="G283" t="s">
        <v>17</v>
      </c>
      <c r="I283" t="s">
        <v>16</v>
      </c>
      <c r="J283" t="s">
        <v>187</v>
      </c>
      <c r="K283" t="s">
        <v>25</v>
      </c>
      <c r="L283">
        <v>132757294</v>
      </c>
      <c r="R283">
        <v>918</v>
      </c>
      <c r="S283" t="s">
        <v>203</v>
      </c>
      <c r="T283">
        <v>0</v>
      </c>
      <c r="U283">
        <v>48</v>
      </c>
      <c r="V283">
        <v>0</v>
      </c>
      <c r="W283">
        <v>0</v>
      </c>
      <c r="X283">
        <v>0</v>
      </c>
    </row>
    <row r="284" spans="1:24" x14ac:dyDescent="0.25">
      <c r="A284" t="s">
        <v>15</v>
      </c>
      <c r="B284" t="s">
        <v>24</v>
      </c>
      <c r="C284">
        <v>20150316</v>
      </c>
      <c r="D284">
        <v>0</v>
      </c>
      <c r="F284">
        <v>62500</v>
      </c>
      <c r="G284" t="s">
        <v>17</v>
      </c>
      <c r="I284" t="s">
        <v>16</v>
      </c>
      <c r="J284" t="s">
        <v>187</v>
      </c>
      <c r="K284" t="s">
        <v>25</v>
      </c>
      <c r="L284">
        <v>132757294</v>
      </c>
      <c r="R284">
        <v>919</v>
      </c>
      <c r="S284" t="s">
        <v>203</v>
      </c>
      <c r="T284">
        <v>0</v>
      </c>
      <c r="U284">
        <v>48</v>
      </c>
      <c r="V284">
        <v>0</v>
      </c>
      <c r="W284">
        <v>0</v>
      </c>
      <c r="X284">
        <v>0</v>
      </c>
    </row>
    <row r="285" spans="1:24" x14ac:dyDescent="0.25">
      <c r="A285" t="s">
        <v>15</v>
      </c>
      <c r="B285" t="s">
        <v>24</v>
      </c>
      <c r="C285">
        <v>20150316</v>
      </c>
      <c r="D285">
        <v>0</v>
      </c>
      <c r="F285">
        <v>62500</v>
      </c>
      <c r="G285" t="s">
        <v>17</v>
      </c>
      <c r="I285" t="s">
        <v>16</v>
      </c>
      <c r="J285" t="s">
        <v>187</v>
      </c>
      <c r="K285" t="s">
        <v>25</v>
      </c>
      <c r="L285">
        <v>132757294</v>
      </c>
      <c r="R285">
        <v>916</v>
      </c>
      <c r="S285" t="s">
        <v>205</v>
      </c>
      <c r="T285">
        <v>0</v>
      </c>
      <c r="U285">
        <v>49</v>
      </c>
      <c r="V285">
        <v>0</v>
      </c>
      <c r="W285">
        <v>0</v>
      </c>
      <c r="X285">
        <v>0</v>
      </c>
    </row>
    <row r="286" spans="1:24" x14ac:dyDescent="0.25">
      <c r="A286" t="s">
        <v>15</v>
      </c>
      <c r="B286" t="s">
        <v>24</v>
      </c>
      <c r="C286">
        <v>20150316</v>
      </c>
      <c r="D286">
        <v>0</v>
      </c>
      <c r="F286">
        <v>62500</v>
      </c>
      <c r="G286" t="s">
        <v>17</v>
      </c>
      <c r="I286" t="s">
        <v>16</v>
      </c>
      <c r="J286" t="s">
        <v>187</v>
      </c>
      <c r="K286" t="s">
        <v>25</v>
      </c>
      <c r="L286">
        <v>132757294</v>
      </c>
      <c r="R286">
        <v>916</v>
      </c>
      <c r="S286" t="s">
        <v>206</v>
      </c>
      <c r="T286">
        <v>0</v>
      </c>
      <c r="U286">
        <v>49</v>
      </c>
      <c r="V286">
        <v>0</v>
      </c>
      <c r="W286">
        <v>0</v>
      </c>
      <c r="X286">
        <v>0</v>
      </c>
    </row>
    <row r="287" spans="1:24" x14ac:dyDescent="0.25">
      <c r="A287" t="s">
        <v>15</v>
      </c>
      <c r="B287" t="s">
        <v>24</v>
      </c>
      <c r="C287">
        <v>20150316</v>
      </c>
      <c r="D287">
        <v>0</v>
      </c>
      <c r="F287">
        <v>62500</v>
      </c>
      <c r="G287" t="s">
        <v>17</v>
      </c>
      <c r="I287" t="s">
        <v>16</v>
      </c>
      <c r="J287" t="s">
        <v>187</v>
      </c>
      <c r="K287" t="s">
        <v>25</v>
      </c>
      <c r="L287">
        <v>132757294</v>
      </c>
      <c r="R287">
        <v>918</v>
      </c>
      <c r="S287" t="s">
        <v>204</v>
      </c>
      <c r="T287">
        <v>0</v>
      </c>
      <c r="U287">
        <v>48</v>
      </c>
      <c r="V287">
        <v>0</v>
      </c>
      <c r="W287">
        <v>0</v>
      </c>
      <c r="X287">
        <v>0</v>
      </c>
    </row>
    <row r="288" spans="1:24" x14ac:dyDescent="0.25">
      <c r="A288" t="s">
        <v>15</v>
      </c>
      <c r="B288" t="s">
        <v>24</v>
      </c>
      <c r="C288">
        <v>20150316</v>
      </c>
      <c r="D288">
        <v>0</v>
      </c>
      <c r="F288">
        <v>62500</v>
      </c>
      <c r="G288" t="s">
        <v>17</v>
      </c>
      <c r="I288" t="s">
        <v>16</v>
      </c>
      <c r="J288" t="s">
        <v>187</v>
      </c>
      <c r="K288" t="s">
        <v>25</v>
      </c>
      <c r="L288">
        <v>132757294</v>
      </c>
      <c r="R288">
        <v>918</v>
      </c>
      <c r="S288" t="s">
        <v>204</v>
      </c>
      <c r="T288">
        <v>0</v>
      </c>
      <c r="U288">
        <v>48</v>
      </c>
      <c r="V288">
        <v>0</v>
      </c>
      <c r="W288">
        <v>0</v>
      </c>
      <c r="X288">
        <v>0</v>
      </c>
    </row>
    <row r="289" spans="1:24" x14ac:dyDescent="0.25">
      <c r="A289" t="s">
        <v>15</v>
      </c>
      <c r="B289" t="s">
        <v>24</v>
      </c>
      <c r="C289">
        <v>20150316</v>
      </c>
      <c r="D289">
        <v>0</v>
      </c>
      <c r="F289">
        <v>62500</v>
      </c>
      <c r="G289" t="s">
        <v>17</v>
      </c>
      <c r="I289" t="s">
        <v>16</v>
      </c>
      <c r="J289" t="s">
        <v>187</v>
      </c>
      <c r="K289" t="s">
        <v>25</v>
      </c>
      <c r="L289">
        <v>132757294</v>
      </c>
      <c r="R289">
        <v>918</v>
      </c>
      <c r="S289" t="s">
        <v>205</v>
      </c>
      <c r="T289">
        <v>0</v>
      </c>
      <c r="U289">
        <v>48</v>
      </c>
      <c r="V289">
        <v>0</v>
      </c>
      <c r="W289">
        <v>0</v>
      </c>
      <c r="X289">
        <v>0</v>
      </c>
    </row>
    <row r="290" spans="1:24" x14ac:dyDescent="0.25">
      <c r="A290" t="s">
        <v>15</v>
      </c>
      <c r="B290" t="s">
        <v>24</v>
      </c>
      <c r="C290">
        <v>20150316</v>
      </c>
      <c r="D290">
        <v>0</v>
      </c>
      <c r="F290">
        <v>62500</v>
      </c>
      <c r="G290" t="s">
        <v>17</v>
      </c>
      <c r="I290" t="s">
        <v>16</v>
      </c>
      <c r="J290" t="s">
        <v>187</v>
      </c>
      <c r="K290" t="s">
        <v>25</v>
      </c>
      <c r="L290">
        <v>132757294</v>
      </c>
      <c r="R290">
        <v>918</v>
      </c>
      <c r="S290" t="s">
        <v>206</v>
      </c>
      <c r="T290">
        <v>0</v>
      </c>
      <c r="U290">
        <v>48</v>
      </c>
      <c r="V290">
        <v>0</v>
      </c>
      <c r="W290">
        <v>0</v>
      </c>
      <c r="X290">
        <v>0</v>
      </c>
    </row>
    <row r="291" spans="1:24" x14ac:dyDescent="0.25">
      <c r="A291" t="s">
        <v>15</v>
      </c>
      <c r="B291" t="s">
        <v>24</v>
      </c>
      <c r="C291">
        <v>20150316</v>
      </c>
      <c r="D291">
        <v>0</v>
      </c>
      <c r="F291">
        <v>62500</v>
      </c>
      <c r="G291" t="s">
        <v>17</v>
      </c>
      <c r="I291" t="s">
        <v>16</v>
      </c>
      <c r="J291" t="s">
        <v>187</v>
      </c>
      <c r="K291" t="s">
        <v>25</v>
      </c>
      <c r="L291">
        <v>132757294</v>
      </c>
      <c r="R291">
        <v>919</v>
      </c>
      <c r="S291" t="s">
        <v>204</v>
      </c>
      <c r="T291">
        <v>0</v>
      </c>
      <c r="U291">
        <v>48</v>
      </c>
      <c r="V291">
        <v>0</v>
      </c>
      <c r="W291">
        <v>0</v>
      </c>
      <c r="X291">
        <v>0</v>
      </c>
    </row>
    <row r="292" spans="1:24" x14ac:dyDescent="0.25">
      <c r="A292" t="s">
        <v>15</v>
      </c>
      <c r="B292" t="s">
        <v>24</v>
      </c>
      <c r="C292">
        <v>20150316</v>
      </c>
      <c r="D292">
        <v>0</v>
      </c>
      <c r="F292">
        <v>62500</v>
      </c>
      <c r="G292" t="s">
        <v>17</v>
      </c>
      <c r="I292" t="s">
        <v>16</v>
      </c>
      <c r="J292" t="s">
        <v>187</v>
      </c>
      <c r="K292" t="s">
        <v>25</v>
      </c>
      <c r="L292">
        <v>132757294</v>
      </c>
      <c r="R292">
        <v>919</v>
      </c>
      <c r="S292" t="s">
        <v>204</v>
      </c>
      <c r="T292">
        <v>0</v>
      </c>
      <c r="U292">
        <v>48</v>
      </c>
      <c r="V292">
        <v>0</v>
      </c>
      <c r="W292">
        <v>0</v>
      </c>
      <c r="X292">
        <v>0</v>
      </c>
    </row>
    <row r="293" spans="1:24" x14ac:dyDescent="0.25">
      <c r="A293" t="s">
        <v>15</v>
      </c>
      <c r="B293" t="s">
        <v>24</v>
      </c>
      <c r="C293">
        <v>20150316</v>
      </c>
      <c r="D293">
        <v>0</v>
      </c>
      <c r="F293">
        <v>62500</v>
      </c>
      <c r="G293" t="s">
        <v>17</v>
      </c>
      <c r="I293" t="s">
        <v>16</v>
      </c>
      <c r="J293" t="s">
        <v>187</v>
      </c>
      <c r="K293" t="s">
        <v>25</v>
      </c>
      <c r="L293">
        <v>132757294</v>
      </c>
      <c r="R293">
        <v>920</v>
      </c>
      <c r="S293" t="s">
        <v>203</v>
      </c>
      <c r="T293">
        <v>0</v>
      </c>
      <c r="U293">
        <v>48</v>
      </c>
      <c r="V293">
        <v>0</v>
      </c>
      <c r="W293">
        <v>0</v>
      </c>
      <c r="X293">
        <v>0</v>
      </c>
    </row>
    <row r="294" spans="1:24" x14ac:dyDescent="0.25">
      <c r="A294" t="s">
        <v>15</v>
      </c>
      <c r="B294" t="s">
        <v>24</v>
      </c>
      <c r="C294">
        <v>20150316</v>
      </c>
      <c r="D294">
        <v>0</v>
      </c>
      <c r="F294">
        <v>62500</v>
      </c>
      <c r="G294" t="s">
        <v>17</v>
      </c>
      <c r="I294" t="s">
        <v>16</v>
      </c>
      <c r="J294" t="s">
        <v>187</v>
      </c>
      <c r="K294" t="s">
        <v>25</v>
      </c>
      <c r="L294">
        <v>132757294</v>
      </c>
      <c r="R294">
        <v>919</v>
      </c>
      <c r="S294" t="s">
        <v>205</v>
      </c>
      <c r="T294">
        <v>0</v>
      </c>
      <c r="U294">
        <v>48</v>
      </c>
      <c r="V294">
        <v>0</v>
      </c>
      <c r="W294">
        <v>0</v>
      </c>
      <c r="X294">
        <v>0</v>
      </c>
    </row>
    <row r="295" spans="1:24" x14ac:dyDescent="0.25">
      <c r="A295" t="s">
        <v>15</v>
      </c>
      <c r="B295" t="s">
        <v>24</v>
      </c>
      <c r="C295">
        <v>20150316</v>
      </c>
      <c r="D295">
        <v>0</v>
      </c>
      <c r="F295">
        <v>62500</v>
      </c>
      <c r="G295" t="s">
        <v>17</v>
      </c>
      <c r="I295" t="s">
        <v>16</v>
      </c>
      <c r="J295" t="s">
        <v>187</v>
      </c>
      <c r="K295" t="s">
        <v>25</v>
      </c>
      <c r="L295">
        <v>132757294</v>
      </c>
      <c r="R295">
        <v>919</v>
      </c>
      <c r="S295" t="s">
        <v>206</v>
      </c>
      <c r="T295">
        <v>0</v>
      </c>
      <c r="U295">
        <v>48</v>
      </c>
      <c r="V295">
        <v>0</v>
      </c>
      <c r="W295">
        <v>0</v>
      </c>
      <c r="X295">
        <v>0</v>
      </c>
    </row>
    <row r="296" spans="1:24" x14ac:dyDescent="0.25">
      <c r="A296" t="s">
        <v>15</v>
      </c>
      <c r="B296" t="s">
        <v>24</v>
      </c>
      <c r="C296">
        <v>20150316</v>
      </c>
      <c r="D296">
        <v>0</v>
      </c>
      <c r="F296">
        <v>62500</v>
      </c>
      <c r="G296" t="s">
        <v>17</v>
      </c>
      <c r="I296" t="s">
        <v>16</v>
      </c>
      <c r="J296" t="s">
        <v>187</v>
      </c>
      <c r="K296" t="s">
        <v>25</v>
      </c>
      <c r="L296">
        <v>132757294</v>
      </c>
      <c r="R296">
        <v>920</v>
      </c>
      <c r="S296" t="s">
        <v>204</v>
      </c>
      <c r="T296">
        <v>0</v>
      </c>
      <c r="U296">
        <v>48</v>
      </c>
      <c r="V296">
        <v>0</v>
      </c>
      <c r="W296">
        <v>0</v>
      </c>
      <c r="X296">
        <v>0</v>
      </c>
    </row>
    <row r="297" spans="1:24" x14ac:dyDescent="0.25">
      <c r="A297" t="s">
        <v>15</v>
      </c>
      <c r="B297" t="s">
        <v>24</v>
      </c>
      <c r="C297">
        <v>20150316</v>
      </c>
      <c r="D297">
        <v>0</v>
      </c>
      <c r="F297">
        <v>62500</v>
      </c>
      <c r="G297" t="s">
        <v>17</v>
      </c>
      <c r="I297" t="s">
        <v>16</v>
      </c>
      <c r="J297" t="s">
        <v>187</v>
      </c>
      <c r="K297" t="s">
        <v>25</v>
      </c>
      <c r="L297">
        <v>132757294</v>
      </c>
      <c r="R297">
        <v>920</v>
      </c>
      <c r="S297" t="s">
        <v>204</v>
      </c>
      <c r="T297">
        <v>0</v>
      </c>
      <c r="U297">
        <v>48</v>
      </c>
      <c r="V297">
        <v>0</v>
      </c>
      <c r="W297">
        <v>0</v>
      </c>
      <c r="X297">
        <v>0</v>
      </c>
    </row>
    <row r="298" spans="1:24" x14ac:dyDescent="0.25">
      <c r="A298" t="s">
        <v>15</v>
      </c>
      <c r="B298" t="s">
        <v>24</v>
      </c>
      <c r="C298">
        <v>20150316</v>
      </c>
      <c r="D298">
        <v>0</v>
      </c>
      <c r="F298">
        <v>62500</v>
      </c>
      <c r="G298" t="s">
        <v>17</v>
      </c>
      <c r="I298" t="s">
        <v>16</v>
      </c>
      <c r="J298" t="s">
        <v>187</v>
      </c>
      <c r="K298" t="s">
        <v>25</v>
      </c>
      <c r="L298">
        <v>132757294</v>
      </c>
      <c r="R298">
        <v>921</v>
      </c>
      <c r="S298" t="s">
        <v>203</v>
      </c>
      <c r="T298">
        <v>0</v>
      </c>
      <c r="U298">
        <v>48</v>
      </c>
      <c r="V298">
        <v>0</v>
      </c>
      <c r="W298">
        <v>0</v>
      </c>
      <c r="X298">
        <v>0</v>
      </c>
    </row>
    <row r="299" spans="1:24" x14ac:dyDescent="0.25">
      <c r="A299" t="s">
        <v>15</v>
      </c>
      <c r="B299" t="s">
        <v>24</v>
      </c>
      <c r="C299">
        <v>20150316</v>
      </c>
      <c r="D299">
        <v>0</v>
      </c>
      <c r="F299">
        <v>62500</v>
      </c>
      <c r="G299" t="s">
        <v>17</v>
      </c>
      <c r="I299" t="s">
        <v>16</v>
      </c>
      <c r="J299" t="s">
        <v>187</v>
      </c>
      <c r="K299" t="s">
        <v>25</v>
      </c>
      <c r="L299">
        <v>132757294</v>
      </c>
      <c r="R299">
        <v>920</v>
      </c>
      <c r="S299" t="s">
        <v>205</v>
      </c>
      <c r="T299">
        <v>0</v>
      </c>
      <c r="U299">
        <v>48</v>
      </c>
      <c r="V299">
        <v>0</v>
      </c>
      <c r="W299">
        <v>0</v>
      </c>
      <c r="X299">
        <v>0</v>
      </c>
    </row>
    <row r="300" spans="1:24" x14ac:dyDescent="0.25">
      <c r="A300" t="s">
        <v>15</v>
      </c>
      <c r="B300" t="s">
        <v>24</v>
      </c>
      <c r="C300">
        <v>20150316</v>
      </c>
      <c r="D300">
        <v>0</v>
      </c>
      <c r="F300">
        <v>62500</v>
      </c>
      <c r="G300" t="s">
        <v>17</v>
      </c>
      <c r="I300" t="s">
        <v>16</v>
      </c>
      <c r="J300" t="s">
        <v>187</v>
      </c>
      <c r="K300" t="s">
        <v>25</v>
      </c>
      <c r="L300">
        <v>132757294</v>
      </c>
      <c r="R300">
        <v>920</v>
      </c>
      <c r="S300" t="s">
        <v>206</v>
      </c>
      <c r="T300">
        <v>0</v>
      </c>
      <c r="U300">
        <v>48</v>
      </c>
      <c r="V300">
        <v>0</v>
      </c>
      <c r="W300">
        <v>0</v>
      </c>
      <c r="X300">
        <v>0</v>
      </c>
    </row>
    <row r="301" spans="1:24" x14ac:dyDescent="0.25">
      <c r="A301" t="s">
        <v>15</v>
      </c>
      <c r="B301" t="s">
        <v>24</v>
      </c>
      <c r="C301">
        <v>20150316</v>
      </c>
      <c r="D301">
        <v>0</v>
      </c>
      <c r="F301">
        <v>62500</v>
      </c>
      <c r="G301" t="s">
        <v>17</v>
      </c>
      <c r="I301" t="s">
        <v>16</v>
      </c>
      <c r="J301" t="s">
        <v>187</v>
      </c>
      <c r="K301" t="s">
        <v>25</v>
      </c>
      <c r="L301">
        <v>132757294</v>
      </c>
      <c r="R301">
        <v>921</v>
      </c>
      <c r="S301" t="s">
        <v>204</v>
      </c>
      <c r="T301">
        <v>0</v>
      </c>
      <c r="U301">
        <v>48</v>
      </c>
      <c r="V301">
        <v>0</v>
      </c>
      <c r="W301">
        <v>0</v>
      </c>
      <c r="X301">
        <v>0</v>
      </c>
    </row>
    <row r="302" spans="1:24" x14ac:dyDescent="0.25">
      <c r="A302" t="s">
        <v>15</v>
      </c>
      <c r="B302" t="s">
        <v>24</v>
      </c>
      <c r="C302">
        <v>20150316</v>
      </c>
      <c r="D302">
        <v>0</v>
      </c>
      <c r="F302">
        <v>62500</v>
      </c>
      <c r="G302" t="s">
        <v>17</v>
      </c>
      <c r="I302" t="s">
        <v>16</v>
      </c>
      <c r="J302" t="s">
        <v>187</v>
      </c>
      <c r="K302" t="s">
        <v>25</v>
      </c>
      <c r="L302">
        <v>132757294</v>
      </c>
      <c r="R302">
        <v>921</v>
      </c>
      <c r="S302" t="s">
        <v>204</v>
      </c>
      <c r="T302">
        <v>0</v>
      </c>
      <c r="U302">
        <v>48</v>
      </c>
      <c r="V302">
        <v>0</v>
      </c>
      <c r="W302">
        <v>0</v>
      </c>
      <c r="X302">
        <v>0</v>
      </c>
    </row>
    <row r="303" spans="1:24" x14ac:dyDescent="0.25">
      <c r="A303" t="s">
        <v>15</v>
      </c>
      <c r="B303" t="s">
        <v>24</v>
      </c>
      <c r="C303">
        <v>20150316</v>
      </c>
      <c r="D303">
        <v>0</v>
      </c>
      <c r="F303">
        <v>62500</v>
      </c>
      <c r="G303" t="s">
        <v>17</v>
      </c>
      <c r="I303" t="s">
        <v>16</v>
      </c>
      <c r="J303" t="s">
        <v>187</v>
      </c>
      <c r="K303" t="s">
        <v>25</v>
      </c>
      <c r="L303">
        <v>132757294</v>
      </c>
      <c r="R303">
        <v>921</v>
      </c>
      <c r="S303" t="s">
        <v>205</v>
      </c>
      <c r="T303">
        <v>0</v>
      </c>
      <c r="U303">
        <v>48</v>
      </c>
      <c r="V303">
        <v>0</v>
      </c>
      <c r="W303">
        <v>0</v>
      </c>
      <c r="X303">
        <v>0</v>
      </c>
    </row>
    <row r="304" spans="1:24" x14ac:dyDescent="0.25">
      <c r="A304" t="s">
        <v>15</v>
      </c>
      <c r="B304" t="s">
        <v>24</v>
      </c>
      <c r="C304">
        <v>20150316</v>
      </c>
      <c r="D304">
        <v>0</v>
      </c>
      <c r="F304">
        <v>62500</v>
      </c>
      <c r="G304" t="s">
        <v>17</v>
      </c>
      <c r="I304" t="s">
        <v>16</v>
      </c>
      <c r="J304" t="s">
        <v>187</v>
      </c>
      <c r="K304" t="s">
        <v>25</v>
      </c>
      <c r="L304">
        <v>132757294</v>
      </c>
      <c r="R304">
        <v>921</v>
      </c>
      <c r="S304" t="s">
        <v>206</v>
      </c>
      <c r="T304">
        <v>0</v>
      </c>
      <c r="U304">
        <v>48</v>
      </c>
      <c r="V304">
        <v>0</v>
      </c>
      <c r="W304">
        <v>0</v>
      </c>
      <c r="X304">
        <v>0</v>
      </c>
    </row>
    <row r="305" spans="1:24" x14ac:dyDescent="0.25">
      <c r="A305" t="s">
        <v>15</v>
      </c>
      <c r="B305" t="s">
        <v>24</v>
      </c>
      <c r="C305">
        <v>20150316</v>
      </c>
      <c r="D305">
        <v>0</v>
      </c>
      <c r="F305">
        <v>62500</v>
      </c>
      <c r="G305" t="s">
        <v>17</v>
      </c>
      <c r="I305" t="s">
        <v>16</v>
      </c>
      <c r="J305" t="s">
        <v>187</v>
      </c>
      <c r="K305" t="s">
        <v>25</v>
      </c>
      <c r="L305">
        <v>132757294</v>
      </c>
      <c r="R305">
        <v>922</v>
      </c>
      <c r="S305" t="s">
        <v>203</v>
      </c>
      <c r="T305">
        <v>0</v>
      </c>
      <c r="U305">
        <v>48</v>
      </c>
      <c r="V305">
        <v>0</v>
      </c>
      <c r="W305">
        <v>0</v>
      </c>
      <c r="X305">
        <v>0</v>
      </c>
    </row>
    <row r="306" spans="1:24" x14ac:dyDescent="0.25">
      <c r="A306" t="s">
        <v>15</v>
      </c>
      <c r="B306" t="s">
        <v>24</v>
      </c>
      <c r="C306">
        <v>20150316</v>
      </c>
      <c r="D306">
        <v>0</v>
      </c>
      <c r="F306">
        <v>62500</v>
      </c>
      <c r="G306" t="s">
        <v>17</v>
      </c>
      <c r="I306" t="s">
        <v>16</v>
      </c>
      <c r="J306" t="s">
        <v>187</v>
      </c>
      <c r="K306" t="s">
        <v>25</v>
      </c>
      <c r="L306">
        <v>132757294</v>
      </c>
      <c r="R306">
        <v>922</v>
      </c>
      <c r="S306" t="s">
        <v>204</v>
      </c>
      <c r="T306">
        <v>0</v>
      </c>
      <c r="U306">
        <v>48</v>
      </c>
      <c r="V306">
        <v>0</v>
      </c>
      <c r="W306">
        <v>0</v>
      </c>
      <c r="X306">
        <v>0</v>
      </c>
    </row>
    <row r="307" spans="1:24" x14ac:dyDescent="0.25">
      <c r="A307" t="s">
        <v>15</v>
      </c>
      <c r="B307" t="s">
        <v>24</v>
      </c>
      <c r="C307">
        <v>20150316</v>
      </c>
      <c r="D307">
        <v>0</v>
      </c>
      <c r="F307">
        <v>62500</v>
      </c>
      <c r="G307" t="s">
        <v>17</v>
      </c>
      <c r="I307" t="s">
        <v>16</v>
      </c>
      <c r="J307" t="s">
        <v>187</v>
      </c>
      <c r="K307" t="s">
        <v>25</v>
      </c>
      <c r="L307">
        <v>132757294</v>
      </c>
      <c r="R307">
        <v>922</v>
      </c>
      <c r="S307" t="s">
        <v>204</v>
      </c>
      <c r="T307">
        <v>0</v>
      </c>
      <c r="U307">
        <v>48</v>
      </c>
      <c r="V307">
        <v>0</v>
      </c>
      <c r="W307">
        <v>0</v>
      </c>
      <c r="X307">
        <v>0</v>
      </c>
    </row>
    <row r="308" spans="1:24" x14ac:dyDescent="0.25">
      <c r="A308" t="s">
        <v>15</v>
      </c>
      <c r="B308" t="s">
        <v>24</v>
      </c>
      <c r="C308">
        <v>20150316</v>
      </c>
      <c r="D308">
        <v>0</v>
      </c>
      <c r="F308">
        <v>62500</v>
      </c>
      <c r="G308" t="s">
        <v>17</v>
      </c>
      <c r="I308" t="s">
        <v>16</v>
      </c>
      <c r="J308" t="s">
        <v>187</v>
      </c>
      <c r="K308" t="s">
        <v>25</v>
      </c>
      <c r="L308">
        <v>132757294</v>
      </c>
      <c r="R308">
        <v>923</v>
      </c>
      <c r="S308" t="s">
        <v>203</v>
      </c>
      <c r="T308">
        <v>0</v>
      </c>
      <c r="U308">
        <v>48</v>
      </c>
      <c r="V308">
        <v>0</v>
      </c>
      <c r="W308">
        <v>0</v>
      </c>
      <c r="X308">
        <v>0</v>
      </c>
    </row>
    <row r="309" spans="1:24" x14ac:dyDescent="0.25">
      <c r="A309" t="s">
        <v>15</v>
      </c>
      <c r="B309" t="s">
        <v>24</v>
      </c>
      <c r="C309">
        <v>20150316</v>
      </c>
      <c r="D309">
        <v>0</v>
      </c>
      <c r="F309">
        <v>62500</v>
      </c>
      <c r="G309" t="s">
        <v>17</v>
      </c>
      <c r="I309" t="s">
        <v>16</v>
      </c>
      <c r="J309" t="s">
        <v>187</v>
      </c>
      <c r="K309" t="s">
        <v>25</v>
      </c>
      <c r="L309">
        <v>132757294</v>
      </c>
      <c r="R309">
        <v>922</v>
      </c>
      <c r="S309" t="s">
        <v>205</v>
      </c>
      <c r="T309">
        <v>0</v>
      </c>
      <c r="U309">
        <v>48</v>
      </c>
      <c r="V309">
        <v>0</v>
      </c>
      <c r="W309">
        <v>0</v>
      </c>
      <c r="X309">
        <v>0</v>
      </c>
    </row>
    <row r="310" spans="1:24" x14ac:dyDescent="0.25">
      <c r="A310" t="s">
        <v>15</v>
      </c>
      <c r="B310" t="s">
        <v>24</v>
      </c>
      <c r="C310">
        <v>20150316</v>
      </c>
      <c r="D310">
        <v>0</v>
      </c>
      <c r="F310">
        <v>62500</v>
      </c>
      <c r="G310" t="s">
        <v>17</v>
      </c>
      <c r="I310" t="s">
        <v>16</v>
      </c>
      <c r="J310" t="s">
        <v>187</v>
      </c>
      <c r="K310" t="s">
        <v>25</v>
      </c>
      <c r="L310">
        <v>132757294</v>
      </c>
      <c r="R310">
        <v>922</v>
      </c>
      <c r="S310" t="s">
        <v>206</v>
      </c>
      <c r="T310">
        <v>0</v>
      </c>
      <c r="U310">
        <v>48</v>
      </c>
      <c r="V310">
        <v>0</v>
      </c>
      <c r="W310">
        <v>0</v>
      </c>
      <c r="X310">
        <v>0</v>
      </c>
    </row>
    <row r="311" spans="1:24" x14ac:dyDescent="0.25">
      <c r="A311" t="s">
        <v>15</v>
      </c>
      <c r="B311" t="s">
        <v>24</v>
      </c>
      <c r="C311">
        <v>20150316</v>
      </c>
      <c r="D311">
        <v>0</v>
      </c>
      <c r="F311">
        <v>62500</v>
      </c>
      <c r="G311" t="s">
        <v>17</v>
      </c>
      <c r="I311" t="s">
        <v>16</v>
      </c>
      <c r="J311" t="s">
        <v>187</v>
      </c>
      <c r="K311" t="s">
        <v>25</v>
      </c>
      <c r="L311">
        <v>132757294</v>
      </c>
      <c r="R311">
        <v>924</v>
      </c>
      <c r="S311" t="s">
        <v>203</v>
      </c>
      <c r="T311">
        <v>0</v>
      </c>
      <c r="U311">
        <v>-48</v>
      </c>
      <c r="V311">
        <v>0</v>
      </c>
      <c r="W311">
        <v>0</v>
      </c>
      <c r="X311">
        <v>0</v>
      </c>
    </row>
    <row r="312" spans="1:24" x14ac:dyDescent="0.25">
      <c r="A312" t="s">
        <v>15</v>
      </c>
      <c r="B312" t="s">
        <v>24</v>
      </c>
      <c r="C312">
        <v>20150316</v>
      </c>
      <c r="D312">
        <v>0</v>
      </c>
      <c r="F312">
        <v>62500</v>
      </c>
      <c r="G312" t="s">
        <v>17</v>
      </c>
      <c r="I312" t="s">
        <v>16</v>
      </c>
      <c r="J312" t="s">
        <v>187</v>
      </c>
      <c r="K312" t="s">
        <v>25</v>
      </c>
      <c r="L312">
        <v>132757294</v>
      </c>
      <c r="R312">
        <v>923</v>
      </c>
      <c r="S312" t="s">
        <v>204</v>
      </c>
      <c r="T312">
        <v>0</v>
      </c>
      <c r="U312">
        <v>48</v>
      </c>
      <c r="V312">
        <v>0</v>
      </c>
      <c r="W312">
        <v>0</v>
      </c>
      <c r="X312">
        <v>0</v>
      </c>
    </row>
    <row r="313" spans="1:24" x14ac:dyDescent="0.25">
      <c r="A313" t="s">
        <v>15</v>
      </c>
      <c r="B313" t="s">
        <v>24</v>
      </c>
      <c r="C313">
        <v>20150316</v>
      </c>
      <c r="D313">
        <v>0</v>
      </c>
      <c r="F313">
        <v>62500</v>
      </c>
      <c r="G313" t="s">
        <v>17</v>
      </c>
      <c r="I313" t="s">
        <v>16</v>
      </c>
      <c r="J313" t="s">
        <v>187</v>
      </c>
      <c r="K313" t="s">
        <v>25</v>
      </c>
      <c r="L313">
        <v>132757294</v>
      </c>
      <c r="R313">
        <v>923</v>
      </c>
      <c r="S313" t="s">
        <v>204</v>
      </c>
      <c r="T313">
        <v>0</v>
      </c>
      <c r="U313">
        <v>48</v>
      </c>
      <c r="V313">
        <v>0</v>
      </c>
      <c r="W313">
        <v>0</v>
      </c>
      <c r="X313">
        <v>0</v>
      </c>
    </row>
    <row r="314" spans="1:24" x14ac:dyDescent="0.25">
      <c r="A314" t="s">
        <v>15</v>
      </c>
      <c r="B314" t="s">
        <v>24</v>
      </c>
      <c r="C314">
        <v>20150316</v>
      </c>
      <c r="D314">
        <v>0</v>
      </c>
      <c r="F314">
        <v>62500</v>
      </c>
      <c r="G314" t="s">
        <v>17</v>
      </c>
      <c r="I314" t="s">
        <v>16</v>
      </c>
      <c r="J314" t="s">
        <v>187</v>
      </c>
      <c r="K314" t="s">
        <v>25</v>
      </c>
      <c r="L314">
        <v>132757294</v>
      </c>
      <c r="R314">
        <v>917</v>
      </c>
      <c r="S314" t="s">
        <v>205</v>
      </c>
      <c r="T314">
        <v>0</v>
      </c>
      <c r="U314">
        <v>49</v>
      </c>
      <c r="V314">
        <v>0</v>
      </c>
      <c r="W314">
        <v>0</v>
      </c>
      <c r="X314">
        <v>0</v>
      </c>
    </row>
    <row r="315" spans="1:24" x14ac:dyDescent="0.25">
      <c r="A315" t="s">
        <v>15</v>
      </c>
      <c r="B315" t="s">
        <v>24</v>
      </c>
      <c r="C315">
        <v>20150316</v>
      </c>
      <c r="D315">
        <v>0</v>
      </c>
      <c r="F315">
        <v>62500</v>
      </c>
      <c r="G315" t="s">
        <v>17</v>
      </c>
      <c r="I315" t="s">
        <v>16</v>
      </c>
      <c r="J315" t="s">
        <v>187</v>
      </c>
      <c r="K315" t="s">
        <v>25</v>
      </c>
      <c r="L315">
        <v>132757294</v>
      </c>
      <c r="R315">
        <v>917</v>
      </c>
      <c r="S315" t="s">
        <v>206</v>
      </c>
      <c r="T315">
        <v>0</v>
      </c>
      <c r="U315">
        <v>49</v>
      </c>
      <c r="V315">
        <v>0</v>
      </c>
      <c r="W315">
        <v>0</v>
      </c>
      <c r="X315">
        <v>0</v>
      </c>
    </row>
    <row r="316" spans="1:24" x14ac:dyDescent="0.25">
      <c r="A316" t="s">
        <v>15</v>
      </c>
      <c r="B316" t="s">
        <v>24</v>
      </c>
      <c r="C316">
        <v>20150316</v>
      </c>
      <c r="D316">
        <v>0</v>
      </c>
      <c r="F316">
        <v>62500</v>
      </c>
      <c r="G316" t="s">
        <v>17</v>
      </c>
      <c r="I316" t="s">
        <v>16</v>
      </c>
      <c r="J316" t="s">
        <v>187</v>
      </c>
      <c r="K316" t="s">
        <v>25</v>
      </c>
      <c r="L316">
        <v>132757294</v>
      </c>
      <c r="R316">
        <v>924</v>
      </c>
      <c r="S316" t="s">
        <v>204</v>
      </c>
      <c r="T316">
        <v>0</v>
      </c>
      <c r="U316">
        <v>48</v>
      </c>
      <c r="V316">
        <v>0</v>
      </c>
      <c r="W316">
        <v>0</v>
      </c>
      <c r="X316">
        <v>0</v>
      </c>
    </row>
    <row r="317" spans="1:24" x14ac:dyDescent="0.25">
      <c r="A317" t="s">
        <v>15</v>
      </c>
      <c r="B317" t="s">
        <v>24</v>
      </c>
      <c r="C317">
        <v>20150316</v>
      </c>
      <c r="D317">
        <v>0</v>
      </c>
      <c r="F317">
        <v>62500</v>
      </c>
      <c r="G317" t="s">
        <v>17</v>
      </c>
      <c r="I317" t="s">
        <v>16</v>
      </c>
      <c r="J317" t="s">
        <v>187</v>
      </c>
      <c r="K317" t="s">
        <v>25</v>
      </c>
      <c r="L317">
        <v>132757294</v>
      </c>
      <c r="R317">
        <v>924</v>
      </c>
      <c r="S317" t="s">
        <v>204</v>
      </c>
      <c r="T317">
        <v>0</v>
      </c>
      <c r="U317">
        <v>48</v>
      </c>
      <c r="V317">
        <v>0</v>
      </c>
      <c r="W317">
        <v>0</v>
      </c>
      <c r="X317">
        <v>0</v>
      </c>
    </row>
    <row r="318" spans="1:24" x14ac:dyDescent="0.25">
      <c r="A318" t="s">
        <v>15</v>
      </c>
      <c r="B318" t="s">
        <v>24</v>
      </c>
      <c r="C318">
        <v>20150316</v>
      </c>
      <c r="D318">
        <v>0</v>
      </c>
      <c r="F318">
        <v>62500</v>
      </c>
      <c r="G318" t="s">
        <v>17</v>
      </c>
      <c r="I318" t="s">
        <v>16</v>
      </c>
      <c r="J318" t="s">
        <v>187</v>
      </c>
      <c r="K318" t="s">
        <v>25</v>
      </c>
      <c r="L318">
        <v>132757294</v>
      </c>
      <c r="R318">
        <v>925</v>
      </c>
      <c r="S318" t="s">
        <v>203</v>
      </c>
      <c r="T318">
        <v>0</v>
      </c>
      <c r="U318">
        <v>47</v>
      </c>
      <c r="V318">
        <v>0</v>
      </c>
      <c r="W318">
        <v>0</v>
      </c>
      <c r="X318">
        <v>0</v>
      </c>
    </row>
    <row r="319" spans="1:24" x14ac:dyDescent="0.25">
      <c r="A319" t="s">
        <v>15</v>
      </c>
      <c r="B319" t="s">
        <v>24</v>
      </c>
      <c r="C319">
        <v>20150316</v>
      </c>
      <c r="D319">
        <v>0</v>
      </c>
      <c r="F319">
        <v>62500</v>
      </c>
      <c r="G319" t="s">
        <v>17</v>
      </c>
      <c r="I319" t="s">
        <v>16</v>
      </c>
      <c r="J319" t="s">
        <v>187</v>
      </c>
      <c r="K319" t="s">
        <v>25</v>
      </c>
      <c r="L319">
        <v>132757294</v>
      </c>
      <c r="R319">
        <v>923</v>
      </c>
      <c r="S319" t="s">
        <v>205</v>
      </c>
      <c r="T319">
        <v>0</v>
      </c>
      <c r="U319">
        <v>48</v>
      </c>
      <c r="V319">
        <v>0</v>
      </c>
      <c r="W319">
        <v>0</v>
      </c>
      <c r="X319">
        <v>0</v>
      </c>
    </row>
    <row r="320" spans="1:24" x14ac:dyDescent="0.25">
      <c r="A320" t="s">
        <v>15</v>
      </c>
      <c r="B320" t="s">
        <v>24</v>
      </c>
      <c r="C320">
        <v>20150316</v>
      </c>
      <c r="D320">
        <v>0</v>
      </c>
      <c r="F320">
        <v>62500</v>
      </c>
      <c r="G320" t="s">
        <v>17</v>
      </c>
      <c r="I320" t="s">
        <v>16</v>
      </c>
      <c r="J320" t="s">
        <v>187</v>
      </c>
      <c r="K320" t="s">
        <v>25</v>
      </c>
      <c r="L320">
        <v>132757294</v>
      </c>
      <c r="R320">
        <v>923</v>
      </c>
      <c r="S320" t="s">
        <v>206</v>
      </c>
      <c r="T320">
        <v>0</v>
      </c>
      <c r="U320">
        <v>48</v>
      </c>
      <c r="V320">
        <v>0</v>
      </c>
      <c r="W320">
        <v>0</v>
      </c>
      <c r="X320">
        <v>0</v>
      </c>
    </row>
    <row r="321" spans="1:24" x14ac:dyDescent="0.25">
      <c r="A321" t="s">
        <v>15</v>
      </c>
      <c r="B321" t="s">
        <v>24</v>
      </c>
      <c r="C321">
        <v>20150316</v>
      </c>
      <c r="D321">
        <v>0</v>
      </c>
      <c r="F321">
        <v>62500</v>
      </c>
      <c r="G321" t="s">
        <v>17</v>
      </c>
      <c r="I321" t="s">
        <v>16</v>
      </c>
      <c r="J321" t="s">
        <v>187</v>
      </c>
      <c r="K321" t="s">
        <v>25</v>
      </c>
      <c r="L321">
        <v>132757294</v>
      </c>
      <c r="R321">
        <v>925</v>
      </c>
      <c r="S321" t="s">
        <v>204</v>
      </c>
      <c r="T321">
        <v>0</v>
      </c>
      <c r="U321">
        <v>47</v>
      </c>
      <c r="V321">
        <v>0</v>
      </c>
      <c r="W321">
        <v>0</v>
      </c>
      <c r="X321">
        <v>0</v>
      </c>
    </row>
    <row r="322" spans="1:24" x14ac:dyDescent="0.25">
      <c r="A322" t="s">
        <v>15</v>
      </c>
      <c r="B322" t="s">
        <v>24</v>
      </c>
      <c r="C322">
        <v>20150316</v>
      </c>
      <c r="D322">
        <v>0</v>
      </c>
      <c r="F322">
        <v>62500</v>
      </c>
      <c r="G322" t="s">
        <v>17</v>
      </c>
      <c r="I322" t="s">
        <v>16</v>
      </c>
      <c r="J322" t="s">
        <v>187</v>
      </c>
      <c r="K322" t="s">
        <v>25</v>
      </c>
      <c r="L322">
        <v>132757294</v>
      </c>
      <c r="R322">
        <v>925</v>
      </c>
      <c r="S322" t="s">
        <v>204</v>
      </c>
      <c r="T322">
        <v>0</v>
      </c>
      <c r="U322">
        <v>47</v>
      </c>
      <c r="V322">
        <v>0</v>
      </c>
      <c r="W322">
        <v>0</v>
      </c>
      <c r="X322">
        <v>0</v>
      </c>
    </row>
    <row r="323" spans="1:24" x14ac:dyDescent="0.25">
      <c r="A323" t="s">
        <v>15</v>
      </c>
      <c r="B323" t="s">
        <v>24</v>
      </c>
      <c r="C323">
        <v>20150316</v>
      </c>
      <c r="D323">
        <v>0</v>
      </c>
      <c r="F323">
        <v>62500</v>
      </c>
      <c r="G323" t="s">
        <v>17</v>
      </c>
      <c r="I323" t="s">
        <v>16</v>
      </c>
      <c r="J323" t="s">
        <v>187</v>
      </c>
      <c r="K323" t="s">
        <v>25</v>
      </c>
      <c r="L323">
        <v>132757294</v>
      </c>
      <c r="R323">
        <v>926</v>
      </c>
      <c r="S323" t="s">
        <v>203</v>
      </c>
      <c r="T323">
        <v>0</v>
      </c>
      <c r="U323">
        <v>48</v>
      </c>
      <c r="V323">
        <v>0</v>
      </c>
      <c r="W323">
        <v>0</v>
      </c>
      <c r="X323">
        <v>0</v>
      </c>
    </row>
    <row r="324" spans="1:24" x14ac:dyDescent="0.25">
      <c r="A324" t="s">
        <v>15</v>
      </c>
      <c r="B324" t="s">
        <v>24</v>
      </c>
      <c r="C324">
        <v>20150316</v>
      </c>
      <c r="D324">
        <v>0</v>
      </c>
      <c r="F324">
        <v>62500</v>
      </c>
      <c r="G324" t="s">
        <v>17</v>
      </c>
      <c r="I324" t="s">
        <v>16</v>
      </c>
      <c r="J324" t="s">
        <v>187</v>
      </c>
      <c r="K324" t="s">
        <v>25</v>
      </c>
      <c r="L324">
        <v>132757294</v>
      </c>
      <c r="R324">
        <v>925</v>
      </c>
      <c r="S324" t="s">
        <v>205</v>
      </c>
      <c r="T324">
        <v>0</v>
      </c>
      <c r="U324">
        <v>47</v>
      </c>
      <c r="V324">
        <v>0</v>
      </c>
      <c r="W324">
        <v>0</v>
      </c>
      <c r="X324">
        <v>0</v>
      </c>
    </row>
    <row r="325" spans="1:24" x14ac:dyDescent="0.25">
      <c r="A325" t="s">
        <v>15</v>
      </c>
      <c r="B325" t="s">
        <v>24</v>
      </c>
      <c r="C325">
        <v>20150316</v>
      </c>
      <c r="D325">
        <v>0</v>
      </c>
      <c r="F325">
        <v>62500</v>
      </c>
      <c r="G325" t="s">
        <v>17</v>
      </c>
      <c r="I325" t="s">
        <v>16</v>
      </c>
      <c r="J325" t="s">
        <v>187</v>
      </c>
      <c r="K325" t="s">
        <v>25</v>
      </c>
      <c r="L325">
        <v>132757294</v>
      </c>
      <c r="R325">
        <v>925</v>
      </c>
      <c r="S325" t="s">
        <v>206</v>
      </c>
      <c r="T325">
        <v>0</v>
      </c>
      <c r="U325">
        <v>47</v>
      </c>
      <c r="V325">
        <v>0</v>
      </c>
      <c r="W325">
        <v>0</v>
      </c>
      <c r="X325">
        <v>0</v>
      </c>
    </row>
    <row r="326" spans="1:24" x14ac:dyDescent="0.25">
      <c r="A326" t="s">
        <v>15</v>
      </c>
      <c r="B326" t="s">
        <v>24</v>
      </c>
      <c r="C326">
        <v>20150316</v>
      </c>
      <c r="D326">
        <v>0</v>
      </c>
      <c r="F326">
        <v>62500</v>
      </c>
      <c r="G326" t="s">
        <v>17</v>
      </c>
      <c r="I326" t="s">
        <v>16</v>
      </c>
      <c r="J326" t="s">
        <v>187</v>
      </c>
      <c r="K326" t="s">
        <v>25</v>
      </c>
      <c r="L326">
        <v>132757294</v>
      </c>
      <c r="R326">
        <v>926</v>
      </c>
      <c r="S326" t="s">
        <v>204</v>
      </c>
      <c r="T326">
        <v>0</v>
      </c>
      <c r="U326">
        <v>48</v>
      </c>
      <c r="V326">
        <v>0</v>
      </c>
      <c r="W326">
        <v>0</v>
      </c>
      <c r="X326">
        <v>0</v>
      </c>
    </row>
    <row r="327" spans="1:24" x14ac:dyDescent="0.25">
      <c r="A327" t="s">
        <v>15</v>
      </c>
      <c r="B327" t="s">
        <v>24</v>
      </c>
      <c r="C327">
        <v>20150316</v>
      </c>
      <c r="D327">
        <v>0</v>
      </c>
      <c r="F327">
        <v>62500</v>
      </c>
      <c r="G327" t="s">
        <v>17</v>
      </c>
      <c r="I327" t="s">
        <v>16</v>
      </c>
      <c r="J327" t="s">
        <v>187</v>
      </c>
      <c r="K327" t="s">
        <v>25</v>
      </c>
      <c r="L327">
        <v>132757294</v>
      </c>
      <c r="R327">
        <v>926</v>
      </c>
      <c r="S327" t="s">
        <v>204</v>
      </c>
      <c r="T327">
        <v>0</v>
      </c>
      <c r="U327">
        <v>48</v>
      </c>
      <c r="V327">
        <v>0</v>
      </c>
      <c r="W327">
        <v>0</v>
      </c>
      <c r="X327">
        <v>0</v>
      </c>
    </row>
    <row r="328" spans="1:24" x14ac:dyDescent="0.25">
      <c r="A328" t="s">
        <v>15</v>
      </c>
      <c r="B328" t="s">
        <v>24</v>
      </c>
      <c r="C328">
        <v>20150316</v>
      </c>
      <c r="D328">
        <v>0</v>
      </c>
      <c r="F328">
        <v>62500</v>
      </c>
      <c r="G328" t="s">
        <v>17</v>
      </c>
      <c r="I328" t="s">
        <v>16</v>
      </c>
      <c r="J328" t="s">
        <v>187</v>
      </c>
      <c r="K328" t="s">
        <v>25</v>
      </c>
      <c r="L328">
        <v>132757294</v>
      </c>
      <c r="R328">
        <v>927</v>
      </c>
      <c r="S328" t="s">
        <v>203</v>
      </c>
      <c r="T328">
        <v>0</v>
      </c>
      <c r="U328">
        <v>47</v>
      </c>
      <c r="V328">
        <v>0</v>
      </c>
      <c r="W328">
        <v>0</v>
      </c>
      <c r="X328">
        <v>0</v>
      </c>
    </row>
    <row r="329" spans="1:24" x14ac:dyDescent="0.25">
      <c r="A329" t="s">
        <v>15</v>
      </c>
      <c r="B329" t="s">
        <v>24</v>
      </c>
      <c r="C329">
        <v>20150316</v>
      </c>
      <c r="D329">
        <v>0</v>
      </c>
      <c r="F329">
        <v>62500</v>
      </c>
      <c r="G329" t="s">
        <v>17</v>
      </c>
      <c r="I329" t="s">
        <v>16</v>
      </c>
      <c r="J329" t="s">
        <v>187</v>
      </c>
      <c r="K329" t="s">
        <v>25</v>
      </c>
      <c r="L329">
        <v>132757294</v>
      </c>
      <c r="R329">
        <v>926</v>
      </c>
      <c r="S329" t="s">
        <v>205</v>
      </c>
      <c r="T329">
        <v>0</v>
      </c>
      <c r="U329">
        <v>48</v>
      </c>
      <c r="V329">
        <v>0</v>
      </c>
      <c r="W329">
        <v>0</v>
      </c>
      <c r="X329">
        <v>0</v>
      </c>
    </row>
    <row r="330" spans="1:24" x14ac:dyDescent="0.25">
      <c r="A330" t="s">
        <v>15</v>
      </c>
      <c r="B330" t="s">
        <v>24</v>
      </c>
      <c r="C330">
        <v>20150316</v>
      </c>
      <c r="D330">
        <v>0</v>
      </c>
      <c r="F330">
        <v>62500</v>
      </c>
      <c r="G330" t="s">
        <v>17</v>
      </c>
      <c r="I330" t="s">
        <v>16</v>
      </c>
      <c r="J330" t="s">
        <v>187</v>
      </c>
      <c r="K330" t="s">
        <v>25</v>
      </c>
      <c r="L330">
        <v>132757294</v>
      </c>
      <c r="R330">
        <v>926</v>
      </c>
      <c r="S330" t="s">
        <v>206</v>
      </c>
      <c r="T330">
        <v>0</v>
      </c>
      <c r="U330">
        <v>48</v>
      </c>
      <c r="V330">
        <v>0</v>
      </c>
      <c r="W330">
        <v>0</v>
      </c>
      <c r="X330">
        <v>0</v>
      </c>
    </row>
    <row r="331" spans="1:24" x14ac:dyDescent="0.25">
      <c r="A331" t="s">
        <v>15</v>
      </c>
      <c r="B331" t="s">
        <v>24</v>
      </c>
      <c r="C331">
        <v>20150316</v>
      </c>
      <c r="D331">
        <v>0</v>
      </c>
      <c r="F331">
        <v>62500</v>
      </c>
      <c r="G331" t="s">
        <v>17</v>
      </c>
      <c r="I331" t="s">
        <v>16</v>
      </c>
      <c r="J331" t="s">
        <v>187</v>
      </c>
      <c r="K331" t="s">
        <v>25</v>
      </c>
      <c r="L331">
        <v>132757294</v>
      </c>
      <c r="R331">
        <v>927</v>
      </c>
      <c r="S331" t="s">
        <v>204</v>
      </c>
      <c r="T331">
        <v>0</v>
      </c>
      <c r="U331">
        <v>47</v>
      </c>
      <c r="V331">
        <v>0</v>
      </c>
      <c r="W331">
        <v>0</v>
      </c>
      <c r="X331">
        <v>0</v>
      </c>
    </row>
    <row r="332" spans="1:24" x14ac:dyDescent="0.25">
      <c r="A332" t="s">
        <v>15</v>
      </c>
      <c r="B332" t="s">
        <v>24</v>
      </c>
      <c r="C332">
        <v>20150316</v>
      </c>
      <c r="D332">
        <v>0</v>
      </c>
      <c r="F332">
        <v>62500</v>
      </c>
      <c r="G332" t="s">
        <v>17</v>
      </c>
      <c r="I332" t="s">
        <v>16</v>
      </c>
      <c r="J332" t="s">
        <v>187</v>
      </c>
      <c r="K332" t="s">
        <v>25</v>
      </c>
      <c r="L332">
        <v>132757294</v>
      </c>
      <c r="R332">
        <v>927</v>
      </c>
      <c r="S332" t="s">
        <v>204</v>
      </c>
      <c r="T332">
        <v>0</v>
      </c>
      <c r="U332">
        <v>47</v>
      </c>
      <c r="V332">
        <v>0</v>
      </c>
      <c r="W332">
        <v>0</v>
      </c>
      <c r="X332">
        <v>0</v>
      </c>
    </row>
    <row r="333" spans="1:24" x14ac:dyDescent="0.25">
      <c r="A333" t="s">
        <v>15</v>
      </c>
      <c r="B333" t="s">
        <v>24</v>
      </c>
      <c r="C333">
        <v>20150316</v>
      </c>
      <c r="D333">
        <v>0</v>
      </c>
      <c r="F333">
        <v>62500</v>
      </c>
      <c r="G333" t="s">
        <v>17</v>
      </c>
      <c r="I333" t="s">
        <v>16</v>
      </c>
      <c r="J333" t="s">
        <v>187</v>
      </c>
      <c r="K333" t="s">
        <v>25</v>
      </c>
      <c r="L333">
        <v>132757294</v>
      </c>
      <c r="R333">
        <v>928</v>
      </c>
      <c r="S333" t="s">
        <v>203</v>
      </c>
      <c r="T333">
        <v>0</v>
      </c>
      <c r="U333">
        <v>-47</v>
      </c>
      <c r="V333">
        <v>0</v>
      </c>
      <c r="W333">
        <v>0</v>
      </c>
      <c r="X333">
        <v>0</v>
      </c>
    </row>
    <row r="334" spans="1:24" x14ac:dyDescent="0.25">
      <c r="A334" t="s">
        <v>15</v>
      </c>
      <c r="B334" t="s">
        <v>24</v>
      </c>
      <c r="C334">
        <v>20150316</v>
      </c>
      <c r="D334">
        <v>0</v>
      </c>
      <c r="F334">
        <v>62500</v>
      </c>
      <c r="G334" t="s">
        <v>17</v>
      </c>
      <c r="I334" t="s">
        <v>16</v>
      </c>
      <c r="J334" t="s">
        <v>187</v>
      </c>
      <c r="K334" t="s">
        <v>25</v>
      </c>
      <c r="L334">
        <v>132757294</v>
      </c>
      <c r="R334">
        <v>924</v>
      </c>
      <c r="S334" t="s">
        <v>205</v>
      </c>
      <c r="T334">
        <v>0</v>
      </c>
      <c r="U334">
        <v>48</v>
      </c>
      <c r="V334">
        <v>0</v>
      </c>
      <c r="W334">
        <v>0</v>
      </c>
      <c r="X334">
        <v>0</v>
      </c>
    </row>
    <row r="335" spans="1:24" x14ac:dyDescent="0.25">
      <c r="A335" t="s">
        <v>15</v>
      </c>
      <c r="B335" t="s">
        <v>24</v>
      </c>
      <c r="C335">
        <v>20150316</v>
      </c>
      <c r="D335">
        <v>0</v>
      </c>
      <c r="F335">
        <v>62500</v>
      </c>
      <c r="G335" t="s">
        <v>17</v>
      </c>
      <c r="I335" t="s">
        <v>16</v>
      </c>
      <c r="J335" t="s">
        <v>187</v>
      </c>
      <c r="K335" t="s">
        <v>25</v>
      </c>
      <c r="L335">
        <v>132757294</v>
      </c>
      <c r="R335">
        <v>924</v>
      </c>
      <c r="S335" t="s">
        <v>206</v>
      </c>
      <c r="T335">
        <v>0</v>
      </c>
      <c r="U335">
        <v>48</v>
      </c>
      <c r="V335">
        <v>0</v>
      </c>
      <c r="W335">
        <v>0</v>
      </c>
      <c r="X335">
        <v>0</v>
      </c>
    </row>
    <row r="336" spans="1:24" x14ac:dyDescent="0.25">
      <c r="A336" t="s">
        <v>15</v>
      </c>
      <c r="B336" t="s">
        <v>24</v>
      </c>
      <c r="C336">
        <v>20150316</v>
      </c>
      <c r="D336">
        <v>0</v>
      </c>
      <c r="F336">
        <v>62500</v>
      </c>
      <c r="G336" t="s">
        <v>17</v>
      </c>
      <c r="I336" t="s">
        <v>16</v>
      </c>
      <c r="J336" t="s">
        <v>187</v>
      </c>
      <c r="K336" t="s">
        <v>25</v>
      </c>
      <c r="L336">
        <v>132757294</v>
      </c>
      <c r="R336">
        <v>928</v>
      </c>
      <c r="S336" t="s">
        <v>204</v>
      </c>
      <c r="T336">
        <v>0</v>
      </c>
      <c r="U336">
        <v>47</v>
      </c>
      <c r="V336">
        <v>0</v>
      </c>
      <c r="W336">
        <v>0</v>
      </c>
      <c r="X336">
        <v>0</v>
      </c>
    </row>
    <row r="337" spans="1:24" x14ac:dyDescent="0.25">
      <c r="A337" t="s">
        <v>15</v>
      </c>
      <c r="B337" t="s">
        <v>24</v>
      </c>
      <c r="C337">
        <v>20150316</v>
      </c>
      <c r="D337">
        <v>0</v>
      </c>
      <c r="F337">
        <v>62500</v>
      </c>
      <c r="G337" t="s">
        <v>17</v>
      </c>
      <c r="I337" t="s">
        <v>16</v>
      </c>
      <c r="J337" t="s">
        <v>187</v>
      </c>
      <c r="K337" t="s">
        <v>25</v>
      </c>
      <c r="L337">
        <v>132757294</v>
      </c>
      <c r="R337">
        <v>928</v>
      </c>
      <c r="S337" t="s">
        <v>204</v>
      </c>
      <c r="T337">
        <v>0</v>
      </c>
      <c r="U337">
        <v>47</v>
      </c>
      <c r="V337">
        <v>0</v>
      </c>
      <c r="W337">
        <v>0</v>
      </c>
      <c r="X337">
        <v>0</v>
      </c>
    </row>
    <row r="338" spans="1:24" x14ac:dyDescent="0.25">
      <c r="A338" t="s">
        <v>15</v>
      </c>
      <c r="B338" t="s">
        <v>24</v>
      </c>
      <c r="C338">
        <v>20150316</v>
      </c>
      <c r="D338">
        <v>0</v>
      </c>
      <c r="F338">
        <v>62500</v>
      </c>
      <c r="G338" t="s">
        <v>17</v>
      </c>
      <c r="I338" t="s">
        <v>16</v>
      </c>
      <c r="J338" t="s">
        <v>187</v>
      </c>
      <c r="K338" t="s">
        <v>25</v>
      </c>
      <c r="L338">
        <v>132757294</v>
      </c>
      <c r="R338">
        <v>929</v>
      </c>
      <c r="S338" t="s">
        <v>203</v>
      </c>
      <c r="T338">
        <v>0</v>
      </c>
      <c r="U338">
        <v>-46</v>
      </c>
      <c r="V338">
        <v>0</v>
      </c>
      <c r="W338">
        <v>0</v>
      </c>
      <c r="X338">
        <v>0</v>
      </c>
    </row>
    <row r="339" spans="1:24" x14ac:dyDescent="0.25">
      <c r="A339" t="s">
        <v>15</v>
      </c>
      <c r="B339" t="s">
        <v>24</v>
      </c>
      <c r="C339">
        <v>20150316</v>
      </c>
      <c r="D339">
        <v>0</v>
      </c>
      <c r="F339">
        <v>62500</v>
      </c>
      <c r="G339" t="s">
        <v>17</v>
      </c>
      <c r="I339" t="s">
        <v>16</v>
      </c>
      <c r="J339" t="s">
        <v>187</v>
      </c>
      <c r="K339" t="s">
        <v>25</v>
      </c>
      <c r="L339">
        <v>132757294</v>
      </c>
      <c r="R339">
        <v>928</v>
      </c>
      <c r="S339" t="s">
        <v>205</v>
      </c>
      <c r="T339">
        <v>0</v>
      </c>
      <c r="U339">
        <v>47</v>
      </c>
      <c r="V339">
        <v>0</v>
      </c>
      <c r="W339">
        <v>0</v>
      </c>
      <c r="X339">
        <v>0</v>
      </c>
    </row>
    <row r="340" spans="1:24" x14ac:dyDescent="0.25">
      <c r="A340" t="s">
        <v>15</v>
      </c>
      <c r="B340" t="s">
        <v>24</v>
      </c>
      <c r="C340">
        <v>20150316</v>
      </c>
      <c r="D340">
        <v>0</v>
      </c>
      <c r="F340">
        <v>62500</v>
      </c>
      <c r="G340" t="s">
        <v>17</v>
      </c>
      <c r="I340" t="s">
        <v>16</v>
      </c>
      <c r="J340" t="s">
        <v>187</v>
      </c>
      <c r="K340" t="s">
        <v>25</v>
      </c>
      <c r="L340">
        <v>132757294</v>
      </c>
      <c r="R340">
        <v>928</v>
      </c>
      <c r="S340" t="s">
        <v>206</v>
      </c>
      <c r="T340">
        <v>0</v>
      </c>
      <c r="U340">
        <v>47</v>
      </c>
      <c r="V340">
        <v>0</v>
      </c>
      <c r="W340">
        <v>0</v>
      </c>
      <c r="X340">
        <v>0</v>
      </c>
    </row>
    <row r="341" spans="1:24" x14ac:dyDescent="0.25">
      <c r="A341" t="s">
        <v>15</v>
      </c>
      <c r="B341" t="s">
        <v>24</v>
      </c>
      <c r="C341">
        <v>20150316</v>
      </c>
      <c r="D341">
        <v>0</v>
      </c>
      <c r="F341">
        <v>62500</v>
      </c>
      <c r="G341" t="s">
        <v>17</v>
      </c>
      <c r="I341" t="s">
        <v>16</v>
      </c>
      <c r="J341" t="s">
        <v>187</v>
      </c>
      <c r="K341" t="s">
        <v>25</v>
      </c>
      <c r="L341">
        <v>132757294</v>
      </c>
      <c r="R341">
        <v>929</v>
      </c>
      <c r="S341" t="s">
        <v>204</v>
      </c>
      <c r="T341">
        <v>0</v>
      </c>
      <c r="U341">
        <v>46</v>
      </c>
      <c r="V341">
        <v>0</v>
      </c>
      <c r="W341">
        <v>0</v>
      </c>
      <c r="X341">
        <v>0</v>
      </c>
    </row>
    <row r="342" spans="1:24" x14ac:dyDescent="0.25">
      <c r="A342" t="s">
        <v>15</v>
      </c>
      <c r="B342" t="s">
        <v>24</v>
      </c>
      <c r="C342">
        <v>20150316</v>
      </c>
      <c r="D342">
        <v>0</v>
      </c>
      <c r="F342">
        <v>62500</v>
      </c>
      <c r="G342" t="s">
        <v>17</v>
      </c>
      <c r="I342" t="s">
        <v>16</v>
      </c>
      <c r="J342" t="s">
        <v>187</v>
      </c>
      <c r="K342" t="s">
        <v>25</v>
      </c>
      <c r="L342">
        <v>132757294</v>
      </c>
      <c r="R342">
        <v>929</v>
      </c>
      <c r="S342" t="s">
        <v>204</v>
      </c>
      <c r="T342">
        <v>0</v>
      </c>
      <c r="U342">
        <v>46</v>
      </c>
      <c r="V342">
        <v>0</v>
      </c>
      <c r="W342">
        <v>0</v>
      </c>
      <c r="X342">
        <v>0</v>
      </c>
    </row>
    <row r="343" spans="1:24" x14ac:dyDescent="0.25">
      <c r="A343" t="s">
        <v>15</v>
      </c>
      <c r="B343" t="s">
        <v>24</v>
      </c>
      <c r="C343">
        <v>20150316</v>
      </c>
      <c r="D343">
        <v>0</v>
      </c>
      <c r="F343">
        <v>62500</v>
      </c>
      <c r="G343" t="s">
        <v>17</v>
      </c>
      <c r="I343" t="s">
        <v>16</v>
      </c>
      <c r="J343" t="s">
        <v>187</v>
      </c>
      <c r="K343" t="s">
        <v>25</v>
      </c>
      <c r="L343">
        <v>132757294</v>
      </c>
      <c r="R343">
        <v>930</v>
      </c>
      <c r="S343" t="s">
        <v>203</v>
      </c>
      <c r="T343">
        <v>0</v>
      </c>
      <c r="U343">
        <v>48</v>
      </c>
      <c r="V343">
        <v>0</v>
      </c>
      <c r="W343">
        <v>0</v>
      </c>
      <c r="X343">
        <v>0</v>
      </c>
    </row>
    <row r="344" spans="1:24" x14ac:dyDescent="0.25">
      <c r="A344" t="s">
        <v>15</v>
      </c>
      <c r="B344" t="s">
        <v>24</v>
      </c>
      <c r="C344">
        <v>20150316</v>
      </c>
      <c r="D344">
        <v>0</v>
      </c>
      <c r="F344">
        <v>62500</v>
      </c>
      <c r="G344" t="s">
        <v>17</v>
      </c>
      <c r="I344" t="s">
        <v>16</v>
      </c>
      <c r="J344" t="s">
        <v>187</v>
      </c>
      <c r="K344" t="s">
        <v>25</v>
      </c>
      <c r="L344">
        <v>132757294</v>
      </c>
      <c r="R344">
        <v>927</v>
      </c>
      <c r="S344" t="s">
        <v>205</v>
      </c>
      <c r="T344">
        <v>0</v>
      </c>
      <c r="U344">
        <v>47</v>
      </c>
      <c r="V344">
        <v>0</v>
      </c>
      <c r="W344">
        <v>0</v>
      </c>
      <c r="X344">
        <v>0</v>
      </c>
    </row>
    <row r="345" spans="1:24" x14ac:dyDescent="0.25">
      <c r="A345" t="s">
        <v>15</v>
      </c>
      <c r="B345" t="s">
        <v>24</v>
      </c>
      <c r="C345">
        <v>20150316</v>
      </c>
      <c r="D345">
        <v>0</v>
      </c>
      <c r="F345">
        <v>62500</v>
      </c>
      <c r="G345" t="s">
        <v>17</v>
      </c>
      <c r="I345" t="s">
        <v>16</v>
      </c>
      <c r="J345" t="s">
        <v>187</v>
      </c>
      <c r="K345" t="s">
        <v>25</v>
      </c>
      <c r="L345">
        <v>132757294</v>
      </c>
      <c r="R345">
        <v>927</v>
      </c>
      <c r="S345" t="s">
        <v>206</v>
      </c>
      <c r="T345">
        <v>0</v>
      </c>
      <c r="U345">
        <v>47</v>
      </c>
      <c r="V345">
        <v>0</v>
      </c>
      <c r="W345">
        <v>0</v>
      </c>
      <c r="X345">
        <v>0</v>
      </c>
    </row>
    <row r="346" spans="1:24" x14ac:dyDescent="0.25">
      <c r="A346" t="s">
        <v>15</v>
      </c>
      <c r="B346" t="s">
        <v>24</v>
      </c>
      <c r="C346">
        <v>20150316</v>
      </c>
      <c r="D346">
        <v>0</v>
      </c>
      <c r="F346">
        <v>62500</v>
      </c>
      <c r="G346" t="s">
        <v>17</v>
      </c>
      <c r="I346" t="s">
        <v>16</v>
      </c>
      <c r="J346" t="s">
        <v>187</v>
      </c>
      <c r="K346" t="s">
        <v>25</v>
      </c>
      <c r="L346">
        <v>132757294</v>
      </c>
      <c r="R346">
        <v>931</v>
      </c>
      <c r="S346" t="s">
        <v>203</v>
      </c>
      <c r="T346">
        <v>0</v>
      </c>
      <c r="U346">
        <v>-48</v>
      </c>
      <c r="V346">
        <v>0</v>
      </c>
      <c r="W346">
        <v>0</v>
      </c>
      <c r="X346">
        <v>0</v>
      </c>
    </row>
    <row r="347" spans="1:24" x14ac:dyDescent="0.25">
      <c r="A347" t="s">
        <v>15</v>
      </c>
      <c r="B347" t="s">
        <v>24</v>
      </c>
      <c r="C347">
        <v>20150316</v>
      </c>
      <c r="D347">
        <v>0</v>
      </c>
      <c r="F347">
        <v>62500</v>
      </c>
      <c r="G347" t="s">
        <v>17</v>
      </c>
      <c r="I347" t="s">
        <v>16</v>
      </c>
      <c r="J347" t="s">
        <v>187</v>
      </c>
      <c r="K347" t="s">
        <v>25</v>
      </c>
      <c r="L347">
        <v>132757294</v>
      </c>
      <c r="R347">
        <v>930</v>
      </c>
      <c r="S347" t="s">
        <v>204</v>
      </c>
      <c r="T347">
        <v>0</v>
      </c>
      <c r="U347">
        <v>48</v>
      </c>
      <c r="V347">
        <v>0</v>
      </c>
      <c r="W347">
        <v>0</v>
      </c>
      <c r="X347">
        <v>0</v>
      </c>
    </row>
    <row r="348" spans="1:24" x14ac:dyDescent="0.25">
      <c r="A348" t="s">
        <v>15</v>
      </c>
      <c r="B348" t="s">
        <v>24</v>
      </c>
      <c r="C348">
        <v>20150316</v>
      </c>
      <c r="D348">
        <v>0</v>
      </c>
      <c r="F348">
        <v>62500</v>
      </c>
      <c r="G348" t="s">
        <v>17</v>
      </c>
      <c r="I348" t="s">
        <v>16</v>
      </c>
      <c r="J348" t="s">
        <v>187</v>
      </c>
      <c r="K348" t="s">
        <v>25</v>
      </c>
      <c r="L348">
        <v>132757294</v>
      </c>
      <c r="R348">
        <v>929</v>
      </c>
      <c r="S348" t="s">
        <v>205</v>
      </c>
      <c r="T348">
        <v>0</v>
      </c>
      <c r="U348">
        <v>46</v>
      </c>
      <c r="V348">
        <v>0</v>
      </c>
      <c r="W348">
        <v>0</v>
      </c>
      <c r="X348">
        <v>0</v>
      </c>
    </row>
    <row r="349" spans="1:24" x14ac:dyDescent="0.25">
      <c r="A349" t="s">
        <v>15</v>
      </c>
      <c r="B349" t="s">
        <v>24</v>
      </c>
      <c r="C349">
        <v>20150316</v>
      </c>
      <c r="D349">
        <v>0</v>
      </c>
      <c r="F349">
        <v>62500</v>
      </c>
      <c r="G349" t="s">
        <v>17</v>
      </c>
      <c r="I349" t="s">
        <v>16</v>
      </c>
      <c r="J349" t="s">
        <v>187</v>
      </c>
      <c r="K349" t="s">
        <v>25</v>
      </c>
      <c r="L349">
        <v>132757294</v>
      </c>
      <c r="R349">
        <v>929</v>
      </c>
      <c r="S349" t="s">
        <v>206</v>
      </c>
      <c r="T349">
        <v>0</v>
      </c>
      <c r="U349">
        <v>46</v>
      </c>
      <c r="V349">
        <v>0</v>
      </c>
      <c r="W349">
        <v>0</v>
      </c>
      <c r="X349">
        <v>0</v>
      </c>
    </row>
    <row r="350" spans="1:24" x14ac:dyDescent="0.25">
      <c r="A350" t="s">
        <v>15</v>
      </c>
      <c r="B350" t="s">
        <v>24</v>
      </c>
      <c r="C350">
        <v>20150316</v>
      </c>
      <c r="D350">
        <v>0</v>
      </c>
      <c r="F350">
        <v>62500</v>
      </c>
      <c r="G350" t="s">
        <v>17</v>
      </c>
      <c r="I350" t="s">
        <v>16</v>
      </c>
      <c r="J350" t="s">
        <v>187</v>
      </c>
      <c r="K350" t="s">
        <v>25</v>
      </c>
      <c r="L350">
        <v>132757294</v>
      </c>
      <c r="R350">
        <v>930</v>
      </c>
      <c r="S350" t="s">
        <v>204</v>
      </c>
      <c r="T350">
        <v>0</v>
      </c>
      <c r="U350">
        <v>48</v>
      </c>
      <c r="V350">
        <v>0</v>
      </c>
      <c r="W350">
        <v>0</v>
      </c>
      <c r="X350">
        <v>0</v>
      </c>
    </row>
    <row r="351" spans="1:24" x14ac:dyDescent="0.25">
      <c r="A351" t="s">
        <v>15</v>
      </c>
      <c r="B351" t="s">
        <v>24</v>
      </c>
      <c r="C351">
        <v>20150316</v>
      </c>
      <c r="D351">
        <v>0</v>
      </c>
      <c r="F351">
        <v>62500</v>
      </c>
      <c r="G351" t="s">
        <v>17</v>
      </c>
      <c r="I351" t="s">
        <v>16</v>
      </c>
      <c r="J351" t="s">
        <v>187</v>
      </c>
      <c r="K351" t="s">
        <v>25</v>
      </c>
      <c r="L351">
        <v>132757294</v>
      </c>
      <c r="R351">
        <v>931</v>
      </c>
      <c r="S351" t="s">
        <v>204</v>
      </c>
      <c r="T351">
        <v>0</v>
      </c>
      <c r="U351">
        <v>48</v>
      </c>
      <c r="V351">
        <v>0</v>
      </c>
      <c r="W351">
        <v>0</v>
      </c>
      <c r="X351">
        <v>0</v>
      </c>
    </row>
    <row r="352" spans="1:24" x14ac:dyDescent="0.25">
      <c r="A352" t="s">
        <v>15</v>
      </c>
      <c r="B352" t="s">
        <v>24</v>
      </c>
      <c r="C352">
        <v>20150316</v>
      </c>
      <c r="D352">
        <v>0</v>
      </c>
      <c r="F352">
        <v>62500</v>
      </c>
      <c r="G352" t="s">
        <v>17</v>
      </c>
      <c r="I352" t="s">
        <v>16</v>
      </c>
      <c r="J352" t="s">
        <v>187</v>
      </c>
      <c r="K352" t="s">
        <v>25</v>
      </c>
      <c r="L352">
        <v>132757294</v>
      </c>
      <c r="R352">
        <v>931</v>
      </c>
      <c r="S352" t="s">
        <v>204</v>
      </c>
      <c r="T352">
        <v>0</v>
      </c>
      <c r="U352">
        <v>48</v>
      </c>
      <c r="V352">
        <v>0</v>
      </c>
      <c r="W352">
        <v>0</v>
      </c>
      <c r="X352">
        <v>0</v>
      </c>
    </row>
    <row r="353" spans="1:24" x14ac:dyDescent="0.25">
      <c r="A353" t="s">
        <v>15</v>
      </c>
      <c r="B353" t="s">
        <v>24</v>
      </c>
      <c r="C353">
        <v>20150316</v>
      </c>
      <c r="D353">
        <v>0</v>
      </c>
      <c r="F353">
        <v>62500</v>
      </c>
      <c r="G353" t="s">
        <v>17</v>
      </c>
      <c r="I353" t="s">
        <v>16</v>
      </c>
      <c r="J353" t="s">
        <v>187</v>
      </c>
      <c r="K353" t="s">
        <v>25</v>
      </c>
      <c r="L353">
        <v>132757294</v>
      </c>
      <c r="R353">
        <v>932</v>
      </c>
      <c r="S353" t="s">
        <v>203</v>
      </c>
      <c r="T353">
        <v>0</v>
      </c>
      <c r="U353">
        <v>46</v>
      </c>
      <c r="V353">
        <v>0</v>
      </c>
      <c r="W353">
        <v>0</v>
      </c>
      <c r="X353">
        <v>0</v>
      </c>
    </row>
    <row r="354" spans="1:24" x14ac:dyDescent="0.25">
      <c r="A354" t="s">
        <v>15</v>
      </c>
      <c r="B354" t="s">
        <v>24</v>
      </c>
      <c r="C354">
        <v>20150316</v>
      </c>
      <c r="D354">
        <v>0</v>
      </c>
      <c r="F354">
        <v>62500</v>
      </c>
      <c r="G354" t="s">
        <v>17</v>
      </c>
      <c r="I354" t="s">
        <v>16</v>
      </c>
      <c r="J354" t="s">
        <v>187</v>
      </c>
      <c r="K354" t="s">
        <v>25</v>
      </c>
      <c r="L354">
        <v>132757294</v>
      </c>
      <c r="R354">
        <v>930</v>
      </c>
      <c r="S354" t="s">
        <v>205</v>
      </c>
      <c r="T354">
        <v>0</v>
      </c>
      <c r="U354">
        <v>48</v>
      </c>
      <c r="V354">
        <v>0</v>
      </c>
      <c r="W354">
        <v>0</v>
      </c>
      <c r="X354">
        <v>0</v>
      </c>
    </row>
    <row r="355" spans="1:24" x14ac:dyDescent="0.25">
      <c r="A355" t="s">
        <v>15</v>
      </c>
      <c r="B355" t="s">
        <v>24</v>
      </c>
      <c r="C355">
        <v>20150316</v>
      </c>
      <c r="D355">
        <v>0</v>
      </c>
      <c r="F355">
        <v>62500</v>
      </c>
      <c r="G355" t="s">
        <v>17</v>
      </c>
      <c r="I355" t="s">
        <v>16</v>
      </c>
      <c r="J355" t="s">
        <v>187</v>
      </c>
      <c r="K355" t="s">
        <v>25</v>
      </c>
      <c r="L355">
        <v>132757294</v>
      </c>
      <c r="R355">
        <v>930</v>
      </c>
      <c r="S355" t="s">
        <v>206</v>
      </c>
      <c r="T355">
        <v>0</v>
      </c>
      <c r="U355">
        <v>48</v>
      </c>
      <c r="V355">
        <v>0</v>
      </c>
      <c r="W355">
        <v>0</v>
      </c>
      <c r="X355">
        <v>0</v>
      </c>
    </row>
    <row r="356" spans="1:24" x14ac:dyDescent="0.25">
      <c r="A356" t="s">
        <v>15</v>
      </c>
      <c r="B356" t="s">
        <v>24</v>
      </c>
      <c r="C356">
        <v>20150316</v>
      </c>
      <c r="D356">
        <v>0</v>
      </c>
      <c r="F356">
        <v>62500</v>
      </c>
      <c r="G356" t="s">
        <v>17</v>
      </c>
      <c r="I356" t="s">
        <v>16</v>
      </c>
      <c r="J356" t="s">
        <v>187</v>
      </c>
      <c r="K356" t="s">
        <v>25</v>
      </c>
      <c r="L356">
        <v>132757294</v>
      </c>
      <c r="R356">
        <v>932</v>
      </c>
      <c r="S356" t="s">
        <v>204</v>
      </c>
      <c r="T356">
        <v>0</v>
      </c>
      <c r="U356">
        <v>46</v>
      </c>
      <c r="V356">
        <v>0</v>
      </c>
      <c r="W356">
        <v>0</v>
      </c>
      <c r="X356">
        <v>0</v>
      </c>
    </row>
    <row r="357" spans="1:24" x14ac:dyDescent="0.25">
      <c r="A357" t="s">
        <v>15</v>
      </c>
      <c r="B357" t="s">
        <v>24</v>
      </c>
      <c r="C357">
        <v>20150316</v>
      </c>
      <c r="D357">
        <v>0</v>
      </c>
      <c r="F357">
        <v>62500</v>
      </c>
      <c r="G357" t="s">
        <v>17</v>
      </c>
      <c r="I357" t="s">
        <v>16</v>
      </c>
      <c r="J357" t="s">
        <v>187</v>
      </c>
      <c r="K357" t="s">
        <v>25</v>
      </c>
      <c r="L357">
        <v>132757294</v>
      </c>
      <c r="R357">
        <v>931</v>
      </c>
      <c r="S357" t="s">
        <v>205</v>
      </c>
      <c r="T357">
        <v>0</v>
      </c>
      <c r="U357">
        <v>48</v>
      </c>
      <c r="V357">
        <v>0</v>
      </c>
      <c r="W357">
        <v>0</v>
      </c>
      <c r="X357">
        <v>0</v>
      </c>
    </row>
    <row r="358" spans="1:24" x14ac:dyDescent="0.25">
      <c r="A358" t="s">
        <v>15</v>
      </c>
      <c r="B358" t="s">
        <v>24</v>
      </c>
      <c r="C358">
        <v>20150316</v>
      </c>
      <c r="D358">
        <v>0</v>
      </c>
      <c r="F358">
        <v>62500</v>
      </c>
      <c r="G358" t="s">
        <v>17</v>
      </c>
      <c r="I358" t="s">
        <v>16</v>
      </c>
      <c r="J358" t="s">
        <v>187</v>
      </c>
      <c r="K358" t="s">
        <v>25</v>
      </c>
      <c r="L358">
        <v>132757294</v>
      </c>
      <c r="R358">
        <v>931</v>
      </c>
      <c r="S358" t="s">
        <v>206</v>
      </c>
      <c r="T358">
        <v>0</v>
      </c>
      <c r="U358">
        <v>48</v>
      </c>
      <c r="V358">
        <v>0</v>
      </c>
      <c r="W358">
        <v>0</v>
      </c>
      <c r="X358">
        <v>0</v>
      </c>
    </row>
    <row r="359" spans="1:24" x14ac:dyDescent="0.25">
      <c r="A359" t="s">
        <v>15</v>
      </c>
      <c r="B359" t="s">
        <v>24</v>
      </c>
      <c r="C359">
        <v>20150316</v>
      </c>
      <c r="D359">
        <v>0</v>
      </c>
      <c r="F359">
        <v>62500</v>
      </c>
      <c r="G359" t="s">
        <v>17</v>
      </c>
      <c r="I359" t="s">
        <v>16</v>
      </c>
      <c r="J359" t="s">
        <v>187</v>
      </c>
      <c r="K359" t="s">
        <v>25</v>
      </c>
      <c r="L359">
        <v>132757294</v>
      </c>
      <c r="R359">
        <v>932</v>
      </c>
      <c r="S359" t="s">
        <v>204</v>
      </c>
      <c r="T359">
        <v>0</v>
      </c>
      <c r="U359">
        <v>46</v>
      </c>
      <c r="V359">
        <v>0</v>
      </c>
      <c r="W359">
        <v>0</v>
      </c>
      <c r="X359">
        <v>0</v>
      </c>
    </row>
    <row r="360" spans="1:24" x14ac:dyDescent="0.25">
      <c r="A360" t="s">
        <v>15</v>
      </c>
      <c r="B360" t="s">
        <v>24</v>
      </c>
      <c r="C360">
        <v>20150316</v>
      </c>
      <c r="D360">
        <v>0</v>
      </c>
      <c r="F360">
        <v>62500</v>
      </c>
      <c r="G360" t="s">
        <v>17</v>
      </c>
      <c r="I360" t="s">
        <v>16</v>
      </c>
      <c r="J360" t="s">
        <v>187</v>
      </c>
      <c r="K360" t="s">
        <v>25</v>
      </c>
      <c r="L360">
        <v>132757294</v>
      </c>
      <c r="R360">
        <v>933</v>
      </c>
      <c r="S360" t="s">
        <v>203</v>
      </c>
      <c r="T360">
        <v>0</v>
      </c>
      <c r="U360">
        <v>-47</v>
      </c>
      <c r="V360">
        <v>0</v>
      </c>
      <c r="W360">
        <v>0</v>
      </c>
      <c r="X360">
        <v>0</v>
      </c>
    </row>
    <row r="361" spans="1:24" x14ac:dyDescent="0.25">
      <c r="A361" t="s">
        <v>15</v>
      </c>
      <c r="B361" t="s">
        <v>24</v>
      </c>
      <c r="C361">
        <v>20150316</v>
      </c>
      <c r="D361">
        <v>0</v>
      </c>
      <c r="F361">
        <v>62500</v>
      </c>
      <c r="G361" t="s">
        <v>17</v>
      </c>
      <c r="I361" t="s">
        <v>16</v>
      </c>
      <c r="J361" t="s">
        <v>187</v>
      </c>
      <c r="K361" t="s">
        <v>25</v>
      </c>
      <c r="L361">
        <v>132757294</v>
      </c>
      <c r="R361">
        <v>933</v>
      </c>
      <c r="S361" t="s">
        <v>204</v>
      </c>
      <c r="T361">
        <v>0</v>
      </c>
      <c r="U361">
        <v>47</v>
      </c>
      <c r="V361">
        <v>0</v>
      </c>
      <c r="W361">
        <v>0</v>
      </c>
      <c r="X361">
        <v>0</v>
      </c>
    </row>
    <row r="362" spans="1:24" x14ac:dyDescent="0.25">
      <c r="A362" t="s">
        <v>15</v>
      </c>
      <c r="B362" t="s">
        <v>24</v>
      </c>
      <c r="C362">
        <v>20150316</v>
      </c>
      <c r="D362">
        <v>0</v>
      </c>
      <c r="F362">
        <v>62500</v>
      </c>
      <c r="G362" t="s">
        <v>17</v>
      </c>
      <c r="I362" t="s">
        <v>16</v>
      </c>
      <c r="J362" t="s">
        <v>187</v>
      </c>
      <c r="K362" t="s">
        <v>25</v>
      </c>
      <c r="L362">
        <v>132757294</v>
      </c>
      <c r="R362">
        <v>933</v>
      </c>
      <c r="S362" t="s">
        <v>204</v>
      </c>
      <c r="T362">
        <v>0</v>
      </c>
      <c r="U362">
        <v>47</v>
      </c>
      <c r="V362">
        <v>0</v>
      </c>
      <c r="W362">
        <v>0</v>
      </c>
      <c r="X362">
        <v>0</v>
      </c>
    </row>
    <row r="363" spans="1:24" x14ac:dyDescent="0.25">
      <c r="A363" t="s">
        <v>15</v>
      </c>
      <c r="B363" t="s">
        <v>24</v>
      </c>
      <c r="C363">
        <v>20150316</v>
      </c>
      <c r="D363">
        <v>0</v>
      </c>
      <c r="F363">
        <v>62500</v>
      </c>
      <c r="G363" t="s">
        <v>17</v>
      </c>
      <c r="I363" t="s">
        <v>16</v>
      </c>
      <c r="J363" t="s">
        <v>187</v>
      </c>
      <c r="K363" t="s">
        <v>25</v>
      </c>
      <c r="L363">
        <v>132757294</v>
      </c>
      <c r="R363">
        <v>934</v>
      </c>
      <c r="S363" t="s">
        <v>203</v>
      </c>
      <c r="T363">
        <v>0</v>
      </c>
      <c r="U363">
        <v>46</v>
      </c>
      <c r="V363">
        <v>0</v>
      </c>
      <c r="W363">
        <v>0</v>
      </c>
      <c r="X363">
        <v>0</v>
      </c>
    </row>
    <row r="364" spans="1:24" x14ac:dyDescent="0.25">
      <c r="A364" t="s">
        <v>15</v>
      </c>
      <c r="B364" t="s">
        <v>24</v>
      </c>
      <c r="C364">
        <v>20150316</v>
      </c>
      <c r="D364">
        <v>0</v>
      </c>
      <c r="F364">
        <v>62500</v>
      </c>
      <c r="G364" t="s">
        <v>17</v>
      </c>
      <c r="I364" t="s">
        <v>16</v>
      </c>
      <c r="J364" t="s">
        <v>187</v>
      </c>
      <c r="K364" t="s">
        <v>25</v>
      </c>
      <c r="L364">
        <v>132757294</v>
      </c>
      <c r="R364">
        <v>932</v>
      </c>
      <c r="S364" t="s">
        <v>205</v>
      </c>
      <c r="T364">
        <v>0</v>
      </c>
      <c r="U364">
        <v>46</v>
      </c>
      <c r="V364">
        <v>0</v>
      </c>
      <c r="W364">
        <v>0</v>
      </c>
      <c r="X364">
        <v>0</v>
      </c>
    </row>
    <row r="365" spans="1:24" x14ac:dyDescent="0.25">
      <c r="A365" t="s">
        <v>15</v>
      </c>
      <c r="B365" t="s">
        <v>24</v>
      </c>
      <c r="C365">
        <v>20150316</v>
      </c>
      <c r="D365">
        <v>0</v>
      </c>
      <c r="F365">
        <v>62500</v>
      </c>
      <c r="G365" t="s">
        <v>17</v>
      </c>
      <c r="I365" t="s">
        <v>16</v>
      </c>
      <c r="J365" t="s">
        <v>187</v>
      </c>
      <c r="K365" t="s">
        <v>25</v>
      </c>
      <c r="L365">
        <v>132757294</v>
      </c>
      <c r="R365">
        <v>932</v>
      </c>
      <c r="S365" t="s">
        <v>206</v>
      </c>
      <c r="T365">
        <v>0</v>
      </c>
      <c r="U365">
        <v>46</v>
      </c>
      <c r="V365">
        <v>0</v>
      </c>
      <c r="W365">
        <v>0</v>
      </c>
      <c r="X365">
        <v>0</v>
      </c>
    </row>
    <row r="366" spans="1:24" x14ac:dyDescent="0.25">
      <c r="A366" t="s">
        <v>15</v>
      </c>
      <c r="B366" t="s">
        <v>24</v>
      </c>
      <c r="C366">
        <v>20150316</v>
      </c>
      <c r="D366">
        <v>0</v>
      </c>
      <c r="F366">
        <v>62500</v>
      </c>
      <c r="G366" t="s">
        <v>17</v>
      </c>
      <c r="I366" t="s">
        <v>16</v>
      </c>
      <c r="J366" t="s">
        <v>187</v>
      </c>
      <c r="K366" t="s">
        <v>25</v>
      </c>
      <c r="L366">
        <v>132757294</v>
      </c>
      <c r="R366">
        <v>934</v>
      </c>
      <c r="S366" t="s">
        <v>204</v>
      </c>
      <c r="T366">
        <v>0</v>
      </c>
      <c r="U366">
        <v>46</v>
      </c>
      <c r="V366">
        <v>0</v>
      </c>
      <c r="W366">
        <v>0</v>
      </c>
      <c r="X366">
        <v>0</v>
      </c>
    </row>
    <row r="367" spans="1:24" x14ac:dyDescent="0.25">
      <c r="A367" t="s">
        <v>15</v>
      </c>
      <c r="B367" t="s">
        <v>24</v>
      </c>
      <c r="C367">
        <v>20150316</v>
      </c>
      <c r="D367">
        <v>0</v>
      </c>
      <c r="F367">
        <v>62500</v>
      </c>
      <c r="G367" t="s">
        <v>17</v>
      </c>
      <c r="I367" t="s">
        <v>16</v>
      </c>
      <c r="J367" t="s">
        <v>187</v>
      </c>
      <c r="K367" t="s">
        <v>25</v>
      </c>
      <c r="L367">
        <v>132757294</v>
      </c>
      <c r="R367">
        <v>934</v>
      </c>
      <c r="S367" t="s">
        <v>204</v>
      </c>
      <c r="T367">
        <v>0</v>
      </c>
      <c r="U367">
        <v>46</v>
      </c>
      <c r="V367">
        <v>0</v>
      </c>
      <c r="W367">
        <v>0</v>
      </c>
      <c r="X367">
        <v>0</v>
      </c>
    </row>
    <row r="368" spans="1:24" x14ac:dyDescent="0.25">
      <c r="A368" t="s">
        <v>15</v>
      </c>
      <c r="B368" t="s">
        <v>24</v>
      </c>
      <c r="C368">
        <v>20150316</v>
      </c>
      <c r="D368">
        <v>0</v>
      </c>
      <c r="F368">
        <v>62500</v>
      </c>
      <c r="G368" t="s">
        <v>17</v>
      </c>
      <c r="I368" t="s">
        <v>16</v>
      </c>
      <c r="J368" t="s">
        <v>187</v>
      </c>
      <c r="K368" t="s">
        <v>25</v>
      </c>
      <c r="L368">
        <v>132757294</v>
      </c>
      <c r="R368">
        <v>935</v>
      </c>
      <c r="S368" t="s">
        <v>203</v>
      </c>
      <c r="T368">
        <v>0</v>
      </c>
      <c r="U368">
        <v>47</v>
      </c>
      <c r="V368">
        <v>0</v>
      </c>
      <c r="W368">
        <v>0</v>
      </c>
      <c r="X368">
        <v>0</v>
      </c>
    </row>
    <row r="369" spans="1:24" x14ac:dyDescent="0.25">
      <c r="A369" t="s">
        <v>15</v>
      </c>
      <c r="B369" t="s">
        <v>24</v>
      </c>
      <c r="C369">
        <v>20150316</v>
      </c>
      <c r="D369">
        <v>0</v>
      </c>
      <c r="F369">
        <v>62500</v>
      </c>
      <c r="G369" t="s">
        <v>17</v>
      </c>
      <c r="I369" t="s">
        <v>16</v>
      </c>
      <c r="J369" t="s">
        <v>187</v>
      </c>
      <c r="K369" t="s">
        <v>25</v>
      </c>
      <c r="L369">
        <v>132757294</v>
      </c>
      <c r="R369">
        <v>934</v>
      </c>
      <c r="S369" t="s">
        <v>205</v>
      </c>
      <c r="T369">
        <v>0</v>
      </c>
      <c r="U369">
        <v>46</v>
      </c>
      <c r="V369">
        <v>0</v>
      </c>
      <c r="W369">
        <v>0</v>
      </c>
      <c r="X369">
        <v>0</v>
      </c>
    </row>
    <row r="370" spans="1:24" x14ac:dyDescent="0.25">
      <c r="A370" t="s">
        <v>15</v>
      </c>
      <c r="B370" t="s">
        <v>24</v>
      </c>
      <c r="C370">
        <v>20150316</v>
      </c>
      <c r="D370">
        <v>0</v>
      </c>
      <c r="F370">
        <v>62500</v>
      </c>
      <c r="G370" t="s">
        <v>17</v>
      </c>
      <c r="I370" t="s">
        <v>16</v>
      </c>
      <c r="J370" t="s">
        <v>187</v>
      </c>
      <c r="K370" t="s">
        <v>25</v>
      </c>
      <c r="L370">
        <v>132757294</v>
      </c>
      <c r="R370">
        <v>934</v>
      </c>
      <c r="S370" t="s">
        <v>206</v>
      </c>
      <c r="T370">
        <v>0</v>
      </c>
      <c r="U370">
        <v>46</v>
      </c>
      <c r="V370">
        <v>0</v>
      </c>
      <c r="W370">
        <v>0</v>
      </c>
      <c r="X370">
        <v>0</v>
      </c>
    </row>
    <row r="371" spans="1:24" x14ac:dyDescent="0.25">
      <c r="A371" t="s">
        <v>15</v>
      </c>
      <c r="B371" t="s">
        <v>24</v>
      </c>
      <c r="C371">
        <v>20150316</v>
      </c>
      <c r="D371">
        <v>0</v>
      </c>
      <c r="F371">
        <v>62500</v>
      </c>
      <c r="G371" t="s">
        <v>17</v>
      </c>
      <c r="I371" t="s">
        <v>16</v>
      </c>
      <c r="J371" t="s">
        <v>187</v>
      </c>
      <c r="K371" t="s">
        <v>25</v>
      </c>
      <c r="L371">
        <v>132757294</v>
      </c>
      <c r="R371">
        <v>935</v>
      </c>
      <c r="S371" t="s">
        <v>204</v>
      </c>
      <c r="T371">
        <v>0</v>
      </c>
      <c r="U371">
        <v>47</v>
      </c>
      <c r="V371">
        <v>0</v>
      </c>
      <c r="W371">
        <v>0</v>
      </c>
      <c r="X371">
        <v>0</v>
      </c>
    </row>
    <row r="372" spans="1:24" x14ac:dyDescent="0.25">
      <c r="A372" t="s">
        <v>15</v>
      </c>
      <c r="B372" t="s">
        <v>24</v>
      </c>
      <c r="C372">
        <v>20150316</v>
      </c>
      <c r="D372">
        <v>0</v>
      </c>
      <c r="F372">
        <v>62500</v>
      </c>
      <c r="G372" t="s">
        <v>17</v>
      </c>
      <c r="I372" t="s">
        <v>16</v>
      </c>
      <c r="J372" t="s">
        <v>187</v>
      </c>
      <c r="K372" t="s">
        <v>25</v>
      </c>
      <c r="L372">
        <v>132757294</v>
      </c>
      <c r="R372">
        <v>935</v>
      </c>
      <c r="S372" t="s">
        <v>204</v>
      </c>
      <c r="T372">
        <v>0</v>
      </c>
      <c r="U372">
        <v>47</v>
      </c>
      <c r="V372">
        <v>0</v>
      </c>
      <c r="W372">
        <v>0</v>
      </c>
      <c r="X372">
        <v>0</v>
      </c>
    </row>
    <row r="373" spans="1:24" x14ac:dyDescent="0.25">
      <c r="A373" t="s">
        <v>15</v>
      </c>
      <c r="B373" t="s">
        <v>24</v>
      </c>
      <c r="C373">
        <v>20150316</v>
      </c>
      <c r="D373">
        <v>0</v>
      </c>
      <c r="F373">
        <v>62500</v>
      </c>
      <c r="G373" t="s">
        <v>17</v>
      </c>
      <c r="I373" t="s">
        <v>16</v>
      </c>
      <c r="J373" t="s">
        <v>187</v>
      </c>
      <c r="K373" t="s">
        <v>25</v>
      </c>
      <c r="L373">
        <v>132757294</v>
      </c>
      <c r="R373">
        <v>936</v>
      </c>
      <c r="S373" t="s">
        <v>203</v>
      </c>
      <c r="T373">
        <v>0</v>
      </c>
      <c r="U373">
        <v>47</v>
      </c>
      <c r="V373">
        <v>0</v>
      </c>
      <c r="W373">
        <v>0</v>
      </c>
      <c r="X373">
        <v>0</v>
      </c>
    </row>
    <row r="374" spans="1:24" x14ac:dyDescent="0.25">
      <c r="A374" t="s">
        <v>15</v>
      </c>
      <c r="B374" t="s">
        <v>24</v>
      </c>
      <c r="C374">
        <v>20150316</v>
      </c>
      <c r="D374">
        <v>0</v>
      </c>
      <c r="F374">
        <v>62500</v>
      </c>
      <c r="G374" t="s">
        <v>17</v>
      </c>
      <c r="I374" t="s">
        <v>16</v>
      </c>
      <c r="J374" t="s">
        <v>187</v>
      </c>
      <c r="K374" t="s">
        <v>25</v>
      </c>
      <c r="L374">
        <v>132757294</v>
      </c>
      <c r="R374">
        <v>935</v>
      </c>
      <c r="S374" t="s">
        <v>205</v>
      </c>
      <c r="T374">
        <v>0</v>
      </c>
      <c r="U374">
        <v>47</v>
      </c>
      <c r="V374">
        <v>0</v>
      </c>
      <c r="W374">
        <v>0</v>
      </c>
      <c r="X374">
        <v>0</v>
      </c>
    </row>
    <row r="375" spans="1:24" x14ac:dyDescent="0.25">
      <c r="A375" t="s">
        <v>15</v>
      </c>
      <c r="B375" t="s">
        <v>24</v>
      </c>
      <c r="C375">
        <v>20150316</v>
      </c>
      <c r="D375">
        <v>0</v>
      </c>
      <c r="F375">
        <v>62500</v>
      </c>
      <c r="G375" t="s">
        <v>17</v>
      </c>
      <c r="I375" t="s">
        <v>16</v>
      </c>
      <c r="J375" t="s">
        <v>187</v>
      </c>
      <c r="K375" t="s">
        <v>25</v>
      </c>
      <c r="L375">
        <v>132757294</v>
      </c>
      <c r="R375">
        <v>935</v>
      </c>
      <c r="S375" t="s">
        <v>206</v>
      </c>
      <c r="T375">
        <v>0</v>
      </c>
      <c r="U375">
        <v>47</v>
      </c>
      <c r="V375">
        <v>0</v>
      </c>
      <c r="W375">
        <v>0</v>
      </c>
      <c r="X375">
        <v>0</v>
      </c>
    </row>
    <row r="376" spans="1:24" x14ac:dyDescent="0.25">
      <c r="A376" t="s">
        <v>15</v>
      </c>
      <c r="B376" t="s">
        <v>24</v>
      </c>
      <c r="C376">
        <v>20150316</v>
      </c>
      <c r="D376">
        <v>0</v>
      </c>
      <c r="F376">
        <v>62500</v>
      </c>
      <c r="G376" t="s">
        <v>17</v>
      </c>
      <c r="I376" t="s">
        <v>16</v>
      </c>
      <c r="J376" t="s">
        <v>187</v>
      </c>
      <c r="K376" t="s">
        <v>25</v>
      </c>
      <c r="L376">
        <v>132757294</v>
      </c>
      <c r="R376">
        <v>936</v>
      </c>
      <c r="S376" t="s">
        <v>204</v>
      </c>
      <c r="T376">
        <v>0</v>
      </c>
      <c r="U376">
        <v>47</v>
      </c>
      <c r="V376">
        <v>0</v>
      </c>
      <c r="W376">
        <v>0</v>
      </c>
      <c r="X376">
        <v>0</v>
      </c>
    </row>
    <row r="377" spans="1:24" x14ac:dyDescent="0.25">
      <c r="A377" t="s">
        <v>15</v>
      </c>
      <c r="B377" t="s">
        <v>24</v>
      </c>
      <c r="C377">
        <v>20150316</v>
      </c>
      <c r="D377">
        <v>0</v>
      </c>
      <c r="F377">
        <v>62500</v>
      </c>
      <c r="G377" t="s">
        <v>17</v>
      </c>
      <c r="I377" t="s">
        <v>16</v>
      </c>
      <c r="J377" t="s">
        <v>187</v>
      </c>
      <c r="K377" t="s">
        <v>25</v>
      </c>
      <c r="L377">
        <v>132757294</v>
      </c>
      <c r="R377">
        <v>936</v>
      </c>
      <c r="S377" t="s">
        <v>204</v>
      </c>
      <c r="T377">
        <v>0</v>
      </c>
      <c r="U377">
        <v>47</v>
      </c>
      <c r="V377">
        <v>0</v>
      </c>
      <c r="W377">
        <v>0</v>
      </c>
      <c r="X377">
        <v>0</v>
      </c>
    </row>
    <row r="378" spans="1:24" x14ac:dyDescent="0.25">
      <c r="A378" t="s">
        <v>15</v>
      </c>
      <c r="B378" t="s">
        <v>24</v>
      </c>
      <c r="C378">
        <v>20150316</v>
      </c>
      <c r="D378">
        <v>0</v>
      </c>
      <c r="F378">
        <v>62500</v>
      </c>
      <c r="G378" t="s">
        <v>17</v>
      </c>
      <c r="I378" t="s">
        <v>16</v>
      </c>
      <c r="J378" t="s">
        <v>187</v>
      </c>
      <c r="K378" t="s">
        <v>25</v>
      </c>
      <c r="L378">
        <v>132757294</v>
      </c>
      <c r="R378">
        <v>937</v>
      </c>
      <c r="S378" t="s">
        <v>203</v>
      </c>
      <c r="T378">
        <v>0</v>
      </c>
      <c r="U378">
        <v>46</v>
      </c>
      <c r="V378">
        <v>0</v>
      </c>
      <c r="W378">
        <v>0</v>
      </c>
      <c r="X378">
        <v>0</v>
      </c>
    </row>
    <row r="379" spans="1:24" x14ac:dyDescent="0.25">
      <c r="A379" t="s">
        <v>15</v>
      </c>
      <c r="B379" t="s">
        <v>24</v>
      </c>
      <c r="C379">
        <v>20150316</v>
      </c>
      <c r="D379">
        <v>0</v>
      </c>
      <c r="F379">
        <v>62500</v>
      </c>
      <c r="G379" t="s">
        <v>17</v>
      </c>
      <c r="I379" t="s">
        <v>16</v>
      </c>
      <c r="J379" t="s">
        <v>187</v>
      </c>
      <c r="K379" t="s">
        <v>25</v>
      </c>
      <c r="L379">
        <v>132757294</v>
      </c>
      <c r="R379">
        <v>936</v>
      </c>
      <c r="S379" t="s">
        <v>205</v>
      </c>
      <c r="T379">
        <v>0</v>
      </c>
      <c r="U379">
        <v>47</v>
      </c>
      <c r="V379">
        <v>0</v>
      </c>
      <c r="W379">
        <v>0</v>
      </c>
      <c r="X379">
        <v>0</v>
      </c>
    </row>
    <row r="380" spans="1:24" x14ac:dyDescent="0.25">
      <c r="A380" t="s">
        <v>15</v>
      </c>
      <c r="B380" t="s">
        <v>24</v>
      </c>
      <c r="C380">
        <v>20150316</v>
      </c>
      <c r="D380">
        <v>0</v>
      </c>
      <c r="F380">
        <v>62500</v>
      </c>
      <c r="G380" t="s">
        <v>17</v>
      </c>
      <c r="I380" t="s">
        <v>16</v>
      </c>
      <c r="J380" t="s">
        <v>187</v>
      </c>
      <c r="K380" t="s">
        <v>25</v>
      </c>
      <c r="L380">
        <v>132757294</v>
      </c>
      <c r="R380">
        <v>936</v>
      </c>
      <c r="S380" t="s">
        <v>206</v>
      </c>
      <c r="T380">
        <v>0</v>
      </c>
      <c r="U380">
        <v>47</v>
      </c>
      <c r="V380">
        <v>0</v>
      </c>
      <c r="W380">
        <v>0</v>
      </c>
      <c r="X380">
        <v>0</v>
      </c>
    </row>
    <row r="381" spans="1:24" x14ac:dyDescent="0.25">
      <c r="A381" t="s">
        <v>15</v>
      </c>
      <c r="B381" t="s">
        <v>24</v>
      </c>
      <c r="C381">
        <v>20150316</v>
      </c>
      <c r="D381">
        <v>0</v>
      </c>
      <c r="F381">
        <v>62500</v>
      </c>
      <c r="G381" t="s">
        <v>17</v>
      </c>
      <c r="I381" t="s">
        <v>16</v>
      </c>
      <c r="J381" t="s">
        <v>187</v>
      </c>
      <c r="K381" t="s">
        <v>25</v>
      </c>
      <c r="L381">
        <v>132757294</v>
      </c>
      <c r="R381">
        <v>937</v>
      </c>
      <c r="S381" t="s">
        <v>204</v>
      </c>
      <c r="T381">
        <v>0</v>
      </c>
      <c r="U381">
        <v>46</v>
      </c>
      <c r="V381">
        <v>0</v>
      </c>
      <c r="W381">
        <v>0</v>
      </c>
      <c r="X381">
        <v>0</v>
      </c>
    </row>
    <row r="382" spans="1:24" x14ac:dyDescent="0.25">
      <c r="A382" t="s">
        <v>15</v>
      </c>
      <c r="B382" t="s">
        <v>24</v>
      </c>
      <c r="C382">
        <v>20150316</v>
      </c>
      <c r="D382">
        <v>0</v>
      </c>
      <c r="F382">
        <v>62500</v>
      </c>
      <c r="G382" t="s">
        <v>17</v>
      </c>
      <c r="I382" t="s">
        <v>16</v>
      </c>
      <c r="J382" t="s">
        <v>187</v>
      </c>
      <c r="K382" t="s">
        <v>25</v>
      </c>
      <c r="L382">
        <v>132757294</v>
      </c>
      <c r="R382">
        <v>937</v>
      </c>
      <c r="S382" t="s">
        <v>204</v>
      </c>
      <c r="T382">
        <v>0</v>
      </c>
      <c r="U382">
        <v>46</v>
      </c>
      <c r="V382">
        <v>0</v>
      </c>
      <c r="W382">
        <v>0</v>
      </c>
      <c r="X382">
        <v>0</v>
      </c>
    </row>
    <row r="383" spans="1:24" x14ac:dyDescent="0.25">
      <c r="A383" t="s">
        <v>15</v>
      </c>
      <c r="B383" t="s">
        <v>24</v>
      </c>
      <c r="C383">
        <v>20150316</v>
      </c>
      <c r="D383">
        <v>0</v>
      </c>
      <c r="F383">
        <v>62500</v>
      </c>
      <c r="G383" t="s">
        <v>17</v>
      </c>
      <c r="I383" t="s">
        <v>16</v>
      </c>
      <c r="J383" t="s">
        <v>187</v>
      </c>
      <c r="K383" t="s">
        <v>25</v>
      </c>
      <c r="L383">
        <v>132757294</v>
      </c>
      <c r="R383">
        <v>938</v>
      </c>
      <c r="S383" t="s">
        <v>203</v>
      </c>
      <c r="T383">
        <v>0</v>
      </c>
      <c r="U383">
        <v>46</v>
      </c>
      <c r="V383">
        <v>0</v>
      </c>
      <c r="W383">
        <v>0</v>
      </c>
      <c r="X383">
        <v>0</v>
      </c>
    </row>
    <row r="384" spans="1:24" x14ac:dyDescent="0.25">
      <c r="A384" t="s">
        <v>15</v>
      </c>
      <c r="B384" t="s">
        <v>24</v>
      </c>
      <c r="C384">
        <v>20150316</v>
      </c>
      <c r="D384">
        <v>0</v>
      </c>
      <c r="F384">
        <v>62500</v>
      </c>
      <c r="G384" t="s">
        <v>17</v>
      </c>
      <c r="I384" t="s">
        <v>16</v>
      </c>
      <c r="J384" t="s">
        <v>187</v>
      </c>
      <c r="K384" t="s">
        <v>25</v>
      </c>
      <c r="L384">
        <v>132757294</v>
      </c>
      <c r="R384">
        <v>937</v>
      </c>
      <c r="S384" t="s">
        <v>205</v>
      </c>
      <c r="T384">
        <v>0</v>
      </c>
      <c r="U384">
        <v>46</v>
      </c>
      <c r="V384">
        <v>0</v>
      </c>
      <c r="W384">
        <v>0</v>
      </c>
      <c r="X384">
        <v>0</v>
      </c>
    </row>
    <row r="385" spans="1:24" x14ac:dyDescent="0.25">
      <c r="A385" t="s">
        <v>15</v>
      </c>
      <c r="B385" t="s">
        <v>24</v>
      </c>
      <c r="C385">
        <v>20150316</v>
      </c>
      <c r="D385">
        <v>0</v>
      </c>
      <c r="F385">
        <v>62500</v>
      </c>
      <c r="G385" t="s">
        <v>17</v>
      </c>
      <c r="I385" t="s">
        <v>16</v>
      </c>
      <c r="J385" t="s">
        <v>187</v>
      </c>
      <c r="K385" t="s">
        <v>25</v>
      </c>
      <c r="L385">
        <v>132757294</v>
      </c>
      <c r="R385">
        <v>937</v>
      </c>
      <c r="S385" t="s">
        <v>206</v>
      </c>
      <c r="T385">
        <v>0</v>
      </c>
      <c r="U385">
        <v>46</v>
      </c>
      <c r="V385">
        <v>0</v>
      </c>
      <c r="W385">
        <v>0</v>
      </c>
      <c r="X385">
        <v>0</v>
      </c>
    </row>
    <row r="386" spans="1:24" x14ac:dyDescent="0.25">
      <c r="A386" t="s">
        <v>15</v>
      </c>
      <c r="B386" t="s">
        <v>24</v>
      </c>
      <c r="C386">
        <v>20150316</v>
      </c>
      <c r="D386">
        <v>0</v>
      </c>
      <c r="F386">
        <v>62500</v>
      </c>
      <c r="G386" t="s">
        <v>17</v>
      </c>
      <c r="I386" t="s">
        <v>16</v>
      </c>
      <c r="J386" t="s">
        <v>187</v>
      </c>
      <c r="K386" t="s">
        <v>25</v>
      </c>
      <c r="L386">
        <v>132757294</v>
      </c>
      <c r="R386">
        <v>938</v>
      </c>
      <c r="S386" t="s">
        <v>204</v>
      </c>
      <c r="T386">
        <v>0</v>
      </c>
      <c r="U386">
        <v>46</v>
      </c>
      <c r="V386">
        <v>0</v>
      </c>
      <c r="W386">
        <v>0</v>
      </c>
      <c r="X386">
        <v>0</v>
      </c>
    </row>
    <row r="387" spans="1:24" x14ac:dyDescent="0.25">
      <c r="A387" t="s">
        <v>15</v>
      </c>
      <c r="B387" t="s">
        <v>24</v>
      </c>
      <c r="C387">
        <v>20150316</v>
      </c>
      <c r="D387">
        <v>0</v>
      </c>
      <c r="F387">
        <v>62500</v>
      </c>
      <c r="G387" t="s">
        <v>17</v>
      </c>
      <c r="I387" t="s">
        <v>16</v>
      </c>
      <c r="J387" t="s">
        <v>187</v>
      </c>
      <c r="K387" t="s">
        <v>25</v>
      </c>
      <c r="L387">
        <v>132757294</v>
      </c>
      <c r="R387">
        <v>938</v>
      </c>
      <c r="S387" t="s">
        <v>204</v>
      </c>
      <c r="T387">
        <v>0</v>
      </c>
      <c r="U387">
        <v>46</v>
      </c>
      <c r="V387">
        <v>0</v>
      </c>
      <c r="W387">
        <v>0</v>
      </c>
      <c r="X387">
        <v>0</v>
      </c>
    </row>
    <row r="388" spans="1:24" x14ac:dyDescent="0.25">
      <c r="A388" t="s">
        <v>15</v>
      </c>
      <c r="B388" t="s">
        <v>24</v>
      </c>
      <c r="C388">
        <v>20150316</v>
      </c>
      <c r="D388">
        <v>0</v>
      </c>
      <c r="F388">
        <v>62500</v>
      </c>
      <c r="G388" t="s">
        <v>17</v>
      </c>
      <c r="I388" t="s">
        <v>16</v>
      </c>
      <c r="J388" t="s">
        <v>187</v>
      </c>
      <c r="K388" t="s">
        <v>25</v>
      </c>
      <c r="L388">
        <v>132757294</v>
      </c>
      <c r="R388">
        <v>939</v>
      </c>
      <c r="S388" t="s">
        <v>203</v>
      </c>
      <c r="T388">
        <v>0</v>
      </c>
      <c r="U388">
        <v>47</v>
      </c>
      <c r="V388">
        <v>0</v>
      </c>
      <c r="W388">
        <v>0</v>
      </c>
      <c r="X388">
        <v>0</v>
      </c>
    </row>
    <row r="389" spans="1:24" x14ac:dyDescent="0.25">
      <c r="A389" t="s">
        <v>15</v>
      </c>
      <c r="B389" t="s">
        <v>24</v>
      </c>
      <c r="C389">
        <v>20150316</v>
      </c>
      <c r="D389">
        <v>0</v>
      </c>
      <c r="F389">
        <v>62500</v>
      </c>
      <c r="G389" t="s">
        <v>17</v>
      </c>
      <c r="I389" t="s">
        <v>16</v>
      </c>
      <c r="J389" t="s">
        <v>187</v>
      </c>
      <c r="K389" t="s">
        <v>25</v>
      </c>
      <c r="L389">
        <v>132757294</v>
      </c>
      <c r="R389">
        <v>938</v>
      </c>
      <c r="S389" t="s">
        <v>205</v>
      </c>
      <c r="T389">
        <v>0</v>
      </c>
      <c r="U389">
        <v>46</v>
      </c>
      <c r="V389">
        <v>0</v>
      </c>
      <c r="W389">
        <v>0</v>
      </c>
      <c r="X389">
        <v>0</v>
      </c>
    </row>
    <row r="390" spans="1:24" x14ac:dyDescent="0.25">
      <c r="A390" t="s">
        <v>15</v>
      </c>
      <c r="B390" t="s">
        <v>24</v>
      </c>
      <c r="C390">
        <v>20150316</v>
      </c>
      <c r="D390">
        <v>0</v>
      </c>
      <c r="F390">
        <v>62500</v>
      </c>
      <c r="G390" t="s">
        <v>17</v>
      </c>
      <c r="I390" t="s">
        <v>16</v>
      </c>
      <c r="J390" t="s">
        <v>187</v>
      </c>
      <c r="K390" t="s">
        <v>25</v>
      </c>
      <c r="L390">
        <v>132757294</v>
      </c>
      <c r="R390">
        <v>938</v>
      </c>
      <c r="S390" t="s">
        <v>206</v>
      </c>
      <c r="T390">
        <v>0</v>
      </c>
      <c r="U390">
        <v>46</v>
      </c>
      <c r="V390">
        <v>0</v>
      </c>
      <c r="W390">
        <v>0</v>
      </c>
      <c r="X390">
        <v>0</v>
      </c>
    </row>
    <row r="391" spans="1:24" x14ac:dyDescent="0.25">
      <c r="A391" t="s">
        <v>15</v>
      </c>
      <c r="B391" t="s">
        <v>24</v>
      </c>
      <c r="C391">
        <v>20150316</v>
      </c>
      <c r="D391">
        <v>0</v>
      </c>
      <c r="F391">
        <v>62500</v>
      </c>
      <c r="G391" t="s">
        <v>17</v>
      </c>
      <c r="I391" t="s">
        <v>16</v>
      </c>
      <c r="J391" t="s">
        <v>187</v>
      </c>
      <c r="K391" t="s">
        <v>25</v>
      </c>
      <c r="L391">
        <v>132757294</v>
      </c>
      <c r="R391">
        <v>939</v>
      </c>
      <c r="S391" t="s">
        <v>204</v>
      </c>
      <c r="T391">
        <v>0</v>
      </c>
      <c r="U391">
        <v>47</v>
      </c>
      <c r="V391">
        <v>0</v>
      </c>
      <c r="W391">
        <v>0</v>
      </c>
      <c r="X391">
        <v>0</v>
      </c>
    </row>
    <row r="392" spans="1:24" x14ac:dyDescent="0.25">
      <c r="A392" t="s">
        <v>15</v>
      </c>
      <c r="B392" t="s">
        <v>24</v>
      </c>
      <c r="C392">
        <v>20150316</v>
      </c>
      <c r="D392">
        <v>0</v>
      </c>
      <c r="F392">
        <v>62500</v>
      </c>
      <c r="G392" t="s">
        <v>17</v>
      </c>
      <c r="I392" t="s">
        <v>16</v>
      </c>
      <c r="J392" t="s">
        <v>187</v>
      </c>
      <c r="K392" t="s">
        <v>25</v>
      </c>
      <c r="L392">
        <v>132757294</v>
      </c>
      <c r="R392">
        <v>939</v>
      </c>
      <c r="S392" t="s">
        <v>204</v>
      </c>
      <c r="T392">
        <v>0</v>
      </c>
      <c r="U392">
        <v>47</v>
      </c>
      <c r="V392">
        <v>0</v>
      </c>
      <c r="W392">
        <v>0</v>
      </c>
      <c r="X392">
        <v>0</v>
      </c>
    </row>
    <row r="393" spans="1:24" x14ac:dyDescent="0.25">
      <c r="A393" t="s">
        <v>15</v>
      </c>
      <c r="B393" t="s">
        <v>24</v>
      </c>
      <c r="C393">
        <v>20150316</v>
      </c>
      <c r="D393">
        <v>0</v>
      </c>
      <c r="F393">
        <v>62500</v>
      </c>
      <c r="G393" t="s">
        <v>17</v>
      </c>
      <c r="I393" t="s">
        <v>16</v>
      </c>
      <c r="J393" t="s">
        <v>187</v>
      </c>
      <c r="K393" t="s">
        <v>25</v>
      </c>
      <c r="L393">
        <v>132757294</v>
      </c>
      <c r="R393">
        <v>940</v>
      </c>
      <c r="S393" t="s">
        <v>203</v>
      </c>
      <c r="T393">
        <v>0</v>
      </c>
      <c r="U393">
        <v>-47</v>
      </c>
      <c r="V393">
        <v>0</v>
      </c>
      <c r="W393">
        <v>0</v>
      </c>
      <c r="X393">
        <v>0</v>
      </c>
    </row>
    <row r="394" spans="1:24" x14ac:dyDescent="0.25">
      <c r="A394" t="s">
        <v>15</v>
      </c>
      <c r="B394" t="s">
        <v>24</v>
      </c>
      <c r="C394">
        <v>20150316</v>
      </c>
      <c r="D394">
        <v>0</v>
      </c>
      <c r="F394">
        <v>62500</v>
      </c>
      <c r="G394" t="s">
        <v>17</v>
      </c>
      <c r="I394" t="s">
        <v>16</v>
      </c>
      <c r="J394" t="s">
        <v>187</v>
      </c>
      <c r="K394" t="s">
        <v>25</v>
      </c>
      <c r="L394">
        <v>132757294</v>
      </c>
      <c r="R394">
        <v>933</v>
      </c>
      <c r="S394" t="s">
        <v>205</v>
      </c>
      <c r="T394">
        <v>0</v>
      </c>
      <c r="U394">
        <v>47</v>
      </c>
      <c r="V394">
        <v>0</v>
      </c>
      <c r="W394">
        <v>0</v>
      </c>
      <c r="X394">
        <v>0</v>
      </c>
    </row>
    <row r="395" spans="1:24" x14ac:dyDescent="0.25">
      <c r="A395" t="s">
        <v>15</v>
      </c>
      <c r="B395" t="s">
        <v>24</v>
      </c>
      <c r="C395">
        <v>20150316</v>
      </c>
      <c r="D395">
        <v>0</v>
      </c>
      <c r="F395">
        <v>62500</v>
      </c>
      <c r="G395" t="s">
        <v>17</v>
      </c>
      <c r="I395" t="s">
        <v>16</v>
      </c>
      <c r="J395" t="s">
        <v>187</v>
      </c>
      <c r="K395" t="s">
        <v>25</v>
      </c>
      <c r="L395">
        <v>132757294</v>
      </c>
      <c r="R395">
        <v>933</v>
      </c>
      <c r="S395" t="s">
        <v>206</v>
      </c>
      <c r="T395">
        <v>0</v>
      </c>
      <c r="U395">
        <v>47</v>
      </c>
      <c r="V395">
        <v>0</v>
      </c>
      <c r="W395">
        <v>0</v>
      </c>
      <c r="X395">
        <v>0</v>
      </c>
    </row>
    <row r="396" spans="1:24" x14ac:dyDescent="0.25">
      <c r="A396" t="s">
        <v>15</v>
      </c>
      <c r="B396" t="s">
        <v>24</v>
      </c>
      <c r="C396">
        <v>20150316</v>
      </c>
      <c r="D396">
        <v>0</v>
      </c>
      <c r="F396">
        <v>62500</v>
      </c>
      <c r="G396" t="s">
        <v>17</v>
      </c>
      <c r="I396" t="s">
        <v>16</v>
      </c>
      <c r="J396" t="s">
        <v>187</v>
      </c>
      <c r="K396" t="s">
        <v>25</v>
      </c>
      <c r="L396">
        <v>132757294</v>
      </c>
      <c r="R396">
        <v>940</v>
      </c>
      <c r="S396" t="s">
        <v>204</v>
      </c>
      <c r="T396">
        <v>0</v>
      </c>
      <c r="U396">
        <v>47</v>
      </c>
      <c r="V396">
        <v>0</v>
      </c>
      <c r="W396">
        <v>0</v>
      </c>
      <c r="X396">
        <v>0</v>
      </c>
    </row>
    <row r="397" spans="1:24" x14ac:dyDescent="0.25">
      <c r="A397" t="s">
        <v>15</v>
      </c>
      <c r="B397" t="s">
        <v>24</v>
      </c>
      <c r="C397">
        <v>20150316</v>
      </c>
      <c r="D397">
        <v>0</v>
      </c>
      <c r="F397">
        <v>62500</v>
      </c>
      <c r="G397" t="s">
        <v>17</v>
      </c>
      <c r="I397" t="s">
        <v>16</v>
      </c>
      <c r="J397" t="s">
        <v>187</v>
      </c>
      <c r="K397" t="s">
        <v>25</v>
      </c>
      <c r="L397">
        <v>132757294</v>
      </c>
      <c r="R397">
        <v>940</v>
      </c>
      <c r="S397" t="s">
        <v>204</v>
      </c>
      <c r="T397">
        <v>0</v>
      </c>
      <c r="U397">
        <v>47</v>
      </c>
      <c r="V397">
        <v>0</v>
      </c>
      <c r="W397">
        <v>0</v>
      </c>
      <c r="X397">
        <v>0</v>
      </c>
    </row>
    <row r="398" spans="1:24" x14ac:dyDescent="0.25">
      <c r="A398" t="s">
        <v>15</v>
      </c>
      <c r="B398" t="s">
        <v>24</v>
      </c>
      <c r="C398">
        <v>20150316</v>
      </c>
      <c r="D398">
        <v>0</v>
      </c>
      <c r="F398">
        <v>62500</v>
      </c>
      <c r="G398" t="s">
        <v>17</v>
      </c>
      <c r="I398" t="s">
        <v>16</v>
      </c>
      <c r="J398" t="s">
        <v>187</v>
      </c>
      <c r="K398" t="s">
        <v>25</v>
      </c>
      <c r="L398">
        <v>132757294</v>
      </c>
      <c r="R398">
        <v>941</v>
      </c>
      <c r="S398" t="s">
        <v>203</v>
      </c>
      <c r="T398">
        <v>0</v>
      </c>
      <c r="U398">
        <v>49</v>
      </c>
      <c r="V398">
        <v>0</v>
      </c>
      <c r="W398">
        <v>0</v>
      </c>
      <c r="X398">
        <v>0</v>
      </c>
    </row>
    <row r="399" spans="1:24" x14ac:dyDescent="0.25">
      <c r="A399" t="s">
        <v>15</v>
      </c>
      <c r="B399" t="s">
        <v>24</v>
      </c>
      <c r="C399">
        <v>20150316</v>
      </c>
      <c r="D399">
        <v>0</v>
      </c>
      <c r="F399">
        <v>62500</v>
      </c>
      <c r="G399" t="s">
        <v>17</v>
      </c>
      <c r="I399" t="s">
        <v>16</v>
      </c>
      <c r="J399" t="s">
        <v>187</v>
      </c>
      <c r="K399" t="s">
        <v>25</v>
      </c>
      <c r="L399">
        <v>132757294</v>
      </c>
      <c r="R399">
        <v>939</v>
      </c>
      <c r="S399" t="s">
        <v>205</v>
      </c>
      <c r="T399">
        <v>0</v>
      </c>
      <c r="U399">
        <v>47</v>
      </c>
      <c r="V399">
        <v>0</v>
      </c>
      <c r="W399">
        <v>0</v>
      </c>
      <c r="X399">
        <v>0</v>
      </c>
    </row>
    <row r="400" spans="1:24" x14ac:dyDescent="0.25">
      <c r="A400" t="s">
        <v>15</v>
      </c>
      <c r="B400" t="s">
        <v>24</v>
      </c>
      <c r="C400">
        <v>20150316</v>
      </c>
      <c r="D400">
        <v>0</v>
      </c>
      <c r="F400">
        <v>62500</v>
      </c>
      <c r="G400" t="s">
        <v>17</v>
      </c>
      <c r="I400" t="s">
        <v>16</v>
      </c>
      <c r="J400" t="s">
        <v>187</v>
      </c>
      <c r="K400" t="s">
        <v>25</v>
      </c>
      <c r="L400">
        <v>132757294</v>
      </c>
      <c r="R400">
        <v>939</v>
      </c>
      <c r="S400" t="s">
        <v>206</v>
      </c>
      <c r="T400">
        <v>0</v>
      </c>
      <c r="U400">
        <v>47</v>
      </c>
      <c r="V400">
        <v>0</v>
      </c>
      <c r="W400">
        <v>0</v>
      </c>
      <c r="X400">
        <v>0</v>
      </c>
    </row>
    <row r="401" spans="1:24" x14ac:dyDescent="0.25">
      <c r="A401" t="s">
        <v>15</v>
      </c>
      <c r="B401" t="s">
        <v>24</v>
      </c>
      <c r="C401">
        <v>20150316</v>
      </c>
      <c r="D401">
        <v>0</v>
      </c>
      <c r="F401">
        <v>62500</v>
      </c>
      <c r="G401" t="s">
        <v>17</v>
      </c>
      <c r="I401" t="s">
        <v>16</v>
      </c>
      <c r="J401" t="s">
        <v>187</v>
      </c>
      <c r="K401" t="s">
        <v>25</v>
      </c>
      <c r="L401">
        <v>132757294</v>
      </c>
      <c r="R401">
        <v>941</v>
      </c>
      <c r="S401" t="s">
        <v>204</v>
      </c>
      <c r="T401">
        <v>0</v>
      </c>
      <c r="U401">
        <v>49</v>
      </c>
      <c r="V401">
        <v>0</v>
      </c>
      <c r="W401">
        <v>0</v>
      </c>
      <c r="X401">
        <v>0</v>
      </c>
    </row>
    <row r="402" spans="1:24" x14ac:dyDescent="0.25">
      <c r="A402" t="s">
        <v>15</v>
      </c>
      <c r="B402" t="s">
        <v>24</v>
      </c>
      <c r="C402">
        <v>20150316</v>
      </c>
      <c r="D402">
        <v>0</v>
      </c>
      <c r="F402">
        <v>62500</v>
      </c>
      <c r="G402" t="s">
        <v>17</v>
      </c>
      <c r="I402" t="s">
        <v>16</v>
      </c>
      <c r="J402" t="s">
        <v>187</v>
      </c>
      <c r="K402" t="s">
        <v>25</v>
      </c>
      <c r="L402">
        <v>132757294</v>
      </c>
      <c r="R402">
        <v>940</v>
      </c>
      <c r="S402" t="s">
        <v>205</v>
      </c>
      <c r="T402">
        <v>0</v>
      </c>
      <c r="U402">
        <v>47</v>
      </c>
      <c r="V402">
        <v>0</v>
      </c>
      <c r="W402">
        <v>0</v>
      </c>
      <c r="X402">
        <v>0</v>
      </c>
    </row>
    <row r="403" spans="1:24" x14ac:dyDescent="0.25">
      <c r="A403" t="s">
        <v>15</v>
      </c>
      <c r="B403" t="s">
        <v>24</v>
      </c>
      <c r="C403">
        <v>20150316</v>
      </c>
      <c r="D403">
        <v>0</v>
      </c>
      <c r="F403">
        <v>62500</v>
      </c>
      <c r="G403" t="s">
        <v>17</v>
      </c>
      <c r="I403" t="s">
        <v>16</v>
      </c>
      <c r="J403" t="s">
        <v>187</v>
      </c>
      <c r="K403" t="s">
        <v>25</v>
      </c>
      <c r="L403">
        <v>132757294</v>
      </c>
      <c r="R403">
        <v>940</v>
      </c>
      <c r="S403" t="s">
        <v>206</v>
      </c>
      <c r="T403">
        <v>0</v>
      </c>
      <c r="U403">
        <v>47</v>
      </c>
      <c r="V403">
        <v>0</v>
      </c>
      <c r="W403">
        <v>0</v>
      </c>
      <c r="X403">
        <v>0</v>
      </c>
    </row>
    <row r="404" spans="1:24" x14ac:dyDescent="0.25">
      <c r="A404" t="s">
        <v>15</v>
      </c>
      <c r="B404" t="s">
        <v>24</v>
      </c>
      <c r="C404">
        <v>20150316</v>
      </c>
      <c r="D404">
        <v>0</v>
      </c>
      <c r="F404">
        <v>62500</v>
      </c>
      <c r="G404" t="s">
        <v>17</v>
      </c>
      <c r="I404" t="s">
        <v>16</v>
      </c>
      <c r="J404" t="s">
        <v>187</v>
      </c>
      <c r="K404" t="s">
        <v>25</v>
      </c>
      <c r="L404">
        <v>132757294</v>
      </c>
      <c r="R404">
        <v>941</v>
      </c>
      <c r="S404" t="s">
        <v>204</v>
      </c>
      <c r="T404">
        <v>0</v>
      </c>
      <c r="U404">
        <v>49</v>
      </c>
      <c r="V404">
        <v>0</v>
      </c>
      <c r="W404">
        <v>0</v>
      </c>
      <c r="X404">
        <v>0</v>
      </c>
    </row>
    <row r="405" spans="1:24" x14ac:dyDescent="0.25">
      <c r="A405" t="s">
        <v>15</v>
      </c>
      <c r="B405" t="s">
        <v>24</v>
      </c>
      <c r="C405">
        <v>20150316</v>
      </c>
      <c r="D405">
        <v>0</v>
      </c>
      <c r="F405">
        <v>62500</v>
      </c>
      <c r="G405" t="s">
        <v>17</v>
      </c>
      <c r="I405" t="s">
        <v>16</v>
      </c>
      <c r="J405" t="s">
        <v>187</v>
      </c>
      <c r="K405" t="s">
        <v>25</v>
      </c>
      <c r="L405">
        <v>132757294</v>
      </c>
      <c r="R405">
        <v>942</v>
      </c>
      <c r="S405" t="s">
        <v>203</v>
      </c>
      <c r="T405">
        <v>0</v>
      </c>
      <c r="U405">
        <v>-49</v>
      </c>
      <c r="V405">
        <v>0</v>
      </c>
      <c r="W405">
        <v>0</v>
      </c>
      <c r="X405">
        <v>0</v>
      </c>
    </row>
    <row r="406" spans="1:24" x14ac:dyDescent="0.25">
      <c r="A406" t="s">
        <v>15</v>
      </c>
      <c r="B406" t="s">
        <v>24</v>
      </c>
      <c r="C406">
        <v>20150316</v>
      </c>
      <c r="D406">
        <v>0</v>
      </c>
      <c r="F406">
        <v>62500</v>
      </c>
      <c r="G406" t="s">
        <v>17</v>
      </c>
      <c r="I406" t="s">
        <v>16</v>
      </c>
      <c r="J406" t="s">
        <v>187</v>
      </c>
      <c r="K406" t="s">
        <v>25</v>
      </c>
      <c r="L406">
        <v>132757294</v>
      </c>
      <c r="R406">
        <v>942</v>
      </c>
      <c r="S406" t="s">
        <v>204</v>
      </c>
      <c r="T406">
        <v>0</v>
      </c>
      <c r="U406">
        <v>49</v>
      </c>
      <c r="V406">
        <v>0</v>
      </c>
      <c r="W406">
        <v>0</v>
      </c>
      <c r="X406">
        <v>0</v>
      </c>
    </row>
    <row r="407" spans="1:24" x14ac:dyDescent="0.25">
      <c r="A407" t="s">
        <v>15</v>
      </c>
      <c r="B407" t="s">
        <v>24</v>
      </c>
      <c r="C407">
        <v>20150316</v>
      </c>
      <c r="D407">
        <v>0</v>
      </c>
      <c r="F407">
        <v>62500</v>
      </c>
      <c r="G407" t="s">
        <v>17</v>
      </c>
      <c r="I407" t="s">
        <v>16</v>
      </c>
      <c r="J407" t="s">
        <v>187</v>
      </c>
      <c r="K407" t="s">
        <v>25</v>
      </c>
      <c r="L407">
        <v>132757294</v>
      </c>
      <c r="R407">
        <v>942</v>
      </c>
      <c r="S407" t="s">
        <v>204</v>
      </c>
      <c r="T407">
        <v>0</v>
      </c>
      <c r="U407">
        <v>49</v>
      </c>
      <c r="V407">
        <v>0</v>
      </c>
      <c r="W407">
        <v>0</v>
      </c>
      <c r="X407">
        <v>0</v>
      </c>
    </row>
    <row r="408" spans="1:24" x14ac:dyDescent="0.25">
      <c r="A408" t="s">
        <v>15</v>
      </c>
      <c r="B408" t="s">
        <v>24</v>
      </c>
      <c r="C408">
        <v>20150316</v>
      </c>
      <c r="D408">
        <v>0</v>
      </c>
      <c r="F408">
        <v>62500</v>
      </c>
      <c r="G408" t="s">
        <v>17</v>
      </c>
      <c r="I408" t="s">
        <v>16</v>
      </c>
      <c r="J408" t="s">
        <v>187</v>
      </c>
      <c r="K408" t="s">
        <v>25</v>
      </c>
      <c r="L408">
        <v>132757294</v>
      </c>
      <c r="R408">
        <v>943</v>
      </c>
      <c r="S408" t="s">
        <v>203</v>
      </c>
      <c r="T408">
        <v>0</v>
      </c>
      <c r="U408">
        <v>48</v>
      </c>
      <c r="V408">
        <v>0</v>
      </c>
      <c r="W408">
        <v>0</v>
      </c>
      <c r="X408">
        <v>0</v>
      </c>
    </row>
    <row r="409" spans="1:24" x14ac:dyDescent="0.25">
      <c r="A409" t="s">
        <v>15</v>
      </c>
      <c r="B409" t="s">
        <v>24</v>
      </c>
      <c r="C409">
        <v>20150316</v>
      </c>
      <c r="D409">
        <v>0</v>
      </c>
      <c r="F409">
        <v>62500</v>
      </c>
      <c r="G409" t="s">
        <v>17</v>
      </c>
      <c r="I409" t="s">
        <v>16</v>
      </c>
      <c r="J409" t="s">
        <v>187</v>
      </c>
      <c r="K409" t="s">
        <v>25</v>
      </c>
      <c r="L409">
        <v>132757294</v>
      </c>
      <c r="R409">
        <v>941</v>
      </c>
      <c r="S409" t="s">
        <v>205</v>
      </c>
      <c r="T409">
        <v>0</v>
      </c>
      <c r="U409">
        <v>49</v>
      </c>
      <c r="V409">
        <v>0</v>
      </c>
      <c r="W409">
        <v>0</v>
      </c>
      <c r="X409">
        <v>0</v>
      </c>
    </row>
    <row r="410" spans="1:24" x14ac:dyDescent="0.25">
      <c r="A410" t="s">
        <v>15</v>
      </c>
      <c r="B410" t="s">
        <v>24</v>
      </c>
      <c r="C410">
        <v>20150316</v>
      </c>
      <c r="D410">
        <v>0</v>
      </c>
      <c r="F410">
        <v>62500</v>
      </c>
      <c r="G410" t="s">
        <v>17</v>
      </c>
      <c r="I410" t="s">
        <v>16</v>
      </c>
      <c r="J410" t="s">
        <v>187</v>
      </c>
      <c r="K410" t="s">
        <v>25</v>
      </c>
      <c r="L410">
        <v>132757294</v>
      </c>
      <c r="R410">
        <v>941</v>
      </c>
      <c r="S410" t="s">
        <v>206</v>
      </c>
      <c r="T410">
        <v>0</v>
      </c>
      <c r="U410">
        <v>49</v>
      </c>
      <c r="V410">
        <v>0</v>
      </c>
      <c r="W410">
        <v>0</v>
      </c>
      <c r="X410">
        <v>0</v>
      </c>
    </row>
    <row r="411" spans="1:24" x14ac:dyDescent="0.25">
      <c r="A411" t="s">
        <v>15</v>
      </c>
      <c r="B411" t="s">
        <v>24</v>
      </c>
      <c r="C411">
        <v>20150316</v>
      </c>
      <c r="D411">
        <v>0</v>
      </c>
      <c r="F411">
        <v>62500</v>
      </c>
      <c r="G411" t="s">
        <v>17</v>
      </c>
      <c r="I411" t="s">
        <v>16</v>
      </c>
      <c r="J411" t="s">
        <v>187</v>
      </c>
      <c r="K411" t="s">
        <v>25</v>
      </c>
      <c r="L411">
        <v>132757294</v>
      </c>
      <c r="R411">
        <v>943</v>
      </c>
      <c r="S411" t="s">
        <v>204</v>
      </c>
      <c r="T411">
        <v>0</v>
      </c>
      <c r="U411">
        <v>48</v>
      </c>
      <c r="V411">
        <v>0</v>
      </c>
      <c r="W411">
        <v>0</v>
      </c>
      <c r="X411">
        <v>0</v>
      </c>
    </row>
    <row r="412" spans="1:24" x14ac:dyDescent="0.25">
      <c r="A412" t="s">
        <v>15</v>
      </c>
      <c r="B412" t="s">
        <v>24</v>
      </c>
      <c r="C412">
        <v>20150316</v>
      </c>
      <c r="D412">
        <v>0</v>
      </c>
      <c r="F412">
        <v>62500</v>
      </c>
      <c r="G412" t="s">
        <v>17</v>
      </c>
      <c r="I412" t="s">
        <v>16</v>
      </c>
      <c r="J412" t="s">
        <v>187</v>
      </c>
      <c r="K412" t="s">
        <v>25</v>
      </c>
      <c r="L412">
        <v>132757294</v>
      </c>
      <c r="R412">
        <v>943</v>
      </c>
      <c r="S412" t="s">
        <v>204</v>
      </c>
      <c r="T412">
        <v>0</v>
      </c>
      <c r="U412">
        <v>48</v>
      </c>
      <c r="V412">
        <v>0</v>
      </c>
      <c r="W412">
        <v>0</v>
      </c>
      <c r="X412">
        <v>0</v>
      </c>
    </row>
    <row r="413" spans="1:24" x14ac:dyDescent="0.25">
      <c r="A413" t="s">
        <v>15</v>
      </c>
      <c r="B413" t="s">
        <v>24</v>
      </c>
      <c r="C413">
        <v>20150316</v>
      </c>
      <c r="D413">
        <v>0</v>
      </c>
      <c r="F413">
        <v>62500</v>
      </c>
      <c r="G413" t="s">
        <v>17</v>
      </c>
      <c r="I413" t="s">
        <v>16</v>
      </c>
      <c r="J413" t="s">
        <v>187</v>
      </c>
      <c r="K413" t="s">
        <v>25</v>
      </c>
      <c r="L413">
        <v>132757294</v>
      </c>
      <c r="R413">
        <v>944</v>
      </c>
      <c r="S413" t="s">
        <v>203</v>
      </c>
      <c r="T413">
        <v>0</v>
      </c>
      <c r="U413">
        <v>49</v>
      </c>
      <c r="V413">
        <v>0</v>
      </c>
      <c r="W413">
        <v>0</v>
      </c>
      <c r="X413">
        <v>0</v>
      </c>
    </row>
    <row r="414" spans="1:24" x14ac:dyDescent="0.25">
      <c r="A414" t="s">
        <v>15</v>
      </c>
      <c r="B414" t="s">
        <v>24</v>
      </c>
      <c r="C414">
        <v>20150316</v>
      </c>
      <c r="D414">
        <v>0</v>
      </c>
      <c r="F414">
        <v>62500</v>
      </c>
      <c r="G414" t="s">
        <v>17</v>
      </c>
      <c r="I414" t="s">
        <v>16</v>
      </c>
      <c r="J414" t="s">
        <v>187</v>
      </c>
      <c r="K414" t="s">
        <v>25</v>
      </c>
      <c r="L414">
        <v>132757294</v>
      </c>
      <c r="R414">
        <v>943</v>
      </c>
      <c r="S414" t="s">
        <v>205</v>
      </c>
      <c r="T414">
        <v>0</v>
      </c>
      <c r="U414">
        <v>48</v>
      </c>
      <c r="V414">
        <v>0</v>
      </c>
      <c r="W414">
        <v>0</v>
      </c>
      <c r="X414">
        <v>0</v>
      </c>
    </row>
    <row r="415" spans="1:24" x14ac:dyDescent="0.25">
      <c r="A415" t="s">
        <v>15</v>
      </c>
      <c r="B415" t="s">
        <v>24</v>
      </c>
      <c r="C415">
        <v>20150316</v>
      </c>
      <c r="D415">
        <v>0</v>
      </c>
      <c r="F415">
        <v>62500</v>
      </c>
      <c r="G415" t="s">
        <v>17</v>
      </c>
      <c r="I415" t="s">
        <v>16</v>
      </c>
      <c r="J415" t="s">
        <v>187</v>
      </c>
      <c r="K415" t="s">
        <v>25</v>
      </c>
      <c r="L415">
        <v>132757294</v>
      </c>
      <c r="R415">
        <v>943</v>
      </c>
      <c r="S415" t="s">
        <v>206</v>
      </c>
      <c r="T415">
        <v>0</v>
      </c>
      <c r="U415">
        <v>48</v>
      </c>
      <c r="V415">
        <v>0</v>
      </c>
      <c r="W415">
        <v>0</v>
      </c>
      <c r="X415">
        <v>0</v>
      </c>
    </row>
    <row r="416" spans="1:24" x14ac:dyDescent="0.25">
      <c r="A416" t="s">
        <v>15</v>
      </c>
      <c r="B416" t="s">
        <v>24</v>
      </c>
      <c r="C416">
        <v>20150316</v>
      </c>
      <c r="D416">
        <v>0</v>
      </c>
      <c r="F416">
        <v>62500</v>
      </c>
      <c r="G416" t="s">
        <v>17</v>
      </c>
      <c r="I416" t="s">
        <v>16</v>
      </c>
      <c r="J416" t="s">
        <v>187</v>
      </c>
      <c r="K416" t="s">
        <v>25</v>
      </c>
      <c r="L416">
        <v>132757294</v>
      </c>
      <c r="R416">
        <v>944</v>
      </c>
      <c r="S416" t="s">
        <v>204</v>
      </c>
      <c r="T416">
        <v>0</v>
      </c>
      <c r="U416">
        <v>49</v>
      </c>
      <c r="V416">
        <v>0</v>
      </c>
      <c r="W416">
        <v>0</v>
      </c>
      <c r="X416">
        <v>0</v>
      </c>
    </row>
    <row r="417" spans="1:24" x14ac:dyDescent="0.25">
      <c r="A417" t="s">
        <v>15</v>
      </c>
      <c r="B417" t="s">
        <v>24</v>
      </c>
      <c r="C417">
        <v>20150316</v>
      </c>
      <c r="D417">
        <v>0</v>
      </c>
      <c r="F417">
        <v>62500</v>
      </c>
      <c r="G417" t="s">
        <v>17</v>
      </c>
      <c r="I417" t="s">
        <v>16</v>
      </c>
      <c r="J417" t="s">
        <v>187</v>
      </c>
      <c r="K417" t="s">
        <v>25</v>
      </c>
      <c r="L417">
        <v>132757294</v>
      </c>
      <c r="R417">
        <v>944</v>
      </c>
      <c r="S417" t="s">
        <v>204</v>
      </c>
      <c r="T417">
        <v>0</v>
      </c>
      <c r="U417">
        <v>49</v>
      </c>
      <c r="V417">
        <v>0</v>
      </c>
      <c r="W417">
        <v>0</v>
      </c>
      <c r="X417">
        <v>0</v>
      </c>
    </row>
    <row r="418" spans="1:24" x14ac:dyDescent="0.25">
      <c r="A418" t="s">
        <v>15</v>
      </c>
      <c r="B418" t="s">
        <v>24</v>
      </c>
      <c r="C418">
        <v>20150316</v>
      </c>
      <c r="D418">
        <v>0</v>
      </c>
      <c r="F418">
        <v>62500</v>
      </c>
      <c r="G418" t="s">
        <v>17</v>
      </c>
      <c r="I418" t="s">
        <v>16</v>
      </c>
      <c r="J418" t="s">
        <v>187</v>
      </c>
      <c r="K418" t="s">
        <v>25</v>
      </c>
      <c r="L418">
        <v>132757294</v>
      </c>
      <c r="R418">
        <v>945</v>
      </c>
      <c r="S418" t="s">
        <v>203</v>
      </c>
      <c r="T418">
        <v>0</v>
      </c>
      <c r="U418">
        <v>48</v>
      </c>
      <c r="V418">
        <v>0</v>
      </c>
      <c r="W418">
        <v>0</v>
      </c>
      <c r="X418">
        <v>0</v>
      </c>
    </row>
    <row r="419" spans="1:24" x14ac:dyDescent="0.25">
      <c r="A419" t="s">
        <v>15</v>
      </c>
      <c r="B419" t="s">
        <v>24</v>
      </c>
      <c r="C419">
        <v>20150316</v>
      </c>
      <c r="D419">
        <v>0</v>
      </c>
      <c r="F419">
        <v>62500</v>
      </c>
      <c r="G419" t="s">
        <v>17</v>
      </c>
      <c r="I419" t="s">
        <v>16</v>
      </c>
      <c r="J419" t="s">
        <v>187</v>
      </c>
      <c r="K419" t="s">
        <v>25</v>
      </c>
      <c r="L419">
        <v>132757294</v>
      </c>
      <c r="R419">
        <v>944</v>
      </c>
      <c r="S419" t="s">
        <v>205</v>
      </c>
      <c r="T419">
        <v>0</v>
      </c>
      <c r="U419">
        <v>49</v>
      </c>
      <c r="V419">
        <v>0</v>
      </c>
      <c r="W419">
        <v>0</v>
      </c>
      <c r="X419">
        <v>0</v>
      </c>
    </row>
    <row r="420" spans="1:24" x14ac:dyDescent="0.25">
      <c r="A420" t="s">
        <v>15</v>
      </c>
      <c r="B420" t="s">
        <v>24</v>
      </c>
      <c r="C420">
        <v>20150316</v>
      </c>
      <c r="D420">
        <v>0</v>
      </c>
      <c r="F420">
        <v>62500</v>
      </c>
      <c r="G420" t="s">
        <v>17</v>
      </c>
      <c r="I420" t="s">
        <v>16</v>
      </c>
      <c r="J420" t="s">
        <v>187</v>
      </c>
      <c r="K420" t="s">
        <v>25</v>
      </c>
      <c r="L420">
        <v>132757294</v>
      </c>
      <c r="R420">
        <v>944</v>
      </c>
      <c r="S420" t="s">
        <v>206</v>
      </c>
      <c r="T420">
        <v>0</v>
      </c>
      <c r="U420">
        <v>49</v>
      </c>
      <c r="V420">
        <v>0</v>
      </c>
      <c r="W420">
        <v>0</v>
      </c>
      <c r="X420">
        <v>0</v>
      </c>
    </row>
    <row r="421" spans="1:24" x14ac:dyDescent="0.25">
      <c r="A421" t="s">
        <v>15</v>
      </c>
      <c r="B421" t="s">
        <v>24</v>
      </c>
      <c r="C421">
        <v>20150316</v>
      </c>
      <c r="D421">
        <v>0</v>
      </c>
      <c r="F421">
        <v>62500</v>
      </c>
      <c r="G421" t="s">
        <v>17</v>
      </c>
      <c r="I421" t="s">
        <v>16</v>
      </c>
      <c r="J421" t="s">
        <v>187</v>
      </c>
      <c r="K421" t="s">
        <v>25</v>
      </c>
      <c r="L421">
        <v>132757294</v>
      </c>
      <c r="R421">
        <v>945</v>
      </c>
      <c r="S421" t="s">
        <v>204</v>
      </c>
      <c r="T421">
        <v>0</v>
      </c>
      <c r="U421">
        <v>48</v>
      </c>
      <c r="V421">
        <v>0</v>
      </c>
      <c r="W421">
        <v>0</v>
      </c>
      <c r="X421">
        <v>0</v>
      </c>
    </row>
    <row r="422" spans="1:24" x14ac:dyDescent="0.25">
      <c r="A422" t="s">
        <v>15</v>
      </c>
      <c r="B422" t="s">
        <v>24</v>
      </c>
      <c r="C422">
        <v>20150316</v>
      </c>
      <c r="D422">
        <v>0</v>
      </c>
      <c r="F422">
        <v>62500</v>
      </c>
      <c r="G422" t="s">
        <v>17</v>
      </c>
      <c r="I422" t="s">
        <v>16</v>
      </c>
      <c r="J422" t="s">
        <v>187</v>
      </c>
      <c r="K422" t="s">
        <v>25</v>
      </c>
      <c r="L422">
        <v>132757294</v>
      </c>
      <c r="R422">
        <v>945</v>
      </c>
      <c r="S422" t="s">
        <v>204</v>
      </c>
      <c r="T422">
        <v>0</v>
      </c>
      <c r="U422">
        <v>48</v>
      </c>
      <c r="V422">
        <v>0</v>
      </c>
      <c r="W422">
        <v>0</v>
      </c>
      <c r="X422">
        <v>0</v>
      </c>
    </row>
    <row r="423" spans="1:24" x14ac:dyDescent="0.25">
      <c r="A423" t="s">
        <v>15</v>
      </c>
      <c r="B423" t="s">
        <v>24</v>
      </c>
      <c r="C423">
        <v>20150316</v>
      </c>
      <c r="D423">
        <v>0</v>
      </c>
      <c r="F423">
        <v>62500</v>
      </c>
      <c r="G423" t="s">
        <v>17</v>
      </c>
      <c r="I423" t="s">
        <v>16</v>
      </c>
      <c r="J423" t="s">
        <v>187</v>
      </c>
      <c r="K423" t="s">
        <v>25</v>
      </c>
      <c r="L423">
        <v>132757294</v>
      </c>
      <c r="R423">
        <v>946</v>
      </c>
      <c r="S423" t="s">
        <v>203</v>
      </c>
      <c r="T423">
        <v>0</v>
      </c>
      <c r="U423">
        <v>49</v>
      </c>
      <c r="V423">
        <v>0</v>
      </c>
      <c r="W423">
        <v>0</v>
      </c>
      <c r="X423">
        <v>0</v>
      </c>
    </row>
    <row r="424" spans="1:24" x14ac:dyDescent="0.25">
      <c r="A424" t="s">
        <v>15</v>
      </c>
      <c r="B424" t="s">
        <v>24</v>
      </c>
      <c r="C424">
        <v>20150316</v>
      </c>
      <c r="D424">
        <v>0</v>
      </c>
      <c r="F424">
        <v>62500</v>
      </c>
      <c r="G424" t="s">
        <v>17</v>
      </c>
      <c r="I424" t="s">
        <v>16</v>
      </c>
      <c r="J424" t="s">
        <v>187</v>
      </c>
      <c r="K424" t="s">
        <v>25</v>
      </c>
      <c r="L424">
        <v>132757294</v>
      </c>
      <c r="R424">
        <v>945</v>
      </c>
      <c r="S424" t="s">
        <v>205</v>
      </c>
      <c r="T424">
        <v>0</v>
      </c>
      <c r="U424">
        <v>48</v>
      </c>
      <c r="V424">
        <v>0</v>
      </c>
      <c r="W424">
        <v>0</v>
      </c>
      <c r="X424">
        <v>0</v>
      </c>
    </row>
    <row r="425" spans="1:24" x14ac:dyDescent="0.25">
      <c r="A425" t="s">
        <v>15</v>
      </c>
      <c r="B425" t="s">
        <v>24</v>
      </c>
      <c r="C425">
        <v>20150316</v>
      </c>
      <c r="D425">
        <v>0</v>
      </c>
      <c r="F425">
        <v>62500</v>
      </c>
      <c r="G425" t="s">
        <v>17</v>
      </c>
      <c r="I425" t="s">
        <v>16</v>
      </c>
      <c r="J425" t="s">
        <v>187</v>
      </c>
      <c r="K425" t="s">
        <v>25</v>
      </c>
      <c r="L425">
        <v>132757294</v>
      </c>
      <c r="R425">
        <v>945</v>
      </c>
      <c r="S425" t="s">
        <v>206</v>
      </c>
      <c r="T425">
        <v>0</v>
      </c>
      <c r="U425">
        <v>48</v>
      </c>
      <c r="V425">
        <v>0</v>
      </c>
      <c r="W425">
        <v>0</v>
      </c>
      <c r="X425">
        <v>0</v>
      </c>
    </row>
    <row r="426" spans="1:24" x14ac:dyDescent="0.25">
      <c r="A426" t="s">
        <v>15</v>
      </c>
      <c r="B426" t="s">
        <v>24</v>
      </c>
      <c r="C426">
        <v>20150316</v>
      </c>
      <c r="D426">
        <v>0</v>
      </c>
      <c r="F426">
        <v>62500</v>
      </c>
      <c r="G426" t="s">
        <v>17</v>
      </c>
      <c r="I426" t="s">
        <v>16</v>
      </c>
      <c r="J426" t="s">
        <v>187</v>
      </c>
      <c r="K426" t="s">
        <v>25</v>
      </c>
      <c r="L426">
        <v>132757294</v>
      </c>
      <c r="R426">
        <v>946</v>
      </c>
      <c r="S426" t="s">
        <v>204</v>
      </c>
      <c r="T426">
        <v>0</v>
      </c>
      <c r="U426">
        <v>49</v>
      </c>
      <c r="V426">
        <v>0</v>
      </c>
      <c r="W426">
        <v>0</v>
      </c>
      <c r="X426">
        <v>0</v>
      </c>
    </row>
    <row r="427" spans="1:24" x14ac:dyDescent="0.25">
      <c r="A427" t="s">
        <v>15</v>
      </c>
      <c r="B427" t="s">
        <v>24</v>
      </c>
      <c r="C427">
        <v>20150316</v>
      </c>
      <c r="D427">
        <v>0</v>
      </c>
      <c r="F427">
        <v>62500</v>
      </c>
      <c r="G427" t="s">
        <v>17</v>
      </c>
      <c r="I427" t="s">
        <v>16</v>
      </c>
      <c r="J427" t="s">
        <v>187</v>
      </c>
      <c r="K427" t="s">
        <v>25</v>
      </c>
      <c r="L427">
        <v>132757294</v>
      </c>
      <c r="R427">
        <v>946</v>
      </c>
      <c r="S427" t="s">
        <v>204</v>
      </c>
      <c r="T427">
        <v>0</v>
      </c>
      <c r="U427">
        <v>49</v>
      </c>
      <c r="V427">
        <v>0</v>
      </c>
      <c r="W427">
        <v>0</v>
      </c>
      <c r="X427">
        <v>0</v>
      </c>
    </row>
    <row r="428" spans="1:24" x14ac:dyDescent="0.25">
      <c r="A428" t="s">
        <v>15</v>
      </c>
      <c r="B428" t="s">
        <v>24</v>
      </c>
      <c r="C428">
        <v>20150316</v>
      </c>
      <c r="D428">
        <v>0</v>
      </c>
      <c r="F428">
        <v>62500</v>
      </c>
      <c r="G428" t="s">
        <v>17</v>
      </c>
      <c r="I428" t="s">
        <v>16</v>
      </c>
      <c r="J428" t="s">
        <v>187</v>
      </c>
      <c r="K428" t="s">
        <v>25</v>
      </c>
      <c r="L428">
        <v>132757294</v>
      </c>
      <c r="R428">
        <v>947</v>
      </c>
      <c r="S428" t="s">
        <v>203</v>
      </c>
      <c r="T428">
        <v>0</v>
      </c>
      <c r="U428">
        <v>48</v>
      </c>
      <c r="V428">
        <v>0</v>
      </c>
      <c r="W428">
        <v>0</v>
      </c>
      <c r="X428">
        <v>0</v>
      </c>
    </row>
    <row r="429" spans="1:24" x14ac:dyDescent="0.25">
      <c r="A429" t="s">
        <v>15</v>
      </c>
      <c r="B429" t="s">
        <v>24</v>
      </c>
      <c r="C429">
        <v>20150316</v>
      </c>
      <c r="D429">
        <v>0</v>
      </c>
      <c r="F429">
        <v>62500</v>
      </c>
      <c r="G429" t="s">
        <v>17</v>
      </c>
      <c r="I429" t="s">
        <v>16</v>
      </c>
      <c r="J429" t="s">
        <v>187</v>
      </c>
      <c r="K429" t="s">
        <v>25</v>
      </c>
      <c r="L429">
        <v>132757294</v>
      </c>
      <c r="R429">
        <v>946</v>
      </c>
      <c r="S429" t="s">
        <v>205</v>
      </c>
      <c r="T429">
        <v>0</v>
      </c>
      <c r="U429">
        <v>49</v>
      </c>
      <c r="V429">
        <v>0</v>
      </c>
      <c r="W429">
        <v>0</v>
      </c>
      <c r="X429">
        <v>0</v>
      </c>
    </row>
    <row r="430" spans="1:24" x14ac:dyDescent="0.25">
      <c r="A430" t="s">
        <v>15</v>
      </c>
      <c r="B430" t="s">
        <v>24</v>
      </c>
      <c r="C430">
        <v>20150316</v>
      </c>
      <c r="D430">
        <v>0</v>
      </c>
      <c r="F430">
        <v>62500</v>
      </c>
      <c r="G430" t="s">
        <v>17</v>
      </c>
      <c r="I430" t="s">
        <v>16</v>
      </c>
      <c r="J430" t="s">
        <v>187</v>
      </c>
      <c r="K430" t="s">
        <v>25</v>
      </c>
      <c r="L430">
        <v>132757294</v>
      </c>
      <c r="R430">
        <v>946</v>
      </c>
      <c r="S430" t="s">
        <v>206</v>
      </c>
      <c r="T430">
        <v>0</v>
      </c>
      <c r="U430">
        <v>49</v>
      </c>
      <c r="V430">
        <v>0</v>
      </c>
      <c r="W430">
        <v>0</v>
      </c>
      <c r="X430">
        <v>0</v>
      </c>
    </row>
    <row r="431" spans="1:24" x14ac:dyDescent="0.25">
      <c r="A431" t="s">
        <v>15</v>
      </c>
      <c r="B431" t="s">
        <v>24</v>
      </c>
      <c r="C431">
        <v>20150316</v>
      </c>
      <c r="D431">
        <v>0</v>
      </c>
      <c r="F431">
        <v>62500</v>
      </c>
      <c r="G431" t="s">
        <v>17</v>
      </c>
      <c r="I431" t="s">
        <v>16</v>
      </c>
      <c r="J431" t="s">
        <v>187</v>
      </c>
      <c r="K431" t="s">
        <v>25</v>
      </c>
      <c r="L431">
        <v>132757294</v>
      </c>
      <c r="R431">
        <v>947</v>
      </c>
      <c r="S431" t="s">
        <v>204</v>
      </c>
      <c r="T431">
        <v>0</v>
      </c>
      <c r="U431">
        <v>48</v>
      </c>
      <c r="V431">
        <v>0</v>
      </c>
      <c r="W431">
        <v>0</v>
      </c>
      <c r="X431">
        <v>0</v>
      </c>
    </row>
    <row r="432" spans="1:24" x14ac:dyDescent="0.25">
      <c r="A432" t="s">
        <v>15</v>
      </c>
      <c r="B432" t="s">
        <v>24</v>
      </c>
      <c r="C432">
        <v>20150316</v>
      </c>
      <c r="D432">
        <v>0</v>
      </c>
      <c r="F432">
        <v>62500</v>
      </c>
      <c r="G432" t="s">
        <v>17</v>
      </c>
      <c r="I432" t="s">
        <v>16</v>
      </c>
      <c r="J432" t="s">
        <v>187</v>
      </c>
      <c r="K432" t="s">
        <v>25</v>
      </c>
      <c r="L432">
        <v>132757294</v>
      </c>
      <c r="R432">
        <v>947</v>
      </c>
      <c r="S432" t="s">
        <v>204</v>
      </c>
      <c r="T432">
        <v>0</v>
      </c>
      <c r="U432">
        <v>48</v>
      </c>
      <c r="V432">
        <v>0</v>
      </c>
      <c r="W432">
        <v>0</v>
      </c>
      <c r="X432">
        <v>0</v>
      </c>
    </row>
    <row r="433" spans="1:24" x14ac:dyDescent="0.25">
      <c r="A433" t="s">
        <v>15</v>
      </c>
      <c r="B433" t="s">
        <v>24</v>
      </c>
      <c r="C433">
        <v>20150316</v>
      </c>
      <c r="D433">
        <v>0</v>
      </c>
      <c r="F433">
        <v>62500</v>
      </c>
      <c r="G433" t="s">
        <v>17</v>
      </c>
      <c r="I433" t="s">
        <v>16</v>
      </c>
      <c r="J433" t="s">
        <v>187</v>
      </c>
      <c r="K433" t="s">
        <v>25</v>
      </c>
      <c r="L433">
        <v>132757294</v>
      </c>
      <c r="R433">
        <v>948</v>
      </c>
      <c r="S433" t="s">
        <v>203</v>
      </c>
      <c r="T433">
        <v>0</v>
      </c>
      <c r="U433">
        <v>48</v>
      </c>
      <c r="V433">
        <v>0</v>
      </c>
      <c r="W433">
        <v>0</v>
      </c>
      <c r="X433">
        <v>0</v>
      </c>
    </row>
    <row r="434" spans="1:24" x14ac:dyDescent="0.25">
      <c r="A434" t="s">
        <v>15</v>
      </c>
      <c r="B434" t="s">
        <v>24</v>
      </c>
      <c r="C434">
        <v>20150316</v>
      </c>
      <c r="D434">
        <v>0</v>
      </c>
      <c r="F434">
        <v>62500</v>
      </c>
      <c r="G434" t="s">
        <v>17</v>
      </c>
      <c r="I434" t="s">
        <v>16</v>
      </c>
      <c r="J434" t="s">
        <v>187</v>
      </c>
      <c r="K434" t="s">
        <v>25</v>
      </c>
      <c r="L434">
        <v>132757294</v>
      </c>
      <c r="R434">
        <v>947</v>
      </c>
      <c r="S434" t="s">
        <v>205</v>
      </c>
      <c r="T434">
        <v>0</v>
      </c>
      <c r="U434">
        <v>48</v>
      </c>
      <c r="V434">
        <v>0</v>
      </c>
      <c r="W434">
        <v>0</v>
      </c>
      <c r="X434">
        <v>0</v>
      </c>
    </row>
    <row r="435" spans="1:24" x14ac:dyDescent="0.25">
      <c r="A435" t="s">
        <v>15</v>
      </c>
      <c r="B435" t="s">
        <v>24</v>
      </c>
      <c r="C435">
        <v>20150316</v>
      </c>
      <c r="D435">
        <v>0</v>
      </c>
      <c r="F435">
        <v>62500</v>
      </c>
      <c r="G435" t="s">
        <v>17</v>
      </c>
      <c r="I435" t="s">
        <v>16</v>
      </c>
      <c r="J435" t="s">
        <v>187</v>
      </c>
      <c r="K435" t="s">
        <v>25</v>
      </c>
      <c r="L435">
        <v>132757294</v>
      </c>
      <c r="R435">
        <v>947</v>
      </c>
      <c r="S435" t="s">
        <v>206</v>
      </c>
      <c r="T435">
        <v>0</v>
      </c>
      <c r="U435">
        <v>48</v>
      </c>
      <c r="V435">
        <v>0</v>
      </c>
      <c r="W435">
        <v>0</v>
      </c>
      <c r="X435">
        <v>0</v>
      </c>
    </row>
    <row r="436" spans="1:24" x14ac:dyDescent="0.25">
      <c r="A436" t="s">
        <v>15</v>
      </c>
      <c r="B436" t="s">
        <v>24</v>
      </c>
      <c r="C436">
        <v>20150316</v>
      </c>
      <c r="D436">
        <v>0</v>
      </c>
      <c r="F436">
        <v>62500</v>
      </c>
      <c r="G436" t="s">
        <v>17</v>
      </c>
      <c r="I436" t="s">
        <v>16</v>
      </c>
      <c r="J436" t="s">
        <v>187</v>
      </c>
      <c r="K436" t="s">
        <v>25</v>
      </c>
      <c r="L436">
        <v>132757294</v>
      </c>
      <c r="R436">
        <v>948</v>
      </c>
      <c r="S436" t="s">
        <v>204</v>
      </c>
      <c r="T436">
        <v>0</v>
      </c>
      <c r="U436">
        <v>48</v>
      </c>
      <c r="V436">
        <v>0</v>
      </c>
      <c r="W436">
        <v>0</v>
      </c>
      <c r="X436">
        <v>0</v>
      </c>
    </row>
    <row r="437" spans="1:24" x14ac:dyDescent="0.25">
      <c r="A437" t="s">
        <v>15</v>
      </c>
      <c r="B437" t="s">
        <v>24</v>
      </c>
      <c r="C437">
        <v>20150316</v>
      </c>
      <c r="D437">
        <v>0</v>
      </c>
      <c r="F437">
        <v>62500</v>
      </c>
      <c r="G437" t="s">
        <v>17</v>
      </c>
      <c r="I437" t="s">
        <v>16</v>
      </c>
      <c r="J437" t="s">
        <v>187</v>
      </c>
      <c r="K437" t="s">
        <v>25</v>
      </c>
      <c r="L437">
        <v>132757294</v>
      </c>
      <c r="R437">
        <v>948</v>
      </c>
      <c r="S437" t="s">
        <v>204</v>
      </c>
      <c r="T437">
        <v>0</v>
      </c>
      <c r="U437">
        <v>48</v>
      </c>
      <c r="V437">
        <v>0</v>
      </c>
      <c r="W437">
        <v>0</v>
      </c>
      <c r="X437">
        <v>0</v>
      </c>
    </row>
    <row r="438" spans="1:24" x14ac:dyDescent="0.25">
      <c r="A438" t="s">
        <v>15</v>
      </c>
      <c r="B438" t="s">
        <v>24</v>
      </c>
      <c r="C438">
        <v>20150316</v>
      </c>
      <c r="D438">
        <v>0</v>
      </c>
      <c r="F438">
        <v>62500</v>
      </c>
      <c r="G438" t="s">
        <v>17</v>
      </c>
      <c r="I438" t="s">
        <v>16</v>
      </c>
      <c r="J438" t="s">
        <v>187</v>
      </c>
      <c r="K438" t="s">
        <v>25</v>
      </c>
      <c r="L438">
        <v>132757294</v>
      </c>
      <c r="R438">
        <v>949</v>
      </c>
      <c r="S438" t="s">
        <v>203</v>
      </c>
      <c r="T438">
        <v>0</v>
      </c>
      <c r="U438">
        <v>48</v>
      </c>
      <c r="V438">
        <v>0</v>
      </c>
      <c r="W438">
        <v>0</v>
      </c>
      <c r="X438">
        <v>0</v>
      </c>
    </row>
    <row r="439" spans="1:24" x14ac:dyDescent="0.25">
      <c r="A439" t="s">
        <v>15</v>
      </c>
      <c r="B439" t="s">
        <v>24</v>
      </c>
      <c r="C439">
        <v>20150316</v>
      </c>
      <c r="D439">
        <v>0</v>
      </c>
      <c r="F439">
        <v>62500</v>
      </c>
      <c r="G439" t="s">
        <v>17</v>
      </c>
      <c r="I439" t="s">
        <v>16</v>
      </c>
      <c r="J439" t="s">
        <v>187</v>
      </c>
      <c r="K439" t="s">
        <v>25</v>
      </c>
      <c r="L439">
        <v>132757294</v>
      </c>
      <c r="R439">
        <v>948</v>
      </c>
      <c r="S439" t="s">
        <v>205</v>
      </c>
      <c r="T439">
        <v>0</v>
      </c>
      <c r="U439">
        <v>48</v>
      </c>
      <c r="V439">
        <v>0</v>
      </c>
      <c r="W439">
        <v>0</v>
      </c>
      <c r="X439">
        <v>0</v>
      </c>
    </row>
    <row r="440" spans="1:24" x14ac:dyDescent="0.25">
      <c r="A440" t="s">
        <v>15</v>
      </c>
      <c r="B440" t="s">
        <v>24</v>
      </c>
      <c r="C440">
        <v>20150316</v>
      </c>
      <c r="D440">
        <v>0</v>
      </c>
      <c r="F440">
        <v>62500</v>
      </c>
      <c r="G440" t="s">
        <v>17</v>
      </c>
      <c r="I440" t="s">
        <v>16</v>
      </c>
      <c r="J440" t="s">
        <v>187</v>
      </c>
      <c r="K440" t="s">
        <v>25</v>
      </c>
      <c r="L440">
        <v>132757294</v>
      </c>
      <c r="R440">
        <v>948</v>
      </c>
      <c r="S440" t="s">
        <v>206</v>
      </c>
      <c r="T440">
        <v>0</v>
      </c>
      <c r="U440">
        <v>48</v>
      </c>
      <c r="V440">
        <v>0</v>
      </c>
      <c r="W440">
        <v>0</v>
      </c>
      <c r="X440">
        <v>0</v>
      </c>
    </row>
    <row r="441" spans="1:24" x14ac:dyDescent="0.25">
      <c r="A441" t="s">
        <v>15</v>
      </c>
      <c r="B441" t="s">
        <v>24</v>
      </c>
      <c r="C441">
        <v>20150316</v>
      </c>
      <c r="D441">
        <v>0</v>
      </c>
      <c r="F441">
        <v>62500</v>
      </c>
      <c r="G441" t="s">
        <v>17</v>
      </c>
      <c r="I441" t="s">
        <v>16</v>
      </c>
      <c r="J441" t="s">
        <v>187</v>
      </c>
      <c r="K441" t="s">
        <v>25</v>
      </c>
      <c r="L441">
        <v>132757294</v>
      </c>
      <c r="R441">
        <v>949</v>
      </c>
      <c r="S441" t="s">
        <v>204</v>
      </c>
      <c r="T441">
        <v>0</v>
      </c>
      <c r="U441">
        <v>48</v>
      </c>
      <c r="V441">
        <v>0</v>
      </c>
      <c r="W441">
        <v>0</v>
      </c>
      <c r="X441">
        <v>0</v>
      </c>
    </row>
    <row r="442" spans="1:24" x14ac:dyDescent="0.25">
      <c r="A442" t="s">
        <v>15</v>
      </c>
      <c r="B442" t="s">
        <v>24</v>
      </c>
      <c r="C442">
        <v>20150316</v>
      </c>
      <c r="D442">
        <v>0</v>
      </c>
      <c r="F442">
        <v>62500</v>
      </c>
      <c r="G442" t="s">
        <v>17</v>
      </c>
      <c r="I442" t="s">
        <v>16</v>
      </c>
      <c r="J442" t="s">
        <v>187</v>
      </c>
      <c r="K442" t="s">
        <v>25</v>
      </c>
      <c r="L442">
        <v>132757294</v>
      </c>
      <c r="R442">
        <v>949</v>
      </c>
      <c r="S442" t="s">
        <v>204</v>
      </c>
      <c r="T442">
        <v>0</v>
      </c>
      <c r="U442">
        <v>48</v>
      </c>
      <c r="V442">
        <v>0</v>
      </c>
      <c r="W442">
        <v>0</v>
      </c>
      <c r="X442">
        <v>0</v>
      </c>
    </row>
    <row r="443" spans="1:24" x14ac:dyDescent="0.25">
      <c r="A443" t="s">
        <v>15</v>
      </c>
      <c r="B443" t="s">
        <v>24</v>
      </c>
      <c r="C443">
        <v>20150316</v>
      </c>
      <c r="D443">
        <v>0</v>
      </c>
      <c r="F443">
        <v>62500</v>
      </c>
      <c r="G443" t="s">
        <v>17</v>
      </c>
      <c r="I443" t="s">
        <v>16</v>
      </c>
      <c r="J443" t="s">
        <v>187</v>
      </c>
      <c r="K443" t="s">
        <v>25</v>
      </c>
      <c r="L443">
        <v>132757294</v>
      </c>
      <c r="R443">
        <v>950</v>
      </c>
      <c r="S443" t="s">
        <v>203</v>
      </c>
      <c r="T443">
        <v>0</v>
      </c>
      <c r="U443">
        <v>48</v>
      </c>
      <c r="V443">
        <v>0</v>
      </c>
      <c r="W443">
        <v>0</v>
      </c>
      <c r="X443">
        <v>0</v>
      </c>
    </row>
    <row r="444" spans="1:24" x14ac:dyDescent="0.25">
      <c r="A444" t="s">
        <v>15</v>
      </c>
      <c r="B444" t="s">
        <v>24</v>
      </c>
      <c r="C444">
        <v>20150316</v>
      </c>
      <c r="D444">
        <v>0</v>
      </c>
      <c r="F444">
        <v>62500</v>
      </c>
      <c r="G444" t="s">
        <v>17</v>
      </c>
      <c r="I444" t="s">
        <v>16</v>
      </c>
      <c r="J444" t="s">
        <v>187</v>
      </c>
      <c r="K444" t="s">
        <v>25</v>
      </c>
      <c r="L444">
        <v>132757294</v>
      </c>
      <c r="R444">
        <v>949</v>
      </c>
      <c r="S444" t="s">
        <v>205</v>
      </c>
      <c r="T444">
        <v>0</v>
      </c>
      <c r="U444">
        <v>48</v>
      </c>
      <c r="V444">
        <v>0</v>
      </c>
      <c r="W444">
        <v>0</v>
      </c>
      <c r="X444">
        <v>0</v>
      </c>
    </row>
    <row r="445" spans="1:24" x14ac:dyDescent="0.25">
      <c r="A445" t="s">
        <v>15</v>
      </c>
      <c r="B445" t="s">
        <v>24</v>
      </c>
      <c r="C445">
        <v>20150316</v>
      </c>
      <c r="D445">
        <v>0</v>
      </c>
      <c r="F445">
        <v>62500</v>
      </c>
      <c r="G445" t="s">
        <v>17</v>
      </c>
      <c r="I445" t="s">
        <v>16</v>
      </c>
      <c r="J445" t="s">
        <v>187</v>
      </c>
      <c r="K445" t="s">
        <v>25</v>
      </c>
      <c r="L445">
        <v>132757294</v>
      </c>
      <c r="R445">
        <v>949</v>
      </c>
      <c r="S445" t="s">
        <v>206</v>
      </c>
      <c r="T445">
        <v>0</v>
      </c>
      <c r="U445">
        <v>48</v>
      </c>
      <c r="V445">
        <v>0</v>
      </c>
      <c r="W445">
        <v>0</v>
      </c>
      <c r="X445">
        <v>0</v>
      </c>
    </row>
    <row r="446" spans="1:24" x14ac:dyDescent="0.25">
      <c r="A446" t="s">
        <v>15</v>
      </c>
      <c r="B446" t="s">
        <v>24</v>
      </c>
      <c r="C446">
        <v>20150316</v>
      </c>
      <c r="D446">
        <v>0</v>
      </c>
      <c r="F446">
        <v>62500</v>
      </c>
      <c r="G446" t="s">
        <v>17</v>
      </c>
      <c r="I446" t="s">
        <v>16</v>
      </c>
      <c r="J446" t="s">
        <v>187</v>
      </c>
      <c r="K446" t="s">
        <v>25</v>
      </c>
      <c r="L446">
        <v>132757294</v>
      </c>
      <c r="R446">
        <v>950</v>
      </c>
      <c r="S446" t="s">
        <v>204</v>
      </c>
      <c r="T446">
        <v>0</v>
      </c>
      <c r="U446">
        <v>48</v>
      </c>
      <c r="V446">
        <v>0</v>
      </c>
      <c r="W446">
        <v>0</v>
      </c>
      <c r="X446">
        <v>0</v>
      </c>
    </row>
    <row r="447" spans="1:24" x14ac:dyDescent="0.25">
      <c r="A447" t="s">
        <v>15</v>
      </c>
      <c r="B447" t="s">
        <v>24</v>
      </c>
      <c r="C447">
        <v>20150316</v>
      </c>
      <c r="D447">
        <v>0</v>
      </c>
      <c r="F447">
        <v>62500</v>
      </c>
      <c r="G447" t="s">
        <v>17</v>
      </c>
      <c r="I447" t="s">
        <v>16</v>
      </c>
      <c r="J447" t="s">
        <v>187</v>
      </c>
      <c r="K447" t="s">
        <v>25</v>
      </c>
      <c r="L447">
        <v>132757294</v>
      </c>
      <c r="R447">
        <v>950</v>
      </c>
      <c r="S447" t="s">
        <v>204</v>
      </c>
      <c r="T447">
        <v>0</v>
      </c>
      <c r="U447">
        <v>48</v>
      </c>
      <c r="V447">
        <v>0</v>
      </c>
      <c r="W447">
        <v>0</v>
      </c>
      <c r="X447">
        <v>0</v>
      </c>
    </row>
    <row r="448" spans="1:24" x14ac:dyDescent="0.25">
      <c r="A448" t="s">
        <v>15</v>
      </c>
      <c r="B448" t="s">
        <v>24</v>
      </c>
      <c r="C448">
        <v>20150316</v>
      </c>
      <c r="D448">
        <v>0</v>
      </c>
      <c r="F448">
        <v>62500</v>
      </c>
      <c r="G448" t="s">
        <v>17</v>
      </c>
      <c r="I448" t="s">
        <v>16</v>
      </c>
      <c r="J448" t="s">
        <v>187</v>
      </c>
      <c r="K448" t="s">
        <v>25</v>
      </c>
      <c r="L448">
        <v>132757294</v>
      </c>
      <c r="R448">
        <v>951</v>
      </c>
      <c r="S448" t="s">
        <v>203</v>
      </c>
      <c r="T448">
        <v>0</v>
      </c>
      <c r="U448">
        <v>48</v>
      </c>
      <c r="V448">
        <v>0</v>
      </c>
      <c r="W448">
        <v>0</v>
      </c>
      <c r="X448">
        <v>0</v>
      </c>
    </row>
    <row r="449" spans="1:24" x14ac:dyDescent="0.25">
      <c r="A449" t="s">
        <v>15</v>
      </c>
      <c r="B449" t="s">
        <v>24</v>
      </c>
      <c r="C449">
        <v>20150316</v>
      </c>
      <c r="D449">
        <v>0</v>
      </c>
      <c r="F449">
        <v>62500</v>
      </c>
      <c r="G449" t="s">
        <v>17</v>
      </c>
      <c r="I449" t="s">
        <v>16</v>
      </c>
      <c r="J449" t="s">
        <v>187</v>
      </c>
      <c r="K449" t="s">
        <v>25</v>
      </c>
      <c r="L449">
        <v>132757294</v>
      </c>
      <c r="R449">
        <v>950</v>
      </c>
      <c r="S449" t="s">
        <v>205</v>
      </c>
      <c r="T449">
        <v>0</v>
      </c>
      <c r="U449">
        <v>48</v>
      </c>
      <c r="V449">
        <v>0</v>
      </c>
      <c r="W449">
        <v>0</v>
      </c>
      <c r="X449">
        <v>0</v>
      </c>
    </row>
    <row r="450" spans="1:24" x14ac:dyDescent="0.25">
      <c r="A450" t="s">
        <v>15</v>
      </c>
      <c r="B450" t="s">
        <v>24</v>
      </c>
      <c r="C450">
        <v>20150316</v>
      </c>
      <c r="D450">
        <v>0</v>
      </c>
      <c r="F450">
        <v>62500</v>
      </c>
      <c r="G450" t="s">
        <v>17</v>
      </c>
      <c r="I450" t="s">
        <v>16</v>
      </c>
      <c r="J450" t="s">
        <v>187</v>
      </c>
      <c r="K450" t="s">
        <v>25</v>
      </c>
      <c r="L450">
        <v>132757294</v>
      </c>
      <c r="R450">
        <v>950</v>
      </c>
      <c r="S450" t="s">
        <v>206</v>
      </c>
      <c r="T450">
        <v>0</v>
      </c>
      <c r="U450">
        <v>48</v>
      </c>
      <c r="V450">
        <v>0</v>
      </c>
      <c r="W450">
        <v>0</v>
      </c>
      <c r="X450">
        <v>0</v>
      </c>
    </row>
    <row r="451" spans="1:24" x14ac:dyDescent="0.25">
      <c r="A451" t="s">
        <v>15</v>
      </c>
      <c r="B451" t="s">
        <v>24</v>
      </c>
      <c r="C451">
        <v>20150316</v>
      </c>
      <c r="D451">
        <v>0</v>
      </c>
      <c r="F451">
        <v>62500</v>
      </c>
      <c r="G451" t="s">
        <v>17</v>
      </c>
      <c r="I451" t="s">
        <v>16</v>
      </c>
      <c r="J451" t="s">
        <v>187</v>
      </c>
      <c r="K451" t="s">
        <v>25</v>
      </c>
      <c r="L451">
        <v>132757294</v>
      </c>
      <c r="R451">
        <v>951</v>
      </c>
      <c r="S451" t="s">
        <v>204</v>
      </c>
      <c r="T451">
        <v>0</v>
      </c>
      <c r="U451">
        <v>48</v>
      </c>
      <c r="V451">
        <v>0</v>
      </c>
      <c r="W451">
        <v>0</v>
      </c>
      <c r="X451">
        <v>0</v>
      </c>
    </row>
    <row r="452" spans="1:24" x14ac:dyDescent="0.25">
      <c r="A452" t="s">
        <v>15</v>
      </c>
      <c r="B452" t="s">
        <v>24</v>
      </c>
      <c r="C452">
        <v>20150316</v>
      </c>
      <c r="D452">
        <v>0</v>
      </c>
      <c r="F452">
        <v>62500</v>
      </c>
      <c r="G452" t="s">
        <v>17</v>
      </c>
      <c r="I452" t="s">
        <v>16</v>
      </c>
      <c r="J452" t="s">
        <v>187</v>
      </c>
      <c r="K452" t="s">
        <v>25</v>
      </c>
      <c r="L452">
        <v>132757294</v>
      </c>
      <c r="R452">
        <v>951</v>
      </c>
      <c r="S452" t="s">
        <v>204</v>
      </c>
      <c r="T452">
        <v>0</v>
      </c>
      <c r="U452">
        <v>48</v>
      </c>
      <c r="V452">
        <v>0</v>
      </c>
      <c r="W452">
        <v>0</v>
      </c>
      <c r="X452">
        <v>0</v>
      </c>
    </row>
    <row r="453" spans="1:24" x14ac:dyDescent="0.25">
      <c r="A453" t="s">
        <v>15</v>
      </c>
      <c r="B453" t="s">
        <v>24</v>
      </c>
      <c r="C453">
        <v>20150316</v>
      </c>
      <c r="D453">
        <v>0</v>
      </c>
      <c r="F453">
        <v>62500</v>
      </c>
      <c r="G453" t="s">
        <v>17</v>
      </c>
      <c r="I453" t="s">
        <v>16</v>
      </c>
      <c r="J453" t="s">
        <v>187</v>
      </c>
      <c r="K453" t="s">
        <v>25</v>
      </c>
      <c r="L453">
        <v>132757294</v>
      </c>
      <c r="R453">
        <v>952</v>
      </c>
      <c r="S453" t="s">
        <v>203</v>
      </c>
      <c r="T453">
        <v>0</v>
      </c>
      <c r="U453">
        <v>48</v>
      </c>
      <c r="V453">
        <v>0</v>
      </c>
      <c r="W453">
        <v>0</v>
      </c>
      <c r="X453">
        <v>0</v>
      </c>
    </row>
    <row r="454" spans="1:24" x14ac:dyDescent="0.25">
      <c r="A454" t="s">
        <v>15</v>
      </c>
      <c r="B454" t="s">
        <v>24</v>
      </c>
      <c r="C454">
        <v>20150316</v>
      </c>
      <c r="D454">
        <v>0</v>
      </c>
      <c r="F454">
        <v>62500</v>
      </c>
      <c r="G454" t="s">
        <v>17</v>
      </c>
      <c r="I454" t="s">
        <v>16</v>
      </c>
      <c r="J454" t="s">
        <v>187</v>
      </c>
      <c r="K454" t="s">
        <v>25</v>
      </c>
      <c r="L454">
        <v>132757294</v>
      </c>
      <c r="R454">
        <v>951</v>
      </c>
      <c r="S454" t="s">
        <v>205</v>
      </c>
      <c r="T454">
        <v>0</v>
      </c>
      <c r="U454">
        <v>48</v>
      </c>
      <c r="V454">
        <v>0</v>
      </c>
      <c r="W454">
        <v>0</v>
      </c>
      <c r="X454">
        <v>0</v>
      </c>
    </row>
    <row r="455" spans="1:24" x14ac:dyDescent="0.25">
      <c r="A455" t="s">
        <v>15</v>
      </c>
      <c r="B455" t="s">
        <v>24</v>
      </c>
      <c r="C455">
        <v>20150316</v>
      </c>
      <c r="D455">
        <v>0</v>
      </c>
      <c r="F455">
        <v>62500</v>
      </c>
      <c r="G455" t="s">
        <v>17</v>
      </c>
      <c r="I455" t="s">
        <v>16</v>
      </c>
      <c r="J455" t="s">
        <v>187</v>
      </c>
      <c r="K455" t="s">
        <v>25</v>
      </c>
      <c r="L455">
        <v>132757294</v>
      </c>
      <c r="R455">
        <v>951</v>
      </c>
      <c r="S455" t="s">
        <v>206</v>
      </c>
      <c r="T455">
        <v>0</v>
      </c>
      <c r="U455">
        <v>48</v>
      </c>
      <c r="V455">
        <v>0</v>
      </c>
      <c r="W455">
        <v>0</v>
      </c>
      <c r="X455">
        <v>0</v>
      </c>
    </row>
    <row r="456" spans="1:24" x14ac:dyDescent="0.25">
      <c r="A456" t="s">
        <v>15</v>
      </c>
      <c r="B456" t="s">
        <v>24</v>
      </c>
      <c r="C456">
        <v>20150316</v>
      </c>
      <c r="D456">
        <v>0</v>
      </c>
      <c r="F456">
        <v>62500</v>
      </c>
      <c r="G456" t="s">
        <v>17</v>
      </c>
      <c r="I456" t="s">
        <v>16</v>
      </c>
      <c r="J456" t="s">
        <v>187</v>
      </c>
      <c r="K456" t="s">
        <v>25</v>
      </c>
      <c r="L456">
        <v>132757294</v>
      </c>
      <c r="R456">
        <v>952</v>
      </c>
      <c r="S456" t="s">
        <v>204</v>
      </c>
      <c r="T456">
        <v>0</v>
      </c>
      <c r="U456">
        <v>48</v>
      </c>
      <c r="V456">
        <v>0</v>
      </c>
      <c r="W456">
        <v>0</v>
      </c>
      <c r="X456">
        <v>0</v>
      </c>
    </row>
    <row r="457" spans="1:24" x14ac:dyDescent="0.25">
      <c r="A457" t="s">
        <v>15</v>
      </c>
      <c r="B457" t="s">
        <v>24</v>
      </c>
      <c r="C457">
        <v>20150316</v>
      </c>
      <c r="D457">
        <v>0</v>
      </c>
      <c r="F457">
        <v>62500</v>
      </c>
      <c r="G457" t="s">
        <v>17</v>
      </c>
      <c r="I457" t="s">
        <v>16</v>
      </c>
      <c r="J457" t="s">
        <v>187</v>
      </c>
      <c r="K457" t="s">
        <v>25</v>
      </c>
      <c r="L457">
        <v>132757294</v>
      </c>
      <c r="R457">
        <v>952</v>
      </c>
      <c r="S457" t="s">
        <v>204</v>
      </c>
      <c r="T457">
        <v>0</v>
      </c>
      <c r="U457">
        <v>48</v>
      </c>
      <c r="V457">
        <v>0</v>
      </c>
      <c r="W457">
        <v>0</v>
      </c>
      <c r="X457">
        <v>0</v>
      </c>
    </row>
    <row r="458" spans="1:24" x14ac:dyDescent="0.25">
      <c r="A458" t="s">
        <v>15</v>
      </c>
      <c r="B458" t="s">
        <v>24</v>
      </c>
      <c r="C458">
        <v>20150316</v>
      </c>
      <c r="D458">
        <v>0</v>
      </c>
      <c r="F458">
        <v>62500</v>
      </c>
      <c r="G458" t="s">
        <v>17</v>
      </c>
      <c r="I458" t="s">
        <v>16</v>
      </c>
      <c r="J458" t="s">
        <v>187</v>
      </c>
      <c r="K458" t="s">
        <v>25</v>
      </c>
      <c r="L458">
        <v>132757294</v>
      </c>
      <c r="R458">
        <v>953</v>
      </c>
      <c r="S458" t="s">
        <v>203</v>
      </c>
      <c r="T458">
        <v>0</v>
      </c>
      <c r="U458">
        <v>48</v>
      </c>
      <c r="V458">
        <v>0</v>
      </c>
      <c r="W458">
        <v>0</v>
      </c>
      <c r="X458">
        <v>0</v>
      </c>
    </row>
    <row r="459" spans="1:24" x14ac:dyDescent="0.25">
      <c r="A459" t="s">
        <v>15</v>
      </c>
      <c r="B459" t="s">
        <v>24</v>
      </c>
      <c r="C459">
        <v>20150316</v>
      </c>
      <c r="D459">
        <v>0</v>
      </c>
      <c r="F459">
        <v>62500</v>
      </c>
      <c r="G459" t="s">
        <v>17</v>
      </c>
      <c r="I459" t="s">
        <v>16</v>
      </c>
      <c r="J459" t="s">
        <v>187</v>
      </c>
      <c r="K459" t="s">
        <v>25</v>
      </c>
      <c r="L459">
        <v>132757294</v>
      </c>
      <c r="R459">
        <v>952</v>
      </c>
      <c r="S459" t="s">
        <v>205</v>
      </c>
      <c r="T459">
        <v>0</v>
      </c>
      <c r="U459">
        <v>48</v>
      </c>
      <c r="V459">
        <v>0</v>
      </c>
      <c r="W459">
        <v>0</v>
      </c>
      <c r="X459">
        <v>0</v>
      </c>
    </row>
    <row r="460" spans="1:24" x14ac:dyDescent="0.25">
      <c r="A460" t="s">
        <v>15</v>
      </c>
      <c r="B460" t="s">
        <v>24</v>
      </c>
      <c r="C460">
        <v>20150316</v>
      </c>
      <c r="D460">
        <v>0</v>
      </c>
      <c r="F460">
        <v>62500</v>
      </c>
      <c r="G460" t="s">
        <v>17</v>
      </c>
      <c r="I460" t="s">
        <v>16</v>
      </c>
      <c r="J460" t="s">
        <v>187</v>
      </c>
      <c r="K460" t="s">
        <v>25</v>
      </c>
      <c r="L460">
        <v>132757294</v>
      </c>
      <c r="R460">
        <v>952</v>
      </c>
      <c r="S460" t="s">
        <v>206</v>
      </c>
      <c r="T460">
        <v>0</v>
      </c>
      <c r="U460">
        <v>48</v>
      </c>
      <c r="V460">
        <v>0</v>
      </c>
      <c r="W460">
        <v>0</v>
      </c>
      <c r="X460">
        <v>0</v>
      </c>
    </row>
    <row r="461" spans="1:24" x14ac:dyDescent="0.25">
      <c r="A461" t="s">
        <v>15</v>
      </c>
      <c r="B461" t="s">
        <v>24</v>
      </c>
      <c r="C461">
        <v>20150316</v>
      </c>
      <c r="D461">
        <v>0</v>
      </c>
      <c r="F461">
        <v>62500</v>
      </c>
      <c r="G461" t="s">
        <v>17</v>
      </c>
      <c r="I461" t="s">
        <v>16</v>
      </c>
      <c r="J461" t="s">
        <v>187</v>
      </c>
      <c r="K461" t="s">
        <v>25</v>
      </c>
      <c r="L461">
        <v>132757294</v>
      </c>
      <c r="R461">
        <v>953</v>
      </c>
      <c r="S461" t="s">
        <v>207</v>
      </c>
      <c r="T461">
        <v>0</v>
      </c>
      <c r="U461">
        <v>48</v>
      </c>
      <c r="V461">
        <v>0</v>
      </c>
      <c r="W461">
        <v>0</v>
      </c>
      <c r="X461">
        <v>0</v>
      </c>
    </row>
    <row r="462" spans="1:24" x14ac:dyDescent="0.25">
      <c r="A462" t="s">
        <v>15</v>
      </c>
      <c r="B462" t="s">
        <v>24</v>
      </c>
      <c r="C462">
        <v>20150316</v>
      </c>
      <c r="D462">
        <v>0</v>
      </c>
      <c r="F462">
        <v>62500</v>
      </c>
      <c r="G462" t="s">
        <v>17</v>
      </c>
      <c r="I462" t="s">
        <v>16</v>
      </c>
      <c r="J462" t="s">
        <v>187</v>
      </c>
      <c r="K462" t="s">
        <v>25</v>
      </c>
      <c r="L462">
        <v>132757294</v>
      </c>
      <c r="R462">
        <v>953</v>
      </c>
      <c r="S462" t="s">
        <v>207</v>
      </c>
      <c r="T462">
        <v>0</v>
      </c>
      <c r="U462">
        <v>48</v>
      </c>
      <c r="V462">
        <v>0</v>
      </c>
      <c r="W462">
        <v>0</v>
      </c>
      <c r="X462">
        <v>0</v>
      </c>
    </row>
    <row r="463" spans="1:24" x14ac:dyDescent="0.25">
      <c r="A463" t="s">
        <v>15</v>
      </c>
      <c r="B463" t="s">
        <v>24</v>
      </c>
      <c r="C463">
        <v>20150316</v>
      </c>
      <c r="D463">
        <v>0</v>
      </c>
      <c r="F463">
        <v>62500</v>
      </c>
      <c r="G463" t="s">
        <v>17</v>
      </c>
      <c r="I463" t="s">
        <v>16</v>
      </c>
      <c r="J463" t="s">
        <v>187</v>
      </c>
      <c r="K463" t="s">
        <v>25</v>
      </c>
      <c r="L463">
        <v>132757294</v>
      </c>
      <c r="R463">
        <v>953</v>
      </c>
      <c r="S463" t="s">
        <v>205</v>
      </c>
      <c r="T463">
        <v>0</v>
      </c>
      <c r="U463">
        <v>48</v>
      </c>
      <c r="V463">
        <v>0</v>
      </c>
      <c r="W463">
        <v>0</v>
      </c>
      <c r="X463">
        <v>0</v>
      </c>
    </row>
    <row r="464" spans="1:24" x14ac:dyDescent="0.25">
      <c r="A464" t="s">
        <v>15</v>
      </c>
      <c r="B464" t="s">
        <v>24</v>
      </c>
      <c r="C464">
        <v>20150316</v>
      </c>
      <c r="D464">
        <v>0</v>
      </c>
      <c r="F464">
        <v>62500</v>
      </c>
      <c r="G464" t="s">
        <v>17</v>
      </c>
      <c r="I464" t="s">
        <v>16</v>
      </c>
      <c r="J464" t="s">
        <v>187</v>
      </c>
      <c r="K464" t="s">
        <v>25</v>
      </c>
      <c r="L464">
        <v>132757294</v>
      </c>
      <c r="R464">
        <v>953</v>
      </c>
      <c r="S464" t="s">
        <v>206</v>
      </c>
      <c r="T464">
        <v>0</v>
      </c>
      <c r="U464">
        <v>48</v>
      </c>
      <c r="V464">
        <v>0</v>
      </c>
      <c r="W464">
        <v>0</v>
      </c>
      <c r="X464">
        <v>0</v>
      </c>
    </row>
    <row r="465" spans="1:24" x14ac:dyDescent="0.25">
      <c r="A465" t="s">
        <v>15</v>
      </c>
      <c r="B465" t="s">
        <v>24</v>
      </c>
      <c r="C465">
        <v>20150316</v>
      </c>
      <c r="D465">
        <v>0</v>
      </c>
      <c r="F465">
        <v>62500</v>
      </c>
      <c r="G465" t="s">
        <v>17</v>
      </c>
      <c r="I465" t="s">
        <v>16</v>
      </c>
      <c r="J465" t="s">
        <v>187</v>
      </c>
      <c r="K465" t="s">
        <v>25</v>
      </c>
      <c r="L465">
        <v>132757294</v>
      </c>
      <c r="R465">
        <v>954</v>
      </c>
      <c r="S465" t="s">
        <v>203</v>
      </c>
      <c r="T465">
        <v>0</v>
      </c>
      <c r="U465">
        <v>49</v>
      </c>
      <c r="V465">
        <v>0</v>
      </c>
      <c r="W465">
        <v>0</v>
      </c>
      <c r="X465">
        <v>0</v>
      </c>
    </row>
    <row r="466" spans="1:24" x14ac:dyDescent="0.25">
      <c r="A466" t="s">
        <v>15</v>
      </c>
      <c r="B466" t="s">
        <v>24</v>
      </c>
      <c r="C466">
        <v>20150316</v>
      </c>
      <c r="D466">
        <v>0</v>
      </c>
      <c r="F466">
        <v>62500</v>
      </c>
      <c r="G466" t="s">
        <v>17</v>
      </c>
      <c r="I466" t="s">
        <v>16</v>
      </c>
      <c r="J466" t="s">
        <v>187</v>
      </c>
      <c r="K466" t="s">
        <v>25</v>
      </c>
      <c r="L466">
        <v>132757294</v>
      </c>
      <c r="R466">
        <v>954</v>
      </c>
      <c r="S466" t="s">
        <v>204</v>
      </c>
      <c r="T466">
        <v>0</v>
      </c>
      <c r="U466">
        <v>49</v>
      </c>
      <c r="V466">
        <v>0</v>
      </c>
      <c r="W466">
        <v>0</v>
      </c>
      <c r="X466">
        <v>0</v>
      </c>
    </row>
    <row r="467" spans="1:24" x14ac:dyDescent="0.25">
      <c r="A467" t="s">
        <v>15</v>
      </c>
      <c r="B467" t="s">
        <v>24</v>
      </c>
      <c r="C467">
        <v>20150316</v>
      </c>
      <c r="D467">
        <v>0</v>
      </c>
      <c r="F467">
        <v>62500</v>
      </c>
      <c r="G467" t="s">
        <v>17</v>
      </c>
      <c r="I467" t="s">
        <v>16</v>
      </c>
      <c r="J467" t="s">
        <v>187</v>
      </c>
      <c r="K467" t="s">
        <v>25</v>
      </c>
      <c r="L467">
        <v>132757294</v>
      </c>
      <c r="R467">
        <v>954</v>
      </c>
      <c r="S467" t="s">
        <v>204</v>
      </c>
      <c r="T467">
        <v>0</v>
      </c>
      <c r="U467">
        <v>49</v>
      </c>
      <c r="V467">
        <v>0</v>
      </c>
      <c r="W467">
        <v>0</v>
      </c>
      <c r="X467">
        <v>0</v>
      </c>
    </row>
    <row r="468" spans="1:24" x14ac:dyDescent="0.25">
      <c r="A468" t="s">
        <v>15</v>
      </c>
      <c r="B468" t="s">
        <v>24</v>
      </c>
      <c r="C468">
        <v>20150316</v>
      </c>
      <c r="D468">
        <v>0</v>
      </c>
      <c r="F468">
        <v>62500</v>
      </c>
      <c r="G468" t="s">
        <v>17</v>
      </c>
      <c r="I468" t="s">
        <v>16</v>
      </c>
      <c r="J468" t="s">
        <v>187</v>
      </c>
      <c r="K468" t="s">
        <v>25</v>
      </c>
      <c r="L468">
        <v>132757294</v>
      </c>
      <c r="R468">
        <v>955</v>
      </c>
      <c r="S468" t="s">
        <v>203</v>
      </c>
      <c r="T468">
        <v>0</v>
      </c>
      <c r="U468">
        <v>48</v>
      </c>
      <c r="V468">
        <v>0</v>
      </c>
      <c r="W468">
        <v>0</v>
      </c>
      <c r="X468">
        <v>0</v>
      </c>
    </row>
    <row r="469" spans="1:24" x14ac:dyDescent="0.25">
      <c r="A469" t="s">
        <v>15</v>
      </c>
      <c r="B469" t="s">
        <v>24</v>
      </c>
      <c r="C469">
        <v>20150316</v>
      </c>
      <c r="D469">
        <v>0</v>
      </c>
      <c r="F469">
        <v>62500</v>
      </c>
      <c r="G469" t="s">
        <v>17</v>
      </c>
      <c r="I469" t="s">
        <v>16</v>
      </c>
      <c r="J469" t="s">
        <v>187</v>
      </c>
      <c r="K469" t="s">
        <v>25</v>
      </c>
      <c r="L469">
        <v>132757294</v>
      </c>
      <c r="R469">
        <v>954</v>
      </c>
      <c r="S469" t="s">
        <v>205</v>
      </c>
      <c r="T469">
        <v>0</v>
      </c>
      <c r="U469">
        <v>49</v>
      </c>
      <c r="V469">
        <v>0</v>
      </c>
      <c r="W469">
        <v>0</v>
      </c>
      <c r="X469">
        <v>0</v>
      </c>
    </row>
    <row r="470" spans="1:24" x14ac:dyDescent="0.25">
      <c r="A470" t="s">
        <v>15</v>
      </c>
      <c r="B470" t="s">
        <v>24</v>
      </c>
      <c r="C470">
        <v>20150316</v>
      </c>
      <c r="D470">
        <v>0</v>
      </c>
      <c r="F470">
        <v>62500</v>
      </c>
      <c r="G470" t="s">
        <v>17</v>
      </c>
      <c r="I470" t="s">
        <v>16</v>
      </c>
      <c r="J470" t="s">
        <v>187</v>
      </c>
      <c r="K470" t="s">
        <v>25</v>
      </c>
      <c r="L470">
        <v>132757294</v>
      </c>
      <c r="R470">
        <v>954</v>
      </c>
      <c r="S470" t="s">
        <v>206</v>
      </c>
      <c r="T470">
        <v>0</v>
      </c>
      <c r="U470">
        <v>49</v>
      </c>
      <c r="V470">
        <v>0</v>
      </c>
      <c r="W470">
        <v>0</v>
      </c>
      <c r="X470">
        <v>0</v>
      </c>
    </row>
    <row r="471" spans="1:24" x14ac:dyDescent="0.25">
      <c r="A471" t="s">
        <v>15</v>
      </c>
      <c r="B471" t="s">
        <v>24</v>
      </c>
      <c r="C471">
        <v>20150316</v>
      </c>
      <c r="D471">
        <v>0</v>
      </c>
      <c r="F471">
        <v>62500</v>
      </c>
      <c r="G471" t="s">
        <v>17</v>
      </c>
      <c r="I471" t="s">
        <v>16</v>
      </c>
      <c r="J471" t="s">
        <v>187</v>
      </c>
      <c r="K471" t="s">
        <v>25</v>
      </c>
      <c r="L471">
        <v>132757294</v>
      </c>
      <c r="R471">
        <v>955</v>
      </c>
      <c r="S471" t="s">
        <v>204</v>
      </c>
      <c r="T471">
        <v>0</v>
      </c>
      <c r="U471">
        <v>48</v>
      </c>
      <c r="V471">
        <v>0</v>
      </c>
      <c r="W471">
        <v>0</v>
      </c>
      <c r="X471">
        <v>0</v>
      </c>
    </row>
    <row r="472" spans="1:24" x14ac:dyDescent="0.25">
      <c r="A472" t="s">
        <v>15</v>
      </c>
      <c r="B472" t="s">
        <v>24</v>
      </c>
      <c r="C472">
        <v>20150316</v>
      </c>
      <c r="D472">
        <v>0</v>
      </c>
      <c r="F472">
        <v>62500</v>
      </c>
      <c r="G472" t="s">
        <v>17</v>
      </c>
      <c r="I472" t="s">
        <v>16</v>
      </c>
      <c r="J472" t="s">
        <v>187</v>
      </c>
      <c r="K472" t="s">
        <v>25</v>
      </c>
      <c r="L472">
        <v>132757294</v>
      </c>
      <c r="R472">
        <v>955</v>
      </c>
      <c r="S472" t="s">
        <v>204</v>
      </c>
      <c r="T472">
        <v>0</v>
      </c>
      <c r="U472">
        <v>48</v>
      </c>
      <c r="V472">
        <v>0</v>
      </c>
      <c r="W472">
        <v>0</v>
      </c>
      <c r="X472">
        <v>0</v>
      </c>
    </row>
    <row r="473" spans="1:24" x14ac:dyDescent="0.25">
      <c r="A473" t="s">
        <v>15</v>
      </c>
      <c r="B473" t="s">
        <v>24</v>
      </c>
      <c r="C473">
        <v>20150316</v>
      </c>
      <c r="D473">
        <v>0</v>
      </c>
      <c r="F473">
        <v>62500</v>
      </c>
      <c r="G473" t="s">
        <v>17</v>
      </c>
      <c r="I473" t="s">
        <v>16</v>
      </c>
      <c r="J473" t="s">
        <v>187</v>
      </c>
      <c r="K473" t="s">
        <v>25</v>
      </c>
      <c r="L473">
        <v>132757294</v>
      </c>
      <c r="R473">
        <v>956</v>
      </c>
      <c r="S473" t="s">
        <v>203</v>
      </c>
      <c r="T473">
        <v>0</v>
      </c>
      <c r="U473">
        <v>49</v>
      </c>
      <c r="V473">
        <v>0</v>
      </c>
      <c r="W473">
        <v>0</v>
      </c>
      <c r="X473">
        <v>0</v>
      </c>
    </row>
    <row r="474" spans="1:24" x14ac:dyDescent="0.25">
      <c r="A474" t="s">
        <v>15</v>
      </c>
      <c r="B474" t="s">
        <v>24</v>
      </c>
      <c r="C474">
        <v>20150316</v>
      </c>
      <c r="D474">
        <v>0</v>
      </c>
      <c r="F474">
        <v>62500</v>
      </c>
      <c r="G474" t="s">
        <v>17</v>
      </c>
      <c r="I474" t="s">
        <v>16</v>
      </c>
      <c r="J474" t="s">
        <v>187</v>
      </c>
      <c r="K474" t="s">
        <v>25</v>
      </c>
      <c r="L474">
        <v>132757294</v>
      </c>
      <c r="R474">
        <v>955</v>
      </c>
      <c r="S474" t="s">
        <v>205</v>
      </c>
      <c r="T474">
        <v>0</v>
      </c>
      <c r="U474">
        <v>48</v>
      </c>
      <c r="V474">
        <v>0</v>
      </c>
      <c r="W474">
        <v>0</v>
      </c>
      <c r="X474">
        <v>0</v>
      </c>
    </row>
    <row r="475" spans="1:24" x14ac:dyDescent="0.25">
      <c r="A475" t="s">
        <v>15</v>
      </c>
      <c r="B475" t="s">
        <v>24</v>
      </c>
      <c r="C475">
        <v>20150316</v>
      </c>
      <c r="D475">
        <v>0</v>
      </c>
      <c r="F475">
        <v>62500</v>
      </c>
      <c r="G475" t="s">
        <v>17</v>
      </c>
      <c r="I475" t="s">
        <v>16</v>
      </c>
      <c r="J475" t="s">
        <v>187</v>
      </c>
      <c r="K475" t="s">
        <v>25</v>
      </c>
      <c r="L475">
        <v>132757294</v>
      </c>
      <c r="R475">
        <v>955</v>
      </c>
      <c r="S475" t="s">
        <v>206</v>
      </c>
      <c r="T475">
        <v>0</v>
      </c>
      <c r="U475">
        <v>48</v>
      </c>
      <c r="V475">
        <v>0</v>
      </c>
      <c r="W475">
        <v>0</v>
      </c>
      <c r="X475">
        <v>0</v>
      </c>
    </row>
    <row r="476" spans="1:24" x14ac:dyDescent="0.25">
      <c r="A476" t="s">
        <v>15</v>
      </c>
      <c r="B476" t="s">
        <v>24</v>
      </c>
      <c r="C476">
        <v>20150316</v>
      </c>
      <c r="D476">
        <v>0</v>
      </c>
      <c r="F476">
        <v>62500</v>
      </c>
      <c r="G476" t="s">
        <v>17</v>
      </c>
      <c r="I476" t="s">
        <v>16</v>
      </c>
      <c r="J476" t="s">
        <v>187</v>
      </c>
      <c r="K476" t="s">
        <v>25</v>
      </c>
      <c r="L476">
        <v>132757294</v>
      </c>
      <c r="R476">
        <v>956</v>
      </c>
      <c r="S476" t="s">
        <v>204</v>
      </c>
      <c r="T476">
        <v>0</v>
      </c>
      <c r="U476">
        <v>49</v>
      </c>
      <c r="V476">
        <v>0</v>
      </c>
      <c r="W476">
        <v>0</v>
      </c>
      <c r="X476">
        <v>0</v>
      </c>
    </row>
    <row r="477" spans="1:24" x14ac:dyDescent="0.25">
      <c r="A477" t="s">
        <v>15</v>
      </c>
      <c r="B477" t="s">
        <v>24</v>
      </c>
      <c r="C477">
        <v>20150316</v>
      </c>
      <c r="D477">
        <v>0</v>
      </c>
      <c r="F477">
        <v>62500</v>
      </c>
      <c r="G477" t="s">
        <v>17</v>
      </c>
      <c r="I477" t="s">
        <v>16</v>
      </c>
      <c r="J477" t="s">
        <v>187</v>
      </c>
      <c r="K477" t="s">
        <v>25</v>
      </c>
      <c r="L477">
        <v>132757294</v>
      </c>
      <c r="R477">
        <v>956</v>
      </c>
      <c r="S477" t="s">
        <v>204</v>
      </c>
      <c r="T477">
        <v>0</v>
      </c>
      <c r="U477">
        <v>49</v>
      </c>
      <c r="V477">
        <v>0</v>
      </c>
      <c r="W477">
        <v>0</v>
      </c>
      <c r="X477">
        <v>0</v>
      </c>
    </row>
    <row r="478" spans="1:24" x14ac:dyDescent="0.25">
      <c r="A478" t="s">
        <v>15</v>
      </c>
      <c r="B478" t="s">
        <v>24</v>
      </c>
      <c r="C478">
        <v>20150316</v>
      </c>
      <c r="D478">
        <v>0</v>
      </c>
      <c r="F478">
        <v>62500</v>
      </c>
      <c r="G478" t="s">
        <v>17</v>
      </c>
      <c r="I478" t="s">
        <v>16</v>
      </c>
      <c r="J478" t="s">
        <v>187</v>
      </c>
      <c r="K478" t="s">
        <v>25</v>
      </c>
      <c r="L478">
        <v>132757294</v>
      </c>
      <c r="R478">
        <v>957</v>
      </c>
      <c r="S478" t="s">
        <v>203</v>
      </c>
      <c r="T478">
        <v>0</v>
      </c>
      <c r="U478">
        <v>48</v>
      </c>
      <c r="V478">
        <v>0</v>
      </c>
      <c r="W478">
        <v>0</v>
      </c>
      <c r="X478">
        <v>0</v>
      </c>
    </row>
    <row r="479" spans="1:24" x14ac:dyDescent="0.25">
      <c r="A479" t="s">
        <v>15</v>
      </c>
      <c r="B479" t="s">
        <v>24</v>
      </c>
      <c r="C479">
        <v>20150316</v>
      </c>
      <c r="D479">
        <v>0</v>
      </c>
      <c r="F479">
        <v>62500</v>
      </c>
      <c r="G479" t="s">
        <v>17</v>
      </c>
      <c r="I479" t="s">
        <v>16</v>
      </c>
      <c r="J479" t="s">
        <v>187</v>
      </c>
      <c r="K479" t="s">
        <v>25</v>
      </c>
      <c r="L479">
        <v>132757294</v>
      </c>
      <c r="R479">
        <v>956</v>
      </c>
      <c r="S479" t="s">
        <v>205</v>
      </c>
      <c r="T479">
        <v>0</v>
      </c>
      <c r="U479">
        <v>49</v>
      </c>
      <c r="V479">
        <v>0</v>
      </c>
      <c r="W479">
        <v>0</v>
      </c>
      <c r="X479">
        <v>0</v>
      </c>
    </row>
    <row r="480" spans="1:24" x14ac:dyDescent="0.25">
      <c r="A480" t="s">
        <v>15</v>
      </c>
      <c r="B480" t="s">
        <v>24</v>
      </c>
      <c r="C480">
        <v>20150316</v>
      </c>
      <c r="D480">
        <v>0</v>
      </c>
      <c r="F480">
        <v>62500</v>
      </c>
      <c r="G480" t="s">
        <v>17</v>
      </c>
      <c r="I480" t="s">
        <v>16</v>
      </c>
      <c r="J480" t="s">
        <v>187</v>
      </c>
      <c r="K480" t="s">
        <v>25</v>
      </c>
      <c r="L480">
        <v>132757294</v>
      </c>
      <c r="R480">
        <v>956</v>
      </c>
      <c r="S480" t="s">
        <v>206</v>
      </c>
      <c r="T480">
        <v>0</v>
      </c>
      <c r="U480">
        <v>49</v>
      </c>
      <c r="V480">
        <v>0</v>
      </c>
      <c r="W480">
        <v>0</v>
      </c>
      <c r="X480">
        <v>0</v>
      </c>
    </row>
    <row r="481" spans="1:24" x14ac:dyDescent="0.25">
      <c r="A481" t="s">
        <v>15</v>
      </c>
      <c r="B481" t="s">
        <v>24</v>
      </c>
      <c r="C481">
        <v>20150316</v>
      </c>
      <c r="D481">
        <v>0</v>
      </c>
      <c r="F481">
        <v>62500</v>
      </c>
      <c r="G481" t="s">
        <v>17</v>
      </c>
      <c r="I481" t="s">
        <v>16</v>
      </c>
      <c r="J481" t="s">
        <v>187</v>
      </c>
      <c r="K481" t="s">
        <v>25</v>
      </c>
      <c r="L481">
        <v>132757294</v>
      </c>
      <c r="R481">
        <v>957</v>
      </c>
      <c r="S481" t="s">
        <v>204</v>
      </c>
      <c r="T481">
        <v>0</v>
      </c>
      <c r="U481">
        <v>48</v>
      </c>
      <c r="V481">
        <v>0</v>
      </c>
      <c r="W481">
        <v>0</v>
      </c>
      <c r="X481">
        <v>0</v>
      </c>
    </row>
    <row r="482" spans="1:24" x14ac:dyDescent="0.25">
      <c r="A482" t="s">
        <v>15</v>
      </c>
      <c r="B482" t="s">
        <v>24</v>
      </c>
      <c r="C482">
        <v>20150316</v>
      </c>
      <c r="D482">
        <v>0</v>
      </c>
      <c r="F482">
        <v>62500</v>
      </c>
      <c r="G482" t="s">
        <v>17</v>
      </c>
      <c r="I482" t="s">
        <v>16</v>
      </c>
      <c r="J482" t="s">
        <v>187</v>
      </c>
      <c r="K482" t="s">
        <v>25</v>
      </c>
      <c r="L482">
        <v>132757294</v>
      </c>
      <c r="R482">
        <v>957</v>
      </c>
      <c r="S482" t="s">
        <v>204</v>
      </c>
      <c r="T482">
        <v>0</v>
      </c>
      <c r="U482">
        <v>48</v>
      </c>
      <c r="V482">
        <v>0</v>
      </c>
      <c r="W482">
        <v>0</v>
      </c>
      <c r="X482">
        <v>0</v>
      </c>
    </row>
    <row r="483" spans="1:24" x14ac:dyDescent="0.25">
      <c r="A483" t="s">
        <v>15</v>
      </c>
      <c r="B483" t="s">
        <v>24</v>
      </c>
      <c r="C483">
        <v>20150316</v>
      </c>
      <c r="D483">
        <v>0</v>
      </c>
      <c r="F483">
        <v>62500</v>
      </c>
      <c r="G483" t="s">
        <v>17</v>
      </c>
      <c r="I483" t="s">
        <v>16</v>
      </c>
      <c r="J483" t="s">
        <v>187</v>
      </c>
      <c r="K483" t="s">
        <v>25</v>
      </c>
      <c r="L483">
        <v>132757294</v>
      </c>
      <c r="R483">
        <v>958</v>
      </c>
      <c r="S483" t="s">
        <v>203</v>
      </c>
      <c r="T483">
        <v>0</v>
      </c>
      <c r="U483">
        <v>49</v>
      </c>
      <c r="V483">
        <v>0</v>
      </c>
      <c r="W483">
        <v>0</v>
      </c>
      <c r="X483">
        <v>0</v>
      </c>
    </row>
    <row r="484" spans="1:24" x14ac:dyDescent="0.25">
      <c r="A484" t="s">
        <v>15</v>
      </c>
      <c r="B484" t="s">
        <v>24</v>
      </c>
      <c r="C484">
        <v>20150316</v>
      </c>
      <c r="D484">
        <v>0</v>
      </c>
      <c r="F484">
        <v>62500</v>
      </c>
      <c r="G484" t="s">
        <v>17</v>
      </c>
      <c r="I484" t="s">
        <v>16</v>
      </c>
      <c r="J484" t="s">
        <v>187</v>
      </c>
      <c r="K484" t="s">
        <v>25</v>
      </c>
      <c r="L484">
        <v>132757294</v>
      </c>
      <c r="R484">
        <v>957</v>
      </c>
      <c r="S484" t="s">
        <v>205</v>
      </c>
      <c r="T484">
        <v>0</v>
      </c>
      <c r="U484">
        <v>48</v>
      </c>
      <c r="V484">
        <v>0</v>
      </c>
      <c r="W484">
        <v>0</v>
      </c>
      <c r="X484">
        <v>0</v>
      </c>
    </row>
    <row r="485" spans="1:24" x14ac:dyDescent="0.25">
      <c r="A485" t="s">
        <v>15</v>
      </c>
      <c r="B485" t="s">
        <v>24</v>
      </c>
      <c r="C485">
        <v>20150316</v>
      </c>
      <c r="D485">
        <v>0</v>
      </c>
      <c r="F485">
        <v>62500</v>
      </c>
      <c r="G485" t="s">
        <v>17</v>
      </c>
      <c r="I485" t="s">
        <v>16</v>
      </c>
      <c r="J485" t="s">
        <v>187</v>
      </c>
      <c r="K485" t="s">
        <v>25</v>
      </c>
      <c r="L485">
        <v>132757294</v>
      </c>
      <c r="R485">
        <v>957</v>
      </c>
      <c r="S485" t="s">
        <v>206</v>
      </c>
      <c r="T485">
        <v>0</v>
      </c>
      <c r="U485">
        <v>48</v>
      </c>
      <c r="V485">
        <v>0</v>
      </c>
      <c r="W485">
        <v>0</v>
      </c>
      <c r="X485">
        <v>0</v>
      </c>
    </row>
    <row r="486" spans="1:24" x14ac:dyDescent="0.25">
      <c r="A486" t="s">
        <v>15</v>
      </c>
      <c r="B486" t="s">
        <v>24</v>
      </c>
      <c r="C486">
        <v>20150316</v>
      </c>
      <c r="D486">
        <v>0</v>
      </c>
      <c r="F486">
        <v>62500</v>
      </c>
      <c r="G486" t="s">
        <v>17</v>
      </c>
      <c r="I486" t="s">
        <v>16</v>
      </c>
      <c r="J486" t="s">
        <v>187</v>
      </c>
      <c r="K486" t="s">
        <v>25</v>
      </c>
      <c r="L486">
        <v>132757294</v>
      </c>
      <c r="R486">
        <v>958</v>
      </c>
      <c r="S486" t="s">
        <v>204</v>
      </c>
      <c r="T486">
        <v>0</v>
      </c>
      <c r="U486">
        <v>49</v>
      </c>
      <c r="V486">
        <v>0</v>
      </c>
      <c r="W486">
        <v>0</v>
      </c>
      <c r="X486">
        <v>0</v>
      </c>
    </row>
    <row r="487" spans="1:24" x14ac:dyDescent="0.25">
      <c r="A487" t="s">
        <v>15</v>
      </c>
      <c r="B487" t="s">
        <v>24</v>
      </c>
      <c r="C487">
        <v>20150316</v>
      </c>
      <c r="D487">
        <v>0</v>
      </c>
      <c r="F487">
        <v>62500</v>
      </c>
      <c r="G487" t="s">
        <v>17</v>
      </c>
      <c r="I487" t="s">
        <v>16</v>
      </c>
      <c r="J487" t="s">
        <v>187</v>
      </c>
      <c r="K487" t="s">
        <v>25</v>
      </c>
      <c r="L487">
        <v>132757294</v>
      </c>
      <c r="R487">
        <v>958</v>
      </c>
      <c r="S487" t="s">
        <v>204</v>
      </c>
      <c r="T487">
        <v>0</v>
      </c>
      <c r="U487">
        <v>49</v>
      </c>
      <c r="V487">
        <v>0</v>
      </c>
      <c r="W487">
        <v>0</v>
      </c>
      <c r="X487">
        <v>0</v>
      </c>
    </row>
    <row r="488" spans="1:24" x14ac:dyDescent="0.25">
      <c r="A488" t="s">
        <v>15</v>
      </c>
      <c r="B488" t="s">
        <v>24</v>
      </c>
      <c r="C488">
        <v>20150316</v>
      </c>
      <c r="D488">
        <v>0</v>
      </c>
      <c r="F488">
        <v>62500</v>
      </c>
      <c r="G488" t="s">
        <v>17</v>
      </c>
      <c r="I488" t="s">
        <v>16</v>
      </c>
      <c r="J488" t="s">
        <v>187</v>
      </c>
      <c r="K488" t="s">
        <v>25</v>
      </c>
      <c r="L488">
        <v>132757294</v>
      </c>
      <c r="R488">
        <v>959</v>
      </c>
      <c r="S488" t="s">
        <v>203</v>
      </c>
      <c r="T488">
        <v>0</v>
      </c>
      <c r="U488">
        <v>49</v>
      </c>
      <c r="V488">
        <v>0</v>
      </c>
      <c r="W488">
        <v>0</v>
      </c>
      <c r="X488">
        <v>0</v>
      </c>
    </row>
    <row r="489" spans="1:24" x14ac:dyDescent="0.25">
      <c r="A489" t="s">
        <v>15</v>
      </c>
      <c r="B489" t="s">
        <v>24</v>
      </c>
      <c r="C489">
        <v>20150316</v>
      </c>
      <c r="D489">
        <v>0</v>
      </c>
      <c r="F489">
        <v>62500</v>
      </c>
      <c r="G489" t="s">
        <v>17</v>
      </c>
      <c r="I489" t="s">
        <v>16</v>
      </c>
      <c r="J489" t="s">
        <v>187</v>
      </c>
      <c r="K489" t="s">
        <v>25</v>
      </c>
      <c r="L489">
        <v>132757294</v>
      </c>
      <c r="R489">
        <v>958</v>
      </c>
      <c r="S489" t="s">
        <v>205</v>
      </c>
      <c r="T489">
        <v>0</v>
      </c>
      <c r="U489">
        <v>49</v>
      </c>
      <c r="V489">
        <v>0</v>
      </c>
      <c r="W489">
        <v>0</v>
      </c>
      <c r="X489">
        <v>0</v>
      </c>
    </row>
    <row r="490" spans="1:24" x14ac:dyDescent="0.25">
      <c r="A490" t="s">
        <v>15</v>
      </c>
      <c r="B490" t="s">
        <v>24</v>
      </c>
      <c r="C490">
        <v>20150316</v>
      </c>
      <c r="D490">
        <v>0</v>
      </c>
      <c r="F490">
        <v>62500</v>
      </c>
      <c r="G490" t="s">
        <v>17</v>
      </c>
      <c r="I490" t="s">
        <v>16</v>
      </c>
      <c r="J490" t="s">
        <v>187</v>
      </c>
      <c r="K490" t="s">
        <v>25</v>
      </c>
      <c r="L490">
        <v>132757294</v>
      </c>
      <c r="R490">
        <v>958</v>
      </c>
      <c r="S490" t="s">
        <v>206</v>
      </c>
      <c r="T490">
        <v>0</v>
      </c>
      <c r="U490">
        <v>49</v>
      </c>
      <c r="V490">
        <v>0</v>
      </c>
      <c r="W490">
        <v>0</v>
      </c>
      <c r="X490">
        <v>0</v>
      </c>
    </row>
    <row r="491" spans="1:24" x14ac:dyDescent="0.25">
      <c r="A491" t="s">
        <v>15</v>
      </c>
      <c r="B491" t="s">
        <v>24</v>
      </c>
      <c r="C491">
        <v>20150316</v>
      </c>
      <c r="D491">
        <v>0</v>
      </c>
      <c r="F491">
        <v>62500</v>
      </c>
      <c r="G491" t="s">
        <v>17</v>
      </c>
      <c r="I491" t="s">
        <v>16</v>
      </c>
      <c r="J491" t="s">
        <v>187</v>
      </c>
      <c r="K491" t="s">
        <v>25</v>
      </c>
      <c r="L491">
        <v>132757294</v>
      </c>
      <c r="R491">
        <v>959</v>
      </c>
      <c r="S491" t="s">
        <v>204</v>
      </c>
      <c r="T491">
        <v>0</v>
      </c>
      <c r="U491">
        <v>49</v>
      </c>
      <c r="V491">
        <v>0</v>
      </c>
      <c r="W491">
        <v>0</v>
      </c>
      <c r="X491">
        <v>0</v>
      </c>
    </row>
    <row r="492" spans="1:24" x14ac:dyDescent="0.25">
      <c r="A492" t="s">
        <v>15</v>
      </c>
      <c r="B492" t="s">
        <v>24</v>
      </c>
      <c r="C492">
        <v>20150316</v>
      </c>
      <c r="D492">
        <v>0</v>
      </c>
      <c r="F492">
        <v>62500</v>
      </c>
      <c r="G492" t="s">
        <v>17</v>
      </c>
      <c r="I492" t="s">
        <v>16</v>
      </c>
      <c r="J492" t="s">
        <v>187</v>
      </c>
      <c r="K492" t="s">
        <v>25</v>
      </c>
      <c r="L492">
        <v>132757294</v>
      </c>
      <c r="R492">
        <v>959</v>
      </c>
      <c r="S492" t="s">
        <v>204</v>
      </c>
      <c r="T492">
        <v>0</v>
      </c>
      <c r="U492">
        <v>49</v>
      </c>
      <c r="V492">
        <v>0</v>
      </c>
      <c r="W492">
        <v>0</v>
      </c>
      <c r="X492">
        <v>0</v>
      </c>
    </row>
    <row r="493" spans="1:24" x14ac:dyDescent="0.25">
      <c r="A493" t="s">
        <v>15</v>
      </c>
      <c r="B493" t="s">
        <v>24</v>
      </c>
      <c r="C493">
        <v>20150316</v>
      </c>
      <c r="D493">
        <v>0</v>
      </c>
      <c r="F493">
        <v>62500</v>
      </c>
      <c r="G493" t="s">
        <v>17</v>
      </c>
      <c r="I493" t="s">
        <v>16</v>
      </c>
      <c r="J493" t="s">
        <v>187</v>
      </c>
      <c r="K493" t="s">
        <v>25</v>
      </c>
      <c r="L493">
        <v>132757294</v>
      </c>
      <c r="R493">
        <v>960</v>
      </c>
      <c r="S493" t="s">
        <v>203</v>
      </c>
      <c r="T493">
        <v>0</v>
      </c>
      <c r="U493">
        <v>48</v>
      </c>
      <c r="V493">
        <v>0</v>
      </c>
      <c r="W493">
        <v>0</v>
      </c>
      <c r="X493">
        <v>0</v>
      </c>
    </row>
    <row r="494" spans="1:24" x14ac:dyDescent="0.25">
      <c r="A494" t="s">
        <v>15</v>
      </c>
      <c r="B494" t="s">
        <v>24</v>
      </c>
      <c r="C494">
        <v>20150316</v>
      </c>
      <c r="D494">
        <v>0</v>
      </c>
      <c r="F494">
        <v>62500</v>
      </c>
      <c r="G494" t="s">
        <v>17</v>
      </c>
      <c r="I494" t="s">
        <v>16</v>
      </c>
      <c r="J494" t="s">
        <v>187</v>
      </c>
      <c r="K494" t="s">
        <v>25</v>
      </c>
      <c r="L494">
        <v>132757294</v>
      </c>
      <c r="R494">
        <v>959</v>
      </c>
      <c r="S494" t="s">
        <v>205</v>
      </c>
      <c r="T494">
        <v>0</v>
      </c>
      <c r="U494">
        <v>49</v>
      </c>
      <c r="V494">
        <v>0</v>
      </c>
      <c r="W494">
        <v>0</v>
      </c>
      <c r="X494">
        <v>0</v>
      </c>
    </row>
    <row r="495" spans="1:24" x14ac:dyDescent="0.25">
      <c r="A495" t="s">
        <v>15</v>
      </c>
      <c r="B495" t="s">
        <v>24</v>
      </c>
      <c r="C495">
        <v>20150316</v>
      </c>
      <c r="D495">
        <v>0</v>
      </c>
      <c r="F495">
        <v>62500</v>
      </c>
      <c r="G495" t="s">
        <v>17</v>
      </c>
      <c r="I495" t="s">
        <v>16</v>
      </c>
      <c r="J495" t="s">
        <v>187</v>
      </c>
      <c r="K495" t="s">
        <v>25</v>
      </c>
      <c r="L495">
        <v>132757294</v>
      </c>
      <c r="R495">
        <v>959</v>
      </c>
      <c r="S495" t="s">
        <v>206</v>
      </c>
      <c r="T495">
        <v>0</v>
      </c>
      <c r="U495">
        <v>49</v>
      </c>
      <c r="V495">
        <v>0</v>
      </c>
      <c r="W495">
        <v>0</v>
      </c>
      <c r="X495">
        <v>0</v>
      </c>
    </row>
    <row r="496" spans="1:24" x14ac:dyDescent="0.25">
      <c r="A496" t="s">
        <v>15</v>
      </c>
      <c r="B496" t="s">
        <v>24</v>
      </c>
      <c r="C496">
        <v>20150316</v>
      </c>
      <c r="D496">
        <v>0</v>
      </c>
      <c r="F496">
        <v>62500</v>
      </c>
      <c r="G496" t="s">
        <v>17</v>
      </c>
      <c r="I496" t="s">
        <v>16</v>
      </c>
      <c r="J496" t="s">
        <v>187</v>
      </c>
      <c r="K496" t="s">
        <v>25</v>
      </c>
      <c r="L496">
        <v>132757294</v>
      </c>
      <c r="R496">
        <v>960</v>
      </c>
      <c r="S496" t="s">
        <v>204</v>
      </c>
      <c r="T496">
        <v>0</v>
      </c>
      <c r="U496">
        <v>48</v>
      </c>
      <c r="V496">
        <v>0</v>
      </c>
      <c r="W496">
        <v>0</v>
      </c>
      <c r="X496">
        <v>0</v>
      </c>
    </row>
    <row r="497" spans="1:24" x14ac:dyDescent="0.25">
      <c r="A497" t="s">
        <v>15</v>
      </c>
      <c r="B497" t="s">
        <v>24</v>
      </c>
      <c r="C497">
        <v>20150316</v>
      </c>
      <c r="D497">
        <v>0</v>
      </c>
      <c r="F497">
        <v>62500</v>
      </c>
      <c r="G497" t="s">
        <v>17</v>
      </c>
      <c r="I497" t="s">
        <v>16</v>
      </c>
      <c r="J497" t="s">
        <v>187</v>
      </c>
      <c r="K497" t="s">
        <v>25</v>
      </c>
      <c r="L497">
        <v>132757294</v>
      </c>
      <c r="R497">
        <v>960</v>
      </c>
      <c r="S497" t="s">
        <v>204</v>
      </c>
      <c r="T497">
        <v>0</v>
      </c>
      <c r="U497">
        <v>48</v>
      </c>
      <c r="V497">
        <v>0</v>
      </c>
      <c r="W497">
        <v>0</v>
      </c>
      <c r="X497">
        <v>0</v>
      </c>
    </row>
    <row r="498" spans="1:24" x14ac:dyDescent="0.25">
      <c r="A498" t="s">
        <v>15</v>
      </c>
      <c r="B498" t="s">
        <v>24</v>
      </c>
      <c r="C498">
        <v>20150316</v>
      </c>
      <c r="D498">
        <v>0</v>
      </c>
      <c r="F498">
        <v>62500</v>
      </c>
      <c r="G498" t="s">
        <v>17</v>
      </c>
      <c r="I498" t="s">
        <v>16</v>
      </c>
      <c r="J498" t="s">
        <v>187</v>
      </c>
      <c r="K498" t="s">
        <v>25</v>
      </c>
      <c r="L498">
        <v>132757294</v>
      </c>
      <c r="R498">
        <v>961</v>
      </c>
      <c r="S498" t="s">
        <v>203</v>
      </c>
      <c r="T498">
        <v>0</v>
      </c>
      <c r="U498">
        <v>48</v>
      </c>
      <c r="V498">
        <v>0</v>
      </c>
      <c r="W498">
        <v>0</v>
      </c>
      <c r="X498">
        <v>0</v>
      </c>
    </row>
    <row r="499" spans="1:24" x14ac:dyDescent="0.25">
      <c r="A499" t="s">
        <v>15</v>
      </c>
      <c r="B499" t="s">
        <v>24</v>
      </c>
      <c r="C499">
        <v>20150316</v>
      </c>
      <c r="D499">
        <v>0</v>
      </c>
      <c r="F499">
        <v>62500</v>
      </c>
      <c r="G499" t="s">
        <v>17</v>
      </c>
      <c r="I499" t="s">
        <v>16</v>
      </c>
      <c r="J499" t="s">
        <v>187</v>
      </c>
      <c r="K499" t="s">
        <v>25</v>
      </c>
      <c r="L499">
        <v>132757294</v>
      </c>
      <c r="R499">
        <v>960</v>
      </c>
      <c r="S499" t="s">
        <v>205</v>
      </c>
      <c r="T499">
        <v>0</v>
      </c>
      <c r="U499">
        <v>48</v>
      </c>
      <c r="V499">
        <v>0</v>
      </c>
      <c r="W499">
        <v>0</v>
      </c>
      <c r="X499">
        <v>0</v>
      </c>
    </row>
    <row r="500" spans="1:24" x14ac:dyDescent="0.25">
      <c r="A500" t="s">
        <v>15</v>
      </c>
      <c r="B500" t="s">
        <v>24</v>
      </c>
      <c r="C500">
        <v>20150316</v>
      </c>
      <c r="D500">
        <v>0</v>
      </c>
      <c r="F500">
        <v>62500</v>
      </c>
      <c r="G500" t="s">
        <v>17</v>
      </c>
      <c r="I500" t="s">
        <v>16</v>
      </c>
      <c r="J500" t="s">
        <v>187</v>
      </c>
      <c r="K500" t="s">
        <v>25</v>
      </c>
      <c r="L500">
        <v>132757294</v>
      </c>
      <c r="R500">
        <v>960</v>
      </c>
      <c r="S500" t="s">
        <v>206</v>
      </c>
      <c r="T500">
        <v>0</v>
      </c>
      <c r="U500">
        <v>48</v>
      </c>
      <c r="V500">
        <v>0</v>
      </c>
      <c r="W500">
        <v>0</v>
      </c>
      <c r="X500">
        <v>0</v>
      </c>
    </row>
    <row r="501" spans="1:24" x14ac:dyDescent="0.25">
      <c r="A501" t="s">
        <v>15</v>
      </c>
      <c r="B501" t="s">
        <v>24</v>
      </c>
      <c r="C501">
        <v>20150316</v>
      </c>
      <c r="D501">
        <v>0</v>
      </c>
      <c r="F501">
        <v>62500</v>
      </c>
      <c r="G501" t="s">
        <v>17</v>
      </c>
      <c r="I501" t="s">
        <v>16</v>
      </c>
      <c r="J501" t="s">
        <v>187</v>
      </c>
      <c r="K501" t="s">
        <v>25</v>
      </c>
      <c r="L501">
        <v>132757294</v>
      </c>
      <c r="R501">
        <v>961</v>
      </c>
      <c r="S501" t="s">
        <v>204</v>
      </c>
      <c r="T501">
        <v>0</v>
      </c>
      <c r="U501">
        <v>48</v>
      </c>
      <c r="V501">
        <v>0</v>
      </c>
      <c r="W501">
        <v>0</v>
      </c>
      <c r="X501">
        <v>0</v>
      </c>
    </row>
    <row r="502" spans="1:24" x14ac:dyDescent="0.25">
      <c r="A502" t="s">
        <v>15</v>
      </c>
      <c r="B502" t="s">
        <v>24</v>
      </c>
      <c r="C502">
        <v>20150316</v>
      </c>
      <c r="D502">
        <v>0</v>
      </c>
      <c r="F502">
        <v>62500</v>
      </c>
      <c r="G502" t="s">
        <v>17</v>
      </c>
      <c r="I502" t="s">
        <v>16</v>
      </c>
      <c r="J502" t="s">
        <v>187</v>
      </c>
      <c r="K502" t="s">
        <v>25</v>
      </c>
      <c r="L502">
        <v>132757294</v>
      </c>
      <c r="R502">
        <v>961</v>
      </c>
      <c r="S502" t="s">
        <v>204</v>
      </c>
      <c r="T502">
        <v>0</v>
      </c>
      <c r="U502">
        <v>48</v>
      </c>
      <c r="V502">
        <v>0</v>
      </c>
      <c r="W502">
        <v>0</v>
      </c>
      <c r="X502">
        <v>0</v>
      </c>
    </row>
    <row r="503" spans="1:24" x14ac:dyDescent="0.25">
      <c r="A503" t="s">
        <v>15</v>
      </c>
      <c r="B503" t="s">
        <v>24</v>
      </c>
      <c r="C503">
        <v>20150316</v>
      </c>
      <c r="D503">
        <v>0</v>
      </c>
      <c r="F503">
        <v>62500</v>
      </c>
      <c r="G503" t="s">
        <v>17</v>
      </c>
      <c r="I503" t="s">
        <v>16</v>
      </c>
      <c r="J503" t="s">
        <v>187</v>
      </c>
      <c r="K503" t="s">
        <v>25</v>
      </c>
      <c r="L503">
        <v>132757294</v>
      </c>
      <c r="R503">
        <v>962</v>
      </c>
      <c r="S503" t="s">
        <v>203</v>
      </c>
      <c r="T503">
        <v>0</v>
      </c>
      <c r="U503">
        <v>48</v>
      </c>
      <c r="V503">
        <v>0</v>
      </c>
      <c r="W503">
        <v>0</v>
      </c>
      <c r="X503">
        <v>0</v>
      </c>
    </row>
    <row r="504" spans="1:24" x14ac:dyDescent="0.25">
      <c r="A504" t="s">
        <v>15</v>
      </c>
      <c r="B504" t="s">
        <v>24</v>
      </c>
      <c r="C504">
        <v>20150316</v>
      </c>
      <c r="D504">
        <v>0</v>
      </c>
      <c r="F504">
        <v>62500</v>
      </c>
      <c r="G504" t="s">
        <v>17</v>
      </c>
      <c r="I504" t="s">
        <v>16</v>
      </c>
      <c r="J504" t="s">
        <v>187</v>
      </c>
      <c r="K504" t="s">
        <v>25</v>
      </c>
      <c r="L504">
        <v>132757294</v>
      </c>
      <c r="R504">
        <v>961</v>
      </c>
      <c r="S504" t="s">
        <v>205</v>
      </c>
      <c r="T504">
        <v>0</v>
      </c>
      <c r="U504">
        <v>48</v>
      </c>
      <c r="V504">
        <v>0</v>
      </c>
      <c r="W504">
        <v>0</v>
      </c>
      <c r="X504">
        <v>0</v>
      </c>
    </row>
    <row r="505" spans="1:24" x14ac:dyDescent="0.25">
      <c r="A505" t="s">
        <v>15</v>
      </c>
      <c r="B505" t="s">
        <v>24</v>
      </c>
      <c r="C505">
        <v>20150316</v>
      </c>
      <c r="D505">
        <v>0</v>
      </c>
      <c r="F505">
        <v>62500</v>
      </c>
      <c r="G505" t="s">
        <v>17</v>
      </c>
      <c r="I505" t="s">
        <v>16</v>
      </c>
      <c r="J505" t="s">
        <v>187</v>
      </c>
      <c r="K505" t="s">
        <v>25</v>
      </c>
      <c r="L505">
        <v>132757294</v>
      </c>
      <c r="R505">
        <v>961</v>
      </c>
      <c r="S505" t="s">
        <v>206</v>
      </c>
      <c r="T505">
        <v>0</v>
      </c>
      <c r="U505">
        <v>48</v>
      </c>
      <c r="V505">
        <v>0</v>
      </c>
      <c r="W505">
        <v>0</v>
      </c>
      <c r="X505">
        <v>0</v>
      </c>
    </row>
    <row r="506" spans="1:24" x14ac:dyDescent="0.25">
      <c r="A506" t="s">
        <v>15</v>
      </c>
      <c r="B506" t="s">
        <v>24</v>
      </c>
      <c r="C506">
        <v>20150316</v>
      </c>
      <c r="D506">
        <v>0</v>
      </c>
      <c r="F506">
        <v>62500</v>
      </c>
      <c r="G506" t="s">
        <v>17</v>
      </c>
      <c r="I506" t="s">
        <v>16</v>
      </c>
      <c r="J506" t="s">
        <v>187</v>
      </c>
      <c r="K506" t="s">
        <v>25</v>
      </c>
      <c r="L506">
        <v>132757294</v>
      </c>
      <c r="R506">
        <v>962</v>
      </c>
      <c r="S506" t="s">
        <v>204</v>
      </c>
      <c r="T506">
        <v>0</v>
      </c>
      <c r="U506">
        <v>48</v>
      </c>
      <c r="V506">
        <v>0</v>
      </c>
      <c r="W506">
        <v>0</v>
      </c>
      <c r="X506">
        <v>0</v>
      </c>
    </row>
    <row r="507" spans="1:24" x14ac:dyDescent="0.25">
      <c r="A507" t="s">
        <v>15</v>
      </c>
      <c r="B507" t="s">
        <v>24</v>
      </c>
      <c r="C507">
        <v>20150316</v>
      </c>
      <c r="D507">
        <v>0</v>
      </c>
      <c r="F507">
        <v>62500</v>
      </c>
      <c r="G507" t="s">
        <v>17</v>
      </c>
      <c r="I507" t="s">
        <v>16</v>
      </c>
      <c r="J507" t="s">
        <v>187</v>
      </c>
      <c r="K507" t="s">
        <v>25</v>
      </c>
      <c r="L507">
        <v>132757294</v>
      </c>
      <c r="R507">
        <v>962</v>
      </c>
      <c r="S507" t="s">
        <v>204</v>
      </c>
      <c r="T507">
        <v>0</v>
      </c>
      <c r="U507">
        <v>48</v>
      </c>
      <c r="V507">
        <v>0</v>
      </c>
      <c r="W507">
        <v>0</v>
      </c>
      <c r="X507">
        <v>0</v>
      </c>
    </row>
    <row r="508" spans="1:24" x14ac:dyDescent="0.25">
      <c r="A508" t="s">
        <v>15</v>
      </c>
      <c r="B508" t="s">
        <v>24</v>
      </c>
      <c r="C508">
        <v>20150316</v>
      </c>
      <c r="D508">
        <v>0</v>
      </c>
      <c r="F508">
        <v>62500</v>
      </c>
      <c r="G508" t="s">
        <v>17</v>
      </c>
      <c r="I508" t="s">
        <v>16</v>
      </c>
      <c r="J508" t="s">
        <v>187</v>
      </c>
      <c r="K508" t="s">
        <v>25</v>
      </c>
      <c r="L508">
        <v>132757294</v>
      </c>
      <c r="R508">
        <v>963</v>
      </c>
      <c r="S508" t="s">
        <v>203</v>
      </c>
      <c r="T508">
        <v>0</v>
      </c>
      <c r="U508">
        <v>49</v>
      </c>
      <c r="V508">
        <v>0</v>
      </c>
      <c r="W508">
        <v>0</v>
      </c>
      <c r="X508">
        <v>0</v>
      </c>
    </row>
    <row r="509" spans="1:24" x14ac:dyDescent="0.25">
      <c r="A509" t="s">
        <v>15</v>
      </c>
      <c r="B509" t="s">
        <v>24</v>
      </c>
      <c r="C509">
        <v>20150316</v>
      </c>
      <c r="D509">
        <v>0</v>
      </c>
      <c r="F509">
        <v>62500</v>
      </c>
      <c r="G509" t="s">
        <v>17</v>
      </c>
      <c r="I509" t="s">
        <v>16</v>
      </c>
      <c r="J509" t="s">
        <v>187</v>
      </c>
      <c r="K509" t="s">
        <v>25</v>
      </c>
      <c r="L509">
        <v>132757294</v>
      </c>
      <c r="R509">
        <v>962</v>
      </c>
      <c r="S509" t="s">
        <v>205</v>
      </c>
      <c r="T509">
        <v>0</v>
      </c>
      <c r="U509">
        <v>48</v>
      </c>
      <c r="V509">
        <v>0</v>
      </c>
      <c r="W509">
        <v>0</v>
      </c>
      <c r="X509">
        <v>0</v>
      </c>
    </row>
    <row r="510" spans="1:24" x14ac:dyDescent="0.25">
      <c r="A510" t="s">
        <v>15</v>
      </c>
      <c r="B510" t="s">
        <v>24</v>
      </c>
      <c r="C510">
        <v>20150316</v>
      </c>
      <c r="D510">
        <v>0</v>
      </c>
      <c r="F510">
        <v>62500</v>
      </c>
      <c r="G510" t="s">
        <v>17</v>
      </c>
      <c r="I510" t="s">
        <v>16</v>
      </c>
      <c r="J510" t="s">
        <v>187</v>
      </c>
      <c r="K510" t="s">
        <v>25</v>
      </c>
      <c r="L510">
        <v>132757294</v>
      </c>
      <c r="R510">
        <v>962</v>
      </c>
      <c r="S510" t="s">
        <v>206</v>
      </c>
      <c r="T510">
        <v>0</v>
      </c>
      <c r="U510">
        <v>48</v>
      </c>
      <c r="V510">
        <v>0</v>
      </c>
      <c r="W510">
        <v>0</v>
      </c>
      <c r="X510">
        <v>0</v>
      </c>
    </row>
    <row r="511" spans="1:24" x14ac:dyDescent="0.25">
      <c r="A511" t="s">
        <v>15</v>
      </c>
      <c r="B511" t="s">
        <v>24</v>
      </c>
      <c r="C511">
        <v>20150316</v>
      </c>
      <c r="D511">
        <v>0</v>
      </c>
      <c r="F511">
        <v>62500</v>
      </c>
      <c r="G511" t="s">
        <v>17</v>
      </c>
      <c r="I511" t="s">
        <v>16</v>
      </c>
      <c r="J511" t="s">
        <v>187</v>
      </c>
      <c r="K511" t="s">
        <v>25</v>
      </c>
      <c r="L511">
        <v>132757294</v>
      </c>
      <c r="R511">
        <v>963</v>
      </c>
      <c r="S511" t="s">
        <v>204</v>
      </c>
      <c r="T511">
        <v>0</v>
      </c>
      <c r="U511">
        <v>49</v>
      </c>
      <c r="V511">
        <v>0</v>
      </c>
      <c r="W511">
        <v>0</v>
      </c>
      <c r="X511">
        <v>0</v>
      </c>
    </row>
    <row r="512" spans="1:24" x14ac:dyDescent="0.25">
      <c r="A512" t="s">
        <v>15</v>
      </c>
      <c r="B512" t="s">
        <v>24</v>
      </c>
      <c r="C512">
        <v>20150316</v>
      </c>
      <c r="D512">
        <v>0</v>
      </c>
      <c r="F512">
        <v>62500</v>
      </c>
      <c r="G512" t="s">
        <v>17</v>
      </c>
      <c r="I512" t="s">
        <v>16</v>
      </c>
      <c r="J512" t="s">
        <v>187</v>
      </c>
      <c r="K512" t="s">
        <v>25</v>
      </c>
      <c r="L512">
        <v>132757294</v>
      </c>
      <c r="R512">
        <v>963</v>
      </c>
      <c r="S512" t="s">
        <v>204</v>
      </c>
      <c r="T512">
        <v>0</v>
      </c>
      <c r="U512">
        <v>49</v>
      </c>
      <c r="V512">
        <v>0</v>
      </c>
      <c r="W512">
        <v>0</v>
      </c>
      <c r="X512">
        <v>0</v>
      </c>
    </row>
    <row r="513" spans="1:24" x14ac:dyDescent="0.25">
      <c r="A513" t="s">
        <v>15</v>
      </c>
      <c r="B513" t="s">
        <v>24</v>
      </c>
      <c r="C513">
        <v>20150316</v>
      </c>
      <c r="D513">
        <v>0</v>
      </c>
      <c r="F513">
        <v>62500</v>
      </c>
      <c r="G513" t="s">
        <v>17</v>
      </c>
      <c r="I513" t="s">
        <v>16</v>
      </c>
      <c r="J513" t="s">
        <v>187</v>
      </c>
      <c r="K513" t="s">
        <v>25</v>
      </c>
      <c r="L513">
        <v>132757294</v>
      </c>
      <c r="R513">
        <v>964</v>
      </c>
      <c r="S513" t="s">
        <v>203</v>
      </c>
      <c r="T513">
        <v>0</v>
      </c>
      <c r="U513">
        <v>49</v>
      </c>
      <c r="V513">
        <v>0</v>
      </c>
      <c r="W513">
        <v>0</v>
      </c>
      <c r="X513">
        <v>0</v>
      </c>
    </row>
    <row r="514" spans="1:24" x14ac:dyDescent="0.25">
      <c r="A514" t="s">
        <v>15</v>
      </c>
      <c r="B514" t="s">
        <v>24</v>
      </c>
      <c r="C514">
        <v>20150316</v>
      </c>
      <c r="D514">
        <v>0</v>
      </c>
      <c r="F514">
        <v>62500</v>
      </c>
      <c r="G514" t="s">
        <v>17</v>
      </c>
      <c r="I514" t="s">
        <v>16</v>
      </c>
      <c r="J514" t="s">
        <v>187</v>
      </c>
      <c r="K514" t="s">
        <v>25</v>
      </c>
      <c r="L514">
        <v>132757294</v>
      </c>
      <c r="R514">
        <v>963</v>
      </c>
      <c r="S514" t="s">
        <v>205</v>
      </c>
      <c r="T514">
        <v>0</v>
      </c>
      <c r="U514">
        <v>49</v>
      </c>
      <c r="V514">
        <v>0</v>
      </c>
      <c r="W514">
        <v>0</v>
      </c>
      <c r="X514">
        <v>0</v>
      </c>
    </row>
    <row r="515" spans="1:24" x14ac:dyDescent="0.25">
      <c r="A515" t="s">
        <v>15</v>
      </c>
      <c r="B515" t="s">
        <v>24</v>
      </c>
      <c r="C515">
        <v>20150316</v>
      </c>
      <c r="D515">
        <v>0</v>
      </c>
      <c r="F515">
        <v>62500</v>
      </c>
      <c r="G515" t="s">
        <v>17</v>
      </c>
      <c r="I515" t="s">
        <v>16</v>
      </c>
      <c r="J515" t="s">
        <v>187</v>
      </c>
      <c r="K515" t="s">
        <v>25</v>
      </c>
      <c r="L515">
        <v>132757294</v>
      </c>
      <c r="R515">
        <v>963</v>
      </c>
      <c r="S515" t="s">
        <v>206</v>
      </c>
      <c r="T515">
        <v>0</v>
      </c>
      <c r="U515">
        <v>49</v>
      </c>
      <c r="V515">
        <v>0</v>
      </c>
      <c r="W515">
        <v>0</v>
      </c>
      <c r="X515">
        <v>0</v>
      </c>
    </row>
    <row r="516" spans="1:24" x14ac:dyDescent="0.25">
      <c r="A516" t="s">
        <v>15</v>
      </c>
      <c r="B516" t="s">
        <v>24</v>
      </c>
      <c r="C516">
        <v>20150316</v>
      </c>
      <c r="D516">
        <v>0</v>
      </c>
      <c r="F516">
        <v>62500</v>
      </c>
      <c r="G516" t="s">
        <v>17</v>
      </c>
      <c r="I516" t="s">
        <v>16</v>
      </c>
      <c r="J516" t="s">
        <v>187</v>
      </c>
      <c r="K516" t="s">
        <v>25</v>
      </c>
      <c r="L516">
        <v>132757294</v>
      </c>
      <c r="R516">
        <v>964</v>
      </c>
      <c r="S516" t="s">
        <v>204</v>
      </c>
      <c r="T516">
        <v>0</v>
      </c>
      <c r="U516">
        <v>49</v>
      </c>
      <c r="V516">
        <v>0</v>
      </c>
      <c r="W516">
        <v>0</v>
      </c>
      <c r="X516">
        <v>0</v>
      </c>
    </row>
    <row r="517" spans="1:24" x14ac:dyDescent="0.25">
      <c r="A517" t="s">
        <v>15</v>
      </c>
      <c r="B517" t="s">
        <v>24</v>
      </c>
      <c r="C517">
        <v>20150316</v>
      </c>
      <c r="D517">
        <v>0</v>
      </c>
      <c r="F517">
        <v>62500</v>
      </c>
      <c r="G517" t="s">
        <v>17</v>
      </c>
      <c r="I517" t="s">
        <v>16</v>
      </c>
      <c r="J517" t="s">
        <v>187</v>
      </c>
      <c r="K517" t="s">
        <v>25</v>
      </c>
      <c r="L517">
        <v>132757294</v>
      </c>
      <c r="R517">
        <v>964</v>
      </c>
      <c r="S517" t="s">
        <v>204</v>
      </c>
      <c r="T517">
        <v>0</v>
      </c>
      <c r="U517">
        <v>49</v>
      </c>
      <c r="V517">
        <v>0</v>
      </c>
      <c r="W517">
        <v>0</v>
      </c>
      <c r="X517">
        <v>0</v>
      </c>
    </row>
    <row r="518" spans="1:24" x14ac:dyDescent="0.25">
      <c r="A518" t="s">
        <v>15</v>
      </c>
      <c r="B518" t="s">
        <v>24</v>
      </c>
      <c r="C518">
        <v>20150316</v>
      </c>
      <c r="D518">
        <v>0</v>
      </c>
      <c r="F518">
        <v>62500</v>
      </c>
      <c r="G518" t="s">
        <v>17</v>
      </c>
      <c r="I518" t="s">
        <v>16</v>
      </c>
      <c r="J518" t="s">
        <v>187</v>
      </c>
      <c r="K518" t="s">
        <v>25</v>
      </c>
      <c r="L518">
        <v>132757294</v>
      </c>
      <c r="R518">
        <v>965</v>
      </c>
      <c r="S518" t="s">
        <v>203</v>
      </c>
      <c r="T518">
        <v>0</v>
      </c>
      <c r="U518">
        <v>49</v>
      </c>
      <c r="V518">
        <v>0</v>
      </c>
      <c r="W518">
        <v>0</v>
      </c>
      <c r="X518">
        <v>0</v>
      </c>
    </row>
    <row r="519" spans="1:24" x14ac:dyDescent="0.25">
      <c r="A519" t="s">
        <v>15</v>
      </c>
      <c r="B519" t="s">
        <v>24</v>
      </c>
      <c r="C519">
        <v>20150316</v>
      </c>
      <c r="D519">
        <v>0</v>
      </c>
      <c r="F519">
        <v>62500</v>
      </c>
      <c r="G519" t="s">
        <v>17</v>
      </c>
      <c r="I519" t="s">
        <v>16</v>
      </c>
      <c r="J519" t="s">
        <v>187</v>
      </c>
      <c r="K519" t="s">
        <v>25</v>
      </c>
      <c r="L519">
        <v>132757294</v>
      </c>
      <c r="R519">
        <v>964</v>
      </c>
      <c r="S519" t="s">
        <v>205</v>
      </c>
      <c r="T519">
        <v>0</v>
      </c>
      <c r="U519">
        <v>49</v>
      </c>
      <c r="V519">
        <v>0</v>
      </c>
      <c r="W519">
        <v>0</v>
      </c>
      <c r="X519">
        <v>0</v>
      </c>
    </row>
    <row r="520" spans="1:24" x14ac:dyDescent="0.25">
      <c r="A520" t="s">
        <v>15</v>
      </c>
      <c r="B520" t="s">
        <v>24</v>
      </c>
      <c r="C520">
        <v>20150316</v>
      </c>
      <c r="D520">
        <v>0</v>
      </c>
      <c r="F520">
        <v>62500</v>
      </c>
      <c r="G520" t="s">
        <v>17</v>
      </c>
      <c r="I520" t="s">
        <v>16</v>
      </c>
      <c r="J520" t="s">
        <v>187</v>
      </c>
      <c r="K520" t="s">
        <v>25</v>
      </c>
      <c r="L520">
        <v>132757294</v>
      </c>
      <c r="R520">
        <v>964</v>
      </c>
      <c r="S520" t="s">
        <v>206</v>
      </c>
      <c r="T520">
        <v>0</v>
      </c>
      <c r="U520">
        <v>49</v>
      </c>
      <c r="V520">
        <v>0</v>
      </c>
      <c r="W520">
        <v>0</v>
      </c>
      <c r="X520">
        <v>0</v>
      </c>
    </row>
    <row r="521" spans="1:24" x14ac:dyDescent="0.25">
      <c r="A521" t="s">
        <v>15</v>
      </c>
      <c r="B521" t="s">
        <v>24</v>
      </c>
      <c r="C521">
        <v>20150316</v>
      </c>
      <c r="D521">
        <v>0</v>
      </c>
      <c r="F521">
        <v>62500</v>
      </c>
      <c r="G521" t="s">
        <v>17</v>
      </c>
      <c r="I521" t="s">
        <v>16</v>
      </c>
      <c r="J521" t="s">
        <v>187</v>
      </c>
      <c r="K521" t="s">
        <v>25</v>
      </c>
      <c r="L521">
        <v>132757294</v>
      </c>
      <c r="R521">
        <v>965</v>
      </c>
      <c r="S521" t="s">
        <v>204</v>
      </c>
      <c r="T521">
        <v>0</v>
      </c>
      <c r="U521">
        <v>49</v>
      </c>
      <c r="V521">
        <v>0</v>
      </c>
      <c r="W521">
        <v>0</v>
      </c>
      <c r="X521">
        <v>0</v>
      </c>
    </row>
    <row r="522" spans="1:24" x14ac:dyDescent="0.25">
      <c r="A522" t="s">
        <v>15</v>
      </c>
      <c r="B522" t="s">
        <v>24</v>
      </c>
      <c r="C522">
        <v>20150316</v>
      </c>
      <c r="D522">
        <v>0</v>
      </c>
      <c r="F522">
        <v>62500</v>
      </c>
      <c r="G522" t="s">
        <v>17</v>
      </c>
      <c r="I522" t="s">
        <v>16</v>
      </c>
      <c r="J522" t="s">
        <v>187</v>
      </c>
      <c r="K522" t="s">
        <v>25</v>
      </c>
      <c r="L522">
        <v>132757294</v>
      </c>
      <c r="R522">
        <v>965</v>
      </c>
      <c r="S522" t="s">
        <v>204</v>
      </c>
      <c r="T522">
        <v>0</v>
      </c>
      <c r="U522">
        <v>49</v>
      </c>
      <c r="V522">
        <v>0</v>
      </c>
      <c r="W522">
        <v>0</v>
      </c>
      <c r="X522">
        <v>0</v>
      </c>
    </row>
    <row r="523" spans="1:24" x14ac:dyDescent="0.25">
      <c r="A523" t="s">
        <v>15</v>
      </c>
      <c r="B523" t="s">
        <v>24</v>
      </c>
      <c r="C523">
        <v>20150316</v>
      </c>
      <c r="D523">
        <v>0</v>
      </c>
      <c r="F523">
        <v>62500</v>
      </c>
      <c r="G523" t="s">
        <v>17</v>
      </c>
      <c r="I523" t="s">
        <v>16</v>
      </c>
      <c r="J523" t="s">
        <v>187</v>
      </c>
      <c r="K523" t="s">
        <v>25</v>
      </c>
      <c r="L523">
        <v>132757294</v>
      </c>
      <c r="R523">
        <v>966</v>
      </c>
      <c r="S523" t="s">
        <v>203</v>
      </c>
      <c r="T523">
        <v>0</v>
      </c>
      <c r="U523">
        <v>0</v>
      </c>
      <c r="V523">
        <v>0</v>
      </c>
      <c r="W523">
        <v>0</v>
      </c>
      <c r="X523">
        <v>0</v>
      </c>
    </row>
    <row r="524" spans="1:24" x14ac:dyDescent="0.25">
      <c r="A524" t="s">
        <v>15</v>
      </c>
      <c r="B524" t="s">
        <v>24</v>
      </c>
      <c r="C524">
        <v>20150316</v>
      </c>
      <c r="D524">
        <v>0</v>
      </c>
      <c r="F524">
        <v>62500</v>
      </c>
      <c r="G524" t="s">
        <v>17</v>
      </c>
      <c r="I524" t="s">
        <v>16</v>
      </c>
      <c r="J524" t="s">
        <v>187</v>
      </c>
      <c r="K524" t="s">
        <v>25</v>
      </c>
      <c r="L524">
        <v>132757294</v>
      </c>
      <c r="R524">
        <v>965</v>
      </c>
      <c r="S524" t="s">
        <v>205</v>
      </c>
      <c r="T524">
        <v>0</v>
      </c>
      <c r="U524">
        <v>49</v>
      </c>
      <c r="V524">
        <v>0</v>
      </c>
      <c r="W524">
        <v>0</v>
      </c>
      <c r="X524">
        <v>0</v>
      </c>
    </row>
    <row r="525" spans="1:24" x14ac:dyDescent="0.25">
      <c r="A525" t="s">
        <v>15</v>
      </c>
      <c r="B525" t="s">
        <v>24</v>
      </c>
      <c r="C525">
        <v>20150316</v>
      </c>
      <c r="D525">
        <v>0</v>
      </c>
      <c r="F525">
        <v>62500</v>
      </c>
      <c r="G525" t="s">
        <v>17</v>
      </c>
      <c r="I525" t="s">
        <v>16</v>
      </c>
      <c r="J525" t="s">
        <v>187</v>
      </c>
      <c r="K525" t="s">
        <v>25</v>
      </c>
      <c r="L525">
        <v>132757294</v>
      </c>
      <c r="R525">
        <v>965</v>
      </c>
      <c r="S525" t="s">
        <v>206</v>
      </c>
      <c r="T525">
        <v>0</v>
      </c>
      <c r="U525">
        <v>49</v>
      </c>
      <c r="V525">
        <v>0</v>
      </c>
      <c r="W525">
        <v>0</v>
      </c>
      <c r="X525">
        <v>0</v>
      </c>
    </row>
    <row r="526" spans="1:24" x14ac:dyDescent="0.25">
      <c r="A526" t="s">
        <v>15</v>
      </c>
      <c r="B526" t="s">
        <v>24</v>
      </c>
      <c r="C526">
        <v>20150316</v>
      </c>
      <c r="D526">
        <v>0</v>
      </c>
      <c r="F526">
        <v>62500</v>
      </c>
      <c r="G526" t="s">
        <v>17</v>
      </c>
      <c r="I526" t="s">
        <v>16</v>
      </c>
      <c r="J526" t="s">
        <v>187</v>
      </c>
      <c r="K526" t="s">
        <v>25</v>
      </c>
      <c r="L526">
        <v>132757294</v>
      </c>
      <c r="R526">
        <v>942</v>
      </c>
      <c r="S526" t="s">
        <v>205</v>
      </c>
      <c r="T526">
        <v>0</v>
      </c>
      <c r="U526">
        <v>49</v>
      </c>
      <c r="V526">
        <v>0</v>
      </c>
      <c r="W526">
        <v>0</v>
      </c>
      <c r="X526">
        <v>0</v>
      </c>
    </row>
    <row r="527" spans="1:24" x14ac:dyDescent="0.25">
      <c r="A527" t="s">
        <v>15</v>
      </c>
      <c r="B527" t="s">
        <v>24</v>
      </c>
      <c r="C527">
        <v>20150316</v>
      </c>
      <c r="D527">
        <v>0</v>
      </c>
      <c r="F527">
        <v>62500</v>
      </c>
      <c r="G527" t="s">
        <v>17</v>
      </c>
      <c r="I527" t="s">
        <v>16</v>
      </c>
      <c r="J527" t="s">
        <v>187</v>
      </c>
      <c r="K527" t="s">
        <v>25</v>
      </c>
      <c r="L527">
        <v>132757294</v>
      </c>
      <c r="R527">
        <v>942</v>
      </c>
      <c r="S527" t="s">
        <v>206</v>
      </c>
      <c r="T527">
        <v>0</v>
      </c>
      <c r="U527">
        <v>49</v>
      </c>
      <c r="V527">
        <v>0</v>
      </c>
      <c r="W527">
        <v>0</v>
      </c>
      <c r="X527">
        <v>0</v>
      </c>
    </row>
    <row r="528" spans="1:24" x14ac:dyDescent="0.25">
      <c r="A528" t="s">
        <v>15</v>
      </c>
      <c r="B528" t="s">
        <v>24</v>
      </c>
      <c r="C528">
        <v>20150316</v>
      </c>
      <c r="D528">
        <v>0</v>
      </c>
      <c r="F528">
        <v>62500</v>
      </c>
      <c r="G528" t="s">
        <v>17</v>
      </c>
      <c r="I528" t="s">
        <v>16</v>
      </c>
      <c r="J528" t="s">
        <v>187</v>
      </c>
      <c r="K528" t="s">
        <v>25</v>
      </c>
      <c r="L528">
        <v>132757294</v>
      </c>
      <c r="R528">
        <v>966</v>
      </c>
      <c r="S528" t="s">
        <v>203</v>
      </c>
      <c r="T528">
        <v>0</v>
      </c>
      <c r="U528">
        <v>0</v>
      </c>
      <c r="V528">
        <v>0</v>
      </c>
      <c r="W528">
        <v>0</v>
      </c>
      <c r="X528">
        <v>0</v>
      </c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2015-01-26T14:07:05Z</dcterms:modified>
</cp:coreProperties>
</file>